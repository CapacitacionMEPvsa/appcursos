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266B34D8-FC90-4431-A541-BC5423D1F9D5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Hoja1!$A$3:$PX$240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E240" i="1" l="1"/>
  <c r="JE239" i="1"/>
  <c r="JE238" i="1"/>
  <c r="JE208" i="1"/>
  <c r="JE205" i="1"/>
  <c r="PV240" i="1"/>
  <c r="PW240" i="1" s="1"/>
  <c r="PX240" i="1" s="1"/>
  <c r="PS240" i="1"/>
  <c r="PN240" i="1"/>
  <c r="PI240" i="1"/>
  <c r="PD240" i="1"/>
  <c r="OY240" i="1"/>
  <c r="OT240" i="1"/>
  <c r="OO240" i="1"/>
  <c r="OJ240" i="1"/>
  <c r="OE240" i="1"/>
  <c r="NZ240" i="1"/>
  <c r="NU240" i="1"/>
  <c r="NP240" i="1"/>
  <c r="NK240" i="1"/>
  <c r="NF240" i="1"/>
  <c r="NA240" i="1"/>
  <c r="MV240" i="1"/>
  <c r="MQ240" i="1"/>
  <c r="ML240" i="1"/>
  <c r="MG240" i="1"/>
  <c r="MB240" i="1"/>
  <c r="LW240" i="1"/>
  <c r="LR240" i="1"/>
  <c r="LM240" i="1"/>
  <c r="LH240" i="1"/>
  <c r="LC240" i="1"/>
  <c r="KX240" i="1"/>
  <c r="KS240" i="1"/>
  <c r="KN240" i="1"/>
  <c r="KI240" i="1"/>
  <c r="KD240" i="1"/>
  <c r="JY240" i="1"/>
  <c r="JT240" i="1"/>
  <c r="JO240" i="1"/>
  <c r="JJ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J240" i="1"/>
  <c r="EE240" i="1"/>
  <c r="DZ240" i="1"/>
  <c r="DU240" i="1"/>
  <c r="DP240" i="1"/>
  <c r="DK240" i="1"/>
  <c r="DF240" i="1"/>
  <c r="DA240" i="1"/>
  <c r="CV240" i="1"/>
  <c r="CQ240" i="1"/>
  <c r="CL240" i="1"/>
  <c r="CG240" i="1"/>
  <c r="CB240" i="1"/>
  <c r="BW240" i="1"/>
  <c r="BR240" i="1"/>
  <c r="BM240" i="1"/>
  <c r="BH240" i="1"/>
  <c r="BC240" i="1"/>
  <c r="AX240" i="1"/>
  <c r="AS240" i="1"/>
  <c r="AN240" i="1"/>
  <c r="AI240" i="1"/>
  <c r="AD240" i="1"/>
  <c r="Y240" i="1"/>
  <c r="T240" i="1"/>
  <c r="O240" i="1"/>
  <c r="J240" i="1"/>
  <c r="PV239" i="1"/>
  <c r="PW239" i="1" s="1"/>
  <c r="PX239" i="1" s="1"/>
  <c r="PS239" i="1"/>
  <c r="PN239" i="1"/>
  <c r="PI239" i="1"/>
  <c r="PD239" i="1"/>
  <c r="OY239" i="1"/>
  <c r="OT239" i="1"/>
  <c r="OO239" i="1"/>
  <c r="OJ239" i="1"/>
  <c r="OE239" i="1"/>
  <c r="NZ239" i="1"/>
  <c r="NU239" i="1"/>
  <c r="NP239" i="1"/>
  <c r="NK239" i="1"/>
  <c r="NF239" i="1"/>
  <c r="NA239" i="1"/>
  <c r="MV239" i="1"/>
  <c r="MQ239" i="1"/>
  <c r="ML239" i="1"/>
  <c r="MG239" i="1"/>
  <c r="MB239" i="1"/>
  <c r="LW239" i="1"/>
  <c r="LR239" i="1"/>
  <c r="LM239" i="1"/>
  <c r="LH239" i="1"/>
  <c r="LC239" i="1"/>
  <c r="KX239" i="1"/>
  <c r="KS239" i="1"/>
  <c r="KN239" i="1"/>
  <c r="KI239" i="1"/>
  <c r="KD239" i="1"/>
  <c r="JY239" i="1"/>
  <c r="JT239" i="1"/>
  <c r="JO239" i="1"/>
  <c r="JJ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J239" i="1"/>
  <c r="EE239" i="1"/>
  <c r="DZ239" i="1"/>
  <c r="DU239" i="1"/>
  <c r="DP239" i="1"/>
  <c r="DK239" i="1"/>
  <c r="DF239" i="1"/>
  <c r="DA239" i="1"/>
  <c r="CV239" i="1"/>
  <c r="CQ239" i="1"/>
  <c r="CL239" i="1"/>
  <c r="CE239" i="1"/>
  <c r="CF239" i="1" s="1"/>
  <c r="CG239" i="1" s="1"/>
  <c r="CB239" i="1"/>
  <c r="BW239" i="1"/>
  <c r="BR239" i="1"/>
  <c r="BM239" i="1"/>
  <c r="BH239" i="1"/>
  <c r="BC239" i="1"/>
  <c r="AX239" i="1"/>
  <c r="AS239" i="1"/>
  <c r="AN239" i="1"/>
  <c r="AI239" i="1"/>
  <c r="AB239" i="1"/>
  <c r="AC239" i="1" s="1"/>
  <c r="AD239" i="1" s="1"/>
  <c r="W239" i="1"/>
  <c r="X239" i="1" s="1"/>
  <c r="Y239" i="1" s="1"/>
  <c r="T239" i="1"/>
  <c r="O239" i="1"/>
  <c r="J239" i="1"/>
  <c r="PX238" i="1"/>
  <c r="PS238" i="1"/>
  <c r="PN238" i="1"/>
  <c r="PI238" i="1"/>
  <c r="PD238" i="1"/>
  <c r="OY238" i="1"/>
  <c r="OT238" i="1"/>
  <c r="OO238" i="1"/>
  <c r="OJ238" i="1"/>
  <c r="OE238" i="1"/>
  <c r="NZ238" i="1"/>
  <c r="NU238" i="1"/>
  <c r="NP238" i="1"/>
  <c r="NK238" i="1"/>
  <c r="NF238" i="1"/>
  <c r="NA238" i="1"/>
  <c r="MV238" i="1"/>
  <c r="MQ238" i="1"/>
  <c r="ML238" i="1"/>
  <c r="MG238" i="1"/>
  <c r="MB238" i="1"/>
  <c r="LW238" i="1"/>
  <c r="LR238" i="1"/>
  <c r="LM238" i="1"/>
  <c r="LH238" i="1"/>
  <c r="LC238" i="1"/>
  <c r="KX238" i="1"/>
  <c r="KS238" i="1"/>
  <c r="KN238" i="1"/>
  <c r="KI238" i="1"/>
  <c r="KD238" i="1"/>
  <c r="JY238" i="1"/>
  <c r="JT238" i="1"/>
  <c r="JO238" i="1"/>
  <c r="JJ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R238" i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H238" i="1"/>
  <c r="EI238" i="1" s="1"/>
  <c r="EJ238" i="1" s="1"/>
  <c r="EC238" i="1"/>
  <c r="ED238" i="1" s="1"/>
  <c r="EE238" i="1" s="1"/>
  <c r="DX238" i="1"/>
  <c r="DY238" i="1" s="1"/>
  <c r="DZ238" i="1" s="1"/>
  <c r="DS238" i="1"/>
  <c r="DT238" i="1" s="1"/>
  <c r="DU238" i="1" s="1"/>
  <c r="DN238" i="1"/>
  <c r="DO238" i="1" s="1"/>
  <c r="DP238" i="1" s="1"/>
  <c r="DI238" i="1"/>
  <c r="DJ238" i="1" s="1"/>
  <c r="DK238" i="1" s="1"/>
  <c r="DD238" i="1"/>
  <c r="DE238" i="1" s="1"/>
  <c r="DF238" i="1" s="1"/>
  <c r="CY238" i="1"/>
  <c r="CZ238" i="1" s="1"/>
  <c r="DA238" i="1" s="1"/>
  <c r="CT238" i="1"/>
  <c r="CU238" i="1" s="1"/>
  <c r="CV238" i="1" s="1"/>
  <c r="CO238" i="1"/>
  <c r="CP238" i="1" s="1"/>
  <c r="CQ238" i="1" s="1"/>
  <c r="CJ238" i="1"/>
  <c r="CK238" i="1" s="1"/>
  <c r="CL238" i="1" s="1"/>
  <c r="CE238" i="1"/>
  <c r="CF238" i="1" s="1"/>
  <c r="CG238" i="1" s="1"/>
  <c r="BZ238" i="1"/>
  <c r="CA238" i="1" s="1"/>
  <c r="CB238" i="1" s="1"/>
  <c r="BU238" i="1"/>
  <c r="BV238" i="1" s="1"/>
  <c r="BW238" i="1" s="1"/>
  <c r="BP238" i="1"/>
  <c r="BQ238" i="1" s="1"/>
  <c r="BR238" i="1" s="1"/>
  <c r="BK238" i="1"/>
  <c r="BL238" i="1" s="1"/>
  <c r="BM238" i="1" s="1"/>
  <c r="BF238" i="1"/>
  <c r="BG238" i="1" s="1"/>
  <c r="BH238" i="1" s="1"/>
  <c r="BA238" i="1"/>
  <c r="BB238" i="1" s="1"/>
  <c r="BC238" i="1" s="1"/>
  <c r="AV238" i="1"/>
  <c r="AW238" i="1" s="1"/>
  <c r="AX238" i="1" s="1"/>
  <c r="AQ238" i="1"/>
  <c r="AR238" i="1" s="1"/>
  <c r="AS238" i="1" s="1"/>
  <c r="AL238" i="1"/>
  <c r="AM238" i="1" s="1"/>
  <c r="AN238" i="1" s="1"/>
  <c r="AG238" i="1"/>
  <c r="AH238" i="1" s="1"/>
  <c r="AI238" i="1" s="1"/>
  <c r="AD238" i="1"/>
  <c r="W238" i="1"/>
  <c r="X238" i="1" s="1"/>
  <c r="Y238" i="1" s="1"/>
  <c r="T238" i="1"/>
  <c r="O238" i="1"/>
  <c r="H238" i="1"/>
  <c r="I238" i="1" s="1"/>
  <c r="J238" i="1" s="1"/>
  <c r="PV237" i="1"/>
  <c r="PW237" i="1" s="1"/>
  <c r="PX237" i="1" s="1"/>
  <c r="PS237" i="1"/>
  <c r="PN237" i="1"/>
  <c r="PI237" i="1"/>
  <c r="PD237" i="1"/>
  <c r="OY237" i="1"/>
  <c r="OT237" i="1"/>
  <c r="OO237" i="1"/>
  <c r="OJ237" i="1"/>
  <c r="OE237" i="1"/>
  <c r="NZ237" i="1"/>
  <c r="NU237" i="1"/>
  <c r="NP237" i="1"/>
  <c r="NK237" i="1"/>
  <c r="NF237" i="1"/>
  <c r="NA237" i="1"/>
  <c r="MV237" i="1"/>
  <c r="MQ237" i="1"/>
  <c r="ML237" i="1"/>
  <c r="MG237" i="1"/>
  <c r="MB237" i="1"/>
  <c r="LW237" i="1"/>
  <c r="LR237" i="1"/>
  <c r="LM237" i="1"/>
  <c r="LH237" i="1"/>
  <c r="LC237" i="1"/>
  <c r="KX237" i="1"/>
  <c r="KS237" i="1"/>
  <c r="KN237" i="1"/>
  <c r="KI237" i="1"/>
  <c r="KD237" i="1"/>
  <c r="JY237" i="1"/>
  <c r="JT237" i="1"/>
  <c r="JO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J237" i="1"/>
  <c r="EE237" i="1"/>
  <c r="DZ237" i="1"/>
  <c r="DU237" i="1"/>
  <c r="DP237" i="1"/>
  <c r="DK237" i="1"/>
  <c r="DF237" i="1"/>
  <c r="DA237" i="1"/>
  <c r="CV237" i="1"/>
  <c r="CQ237" i="1"/>
  <c r="CL237" i="1"/>
  <c r="CG237" i="1"/>
  <c r="CB237" i="1"/>
  <c r="BW237" i="1"/>
  <c r="BR237" i="1"/>
  <c r="BM237" i="1"/>
  <c r="BH237" i="1"/>
  <c r="BC237" i="1"/>
  <c r="AX237" i="1"/>
  <c r="AS237" i="1"/>
  <c r="AN237" i="1"/>
  <c r="AI237" i="1"/>
  <c r="AD237" i="1"/>
  <c r="Y237" i="1"/>
  <c r="T237" i="1"/>
  <c r="O237" i="1"/>
  <c r="J237" i="1"/>
  <c r="PX236" i="1"/>
  <c r="PS236" i="1"/>
  <c r="PN236" i="1"/>
  <c r="PI236" i="1"/>
  <c r="PD236" i="1"/>
  <c r="OY236" i="1"/>
  <c r="OT236" i="1"/>
  <c r="OO236" i="1"/>
  <c r="OJ236" i="1"/>
  <c r="OE236" i="1"/>
  <c r="NZ236" i="1"/>
  <c r="NU236" i="1"/>
  <c r="NP236" i="1"/>
  <c r="NK236" i="1"/>
  <c r="NF236" i="1"/>
  <c r="NA236" i="1"/>
  <c r="MV236" i="1"/>
  <c r="MQ236" i="1"/>
  <c r="ML236" i="1"/>
  <c r="MG236" i="1"/>
  <c r="MB236" i="1"/>
  <c r="LW236" i="1"/>
  <c r="LR236" i="1"/>
  <c r="LM236" i="1"/>
  <c r="LH236" i="1"/>
  <c r="LC236" i="1"/>
  <c r="KX236" i="1"/>
  <c r="KS236" i="1"/>
  <c r="KN236" i="1"/>
  <c r="KI236" i="1"/>
  <c r="KD236" i="1"/>
  <c r="JY236" i="1"/>
  <c r="JT236" i="1"/>
  <c r="JO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J236" i="1"/>
  <c r="EE236" i="1"/>
  <c r="DZ236" i="1"/>
  <c r="DU236" i="1"/>
  <c r="DP236" i="1"/>
  <c r="DK236" i="1"/>
  <c r="DF236" i="1"/>
  <c r="DA236" i="1"/>
  <c r="CV236" i="1"/>
  <c r="CQ236" i="1"/>
  <c r="CL236" i="1"/>
  <c r="CG236" i="1"/>
  <c r="CB236" i="1"/>
  <c r="BW236" i="1"/>
  <c r="BR236" i="1"/>
  <c r="BM236" i="1"/>
  <c r="BH236" i="1"/>
  <c r="BC236" i="1"/>
  <c r="AX236" i="1"/>
  <c r="AS236" i="1"/>
  <c r="AN236" i="1"/>
  <c r="AI236" i="1"/>
  <c r="AD236" i="1"/>
  <c r="W236" i="1"/>
  <c r="X236" i="1" s="1"/>
  <c r="Y236" i="1" s="1"/>
  <c r="T236" i="1"/>
  <c r="O236" i="1"/>
  <c r="J236" i="1"/>
  <c r="PX235" i="1"/>
  <c r="PS235" i="1"/>
  <c r="PL235" i="1"/>
  <c r="PM235" i="1" s="1"/>
  <c r="PN235" i="1" s="1"/>
  <c r="PI235" i="1"/>
  <c r="PD235" i="1"/>
  <c r="OY235" i="1"/>
  <c r="OT235" i="1"/>
  <c r="OO235" i="1"/>
  <c r="OJ235" i="1"/>
  <c r="OE235" i="1"/>
  <c r="NZ235" i="1"/>
  <c r="NU235" i="1"/>
  <c r="NP235" i="1"/>
  <c r="NK235" i="1"/>
  <c r="NF235" i="1"/>
  <c r="NA235" i="1"/>
  <c r="MV235" i="1"/>
  <c r="MQ235" i="1"/>
  <c r="ML235" i="1"/>
  <c r="MG235" i="1"/>
  <c r="MB235" i="1"/>
  <c r="LW235" i="1"/>
  <c r="LR235" i="1"/>
  <c r="LM235" i="1"/>
  <c r="LH235" i="1"/>
  <c r="LC235" i="1"/>
  <c r="KX235" i="1"/>
  <c r="KS235" i="1"/>
  <c r="KN235" i="1"/>
  <c r="KI235" i="1"/>
  <c r="KD235" i="1"/>
  <c r="JY235" i="1"/>
  <c r="JT235" i="1"/>
  <c r="JO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J235" i="1"/>
  <c r="EE235" i="1"/>
  <c r="DZ235" i="1"/>
  <c r="DU235" i="1"/>
  <c r="DP235" i="1"/>
  <c r="DK235" i="1"/>
  <c r="DF235" i="1"/>
  <c r="DA235" i="1"/>
  <c r="CV235" i="1"/>
  <c r="CQ235" i="1"/>
  <c r="CL235" i="1"/>
  <c r="CG235" i="1"/>
  <c r="CB235" i="1"/>
  <c r="BW235" i="1"/>
  <c r="BR235" i="1"/>
  <c r="BM235" i="1"/>
  <c r="BH235" i="1"/>
  <c r="BC235" i="1"/>
  <c r="AX235" i="1"/>
  <c r="AS235" i="1"/>
  <c r="AN235" i="1"/>
  <c r="AI235" i="1"/>
  <c r="AD235" i="1"/>
  <c r="Y235" i="1"/>
  <c r="T235" i="1"/>
  <c r="O235" i="1"/>
  <c r="J235" i="1"/>
  <c r="PX234" i="1"/>
  <c r="PS234" i="1"/>
  <c r="PL234" i="1"/>
  <c r="PM234" i="1" s="1"/>
  <c r="PN234" i="1" s="1"/>
  <c r="PI234" i="1"/>
  <c r="PD234" i="1"/>
  <c r="OY234" i="1"/>
  <c r="OT234" i="1"/>
  <c r="OO234" i="1"/>
  <c r="OJ234" i="1"/>
  <c r="OE234" i="1"/>
  <c r="NZ234" i="1"/>
  <c r="NU234" i="1"/>
  <c r="NP234" i="1"/>
  <c r="NK234" i="1"/>
  <c r="NF234" i="1"/>
  <c r="NA234" i="1"/>
  <c r="MV234" i="1"/>
  <c r="MQ234" i="1"/>
  <c r="ML234" i="1"/>
  <c r="MG234" i="1"/>
  <c r="MB234" i="1"/>
  <c r="LW234" i="1"/>
  <c r="LR234" i="1"/>
  <c r="LM234" i="1"/>
  <c r="LH234" i="1"/>
  <c r="LC234" i="1"/>
  <c r="KX234" i="1"/>
  <c r="KS234" i="1"/>
  <c r="KN234" i="1"/>
  <c r="KI234" i="1"/>
  <c r="KD234" i="1"/>
  <c r="JY234" i="1"/>
  <c r="JT234" i="1"/>
  <c r="JO234" i="1"/>
  <c r="JJ234" i="1"/>
  <c r="JE234" i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J234" i="1"/>
  <c r="EE234" i="1"/>
  <c r="DZ234" i="1"/>
  <c r="DU234" i="1"/>
  <c r="DP234" i="1"/>
  <c r="DK234" i="1"/>
  <c r="DF234" i="1"/>
  <c r="DA234" i="1"/>
  <c r="CV234" i="1"/>
  <c r="CQ234" i="1"/>
  <c r="CL234" i="1"/>
  <c r="CG234" i="1"/>
  <c r="CB234" i="1"/>
  <c r="BW234" i="1"/>
  <c r="BR234" i="1"/>
  <c r="BM234" i="1"/>
  <c r="BH234" i="1"/>
  <c r="BC234" i="1"/>
  <c r="AX234" i="1"/>
  <c r="AS234" i="1"/>
  <c r="AN234" i="1"/>
  <c r="AI234" i="1"/>
  <c r="AD234" i="1"/>
  <c r="Y234" i="1"/>
  <c r="T234" i="1"/>
  <c r="O234" i="1"/>
  <c r="J234" i="1"/>
  <c r="PX233" i="1"/>
  <c r="PS233" i="1"/>
  <c r="PN233" i="1"/>
  <c r="PI233" i="1"/>
  <c r="PD233" i="1"/>
  <c r="OY233" i="1"/>
  <c r="OT233" i="1"/>
  <c r="OO233" i="1"/>
  <c r="OJ233" i="1"/>
  <c r="OE233" i="1"/>
  <c r="NZ233" i="1"/>
  <c r="NU233" i="1"/>
  <c r="NP233" i="1"/>
  <c r="NK233" i="1"/>
  <c r="NF233" i="1"/>
  <c r="NA233" i="1"/>
  <c r="MV233" i="1"/>
  <c r="MQ233" i="1"/>
  <c r="ML233" i="1"/>
  <c r="MG233" i="1"/>
  <c r="MB233" i="1"/>
  <c r="LW233" i="1"/>
  <c r="LR233" i="1"/>
  <c r="LM233" i="1"/>
  <c r="LH233" i="1"/>
  <c r="LC233" i="1"/>
  <c r="KX233" i="1"/>
  <c r="KS233" i="1"/>
  <c r="KN233" i="1"/>
  <c r="KI233" i="1"/>
  <c r="KD233" i="1"/>
  <c r="JY233" i="1"/>
  <c r="JT233" i="1"/>
  <c r="JO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M233" i="1"/>
  <c r="GF233" i="1"/>
  <c r="GG233" i="1" s="1"/>
  <c r="GH233" i="1" s="1"/>
  <c r="GA233" i="1"/>
  <c r="GB233" i="1" s="1"/>
  <c r="GC233" i="1" s="1"/>
  <c r="FX233" i="1"/>
  <c r="FS233" i="1"/>
  <c r="FL233" i="1"/>
  <c r="FM233" i="1" s="1"/>
  <c r="FN233" i="1" s="1"/>
  <c r="FI233" i="1"/>
  <c r="FB233" i="1"/>
  <c r="FC233" i="1" s="1"/>
  <c r="FD233" i="1" s="1"/>
  <c r="EY233" i="1"/>
  <c r="ET233" i="1"/>
  <c r="EO233" i="1"/>
  <c r="EH233" i="1"/>
  <c r="EI233" i="1" s="1"/>
  <c r="EJ233" i="1" s="1"/>
  <c r="EC233" i="1"/>
  <c r="ED233" i="1" s="1"/>
  <c r="EE233" i="1" s="1"/>
  <c r="DX233" i="1"/>
  <c r="DY233" i="1" s="1"/>
  <c r="DZ233" i="1" s="1"/>
  <c r="DS233" i="1"/>
  <c r="DT233" i="1" s="1"/>
  <c r="DU233" i="1" s="1"/>
  <c r="DN233" i="1"/>
  <c r="DO233" i="1" s="1"/>
  <c r="DP233" i="1" s="1"/>
  <c r="DI233" i="1"/>
  <c r="DJ233" i="1" s="1"/>
  <c r="DK233" i="1" s="1"/>
  <c r="DD233" i="1"/>
  <c r="DE233" i="1" s="1"/>
  <c r="DF233" i="1" s="1"/>
  <c r="CY233" i="1"/>
  <c r="CZ233" i="1" s="1"/>
  <c r="DA233" i="1" s="1"/>
  <c r="CT233" i="1"/>
  <c r="CU233" i="1" s="1"/>
  <c r="CV233" i="1" s="1"/>
  <c r="CO233" i="1"/>
  <c r="CP233" i="1" s="1"/>
  <c r="CQ233" i="1" s="1"/>
  <c r="CJ233" i="1"/>
  <c r="CK233" i="1" s="1"/>
  <c r="CL233" i="1" s="1"/>
  <c r="CE233" i="1"/>
  <c r="CF233" i="1" s="1"/>
  <c r="CG233" i="1" s="1"/>
  <c r="BZ233" i="1"/>
  <c r="CA233" i="1" s="1"/>
  <c r="CB233" i="1" s="1"/>
  <c r="BU233" i="1"/>
  <c r="BV233" i="1" s="1"/>
  <c r="BW233" i="1" s="1"/>
  <c r="BP233" i="1"/>
  <c r="BQ233" i="1" s="1"/>
  <c r="BR233" i="1" s="1"/>
  <c r="BK233" i="1"/>
  <c r="BL233" i="1" s="1"/>
  <c r="BM233" i="1" s="1"/>
  <c r="BF233" i="1"/>
  <c r="BG233" i="1" s="1"/>
  <c r="BH233" i="1" s="1"/>
  <c r="BA233" i="1"/>
  <c r="BB233" i="1" s="1"/>
  <c r="BC233" i="1" s="1"/>
  <c r="AV233" i="1"/>
  <c r="AW233" i="1" s="1"/>
  <c r="AX233" i="1" s="1"/>
  <c r="AQ233" i="1"/>
  <c r="AR233" i="1" s="1"/>
  <c r="AS233" i="1" s="1"/>
  <c r="AL233" i="1"/>
  <c r="AM233" i="1" s="1"/>
  <c r="AN233" i="1" s="1"/>
  <c r="AG233" i="1"/>
  <c r="AH233" i="1" s="1"/>
  <c r="AI233" i="1" s="1"/>
  <c r="AD233" i="1"/>
  <c r="Y233" i="1"/>
  <c r="T233" i="1"/>
  <c r="O233" i="1"/>
  <c r="J233" i="1"/>
  <c r="PX232" i="1"/>
  <c r="PS232" i="1"/>
  <c r="PN232" i="1"/>
  <c r="PI232" i="1"/>
  <c r="PD232" i="1"/>
  <c r="OY232" i="1"/>
  <c r="OT232" i="1"/>
  <c r="OO232" i="1"/>
  <c r="OJ232" i="1"/>
  <c r="OE232" i="1"/>
  <c r="NZ232" i="1"/>
  <c r="NU232" i="1"/>
  <c r="NP232" i="1"/>
  <c r="NK232" i="1"/>
  <c r="NF232" i="1"/>
  <c r="NA232" i="1"/>
  <c r="MV232" i="1"/>
  <c r="MQ232" i="1"/>
  <c r="ML232" i="1"/>
  <c r="MG232" i="1"/>
  <c r="MB232" i="1"/>
  <c r="LW232" i="1"/>
  <c r="LR232" i="1"/>
  <c r="LM232" i="1"/>
  <c r="LH232" i="1"/>
  <c r="LC232" i="1"/>
  <c r="KX232" i="1"/>
  <c r="KS232" i="1"/>
  <c r="KN232" i="1"/>
  <c r="KI232" i="1"/>
  <c r="KD232" i="1"/>
  <c r="JY232" i="1"/>
  <c r="JT232" i="1"/>
  <c r="JO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J232" i="1"/>
  <c r="EE232" i="1"/>
  <c r="DZ232" i="1"/>
  <c r="DU232" i="1"/>
  <c r="DP232" i="1"/>
  <c r="DK232" i="1"/>
  <c r="DF232" i="1"/>
  <c r="DA232" i="1"/>
  <c r="CV232" i="1"/>
  <c r="CQ232" i="1"/>
  <c r="CL232" i="1"/>
  <c r="CG232" i="1"/>
  <c r="CB232" i="1"/>
  <c r="BW232" i="1"/>
  <c r="BR232" i="1"/>
  <c r="BM232" i="1"/>
  <c r="BH232" i="1"/>
  <c r="BC232" i="1"/>
  <c r="AX232" i="1"/>
  <c r="AS232" i="1"/>
  <c r="AN232" i="1"/>
  <c r="AI232" i="1"/>
  <c r="AD232" i="1"/>
  <c r="Y232" i="1"/>
  <c r="T232" i="1"/>
  <c r="O232" i="1"/>
  <c r="J232" i="1"/>
  <c r="PX231" i="1"/>
  <c r="PQ231" i="1"/>
  <c r="PR231" i="1" s="1"/>
  <c r="PS231" i="1" s="1"/>
  <c r="PL231" i="1"/>
  <c r="PM231" i="1" s="1"/>
  <c r="PN231" i="1" s="1"/>
  <c r="PG231" i="1"/>
  <c r="PH231" i="1" s="1"/>
  <c r="PI231" i="1" s="1"/>
  <c r="PB231" i="1"/>
  <c r="PC231" i="1" s="1"/>
  <c r="PD231" i="1" s="1"/>
  <c r="OW231" i="1"/>
  <c r="OX231" i="1" s="1"/>
  <c r="OY231" i="1" s="1"/>
  <c r="OT231" i="1"/>
  <c r="OO231" i="1"/>
  <c r="OJ231" i="1"/>
  <c r="OE231" i="1"/>
  <c r="NZ231" i="1"/>
  <c r="NU231" i="1"/>
  <c r="NN231" i="1"/>
  <c r="NO231" i="1" s="1"/>
  <c r="NP231" i="1" s="1"/>
  <c r="NI231" i="1"/>
  <c r="NJ231" i="1" s="1"/>
  <c r="NK231" i="1" s="1"/>
  <c r="ND231" i="1"/>
  <c r="NE231" i="1" s="1"/>
  <c r="NF231" i="1" s="1"/>
  <c r="MY231" i="1"/>
  <c r="MZ231" i="1" s="1"/>
  <c r="NA231" i="1" s="1"/>
  <c r="MV231" i="1"/>
  <c r="MQ231" i="1"/>
  <c r="ML231" i="1"/>
  <c r="MG231" i="1"/>
  <c r="MB231" i="1"/>
  <c r="LW231" i="1"/>
  <c r="LR231" i="1"/>
  <c r="LM231" i="1"/>
  <c r="LH231" i="1"/>
  <c r="LA231" i="1"/>
  <c r="LB231" i="1" s="1"/>
  <c r="LC231" i="1" s="1"/>
  <c r="KX231" i="1"/>
  <c r="KQ231" i="1"/>
  <c r="KR231" i="1" s="1"/>
  <c r="KS231" i="1" s="1"/>
  <c r="KL231" i="1"/>
  <c r="KM231" i="1" s="1"/>
  <c r="KN231" i="1" s="1"/>
  <c r="KI231" i="1"/>
  <c r="KB231" i="1"/>
  <c r="KC231" i="1" s="1"/>
  <c r="KD231" i="1" s="1"/>
  <c r="JY231" i="1"/>
  <c r="JT231" i="1"/>
  <c r="JO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R231" i="1"/>
  <c r="GK231" i="1"/>
  <c r="GL231" i="1" s="1"/>
  <c r="GM231" i="1" s="1"/>
  <c r="GF231" i="1"/>
  <c r="GG231" i="1" s="1"/>
  <c r="GH231" i="1" s="1"/>
  <c r="GC231" i="1"/>
  <c r="GA231" i="1"/>
  <c r="FX231" i="1"/>
  <c r="FV231" i="1"/>
  <c r="FQ231" i="1"/>
  <c r="FR231" i="1" s="1"/>
  <c r="FS231" i="1" s="1"/>
  <c r="FN231" i="1"/>
  <c r="FL231" i="1"/>
  <c r="FG231" i="1"/>
  <c r="FH231" i="1" s="1"/>
  <c r="FI231" i="1" s="1"/>
  <c r="FD231" i="1"/>
  <c r="FB231" i="1"/>
  <c r="EY231" i="1"/>
  <c r="EW231" i="1"/>
  <c r="ER231" i="1"/>
  <c r="ES231" i="1" s="1"/>
  <c r="ET231" i="1" s="1"/>
  <c r="EM231" i="1"/>
  <c r="EN231" i="1" s="1"/>
  <c r="EO231" i="1" s="1"/>
  <c r="EH231" i="1"/>
  <c r="EI231" i="1" s="1"/>
  <c r="EJ231" i="1" s="1"/>
  <c r="EC231" i="1"/>
  <c r="ED231" i="1" s="1"/>
  <c r="EE231" i="1" s="1"/>
  <c r="DX231" i="1"/>
  <c r="DY231" i="1" s="1"/>
  <c r="DZ231" i="1" s="1"/>
  <c r="DS231" i="1"/>
  <c r="DT231" i="1" s="1"/>
  <c r="DU231" i="1" s="1"/>
  <c r="DN231" i="1"/>
  <c r="DO231" i="1" s="1"/>
  <c r="DP231" i="1" s="1"/>
  <c r="DI231" i="1"/>
  <c r="DJ231" i="1" s="1"/>
  <c r="DK231" i="1" s="1"/>
  <c r="DD231" i="1"/>
  <c r="DE231" i="1" s="1"/>
  <c r="DF231" i="1" s="1"/>
  <c r="CY231" i="1"/>
  <c r="CZ231" i="1" s="1"/>
  <c r="DA231" i="1" s="1"/>
  <c r="CT231" i="1"/>
  <c r="CU231" i="1" s="1"/>
  <c r="CV231" i="1" s="1"/>
  <c r="CO231" i="1"/>
  <c r="CP231" i="1" s="1"/>
  <c r="CQ231" i="1" s="1"/>
  <c r="CJ231" i="1"/>
  <c r="CK231" i="1" s="1"/>
  <c r="CL231" i="1" s="1"/>
  <c r="CE231" i="1"/>
  <c r="CF231" i="1" s="1"/>
  <c r="CG231" i="1" s="1"/>
  <c r="BZ231" i="1"/>
  <c r="CA231" i="1" s="1"/>
  <c r="CB231" i="1" s="1"/>
  <c r="BU231" i="1"/>
  <c r="BV231" i="1" s="1"/>
  <c r="BW231" i="1" s="1"/>
  <c r="BP231" i="1"/>
  <c r="BQ231" i="1" s="1"/>
  <c r="BR231" i="1" s="1"/>
  <c r="BK231" i="1"/>
  <c r="BL231" i="1" s="1"/>
  <c r="BM231" i="1" s="1"/>
  <c r="BF231" i="1"/>
  <c r="BG231" i="1" s="1"/>
  <c r="BH231" i="1" s="1"/>
  <c r="BA231" i="1"/>
  <c r="BB231" i="1" s="1"/>
  <c r="BC231" i="1" s="1"/>
  <c r="AV231" i="1"/>
  <c r="AW231" i="1" s="1"/>
  <c r="AX231" i="1" s="1"/>
  <c r="AQ231" i="1"/>
  <c r="AR231" i="1" s="1"/>
  <c r="AS231" i="1" s="1"/>
  <c r="AL231" i="1"/>
  <c r="AM231" i="1" s="1"/>
  <c r="AN231" i="1" s="1"/>
  <c r="AG231" i="1"/>
  <c r="AH231" i="1" s="1"/>
  <c r="AI231" i="1" s="1"/>
  <c r="AD231" i="1"/>
  <c r="W231" i="1"/>
  <c r="X231" i="1" s="1"/>
  <c r="Y231" i="1" s="1"/>
  <c r="T231" i="1"/>
  <c r="O231" i="1"/>
  <c r="J231" i="1"/>
  <c r="PV230" i="1"/>
  <c r="PW230" i="1" s="1"/>
  <c r="PX230" i="1" s="1"/>
  <c r="PS230" i="1"/>
  <c r="PN230" i="1"/>
  <c r="PI230" i="1"/>
  <c r="PD230" i="1"/>
  <c r="OY230" i="1"/>
  <c r="OT230" i="1"/>
  <c r="OO230" i="1"/>
  <c r="OJ230" i="1"/>
  <c r="OE230" i="1"/>
  <c r="NZ230" i="1"/>
  <c r="NU230" i="1"/>
  <c r="NP230" i="1"/>
  <c r="NK230" i="1"/>
  <c r="NF230" i="1"/>
  <c r="NA230" i="1"/>
  <c r="MV230" i="1"/>
  <c r="MQ230" i="1"/>
  <c r="ML230" i="1"/>
  <c r="MG230" i="1"/>
  <c r="MB230" i="1"/>
  <c r="LW230" i="1"/>
  <c r="LR230" i="1"/>
  <c r="LM230" i="1"/>
  <c r="LH230" i="1"/>
  <c r="LC230" i="1"/>
  <c r="KX230" i="1"/>
  <c r="KS230" i="1"/>
  <c r="KN230" i="1"/>
  <c r="KI230" i="1"/>
  <c r="KD230" i="1"/>
  <c r="JY230" i="1"/>
  <c r="JT230" i="1"/>
  <c r="JO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J230" i="1"/>
  <c r="EE230" i="1"/>
  <c r="DZ230" i="1"/>
  <c r="DU230" i="1"/>
  <c r="DP230" i="1"/>
  <c r="DK230" i="1"/>
  <c r="DF230" i="1"/>
  <c r="DA230" i="1"/>
  <c r="CV230" i="1"/>
  <c r="CQ230" i="1"/>
  <c r="CL230" i="1"/>
  <c r="CG230" i="1"/>
  <c r="CB230" i="1"/>
  <c r="BW230" i="1"/>
  <c r="BR230" i="1"/>
  <c r="BM230" i="1"/>
  <c r="BH230" i="1"/>
  <c r="BC230" i="1"/>
  <c r="AX230" i="1"/>
  <c r="AS230" i="1"/>
  <c r="AN230" i="1"/>
  <c r="AI230" i="1"/>
  <c r="AD230" i="1"/>
  <c r="Y230" i="1"/>
  <c r="T230" i="1"/>
  <c r="O230" i="1"/>
  <c r="J230" i="1"/>
  <c r="PX229" i="1"/>
  <c r="PS229" i="1"/>
  <c r="PN229" i="1"/>
  <c r="PI229" i="1"/>
  <c r="PD229" i="1"/>
  <c r="OY229" i="1"/>
  <c r="OT229" i="1"/>
  <c r="OO229" i="1"/>
  <c r="OJ229" i="1"/>
  <c r="OE229" i="1"/>
  <c r="NZ229" i="1"/>
  <c r="NU229" i="1"/>
  <c r="NP229" i="1"/>
  <c r="NK229" i="1"/>
  <c r="NF229" i="1"/>
  <c r="NA229" i="1"/>
  <c r="MV229" i="1"/>
  <c r="MQ229" i="1"/>
  <c r="ML229" i="1"/>
  <c r="MG229" i="1"/>
  <c r="MB229" i="1"/>
  <c r="LW229" i="1"/>
  <c r="LR229" i="1"/>
  <c r="LM229" i="1"/>
  <c r="LH229" i="1"/>
  <c r="LC229" i="1"/>
  <c r="KX229" i="1"/>
  <c r="KS229" i="1"/>
  <c r="KN229" i="1"/>
  <c r="KI229" i="1"/>
  <c r="KD229" i="1"/>
  <c r="JY229" i="1"/>
  <c r="JT229" i="1"/>
  <c r="JO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J229" i="1"/>
  <c r="EE229" i="1"/>
  <c r="DZ229" i="1"/>
  <c r="DU229" i="1"/>
  <c r="DP229" i="1"/>
  <c r="DK229" i="1"/>
  <c r="DF229" i="1"/>
  <c r="DA229" i="1"/>
  <c r="CV229" i="1"/>
  <c r="CQ229" i="1"/>
  <c r="CL229" i="1"/>
  <c r="CG229" i="1"/>
  <c r="CB229" i="1"/>
  <c r="BW229" i="1"/>
  <c r="BR229" i="1"/>
  <c r="BM229" i="1"/>
  <c r="BH229" i="1"/>
  <c r="BC229" i="1"/>
  <c r="AX229" i="1"/>
  <c r="AS229" i="1"/>
  <c r="AN229" i="1"/>
  <c r="AI229" i="1"/>
  <c r="AD229" i="1"/>
  <c r="Y229" i="1"/>
  <c r="T229" i="1"/>
  <c r="O229" i="1"/>
  <c r="J229" i="1"/>
  <c r="PX228" i="1"/>
  <c r="PS228" i="1"/>
  <c r="PN228" i="1"/>
  <c r="PI228" i="1"/>
  <c r="PD228" i="1"/>
  <c r="OY228" i="1"/>
  <c r="OT228" i="1"/>
  <c r="OO228" i="1"/>
  <c r="OJ228" i="1"/>
  <c r="OE228" i="1"/>
  <c r="NZ228" i="1"/>
  <c r="NU228" i="1"/>
  <c r="NP228" i="1"/>
  <c r="NK228" i="1"/>
  <c r="NF228" i="1"/>
  <c r="NA228" i="1"/>
  <c r="MV228" i="1"/>
  <c r="MQ228" i="1"/>
  <c r="ML228" i="1"/>
  <c r="MG228" i="1"/>
  <c r="MB228" i="1"/>
  <c r="LW228" i="1"/>
  <c r="LR228" i="1"/>
  <c r="LM228" i="1"/>
  <c r="LH228" i="1"/>
  <c r="LC228" i="1"/>
  <c r="KX228" i="1"/>
  <c r="KS228" i="1"/>
  <c r="KN228" i="1"/>
  <c r="KI228" i="1"/>
  <c r="KD228" i="1"/>
  <c r="JY228" i="1"/>
  <c r="JT228" i="1"/>
  <c r="JO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J228" i="1"/>
  <c r="EE228" i="1"/>
  <c r="DZ228" i="1"/>
  <c r="DU228" i="1"/>
  <c r="DP228" i="1"/>
  <c r="DK228" i="1"/>
  <c r="DF228" i="1"/>
  <c r="DA228" i="1"/>
  <c r="CV228" i="1"/>
  <c r="CQ228" i="1"/>
  <c r="CL228" i="1"/>
  <c r="CG228" i="1"/>
  <c r="CB228" i="1"/>
  <c r="BW228" i="1"/>
  <c r="BR228" i="1"/>
  <c r="BM228" i="1"/>
  <c r="BH228" i="1"/>
  <c r="BC228" i="1"/>
  <c r="AX228" i="1"/>
  <c r="AS228" i="1"/>
  <c r="AN228" i="1"/>
  <c r="AI228" i="1"/>
  <c r="AD228" i="1"/>
  <c r="Y228" i="1"/>
  <c r="T228" i="1"/>
  <c r="O228" i="1"/>
  <c r="J228" i="1"/>
  <c r="PX227" i="1"/>
  <c r="PS227" i="1"/>
  <c r="PN227" i="1"/>
  <c r="PI227" i="1"/>
  <c r="PD227" i="1"/>
  <c r="OY227" i="1"/>
  <c r="OT227" i="1"/>
  <c r="OO227" i="1"/>
  <c r="OJ227" i="1"/>
  <c r="OE227" i="1"/>
  <c r="NZ227" i="1"/>
  <c r="NU227" i="1"/>
  <c r="NP227" i="1"/>
  <c r="NK227" i="1"/>
  <c r="NF227" i="1"/>
  <c r="NA227" i="1"/>
  <c r="MV227" i="1"/>
  <c r="MQ227" i="1"/>
  <c r="ML227" i="1"/>
  <c r="MG227" i="1"/>
  <c r="MB227" i="1"/>
  <c r="LW227" i="1"/>
  <c r="LR227" i="1"/>
  <c r="LM227" i="1"/>
  <c r="LH227" i="1"/>
  <c r="LC227" i="1"/>
  <c r="KX227" i="1"/>
  <c r="KS227" i="1"/>
  <c r="KN227" i="1"/>
  <c r="KI227" i="1"/>
  <c r="KD227" i="1"/>
  <c r="JY227" i="1"/>
  <c r="JT227" i="1"/>
  <c r="JO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J227" i="1"/>
  <c r="EE227" i="1"/>
  <c r="DZ227" i="1"/>
  <c r="DU227" i="1"/>
  <c r="DP227" i="1"/>
  <c r="DK227" i="1"/>
  <c r="DF227" i="1"/>
  <c r="DA227" i="1"/>
  <c r="CV227" i="1"/>
  <c r="CQ227" i="1"/>
  <c r="CL227" i="1"/>
  <c r="CG227" i="1"/>
  <c r="CB227" i="1"/>
  <c r="BW227" i="1"/>
  <c r="BR227" i="1"/>
  <c r="BM227" i="1"/>
  <c r="BH227" i="1"/>
  <c r="BC227" i="1"/>
  <c r="AX227" i="1"/>
  <c r="AS227" i="1"/>
  <c r="AN227" i="1"/>
  <c r="AI227" i="1"/>
  <c r="AD227" i="1"/>
  <c r="Y227" i="1"/>
  <c r="T227" i="1"/>
  <c r="O227" i="1"/>
  <c r="J227" i="1"/>
  <c r="PX226" i="1"/>
  <c r="PS226" i="1"/>
  <c r="PN226" i="1"/>
  <c r="PI226" i="1"/>
  <c r="PD226" i="1"/>
  <c r="OW226" i="1"/>
  <c r="OX226" i="1" s="1"/>
  <c r="OY226" i="1" s="1"/>
  <c r="OT226" i="1"/>
  <c r="OO226" i="1"/>
  <c r="OJ226" i="1"/>
  <c r="OE226" i="1"/>
  <c r="NZ226" i="1"/>
  <c r="NU226" i="1"/>
  <c r="NP226" i="1"/>
  <c r="NK226" i="1"/>
  <c r="NF226" i="1"/>
  <c r="NA226" i="1"/>
  <c r="MV226" i="1"/>
  <c r="MQ226" i="1"/>
  <c r="ML226" i="1"/>
  <c r="MG226" i="1"/>
  <c r="MB226" i="1"/>
  <c r="LW226" i="1"/>
  <c r="LR226" i="1"/>
  <c r="LM226" i="1"/>
  <c r="LH226" i="1"/>
  <c r="LC226" i="1"/>
  <c r="KX226" i="1"/>
  <c r="KS226" i="1"/>
  <c r="KN226" i="1"/>
  <c r="KI226" i="1"/>
  <c r="KD226" i="1"/>
  <c r="JY226" i="1"/>
  <c r="JT226" i="1"/>
  <c r="JO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J226" i="1"/>
  <c r="EE226" i="1"/>
  <c r="DZ226" i="1"/>
  <c r="DU226" i="1"/>
  <c r="DP226" i="1"/>
  <c r="DK226" i="1"/>
  <c r="DF226" i="1"/>
  <c r="DA226" i="1"/>
  <c r="CV226" i="1"/>
  <c r="CQ226" i="1"/>
  <c r="CL226" i="1"/>
  <c r="CG226" i="1"/>
  <c r="CB226" i="1"/>
  <c r="BW226" i="1"/>
  <c r="BR226" i="1"/>
  <c r="BM226" i="1"/>
  <c r="BH226" i="1"/>
  <c r="BC226" i="1"/>
  <c r="AX226" i="1"/>
  <c r="AS226" i="1"/>
  <c r="AN226" i="1"/>
  <c r="AI226" i="1"/>
  <c r="AD226" i="1"/>
  <c r="Y226" i="1"/>
  <c r="T226" i="1"/>
  <c r="O226" i="1"/>
  <c r="J226" i="1"/>
  <c r="PV225" i="1"/>
  <c r="PW225" i="1" s="1"/>
  <c r="PX225" i="1" s="1"/>
  <c r="PS225" i="1"/>
  <c r="PN225" i="1"/>
  <c r="PI225" i="1"/>
  <c r="PD225" i="1"/>
  <c r="OY225" i="1"/>
  <c r="OT225" i="1"/>
  <c r="OO225" i="1"/>
  <c r="OJ225" i="1"/>
  <c r="OE225" i="1"/>
  <c r="NZ225" i="1"/>
  <c r="NU225" i="1"/>
  <c r="NP225" i="1"/>
  <c r="NK225" i="1"/>
  <c r="NF225" i="1"/>
  <c r="NA225" i="1"/>
  <c r="MV225" i="1"/>
  <c r="MQ225" i="1"/>
  <c r="ML225" i="1"/>
  <c r="MG225" i="1"/>
  <c r="MB225" i="1"/>
  <c r="LW225" i="1"/>
  <c r="LR225" i="1"/>
  <c r="LM225" i="1"/>
  <c r="LH225" i="1"/>
  <c r="LC225" i="1"/>
  <c r="KX225" i="1"/>
  <c r="KS225" i="1"/>
  <c r="KN225" i="1"/>
  <c r="KI225" i="1"/>
  <c r="KD225" i="1"/>
  <c r="JY225" i="1"/>
  <c r="JT225" i="1"/>
  <c r="JO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J225" i="1"/>
  <c r="EE225" i="1"/>
  <c r="DZ225" i="1"/>
  <c r="DU225" i="1"/>
  <c r="DP225" i="1"/>
  <c r="DK225" i="1"/>
  <c r="DF225" i="1"/>
  <c r="DA225" i="1"/>
  <c r="CV225" i="1"/>
  <c r="CQ225" i="1"/>
  <c r="CL225" i="1"/>
  <c r="CG225" i="1"/>
  <c r="CB225" i="1"/>
  <c r="BW225" i="1"/>
  <c r="BR225" i="1"/>
  <c r="BM225" i="1"/>
  <c r="BH225" i="1"/>
  <c r="BC225" i="1"/>
  <c r="AX225" i="1"/>
  <c r="AS225" i="1"/>
  <c r="AN225" i="1"/>
  <c r="AI225" i="1"/>
  <c r="AD225" i="1"/>
  <c r="Y225" i="1"/>
  <c r="T225" i="1"/>
  <c r="O225" i="1"/>
  <c r="J225" i="1"/>
  <c r="PX224" i="1"/>
  <c r="PS224" i="1"/>
  <c r="PN224" i="1"/>
  <c r="PI224" i="1"/>
  <c r="PD224" i="1"/>
  <c r="OY224" i="1"/>
  <c r="OT224" i="1"/>
  <c r="OO224" i="1"/>
  <c r="OJ224" i="1"/>
  <c r="OE224" i="1"/>
  <c r="NZ224" i="1"/>
  <c r="NU224" i="1"/>
  <c r="NP224" i="1"/>
  <c r="NK224" i="1"/>
  <c r="NF224" i="1"/>
  <c r="NA224" i="1"/>
  <c r="MV224" i="1"/>
  <c r="MQ224" i="1"/>
  <c r="ML224" i="1"/>
  <c r="MG224" i="1"/>
  <c r="MB224" i="1"/>
  <c r="LW224" i="1"/>
  <c r="LR224" i="1"/>
  <c r="LM224" i="1"/>
  <c r="LH224" i="1"/>
  <c r="LC224" i="1"/>
  <c r="KX224" i="1"/>
  <c r="KS224" i="1"/>
  <c r="KN224" i="1"/>
  <c r="KI224" i="1"/>
  <c r="KD224" i="1"/>
  <c r="JY224" i="1"/>
  <c r="JT224" i="1"/>
  <c r="JO224" i="1"/>
  <c r="JJ224" i="1"/>
  <c r="JE224" i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J224" i="1"/>
  <c r="EE224" i="1"/>
  <c r="DZ224" i="1"/>
  <c r="DU224" i="1"/>
  <c r="DP224" i="1"/>
  <c r="DK224" i="1"/>
  <c r="DF224" i="1"/>
  <c r="DA224" i="1"/>
  <c r="CV224" i="1"/>
  <c r="CQ224" i="1"/>
  <c r="CL224" i="1"/>
  <c r="CG224" i="1"/>
  <c r="CB224" i="1"/>
  <c r="BW224" i="1"/>
  <c r="BR224" i="1"/>
  <c r="BM224" i="1"/>
  <c r="BH224" i="1"/>
  <c r="BC224" i="1"/>
  <c r="AX224" i="1"/>
  <c r="AS224" i="1"/>
  <c r="AN224" i="1"/>
  <c r="AI224" i="1"/>
  <c r="AD224" i="1"/>
  <c r="Y224" i="1"/>
  <c r="T224" i="1"/>
  <c r="O224" i="1"/>
  <c r="J224" i="1"/>
  <c r="PV223" i="1"/>
  <c r="PW223" i="1" s="1"/>
  <c r="PX223" i="1" s="1"/>
  <c r="PS223" i="1"/>
  <c r="PN223" i="1"/>
  <c r="PI223" i="1"/>
  <c r="PD223" i="1"/>
  <c r="OW223" i="1"/>
  <c r="OX223" i="1" s="1"/>
  <c r="OY223" i="1" s="1"/>
  <c r="OT223" i="1"/>
  <c r="OO223" i="1"/>
  <c r="OJ223" i="1"/>
  <c r="OE223" i="1"/>
  <c r="NZ223" i="1"/>
  <c r="NU223" i="1"/>
  <c r="NP223" i="1"/>
  <c r="NK223" i="1"/>
  <c r="NF223" i="1"/>
  <c r="NA223" i="1"/>
  <c r="MV223" i="1"/>
  <c r="MQ223" i="1"/>
  <c r="ML223" i="1"/>
  <c r="MG223" i="1"/>
  <c r="MB223" i="1"/>
  <c r="LW223" i="1"/>
  <c r="LR223" i="1"/>
  <c r="LM223" i="1"/>
  <c r="LH223" i="1"/>
  <c r="LC223" i="1"/>
  <c r="KX223" i="1"/>
  <c r="KS223" i="1"/>
  <c r="KN223" i="1"/>
  <c r="KI223" i="1"/>
  <c r="KD223" i="1"/>
  <c r="JY223" i="1"/>
  <c r="JT223" i="1"/>
  <c r="JO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J223" i="1"/>
  <c r="EE223" i="1"/>
  <c r="DZ223" i="1"/>
  <c r="DU223" i="1"/>
  <c r="DP223" i="1"/>
  <c r="DK223" i="1"/>
  <c r="DF223" i="1"/>
  <c r="DA223" i="1"/>
  <c r="CV223" i="1"/>
  <c r="CQ223" i="1"/>
  <c r="CL223" i="1"/>
  <c r="CG223" i="1"/>
  <c r="CB223" i="1"/>
  <c r="BW223" i="1"/>
  <c r="BR223" i="1"/>
  <c r="BM223" i="1"/>
  <c r="BH223" i="1"/>
  <c r="BC223" i="1"/>
  <c r="AX223" i="1"/>
  <c r="AS223" i="1"/>
  <c r="AN223" i="1"/>
  <c r="AI223" i="1"/>
  <c r="AD223" i="1"/>
  <c r="Y223" i="1"/>
  <c r="T223" i="1"/>
  <c r="O223" i="1"/>
  <c r="J223" i="1"/>
  <c r="PX222" i="1"/>
  <c r="PS222" i="1"/>
  <c r="PN222" i="1"/>
  <c r="PI222" i="1"/>
  <c r="PD222" i="1"/>
  <c r="OY222" i="1"/>
  <c r="OT222" i="1"/>
  <c r="OO222" i="1"/>
  <c r="OJ222" i="1"/>
  <c r="OE222" i="1"/>
  <c r="NZ222" i="1"/>
  <c r="NU222" i="1"/>
  <c r="NP222" i="1"/>
  <c r="NK222" i="1"/>
  <c r="NF222" i="1"/>
  <c r="NA222" i="1"/>
  <c r="MV222" i="1"/>
  <c r="MQ222" i="1"/>
  <c r="ML222" i="1"/>
  <c r="MG222" i="1"/>
  <c r="MB222" i="1"/>
  <c r="LW222" i="1"/>
  <c r="LR222" i="1"/>
  <c r="LM222" i="1"/>
  <c r="LH222" i="1"/>
  <c r="LC222" i="1"/>
  <c r="KX222" i="1"/>
  <c r="KS222" i="1"/>
  <c r="KN222" i="1"/>
  <c r="KI222" i="1"/>
  <c r="KD222" i="1"/>
  <c r="JY222" i="1"/>
  <c r="JT222" i="1"/>
  <c r="JO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J222" i="1"/>
  <c r="EE222" i="1"/>
  <c r="DZ222" i="1"/>
  <c r="DU222" i="1"/>
  <c r="DP222" i="1"/>
  <c r="DK222" i="1"/>
  <c r="DF222" i="1"/>
  <c r="DA222" i="1"/>
  <c r="CV222" i="1"/>
  <c r="CQ222" i="1"/>
  <c r="CL222" i="1"/>
  <c r="CG222" i="1"/>
  <c r="CB222" i="1"/>
  <c r="BW222" i="1"/>
  <c r="BR222" i="1"/>
  <c r="BM222" i="1"/>
  <c r="BH222" i="1"/>
  <c r="BC222" i="1"/>
  <c r="AX222" i="1"/>
  <c r="AS222" i="1"/>
  <c r="AN222" i="1"/>
  <c r="AI222" i="1"/>
  <c r="AD222" i="1"/>
  <c r="Y222" i="1"/>
  <c r="T222" i="1"/>
  <c r="O222" i="1"/>
  <c r="J222" i="1"/>
  <c r="PX221" i="1"/>
  <c r="PQ221" i="1"/>
  <c r="PR221" i="1" s="1"/>
  <c r="PS221" i="1" s="1"/>
  <c r="PL221" i="1"/>
  <c r="PM221" i="1" s="1"/>
  <c r="PN221" i="1" s="1"/>
  <c r="PG221" i="1"/>
  <c r="PH221" i="1" s="1"/>
  <c r="PI221" i="1" s="1"/>
  <c r="PB221" i="1"/>
  <c r="PC221" i="1" s="1"/>
  <c r="PD221" i="1" s="1"/>
  <c r="OW221" i="1"/>
  <c r="OX221" i="1" s="1"/>
  <c r="OY221" i="1" s="1"/>
  <c r="OT221" i="1"/>
  <c r="OO221" i="1"/>
  <c r="OJ221" i="1"/>
  <c r="OE221" i="1"/>
  <c r="NZ221" i="1"/>
  <c r="NU221" i="1"/>
  <c r="NP221" i="1"/>
  <c r="NK221" i="1"/>
  <c r="NF221" i="1"/>
  <c r="NA221" i="1"/>
  <c r="MV221" i="1"/>
  <c r="MQ221" i="1"/>
  <c r="ML221" i="1"/>
  <c r="MG221" i="1"/>
  <c r="MB221" i="1"/>
  <c r="LW221" i="1"/>
  <c r="LR221" i="1"/>
  <c r="LM221" i="1"/>
  <c r="LH221" i="1"/>
  <c r="LC221" i="1"/>
  <c r="KX221" i="1"/>
  <c r="KS221" i="1"/>
  <c r="KN221" i="1"/>
  <c r="KI221" i="1"/>
  <c r="KD221" i="1"/>
  <c r="JY221" i="1"/>
  <c r="JT221" i="1"/>
  <c r="JO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R221" i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H221" i="1"/>
  <c r="EI221" i="1" s="1"/>
  <c r="EJ221" i="1" s="1"/>
  <c r="EC221" i="1"/>
  <c r="ED221" i="1" s="1"/>
  <c r="EE221" i="1" s="1"/>
  <c r="DX221" i="1"/>
  <c r="DY221" i="1" s="1"/>
  <c r="DZ221" i="1" s="1"/>
  <c r="DS221" i="1"/>
  <c r="DT221" i="1" s="1"/>
  <c r="DU221" i="1" s="1"/>
  <c r="DN221" i="1"/>
  <c r="DO221" i="1" s="1"/>
  <c r="DP221" i="1" s="1"/>
  <c r="DI221" i="1"/>
  <c r="DJ221" i="1" s="1"/>
  <c r="DK221" i="1" s="1"/>
  <c r="DD221" i="1"/>
  <c r="DE221" i="1" s="1"/>
  <c r="DF221" i="1" s="1"/>
  <c r="CY221" i="1"/>
  <c r="CZ221" i="1" s="1"/>
  <c r="DA221" i="1" s="1"/>
  <c r="CT221" i="1"/>
  <c r="CU221" i="1" s="1"/>
  <c r="CV221" i="1" s="1"/>
  <c r="CO221" i="1"/>
  <c r="CP221" i="1" s="1"/>
  <c r="CQ221" i="1" s="1"/>
  <c r="CJ221" i="1"/>
  <c r="CK221" i="1" s="1"/>
  <c r="CL221" i="1" s="1"/>
  <c r="CG221" i="1"/>
  <c r="BZ221" i="1"/>
  <c r="CA221" i="1" s="1"/>
  <c r="CB221" i="1" s="1"/>
  <c r="BU221" i="1"/>
  <c r="BV221" i="1" s="1"/>
  <c r="BW221" i="1" s="1"/>
  <c r="BP221" i="1"/>
  <c r="BQ221" i="1" s="1"/>
  <c r="BR221" i="1" s="1"/>
  <c r="BK221" i="1"/>
  <c r="BL221" i="1" s="1"/>
  <c r="BM221" i="1" s="1"/>
  <c r="BF221" i="1"/>
  <c r="BG221" i="1" s="1"/>
  <c r="BH221" i="1" s="1"/>
  <c r="BA221" i="1"/>
  <c r="BB221" i="1" s="1"/>
  <c r="BC221" i="1" s="1"/>
  <c r="AV221" i="1"/>
  <c r="AW221" i="1" s="1"/>
  <c r="AX221" i="1" s="1"/>
  <c r="AQ221" i="1"/>
  <c r="AR221" i="1" s="1"/>
  <c r="AS221" i="1" s="1"/>
  <c r="AL221" i="1"/>
  <c r="AM221" i="1" s="1"/>
  <c r="AN221" i="1" s="1"/>
  <c r="AG221" i="1"/>
  <c r="AH221" i="1" s="1"/>
  <c r="AI221" i="1" s="1"/>
  <c r="AD221" i="1"/>
  <c r="W221" i="1"/>
  <c r="X221" i="1" s="1"/>
  <c r="Y221" i="1" s="1"/>
  <c r="T221" i="1"/>
  <c r="O221" i="1"/>
  <c r="J221" i="1"/>
  <c r="PX220" i="1"/>
  <c r="PS220" i="1"/>
  <c r="PN220" i="1"/>
  <c r="PI220" i="1"/>
  <c r="PD220" i="1"/>
  <c r="OW220" i="1"/>
  <c r="OX220" i="1" s="1"/>
  <c r="OY220" i="1" s="1"/>
  <c r="OT220" i="1"/>
  <c r="OO220" i="1"/>
  <c r="OJ220" i="1"/>
  <c r="OE220" i="1"/>
  <c r="NZ220" i="1"/>
  <c r="NU220" i="1"/>
  <c r="NP220" i="1"/>
  <c r="NK220" i="1"/>
  <c r="NF220" i="1"/>
  <c r="NA220" i="1"/>
  <c r="MV220" i="1"/>
  <c r="MQ220" i="1"/>
  <c r="ML220" i="1"/>
  <c r="MG220" i="1"/>
  <c r="MB220" i="1"/>
  <c r="LW220" i="1"/>
  <c r="LR220" i="1"/>
  <c r="LM220" i="1"/>
  <c r="LH220" i="1"/>
  <c r="LC220" i="1"/>
  <c r="KX220" i="1"/>
  <c r="KS220" i="1"/>
  <c r="KN220" i="1"/>
  <c r="KI220" i="1"/>
  <c r="KD220" i="1"/>
  <c r="JY220" i="1"/>
  <c r="JT220" i="1"/>
  <c r="JO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J220" i="1"/>
  <c r="EE220" i="1"/>
  <c r="DZ220" i="1"/>
  <c r="DU220" i="1"/>
  <c r="DP220" i="1"/>
  <c r="DK220" i="1"/>
  <c r="DF220" i="1"/>
  <c r="DA220" i="1"/>
  <c r="CV220" i="1"/>
  <c r="CQ220" i="1"/>
  <c r="CL220" i="1"/>
  <c r="CG220" i="1"/>
  <c r="CB220" i="1"/>
  <c r="BW220" i="1"/>
  <c r="BR220" i="1"/>
  <c r="BM220" i="1"/>
  <c r="BH220" i="1"/>
  <c r="BC220" i="1"/>
  <c r="AX220" i="1"/>
  <c r="AS220" i="1"/>
  <c r="AN220" i="1"/>
  <c r="AI220" i="1"/>
  <c r="AD220" i="1"/>
  <c r="Y220" i="1"/>
  <c r="T220" i="1"/>
  <c r="O220" i="1"/>
  <c r="J220" i="1"/>
  <c r="PX219" i="1"/>
  <c r="PS219" i="1"/>
  <c r="PN219" i="1"/>
  <c r="PI219" i="1"/>
  <c r="PD219" i="1"/>
  <c r="OY219" i="1"/>
  <c r="OT219" i="1"/>
  <c r="OO219" i="1"/>
  <c r="OJ219" i="1"/>
  <c r="OE219" i="1"/>
  <c r="NZ219" i="1"/>
  <c r="NU219" i="1"/>
  <c r="NP219" i="1"/>
  <c r="NK219" i="1"/>
  <c r="NF219" i="1"/>
  <c r="NA219" i="1"/>
  <c r="MV219" i="1"/>
  <c r="MQ219" i="1"/>
  <c r="ML219" i="1"/>
  <c r="MG219" i="1"/>
  <c r="MB219" i="1"/>
  <c r="LW219" i="1"/>
  <c r="LR219" i="1"/>
  <c r="LM219" i="1"/>
  <c r="LH219" i="1"/>
  <c r="LC219" i="1"/>
  <c r="KX219" i="1"/>
  <c r="KS219" i="1"/>
  <c r="KN219" i="1"/>
  <c r="KI219" i="1"/>
  <c r="KD219" i="1"/>
  <c r="JY219" i="1"/>
  <c r="JT219" i="1"/>
  <c r="JO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J219" i="1"/>
  <c r="EE219" i="1"/>
  <c r="DZ219" i="1"/>
  <c r="DU219" i="1"/>
  <c r="DP219" i="1"/>
  <c r="DK219" i="1"/>
  <c r="DF219" i="1"/>
  <c r="DA219" i="1"/>
  <c r="CV219" i="1"/>
  <c r="CQ219" i="1"/>
  <c r="CL219" i="1"/>
  <c r="CG219" i="1"/>
  <c r="CB219" i="1"/>
  <c r="BW219" i="1"/>
  <c r="BR219" i="1"/>
  <c r="BM219" i="1"/>
  <c r="BH219" i="1"/>
  <c r="BC219" i="1"/>
  <c r="AX219" i="1"/>
  <c r="AS219" i="1"/>
  <c r="AN219" i="1"/>
  <c r="AI219" i="1"/>
  <c r="AD219" i="1"/>
  <c r="Y219" i="1"/>
  <c r="T219" i="1"/>
  <c r="O219" i="1"/>
  <c r="J219" i="1"/>
  <c r="PX218" i="1"/>
  <c r="PS218" i="1"/>
  <c r="PN218" i="1"/>
  <c r="PI218" i="1"/>
  <c r="PD218" i="1"/>
  <c r="OY218" i="1"/>
  <c r="OT218" i="1"/>
  <c r="OO218" i="1"/>
  <c r="OJ218" i="1"/>
  <c r="OE218" i="1"/>
  <c r="NZ218" i="1"/>
  <c r="NU218" i="1"/>
  <c r="NP218" i="1"/>
  <c r="NK218" i="1"/>
  <c r="NF218" i="1"/>
  <c r="NA218" i="1"/>
  <c r="MV218" i="1"/>
  <c r="MQ218" i="1"/>
  <c r="ML218" i="1"/>
  <c r="MG218" i="1"/>
  <c r="MB218" i="1"/>
  <c r="LW218" i="1"/>
  <c r="LR218" i="1"/>
  <c r="LM218" i="1"/>
  <c r="LH218" i="1"/>
  <c r="LC218" i="1"/>
  <c r="KX218" i="1"/>
  <c r="KS218" i="1"/>
  <c r="KN218" i="1"/>
  <c r="KI218" i="1"/>
  <c r="KD218" i="1"/>
  <c r="JY218" i="1"/>
  <c r="JT218" i="1"/>
  <c r="JO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J218" i="1"/>
  <c r="EE218" i="1"/>
  <c r="DZ218" i="1"/>
  <c r="DU218" i="1"/>
  <c r="DP218" i="1"/>
  <c r="DK218" i="1"/>
  <c r="DF218" i="1"/>
  <c r="DA218" i="1"/>
  <c r="CV218" i="1"/>
  <c r="CQ218" i="1"/>
  <c r="CL218" i="1"/>
  <c r="CG218" i="1"/>
  <c r="CB218" i="1"/>
  <c r="BW218" i="1"/>
  <c r="BR218" i="1"/>
  <c r="BM218" i="1"/>
  <c r="BH218" i="1"/>
  <c r="BC218" i="1"/>
  <c r="AX218" i="1"/>
  <c r="AS218" i="1"/>
  <c r="AN218" i="1"/>
  <c r="AI218" i="1"/>
  <c r="AD218" i="1"/>
  <c r="Y218" i="1"/>
  <c r="T218" i="1"/>
  <c r="O218" i="1"/>
  <c r="J218" i="1"/>
  <c r="PX217" i="1"/>
  <c r="PS217" i="1"/>
  <c r="PN217" i="1"/>
  <c r="PI217" i="1"/>
  <c r="PD217" i="1"/>
  <c r="OY217" i="1"/>
  <c r="OT217" i="1"/>
  <c r="OO217" i="1"/>
  <c r="OJ217" i="1"/>
  <c r="OE217" i="1"/>
  <c r="NZ217" i="1"/>
  <c r="NU217" i="1"/>
  <c r="NP217" i="1"/>
  <c r="NK217" i="1"/>
  <c r="NF217" i="1"/>
  <c r="NA217" i="1"/>
  <c r="MV217" i="1"/>
  <c r="MQ217" i="1"/>
  <c r="ML217" i="1"/>
  <c r="MG217" i="1"/>
  <c r="MB217" i="1"/>
  <c r="LW217" i="1"/>
  <c r="LR217" i="1"/>
  <c r="LM217" i="1"/>
  <c r="LH217" i="1"/>
  <c r="LC217" i="1"/>
  <c r="KX217" i="1"/>
  <c r="KS217" i="1"/>
  <c r="KN217" i="1"/>
  <c r="KI217" i="1"/>
  <c r="KD217" i="1"/>
  <c r="JY217" i="1"/>
  <c r="JT217" i="1"/>
  <c r="JO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J217" i="1"/>
  <c r="EE217" i="1"/>
  <c r="DZ217" i="1"/>
  <c r="DU217" i="1"/>
  <c r="DP217" i="1"/>
  <c r="DK217" i="1"/>
  <c r="DF217" i="1"/>
  <c r="DA217" i="1"/>
  <c r="CV217" i="1"/>
  <c r="CQ217" i="1"/>
  <c r="CL217" i="1"/>
  <c r="CG217" i="1"/>
  <c r="CB217" i="1"/>
  <c r="BW217" i="1"/>
  <c r="BR217" i="1"/>
  <c r="BM217" i="1"/>
  <c r="BH217" i="1"/>
  <c r="BC217" i="1"/>
  <c r="AX217" i="1"/>
  <c r="AS217" i="1"/>
  <c r="AN217" i="1"/>
  <c r="AI217" i="1"/>
  <c r="AD217" i="1"/>
  <c r="Y217" i="1"/>
  <c r="T217" i="1"/>
  <c r="O217" i="1"/>
  <c r="J217" i="1"/>
  <c r="PX216" i="1"/>
  <c r="PS216" i="1"/>
  <c r="PN216" i="1"/>
  <c r="PI216" i="1"/>
  <c r="PD216" i="1"/>
  <c r="OY216" i="1"/>
  <c r="OT216" i="1"/>
  <c r="OO216" i="1"/>
  <c r="OJ216" i="1"/>
  <c r="OE216" i="1"/>
  <c r="NZ216" i="1"/>
  <c r="NU216" i="1"/>
  <c r="NP216" i="1"/>
  <c r="NK216" i="1"/>
  <c r="NF216" i="1"/>
  <c r="NA216" i="1"/>
  <c r="MV216" i="1"/>
  <c r="MQ216" i="1"/>
  <c r="ML216" i="1"/>
  <c r="MG216" i="1"/>
  <c r="MB216" i="1"/>
  <c r="LW216" i="1"/>
  <c r="LR216" i="1"/>
  <c r="LM216" i="1"/>
  <c r="LH216" i="1"/>
  <c r="LC216" i="1"/>
  <c r="KX216" i="1"/>
  <c r="KS216" i="1"/>
  <c r="KN216" i="1"/>
  <c r="KI216" i="1"/>
  <c r="KD216" i="1"/>
  <c r="JY216" i="1"/>
  <c r="JT216" i="1"/>
  <c r="JO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J216" i="1"/>
  <c r="EE216" i="1"/>
  <c r="DZ216" i="1"/>
  <c r="DU216" i="1"/>
  <c r="DP216" i="1"/>
  <c r="DK216" i="1"/>
  <c r="DF216" i="1"/>
  <c r="DA216" i="1"/>
  <c r="CV216" i="1"/>
  <c r="CQ216" i="1"/>
  <c r="CL216" i="1"/>
  <c r="CG216" i="1"/>
  <c r="CB216" i="1"/>
  <c r="BW216" i="1"/>
  <c r="BR216" i="1"/>
  <c r="BM216" i="1"/>
  <c r="BH216" i="1"/>
  <c r="BC216" i="1"/>
  <c r="AX216" i="1"/>
  <c r="AS216" i="1"/>
  <c r="AN216" i="1"/>
  <c r="AI216" i="1"/>
  <c r="AD216" i="1"/>
  <c r="Y216" i="1"/>
  <c r="T216" i="1"/>
  <c r="O216" i="1"/>
  <c r="J216" i="1"/>
  <c r="PX215" i="1"/>
  <c r="PS215" i="1"/>
  <c r="PN215" i="1"/>
  <c r="PI215" i="1"/>
  <c r="PD215" i="1"/>
  <c r="OY215" i="1"/>
  <c r="OT215" i="1"/>
  <c r="OO215" i="1"/>
  <c r="OJ215" i="1"/>
  <c r="OE215" i="1"/>
  <c r="NZ215" i="1"/>
  <c r="NU215" i="1"/>
  <c r="NP215" i="1"/>
  <c r="NK215" i="1"/>
  <c r="NF215" i="1"/>
  <c r="NA215" i="1"/>
  <c r="MV215" i="1"/>
  <c r="MQ215" i="1"/>
  <c r="ML215" i="1"/>
  <c r="MG215" i="1"/>
  <c r="MB215" i="1"/>
  <c r="LW215" i="1"/>
  <c r="LR215" i="1"/>
  <c r="LM215" i="1"/>
  <c r="LH215" i="1"/>
  <c r="LC215" i="1"/>
  <c r="KX215" i="1"/>
  <c r="KS215" i="1"/>
  <c r="KN215" i="1"/>
  <c r="KI215" i="1"/>
  <c r="KD215" i="1"/>
  <c r="JY215" i="1"/>
  <c r="JT215" i="1"/>
  <c r="JO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J215" i="1"/>
  <c r="EE215" i="1"/>
  <c r="DZ215" i="1"/>
  <c r="DU215" i="1"/>
  <c r="DP215" i="1"/>
  <c r="DK215" i="1"/>
  <c r="DF215" i="1"/>
  <c r="DA215" i="1"/>
  <c r="CV215" i="1"/>
  <c r="CQ215" i="1"/>
  <c r="CL215" i="1"/>
  <c r="CE215" i="1"/>
  <c r="CF215" i="1" s="1"/>
  <c r="CG215" i="1" s="1"/>
  <c r="CB215" i="1"/>
  <c r="BW215" i="1"/>
  <c r="BR215" i="1"/>
  <c r="BM215" i="1"/>
  <c r="BH215" i="1"/>
  <c r="BC215" i="1"/>
  <c r="AX215" i="1"/>
  <c r="AS215" i="1"/>
  <c r="AN215" i="1"/>
  <c r="AI215" i="1"/>
  <c r="AB215" i="1"/>
  <c r="AC215" i="1" s="1"/>
  <c r="AD215" i="1" s="1"/>
  <c r="W215" i="1"/>
  <c r="X215" i="1" s="1"/>
  <c r="Y215" i="1" s="1"/>
  <c r="T215" i="1"/>
  <c r="O215" i="1"/>
  <c r="J215" i="1"/>
  <c r="PX214" i="1"/>
  <c r="PS214" i="1"/>
  <c r="PN214" i="1"/>
  <c r="PI214" i="1"/>
  <c r="PD214" i="1"/>
  <c r="OY214" i="1"/>
  <c r="OT214" i="1"/>
  <c r="OO214" i="1"/>
  <c r="OJ214" i="1"/>
  <c r="OE214" i="1"/>
  <c r="NZ214" i="1"/>
  <c r="NU214" i="1"/>
  <c r="NP214" i="1"/>
  <c r="NK214" i="1"/>
  <c r="NF214" i="1"/>
  <c r="NA214" i="1"/>
  <c r="MV214" i="1"/>
  <c r="MQ214" i="1"/>
  <c r="ML214" i="1"/>
  <c r="MG214" i="1"/>
  <c r="MB214" i="1"/>
  <c r="LW214" i="1"/>
  <c r="LR214" i="1"/>
  <c r="LM214" i="1"/>
  <c r="LH214" i="1"/>
  <c r="LC214" i="1"/>
  <c r="KX214" i="1"/>
  <c r="KS214" i="1"/>
  <c r="KN214" i="1"/>
  <c r="KI214" i="1"/>
  <c r="KD214" i="1"/>
  <c r="JY214" i="1"/>
  <c r="JT214" i="1"/>
  <c r="JO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J214" i="1"/>
  <c r="EE214" i="1"/>
  <c r="DZ214" i="1"/>
  <c r="DU214" i="1"/>
  <c r="DP214" i="1"/>
  <c r="DK214" i="1"/>
  <c r="DF214" i="1"/>
  <c r="DA214" i="1"/>
  <c r="CV214" i="1"/>
  <c r="CQ214" i="1"/>
  <c r="CL214" i="1"/>
  <c r="CG214" i="1"/>
  <c r="CB214" i="1"/>
  <c r="BW214" i="1"/>
  <c r="BR214" i="1"/>
  <c r="BM214" i="1"/>
  <c r="BH214" i="1"/>
  <c r="BC214" i="1"/>
  <c r="AX214" i="1"/>
  <c r="AS214" i="1"/>
  <c r="AN214" i="1"/>
  <c r="AI214" i="1"/>
  <c r="AD214" i="1"/>
  <c r="Y214" i="1"/>
  <c r="T214" i="1"/>
  <c r="O214" i="1"/>
  <c r="J214" i="1"/>
  <c r="PX213" i="1"/>
  <c r="PS213" i="1"/>
  <c r="PL213" i="1"/>
  <c r="PM213" i="1" s="1"/>
  <c r="PN213" i="1" s="1"/>
  <c r="PI213" i="1"/>
  <c r="PD213" i="1"/>
  <c r="OY213" i="1"/>
  <c r="OT213" i="1"/>
  <c r="OO213" i="1"/>
  <c r="OJ213" i="1"/>
  <c r="OE213" i="1"/>
  <c r="NZ213" i="1"/>
  <c r="NU213" i="1"/>
  <c r="NP213" i="1"/>
  <c r="NK213" i="1"/>
  <c r="NF213" i="1"/>
  <c r="NA213" i="1"/>
  <c r="MV213" i="1"/>
  <c r="MQ213" i="1"/>
  <c r="ML213" i="1"/>
  <c r="MG213" i="1"/>
  <c r="MB213" i="1"/>
  <c r="LW213" i="1"/>
  <c r="LR213" i="1"/>
  <c r="LM213" i="1"/>
  <c r="LH213" i="1"/>
  <c r="LC213" i="1"/>
  <c r="KX213" i="1"/>
  <c r="KS213" i="1"/>
  <c r="KN213" i="1"/>
  <c r="KI213" i="1"/>
  <c r="KD213" i="1"/>
  <c r="JY213" i="1"/>
  <c r="JT213" i="1"/>
  <c r="JO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J213" i="1"/>
  <c r="EE213" i="1"/>
  <c r="DZ213" i="1"/>
  <c r="DU213" i="1"/>
  <c r="DP213" i="1"/>
  <c r="DK213" i="1"/>
  <c r="DF213" i="1"/>
  <c r="DA213" i="1"/>
  <c r="CV213" i="1"/>
  <c r="CQ213" i="1"/>
  <c r="CL213" i="1"/>
  <c r="CG213" i="1"/>
  <c r="CB213" i="1"/>
  <c r="BW213" i="1"/>
  <c r="BR213" i="1"/>
  <c r="BM213" i="1"/>
  <c r="BH213" i="1"/>
  <c r="BC213" i="1"/>
  <c r="AX213" i="1"/>
  <c r="AS213" i="1"/>
  <c r="AN213" i="1"/>
  <c r="AI213" i="1"/>
  <c r="AD213" i="1"/>
  <c r="Y213" i="1"/>
  <c r="T213" i="1"/>
  <c r="O213" i="1"/>
  <c r="J213" i="1"/>
  <c r="PX212" i="1"/>
  <c r="PS212" i="1"/>
  <c r="PN212" i="1"/>
  <c r="PI212" i="1"/>
  <c r="PD212" i="1"/>
  <c r="OY212" i="1"/>
  <c r="OT212" i="1"/>
  <c r="OO212" i="1"/>
  <c r="OJ212" i="1"/>
  <c r="OE212" i="1"/>
  <c r="NZ212" i="1"/>
  <c r="NU212" i="1"/>
  <c r="NP212" i="1"/>
  <c r="NK212" i="1"/>
  <c r="NF212" i="1"/>
  <c r="NA212" i="1"/>
  <c r="MV212" i="1"/>
  <c r="MQ212" i="1"/>
  <c r="ML212" i="1"/>
  <c r="MG212" i="1"/>
  <c r="MB212" i="1"/>
  <c r="LW212" i="1"/>
  <c r="LR212" i="1"/>
  <c r="LM212" i="1"/>
  <c r="LH212" i="1"/>
  <c r="LC212" i="1"/>
  <c r="KX212" i="1"/>
  <c r="KQ212" i="1"/>
  <c r="KR212" i="1" s="1"/>
  <c r="KS212" i="1" s="1"/>
  <c r="KN212" i="1"/>
  <c r="KI212" i="1"/>
  <c r="KD212" i="1"/>
  <c r="JY212" i="1"/>
  <c r="JT212" i="1"/>
  <c r="JO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J212" i="1"/>
  <c r="EE212" i="1"/>
  <c r="DZ212" i="1"/>
  <c r="DU212" i="1"/>
  <c r="DP212" i="1"/>
  <c r="DK212" i="1"/>
  <c r="DF212" i="1"/>
  <c r="DA212" i="1"/>
  <c r="CV212" i="1"/>
  <c r="CQ212" i="1"/>
  <c r="CL212" i="1"/>
  <c r="CE212" i="1"/>
  <c r="CF212" i="1" s="1"/>
  <c r="CG212" i="1" s="1"/>
  <c r="CB212" i="1"/>
  <c r="BW212" i="1"/>
  <c r="BR212" i="1"/>
  <c r="BM212" i="1"/>
  <c r="BH212" i="1"/>
  <c r="BC212" i="1"/>
  <c r="AX212" i="1"/>
  <c r="AS212" i="1"/>
  <c r="AN212" i="1"/>
  <c r="AI212" i="1"/>
  <c r="AB212" i="1"/>
  <c r="AC212" i="1" s="1"/>
  <c r="AD212" i="1" s="1"/>
  <c r="W212" i="1"/>
  <c r="X212" i="1" s="1"/>
  <c r="Y212" i="1" s="1"/>
  <c r="T212" i="1"/>
  <c r="O212" i="1"/>
  <c r="J212" i="1"/>
  <c r="PV211" i="1"/>
  <c r="PW211" i="1" s="1"/>
  <c r="PX211" i="1" s="1"/>
  <c r="PS211" i="1"/>
  <c r="PN211" i="1"/>
  <c r="PI211" i="1"/>
  <c r="PD211" i="1"/>
  <c r="OY211" i="1"/>
  <c r="OT211" i="1"/>
  <c r="OO211" i="1"/>
  <c r="OJ211" i="1"/>
  <c r="OE211" i="1"/>
  <c r="NZ211" i="1"/>
  <c r="NU211" i="1"/>
  <c r="NP211" i="1"/>
  <c r="NK211" i="1"/>
  <c r="NF211" i="1"/>
  <c r="NA211" i="1"/>
  <c r="MV211" i="1"/>
  <c r="MQ211" i="1"/>
  <c r="ML211" i="1"/>
  <c r="MG211" i="1"/>
  <c r="MB211" i="1"/>
  <c r="LW211" i="1"/>
  <c r="LR211" i="1"/>
  <c r="LM211" i="1"/>
  <c r="LH211" i="1"/>
  <c r="LC211" i="1"/>
  <c r="KX211" i="1"/>
  <c r="KS211" i="1"/>
  <c r="KN211" i="1"/>
  <c r="KI211" i="1"/>
  <c r="KD211" i="1"/>
  <c r="JY211" i="1"/>
  <c r="JT211" i="1"/>
  <c r="JO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J211" i="1"/>
  <c r="EE211" i="1"/>
  <c r="DZ211" i="1"/>
  <c r="DU211" i="1"/>
  <c r="DP211" i="1"/>
  <c r="DK211" i="1"/>
  <c r="DF211" i="1"/>
  <c r="DA211" i="1"/>
  <c r="CV211" i="1"/>
  <c r="CQ211" i="1"/>
  <c r="CL211" i="1"/>
  <c r="CG211" i="1"/>
  <c r="CB211" i="1"/>
  <c r="BW211" i="1"/>
  <c r="BR211" i="1"/>
  <c r="BM211" i="1"/>
  <c r="BH211" i="1"/>
  <c r="BC211" i="1"/>
  <c r="AX211" i="1"/>
  <c r="AS211" i="1"/>
  <c r="AN211" i="1"/>
  <c r="AI211" i="1"/>
  <c r="AD211" i="1"/>
  <c r="Y211" i="1"/>
  <c r="T211" i="1"/>
  <c r="O211" i="1"/>
  <c r="J211" i="1"/>
  <c r="PX210" i="1"/>
  <c r="PS210" i="1"/>
  <c r="PN210" i="1"/>
  <c r="PI210" i="1"/>
  <c r="PD210" i="1"/>
  <c r="OY210" i="1"/>
  <c r="OT210" i="1"/>
  <c r="OO210" i="1"/>
  <c r="OJ210" i="1"/>
  <c r="OE210" i="1"/>
  <c r="NZ210" i="1"/>
  <c r="NU210" i="1"/>
  <c r="NP210" i="1"/>
  <c r="NK210" i="1"/>
  <c r="NF210" i="1"/>
  <c r="NA210" i="1"/>
  <c r="MV210" i="1"/>
  <c r="MQ210" i="1"/>
  <c r="ML210" i="1"/>
  <c r="MG210" i="1"/>
  <c r="MB210" i="1"/>
  <c r="LW210" i="1"/>
  <c r="LR210" i="1"/>
  <c r="LM210" i="1"/>
  <c r="LH210" i="1"/>
  <c r="LC210" i="1"/>
  <c r="KX210" i="1"/>
  <c r="KS210" i="1"/>
  <c r="KN210" i="1"/>
  <c r="KI210" i="1"/>
  <c r="KD210" i="1"/>
  <c r="JY210" i="1"/>
  <c r="JT210" i="1"/>
  <c r="JO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J210" i="1"/>
  <c r="EE210" i="1"/>
  <c r="DZ210" i="1"/>
  <c r="DU210" i="1"/>
  <c r="DP210" i="1"/>
  <c r="DK210" i="1"/>
  <c r="DF210" i="1"/>
  <c r="DA210" i="1"/>
  <c r="CV210" i="1"/>
  <c r="CQ210" i="1"/>
  <c r="CL210" i="1"/>
  <c r="CG210" i="1"/>
  <c r="CB210" i="1"/>
  <c r="BW210" i="1"/>
  <c r="BR210" i="1"/>
  <c r="BM210" i="1"/>
  <c r="BH210" i="1"/>
  <c r="BC210" i="1"/>
  <c r="AX210" i="1"/>
  <c r="AS210" i="1"/>
  <c r="AN210" i="1"/>
  <c r="AI210" i="1"/>
  <c r="AD210" i="1"/>
  <c r="Y210" i="1"/>
  <c r="T210" i="1"/>
  <c r="O210" i="1"/>
  <c r="J210" i="1"/>
  <c r="PX209" i="1"/>
  <c r="PS209" i="1"/>
  <c r="PN209" i="1"/>
  <c r="PI209" i="1"/>
  <c r="PD209" i="1"/>
  <c r="OY209" i="1"/>
  <c r="OT209" i="1"/>
  <c r="OO209" i="1"/>
  <c r="OJ209" i="1"/>
  <c r="OE209" i="1"/>
  <c r="NZ209" i="1"/>
  <c r="NU209" i="1"/>
  <c r="NP209" i="1"/>
  <c r="NK209" i="1"/>
  <c r="NF209" i="1"/>
  <c r="NA209" i="1"/>
  <c r="MV209" i="1"/>
  <c r="MQ209" i="1"/>
  <c r="ML209" i="1"/>
  <c r="MG209" i="1"/>
  <c r="MB209" i="1"/>
  <c r="LW209" i="1"/>
  <c r="LR209" i="1"/>
  <c r="LM209" i="1"/>
  <c r="LH209" i="1"/>
  <c r="LC209" i="1"/>
  <c r="KX209" i="1"/>
  <c r="KS209" i="1"/>
  <c r="KN209" i="1"/>
  <c r="KI209" i="1"/>
  <c r="KD209" i="1"/>
  <c r="JY209" i="1"/>
  <c r="JT209" i="1"/>
  <c r="JO209" i="1"/>
  <c r="JJ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J209" i="1"/>
  <c r="EE209" i="1"/>
  <c r="DZ209" i="1"/>
  <c r="DU209" i="1"/>
  <c r="DP209" i="1"/>
  <c r="DK209" i="1"/>
  <c r="DF209" i="1"/>
  <c r="DA209" i="1"/>
  <c r="CV209" i="1"/>
  <c r="CQ209" i="1"/>
  <c r="CL209" i="1"/>
  <c r="CG209" i="1"/>
  <c r="CB209" i="1"/>
  <c r="BW209" i="1"/>
  <c r="BR209" i="1"/>
  <c r="BM209" i="1"/>
  <c r="BH209" i="1"/>
  <c r="BC209" i="1"/>
  <c r="AX209" i="1"/>
  <c r="AS209" i="1"/>
  <c r="AN209" i="1"/>
  <c r="AI209" i="1"/>
  <c r="AD209" i="1"/>
  <c r="Y209" i="1"/>
  <c r="T209" i="1"/>
  <c r="O209" i="1"/>
  <c r="J209" i="1"/>
  <c r="PV208" i="1"/>
  <c r="PW208" i="1" s="1"/>
  <c r="PX208" i="1" s="1"/>
  <c r="PS208" i="1"/>
  <c r="PN208" i="1"/>
  <c r="PI208" i="1"/>
  <c r="PD208" i="1"/>
  <c r="OY208" i="1"/>
  <c r="OT208" i="1"/>
  <c r="OO208" i="1"/>
  <c r="OJ208" i="1"/>
  <c r="OE208" i="1"/>
  <c r="NZ208" i="1"/>
  <c r="NU208" i="1"/>
  <c r="NP208" i="1"/>
  <c r="NK208" i="1"/>
  <c r="NF208" i="1"/>
  <c r="NA208" i="1"/>
  <c r="MV208" i="1"/>
  <c r="MQ208" i="1"/>
  <c r="ML208" i="1"/>
  <c r="MG208" i="1"/>
  <c r="MB208" i="1"/>
  <c r="LW208" i="1"/>
  <c r="LR208" i="1"/>
  <c r="LM208" i="1"/>
  <c r="LH208" i="1"/>
  <c r="LC208" i="1"/>
  <c r="KX208" i="1"/>
  <c r="KQ208" i="1"/>
  <c r="KR208" i="1" s="1"/>
  <c r="KS208" i="1" s="1"/>
  <c r="KN208" i="1"/>
  <c r="KI208" i="1"/>
  <c r="KD208" i="1"/>
  <c r="JY208" i="1"/>
  <c r="JT208" i="1"/>
  <c r="JO208" i="1"/>
  <c r="JJ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J208" i="1"/>
  <c r="EE208" i="1"/>
  <c r="DZ208" i="1"/>
  <c r="DU208" i="1"/>
  <c r="DP208" i="1"/>
  <c r="DK208" i="1"/>
  <c r="DF208" i="1"/>
  <c r="DA208" i="1"/>
  <c r="CV208" i="1"/>
  <c r="CQ208" i="1"/>
  <c r="CL208" i="1"/>
  <c r="CG208" i="1"/>
  <c r="CB208" i="1"/>
  <c r="BW208" i="1"/>
  <c r="BR208" i="1"/>
  <c r="BM208" i="1"/>
  <c r="BH208" i="1"/>
  <c r="BC208" i="1"/>
  <c r="AX208" i="1"/>
  <c r="AS208" i="1"/>
  <c r="AN208" i="1"/>
  <c r="AI208" i="1"/>
  <c r="AD208" i="1"/>
  <c r="Y208" i="1"/>
  <c r="T208" i="1"/>
  <c r="O208" i="1"/>
  <c r="J208" i="1"/>
  <c r="PX207" i="1"/>
  <c r="PS207" i="1"/>
  <c r="PN207" i="1"/>
  <c r="PI207" i="1"/>
  <c r="PD207" i="1"/>
  <c r="OY207" i="1"/>
  <c r="OT207" i="1"/>
  <c r="OO207" i="1"/>
  <c r="OJ207" i="1"/>
  <c r="OE207" i="1"/>
  <c r="NZ207" i="1"/>
  <c r="NU207" i="1"/>
  <c r="NP207" i="1"/>
  <c r="NK207" i="1"/>
  <c r="NF207" i="1"/>
  <c r="NA207" i="1"/>
  <c r="MV207" i="1"/>
  <c r="MQ207" i="1"/>
  <c r="ML207" i="1"/>
  <c r="MG207" i="1"/>
  <c r="MB207" i="1"/>
  <c r="LW207" i="1"/>
  <c r="LR207" i="1"/>
  <c r="LM207" i="1"/>
  <c r="LH207" i="1"/>
  <c r="LC207" i="1"/>
  <c r="KX207" i="1"/>
  <c r="KS207" i="1"/>
  <c r="KN207" i="1"/>
  <c r="KI207" i="1"/>
  <c r="KD207" i="1"/>
  <c r="JY207" i="1"/>
  <c r="JT207" i="1"/>
  <c r="JO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J207" i="1"/>
  <c r="EE207" i="1"/>
  <c r="DZ207" i="1"/>
  <c r="DU207" i="1"/>
  <c r="DP207" i="1"/>
  <c r="DK207" i="1"/>
  <c r="DF207" i="1"/>
  <c r="DA207" i="1"/>
  <c r="CV207" i="1"/>
  <c r="CQ207" i="1"/>
  <c r="CL207" i="1"/>
  <c r="CG207" i="1"/>
  <c r="CB207" i="1"/>
  <c r="BW207" i="1"/>
  <c r="BR207" i="1"/>
  <c r="BM207" i="1"/>
  <c r="BH207" i="1"/>
  <c r="BC207" i="1"/>
  <c r="AX207" i="1"/>
  <c r="AS207" i="1"/>
  <c r="AN207" i="1"/>
  <c r="AI207" i="1"/>
  <c r="AD207" i="1"/>
  <c r="Y207" i="1"/>
  <c r="T207" i="1"/>
  <c r="O207" i="1"/>
  <c r="J207" i="1"/>
  <c r="PX206" i="1"/>
  <c r="PS206" i="1"/>
  <c r="PN206" i="1"/>
  <c r="PI206" i="1"/>
  <c r="PD206" i="1"/>
  <c r="OY206" i="1"/>
  <c r="OT206" i="1"/>
  <c r="OO206" i="1"/>
  <c r="OJ206" i="1"/>
  <c r="OE206" i="1"/>
  <c r="NZ206" i="1"/>
  <c r="NU206" i="1"/>
  <c r="NP206" i="1"/>
  <c r="NI206" i="1"/>
  <c r="NJ206" i="1" s="1"/>
  <c r="NK206" i="1" s="1"/>
  <c r="NF206" i="1"/>
  <c r="NA206" i="1"/>
  <c r="MV206" i="1"/>
  <c r="MQ206" i="1"/>
  <c r="ML206" i="1"/>
  <c r="MG206" i="1"/>
  <c r="MB206" i="1"/>
  <c r="LW206" i="1"/>
  <c r="LR206" i="1"/>
  <c r="LM206" i="1"/>
  <c r="LH206" i="1"/>
  <c r="LC206" i="1"/>
  <c r="KX206" i="1"/>
  <c r="KS206" i="1"/>
  <c r="KN206" i="1"/>
  <c r="KI206" i="1"/>
  <c r="KD206" i="1"/>
  <c r="JY206" i="1"/>
  <c r="JT206" i="1"/>
  <c r="JO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J206" i="1"/>
  <c r="EE206" i="1"/>
  <c r="DZ206" i="1"/>
  <c r="DU206" i="1"/>
  <c r="DP206" i="1"/>
  <c r="DK206" i="1"/>
  <c r="DF206" i="1"/>
  <c r="DA206" i="1"/>
  <c r="CV206" i="1"/>
  <c r="CQ206" i="1"/>
  <c r="CL206" i="1"/>
  <c r="CE206" i="1"/>
  <c r="CF206" i="1" s="1"/>
  <c r="CG206" i="1" s="1"/>
  <c r="CB206" i="1"/>
  <c r="BW206" i="1"/>
  <c r="BR206" i="1"/>
  <c r="BM206" i="1"/>
  <c r="BH206" i="1"/>
  <c r="BC206" i="1"/>
  <c r="AX206" i="1"/>
  <c r="AS206" i="1"/>
  <c r="AN206" i="1"/>
  <c r="AI206" i="1"/>
  <c r="AD206" i="1"/>
  <c r="Y206" i="1"/>
  <c r="T206" i="1"/>
  <c r="O206" i="1"/>
  <c r="J206" i="1"/>
  <c r="PV205" i="1"/>
  <c r="PW205" i="1" s="1"/>
  <c r="PX205" i="1" s="1"/>
  <c r="PS205" i="1"/>
  <c r="PN205" i="1"/>
  <c r="PI205" i="1"/>
  <c r="PD205" i="1"/>
  <c r="OY205" i="1"/>
  <c r="OT205" i="1"/>
  <c r="OO205" i="1"/>
  <c r="OJ205" i="1"/>
  <c r="OE205" i="1"/>
  <c r="NZ205" i="1"/>
  <c r="NU205" i="1"/>
  <c r="NP205" i="1"/>
  <c r="NK205" i="1"/>
  <c r="NF205" i="1"/>
  <c r="NA205" i="1"/>
  <c r="MV205" i="1"/>
  <c r="MQ205" i="1"/>
  <c r="ML205" i="1"/>
  <c r="MG205" i="1"/>
  <c r="MB205" i="1"/>
  <c r="LW205" i="1"/>
  <c r="LR205" i="1"/>
  <c r="LM205" i="1"/>
  <c r="LH205" i="1"/>
  <c r="LC205" i="1"/>
  <c r="KX205" i="1"/>
  <c r="KS205" i="1"/>
  <c r="KN205" i="1"/>
  <c r="KI205" i="1"/>
  <c r="KD205" i="1"/>
  <c r="JY205" i="1"/>
  <c r="JT205" i="1"/>
  <c r="JO205" i="1"/>
  <c r="JJ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J205" i="1"/>
  <c r="EE205" i="1"/>
  <c r="DZ205" i="1"/>
  <c r="DU205" i="1"/>
  <c r="DP205" i="1"/>
  <c r="DK205" i="1"/>
  <c r="DF205" i="1"/>
  <c r="DA205" i="1"/>
  <c r="CV205" i="1"/>
  <c r="CQ205" i="1"/>
  <c r="CL205" i="1"/>
  <c r="CG205" i="1"/>
  <c r="CB205" i="1"/>
  <c r="BW205" i="1"/>
  <c r="BR205" i="1"/>
  <c r="BM205" i="1"/>
  <c r="BH205" i="1"/>
  <c r="BC205" i="1"/>
  <c r="AX205" i="1"/>
  <c r="AS205" i="1"/>
  <c r="AN205" i="1"/>
  <c r="AI205" i="1"/>
  <c r="AD205" i="1"/>
  <c r="Y205" i="1"/>
  <c r="T205" i="1"/>
  <c r="O205" i="1"/>
  <c r="J205" i="1"/>
  <c r="PX204" i="1"/>
  <c r="PS204" i="1"/>
  <c r="PN204" i="1"/>
  <c r="PI204" i="1"/>
  <c r="PD204" i="1"/>
  <c r="OW204" i="1"/>
  <c r="OX204" i="1" s="1"/>
  <c r="OY204" i="1" s="1"/>
  <c r="OT204" i="1"/>
  <c r="OO204" i="1"/>
  <c r="OJ204" i="1"/>
  <c r="OE204" i="1"/>
  <c r="NZ204" i="1"/>
  <c r="NU204" i="1"/>
  <c r="NP204" i="1"/>
  <c r="NK204" i="1"/>
  <c r="NF204" i="1"/>
  <c r="NA204" i="1"/>
  <c r="MV204" i="1"/>
  <c r="MQ204" i="1"/>
  <c r="ML204" i="1"/>
  <c r="MG204" i="1"/>
  <c r="MB204" i="1"/>
  <c r="LW204" i="1"/>
  <c r="LR204" i="1"/>
  <c r="LM204" i="1"/>
  <c r="LH204" i="1"/>
  <c r="LC204" i="1"/>
  <c r="KX204" i="1"/>
  <c r="KS204" i="1"/>
  <c r="KN204" i="1"/>
  <c r="KI204" i="1"/>
  <c r="KD204" i="1"/>
  <c r="JY204" i="1"/>
  <c r="JT204" i="1"/>
  <c r="JO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J204" i="1"/>
  <c r="EE204" i="1"/>
  <c r="DZ204" i="1"/>
  <c r="DU204" i="1"/>
  <c r="DP204" i="1"/>
  <c r="DK204" i="1"/>
  <c r="DF204" i="1"/>
  <c r="DA204" i="1"/>
  <c r="CV204" i="1"/>
  <c r="CQ204" i="1"/>
  <c r="CL204" i="1"/>
  <c r="CG204" i="1"/>
  <c r="CB204" i="1"/>
  <c r="BW204" i="1"/>
  <c r="BR204" i="1"/>
  <c r="BM204" i="1"/>
  <c r="BH204" i="1"/>
  <c r="BC204" i="1"/>
  <c r="AX204" i="1"/>
  <c r="AS204" i="1"/>
  <c r="AN204" i="1"/>
  <c r="AI204" i="1"/>
  <c r="AD204" i="1"/>
  <c r="Y204" i="1"/>
  <c r="T204" i="1"/>
  <c r="O204" i="1"/>
  <c r="J204" i="1"/>
  <c r="PV203" i="1"/>
  <c r="PW203" i="1" s="1"/>
  <c r="PX203" i="1" s="1"/>
  <c r="PS203" i="1"/>
  <c r="PN203" i="1"/>
  <c r="PI203" i="1"/>
  <c r="PD203" i="1"/>
  <c r="OY203" i="1"/>
  <c r="OT203" i="1"/>
  <c r="OO203" i="1"/>
  <c r="OJ203" i="1"/>
  <c r="OE203" i="1"/>
  <c r="NZ203" i="1"/>
  <c r="NU203" i="1"/>
  <c r="NP203" i="1"/>
  <c r="NK203" i="1"/>
  <c r="NF203" i="1"/>
  <c r="NA203" i="1"/>
  <c r="MV203" i="1"/>
  <c r="MQ203" i="1"/>
  <c r="ML203" i="1"/>
  <c r="MG203" i="1"/>
  <c r="MB203" i="1"/>
  <c r="LW203" i="1"/>
  <c r="LR203" i="1"/>
  <c r="LM203" i="1"/>
  <c r="LH203" i="1"/>
  <c r="LC203" i="1"/>
  <c r="KX203" i="1"/>
  <c r="KS203" i="1"/>
  <c r="KN203" i="1"/>
  <c r="KI203" i="1"/>
  <c r="KD203" i="1"/>
  <c r="JY203" i="1"/>
  <c r="JT203" i="1"/>
  <c r="JO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J203" i="1"/>
  <c r="EE203" i="1"/>
  <c r="DZ203" i="1"/>
  <c r="DU203" i="1"/>
  <c r="DP203" i="1"/>
  <c r="DK203" i="1"/>
  <c r="DF203" i="1"/>
  <c r="DA203" i="1"/>
  <c r="CV203" i="1"/>
  <c r="CQ203" i="1"/>
  <c r="CL203" i="1"/>
  <c r="CG203" i="1"/>
  <c r="CB203" i="1"/>
  <c r="BW203" i="1"/>
  <c r="BR203" i="1"/>
  <c r="BM203" i="1"/>
  <c r="BH203" i="1"/>
  <c r="BC203" i="1"/>
  <c r="AX203" i="1"/>
  <c r="AS203" i="1"/>
  <c r="AN203" i="1"/>
  <c r="AI203" i="1"/>
  <c r="AD203" i="1"/>
  <c r="Y203" i="1"/>
  <c r="T203" i="1"/>
  <c r="O203" i="1"/>
  <c r="J203" i="1"/>
  <c r="PX202" i="1"/>
  <c r="PS202" i="1"/>
  <c r="PN202" i="1"/>
  <c r="PI202" i="1"/>
  <c r="PD202" i="1"/>
  <c r="OY202" i="1"/>
  <c r="OT202" i="1"/>
  <c r="OO202" i="1"/>
  <c r="OJ202" i="1"/>
  <c r="OE202" i="1"/>
  <c r="NZ202" i="1"/>
  <c r="NU202" i="1"/>
  <c r="NP202" i="1"/>
  <c r="NK202" i="1"/>
  <c r="NF202" i="1"/>
  <c r="NA202" i="1"/>
  <c r="MV202" i="1"/>
  <c r="MQ202" i="1"/>
  <c r="ML202" i="1"/>
  <c r="MG202" i="1"/>
  <c r="MB202" i="1"/>
  <c r="LW202" i="1"/>
  <c r="LR202" i="1"/>
  <c r="LM202" i="1"/>
  <c r="LH202" i="1"/>
  <c r="LC202" i="1"/>
  <c r="KX202" i="1"/>
  <c r="KS202" i="1"/>
  <c r="KN202" i="1"/>
  <c r="KI202" i="1"/>
  <c r="KD202" i="1"/>
  <c r="JY202" i="1"/>
  <c r="JT202" i="1"/>
  <c r="JO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J202" i="1"/>
  <c r="EE202" i="1"/>
  <c r="DZ202" i="1"/>
  <c r="DU202" i="1"/>
  <c r="DP202" i="1"/>
  <c r="DK202" i="1"/>
  <c r="DF202" i="1"/>
  <c r="DA202" i="1"/>
  <c r="CV202" i="1"/>
  <c r="CQ202" i="1"/>
  <c r="CL202" i="1"/>
  <c r="CG202" i="1"/>
  <c r="CB202" i="1"/>
  <c r="BW202" i="1"/>
  <c r="BR202" i="1"/>
  <c r="BM202" i="1"/>
  <c r="BH202" i="1"/>
  <c r="BC202" i="1"/>
  <c r="AX202" i="1"/>
  <c r="AS202" i="1"/>
  <c r="AN202" i="1"/>
  <c r="AI202" i="1"/>
  <c r="AD202" i="1"/>
  <c r="W202" i="1"/>
  <c r="X202" i="1" s="1"/>
  <c r="Y202" i="1" s="1"/>
  <c r="T202" i="1"/>
  <c r="O202" i="1"/>
  <c r="J202" i="1"/>
  <c r="PX201" i="1"/>
  <c r="PS201" i="1"/>
  <c r="PN201" i="1"/>
  <c r="PI201" i="1"/>
  <c r="PD201" i="1"/>
  <c r="OY201" i="1"/>
  <c r="OT201" i="1"/>
  <c r="OO201" i="1"/>
  <c r="OJ201" i="1"/>
  <c r="OE201" i="1"/>
  <c r="NZ201" i="1"/>
  <c r="NU201" i="1"/>
  <c r="NP201" i="1"/>
  <c r="NK201" i="1"/>
  <c r="NF201" i="1"/>
  <c r="NA201" i="1"/>
  <c r="MV201" i="1"/>
  <c r="MQ201" i="1"/>
  <c r="ML201" i="1"/>
  <c r="MG201" i="1"/>
  <c r="MB201" i="1"/>
  <c r="LW201" i="1"/>
  <c r="LR201" i="1"/>
  <c r="LM201" i="1"/>
  <c r="LH201" i="1"/>
  <c r="LC201" i="1"/>
  <c r="KX201" i="1"/>
  <c r="KS201" i="1"/>
  <c r="KN201" i="1"/>
  <c r="KI201" i="1"/>
  <c r="KD201" i="1"/>
  <c r="JY201" i="1"/>
  <c r="JT201" i="1"/>
  <c r="JO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J201" i="1"/>
  <c r="EE201" i="1"/>
  <c r="DZ201" i="1"/>
  <c r="DU201" i="1"/>
  <c r="DP201" i="1"/>
  <c r="DK201" i="1"/>
  <c r="DF201" i="1"/>
  <c r="DA201" i="1"/>
  <c r="CV201" i="1"/>
  <c r="CQ201" i="1"/>
  <c r="CL201" i="1"/>
  <c r="CG201" i="1"/>
  <c r="CB201" i="1"/>
  <c r="BW201" i="1"/>
  <c r="BR201" i="1"/>
  <c r="BM201" i="1"/>
  <c r="BH201" i="1"/>
  <c r="BC201" i="1"/>
  <c r="AX201" i="1"/>
  <c r="AS201" i="1"/>
  <c r="AN201" i="1"/>
  <c r="AI201" i="1"/>
  <c r="AD201" i="1"/>
  <c r="Y201" i="1"/>
  <c r="T201" i="1"/>
  <c r="O201" i="1"/>
  <c r="J201" i="1"/>
  <c r="PX200" i="1"/>
  <c r="PS200" i="1"/>
  <c r="PN200" i="1"/>
  <c r="PI200" i="1"/>
  <c r="PD200" i="1"/>
  <c r="OY200" i="1"/>
  <c r="OT200" i="1"/>
  <c r="OO200" i="1"/>
  <c r="OJ200" i="1"/>
  <c r="OE200" i="1"/>
  <c r="NZ200" i="1"/>
  <c r="NU200" i="1"/>
  <c r="NP200" i="1"/>
  <c r="NK200" i="1"/>
  <c r="NF200" i="1"/>
  <c r="NA200" i="1"/>
  <c r="MV200" i="1"/>
  <c r="MQ200" i="1"/>
  <c r="ML200" i="1"/>
  <c r="MG200" i="1"/>
  <c r="MB200" i="1"/>
  <c r="LW200" i="1"/>
  <c r="LR200" i="1"/>
  <c r="LM200" i="1"/>
  <c r="LH200" i="1"/>
  <c r="LC200" i="1"/>
  <c r="KX200" i="1"/>
  <c r="KQ200" i="1"/>
  <c r="KR200" i="1" s="1"/>
  <c r="KS200" i="1" s="1"/>
  <c r="KL200" i="1"/>
  <c r="KM200" i="1" s="1"/>
  <c r="KN200" i="1" s="1"/>
  <c r="KI200" i="1"/>
  <c r="KD200" i="1"/>
  <c r="JY200" i="1"/>
  <c r="JT200" i="1"/>
  <c r="JO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J200" i="1"/>
  <c r="EE200" i="1"/>
  <c r="DZ200" i="1"/>
  <c r="DU200" i="1"/>
  <c r="DP200" i="1"/>
  <c r="DK200" i="1"/>
  <c r="DF200" i="1"/>
  <c r="DA200" i="1"/>
  <c r="CV200" i="1"/>
  <c r="CQ200" i="1"/>
  <c r="CL200" i="1"/>
  <c r="CG200" i="1"/>
  <c r="CB200" i="1"/>
  <c r="BW200" i="1"/>
  <c r="BR200" i="1"/>
  <c r="BM200" i="1"/>
  <c r="BH200" i="1"/>
  <c r="BC200" i="1"/>
  <c r="AX200" i="1"/>
  <c r="AS200" i="1"/>
  <c r="AN200" i="1"/>
  <c r="AI200" i="1"/>
  <c r="AD200" i="1"/>
  <c r="Y200" i="1"/>
  <c r="R200" i="1"/>
  <c r="S200" i="1" s="1"/>
  <c r="T200" i="1" s="1"/>
  <c r="O200" i="1"/>
  <c r="J200" i="1"/>
  <c r="PX199" i="1"/>
  <c r="PS199" i="1"/>
  <c r="PN199" i="1"/>
  <c r="PI199" i="1"/>
  <c r="PD199" i="1"/>
  <c r="OY199" i="1"/>
  <c r="OT199" i="1"/>
  <c r="OO199" i="1"/>
  <c r="OJ199" i="1"/>
  <c r="OE199" i="1"/>
  <c r="NZ199" i="1"/>
  <c r="NU199" i="1"/>
  <c r="NP199" i="1"/>
  <c r="NK199" i="1"/>
  <c r="NF199" i="1"/>
  <c r="NA199" i="1"/>
  <c r="MV199" i="1"/>
  <c r="MQ199" i="1"/>
  <c r="ML199" i="1"/>
  <c r="MG199" i="1"/>
  <c r="MB199" i="1"/>
  <c r="LW199" i="1"/>
  <c r="LR199" i="1"/>
  <c r="LM199" i="1"/>
  <c r="LH199" i="1"/>
  <c r="LC199" i="1"/>
  <c r="KX199" i="1"/>
  <c r="KS199" i="1"/>
  <c r="KN199" i="1"/>
  <c r="KI199" i="1"/>
  <c r="KD199" i="1"/>
  <c r="JY199" i="1"/>
  <c r="JT199" i="1"/>
  <c r="JO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J199" i="1"/>
  <c r="EE199" i="1"/>
  <c r="DZ199" i="1"/>
  <c r="DU199" i="1"/>
  <c r="DP199" i="1"/>
  <c r="DK199" i="1"/>
  <c r="DF199" i="1"/>
  <c r="DA199" i="1"/>
  <c r="CV199" i="1"/>
  <c r="CQ199" i="1"/>
  <c r="CL199" i="1"/>
  <c r="CG199" i="1"/>
  <c r="CB199" i="1"/>
  <c r="BW199" i="1"/>
  <c r="BR199" i="1"/>
  <c r="BM199" i="1"/>
  <c r="BH199" i="1"/>
  <c r="BC199" i="1"/>
  <c r="AX199" i="1"/>
  <c r="AS199" i="1"/>
  <c r="AN199" i="1"/>
  <c r="AI199" i="1"/>
  <c r="AD199" i="1"/>
  <c r="Y199" i="1"/>
  <c r="T199" i="1"/>
  <c r="O199" i="1"/>
  <c r="J199" i="1"/>
  <c r="PX198" i="1"/>
  <c r="PS198" i="1"/>
  <c r="PN198" i="1"/>
  <c r="PI198" i="1"/>
  <c r="PD198" i="1"/>
  <c r="OY198" i="1"/>
  <c r="OT198" i="1"/>
  <c r="OO198" i="1"/>
  <c r="OJ198" i="1"/>
  <c r="OE198" i="1"/>
  <c r="NZ198" i="1"/>
  <c r="NU198" i="1"/>
  <c r="NP198" i="1"/>
  <c r="NK198" i="1"/>
  <c r="NF198" i="1"/>
  <c r="NA198" i="1"/>
  <c r="MV198" i="1"/>
  <c r="MQ198" i="1"/>
  <c r="ML198" i="1"/>
  <c r="MG198" i="1"/>
  <c r="MB198" i="1"/>
  <c r="LW198" i="1"/>
  <c r="LR198" i="1"/>
  <c r="LM198" i="1"/>
  <c r="LH198" i="1"/>
  <c r="LC198" i="1"/>
  <c r="KX198" i="1"/>
  <c r="KQ198" i="1"/>
  <c r="KR198" i="1" s="1"/>
  <c r="KS198" i="1" s="1"/>
  <c r="KN198" i="1"/>
  <c r="KI198" i="1"/>
  <c r="KD198" i="1"/>
  <c r="JY198" i="1"/>
  <c r="JT198" i="1"/>
  <c r="JO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J198" i="1"/>
  <c r="EE198" i="1"/>
  <c r="DZ198" i="1"/>
  <c r="DU198" i="1"/>
  <c r="DP198" i="1"/>
  <c r="DK198" i="1"/>
  <c r="DF198" i="1"/>
  <c r="DA198" i="1"/>
  <c r="CV198" i="1"/>
  <c r="CQ198" i="1"/>
  <c r="CL198" i="1"/>
  <c r="CG198" i="1"/>
  <c r="CB198" i="1"/>
  <c r="BW198" i="1"/>
  <c r="BR198" i="1"/>
  <c r="BM198" i="1"/>
  <c r="BH198" i="1"/>
  <c r="BC198" i="1"/>
  <c r="AX198" i="1"/>
  <c r="AS198" i="1"/>
  <c r="AN198" i="1"/>
  <c r="AI198" i="1"/>
  <c r="AD198" i="1"/>
  <c r="Y198" i="1"/>
  <c r="T198" i="1"/>
  <c r="O198" i="1"/>
  <c r="J198" i="1"/>
  <c r="PX197" i="1"/>
  <c r="PS197" i="1"/>
  <c r="PN197" i="1"/>
  <c r="PI197" i="1"/>
  <c r="PD197" i="1"/>
  <c r="OW197" i="1"/>
  <c r="OX197" i="1" s="1"/>
  <c r="OY197" i="1" s="1"/>
  <c r="OT197" i="1"/>
  <c r="OO197" i="1"/>
  <c r="OJ197" i="1"/>
  <c r="OE197" i="1"/>
  <c r="NZ197" i="1"/>
  <c r="NU197" i="1"/>
  <c r="NN197" i="1"/>
  <c r="NO197" i="1" s="1"/>
  <c r="NP197" i="1" s="1"/>
  <c r="NI197" i="1"/>
  <c r="NJ197" i="1" s="1"/>
  <c r="NK197" i="1" s="1"/>
  <c r="NF197" i="1"/>
  <c r="NA197" i="1"/>
  <c r="MV197" i="1"/>
  <c r="MQ197" i="1"/>
  <c r="ML197" i="1"/>
  <c r="MG197" i="1"/>
  <c r="MB197" i="1"/>
  <c r="LW197" i="1"/>
  <c r="LR197" i="1"/>
  <c r="LK197" i="1"/>
  <c r="LL197" i="1" s="1"/>
  <c r="LM197" i="1" s="1"/>
  <c r="LH197" i="1"/>
  <c r="LC197" i="1"/>
  <c r="KX197" i="1"/>
  <c r="KS197" i="1"/>
  <c r="KN197" i="1"/>
  <c r="KI197" i="1"/>
  <c r="KD197" i="1"/>
  <c r="JY197" i="1"/>
  <c r="JT197" i="1"/>
  <c r="JO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J197" i="1"/>
  <c r="EE197" i="1"/>
  <c r="DZ197" i="1"/>
  <c r="DU197" i="1"/>
  <c r="DP197" i="1"/>
  <c r="DK197" i="1"/>
  <c r="DF197" i="1"/>
  <c r="DA197" i="1"/>
  <c r="CV197" i="1"/>
  <c r="CQ197" i="1"/>
  <c r="CL197" i="1"/>
  <c r="CG197" i="1"/>
  <c r="CB197" i="1"/>
  <c r="BW197" i="1"/>
  <c r="BR197" i="1"/>
  <c r="BM197" i="1"/>
  <c r="BH197" i="1"/>
  <c r="BC197" i="1"/>
  <c r="AX197" i="1"/>
  <c r="AS197" i="1"/>
  <c r="AN197" i="1"/>
  <c r="AI197" i="1"/>
  <c r="AD197" i="1"/>
  <c r="W197" i="1"/>
  <c r="X197" i="1" s="1"/>
  <c r="Y197" i="1" s="1"/>
  <c r="T197" i="1"/>
  <c r="O197" i="1"/>
  <c r="J197" i="1"/>
  <c r="PX196" i="1"/>
  <c r="PS196" i="1"/>
  <c r="PL196" i="1"/>
  <c r="PM196" i="1" s="1"/>
  <c r="PN196" i="1" s="1"/>
  <c r="PI196" i="1"/>
  <c r="PD196" i="1"/>
  <c r="OW196" i="1"/>
  <c r="OX196" i="1" s="1"/>
  <c r="OY196" i="1" s="1"/>
  <c r="OT196" i="1"/>
  <c r="OO196" i="1"/>
  <c r="OJ196" i="1"/>
  <c r="OE196" i="1"/>
  <c r="NZ196" i="1"/>
  <c r="NU196" i="1"/>
  <c r="NP196" i="1"/>
  <c r="NK196" i="1"/>
  <c r="NF196" i="1"/>
  <c r="NA196" i="1"/>
  <c r="MV196" i="1"/>
  <c r="MQ196" i="1"/>
  <c r="ML196" i="1"/>
  <c r="MG196" i="1"/>
  <c r="MB196" i="1"/>
  <c r="LW196" i="1"/>
  <c r="LR196" i="1"/>
  <c r="LM196" i="1"/>
  <c r="LH196" i="1"/>
  <c r="LC196" i="1"/>
  <c r="KX196" i="1"/>
  <c r="KS196" i="1"/>
  <c r="KN196" i="1"/>
  <c r="KI196" i="1"/>
  <c r="KD196" i="1"/>
  <c r="JY196" i="1"/>
  <c r="JT196" i="1"/>
  <c r="JO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J196" i="1"/>
  <c r="EE196" i="1"/>
  <c r="DZ196" i="1"/>
  <c r="DU196" i="1"/>
  <c r="DP196" i="1"/>
  <c r="DK196" i="1"/>
  <c r="DF196" i="1"/>
  <c r="DA196" i="1"/>
  <c r="CV196" i="1"/>
  <c r="CQ196" i="1"/>
  <c r="CL196" i="1"/>
  <c r="CG196" i="1"/>
  <c r="CB196" i="1"/>
  <c r="BW196" i="1"/>
  <c r="BR196" i="1"/>
  <c r="BM196" i="1"/>
  <c r="BH196" i="1"/>
  <c r="BC196" i="1"/>
  <c r="AX196" i="1"/>
  <c r="AS196" i="1"/>
  <c r="AN196" i="1"/>
  <c r="AG196" i="1"/>
  <c r="AH196" i="1" s="1"/>
  <c r="AI196" i="1" s="1"/>
  <c r="AD196" i="1"/>
  <c r="W196" i="1"/>
  <c r="X196" i="1" s="1"/>
  <c r="Y196" i="1" s="1"/>
  <c r="T196" i="1"/>
  <c r="O196" i="1"/>
  <c r="J196" i="1"/>
  <c r="PX195" i="1"/>
  <c r="PS195" i="1"/>
  <c r="PN195" i="1"/>
  <c r="PI195" i="1"/>
  <c r="PD195" i="1"/>
  <c r="OY195" i="1"/>
  <c r="OT195" i="1"/>
  <c r="OO195" i="1"/>
  <c r="OJ195" i="1"/>
  <c r="OE195" i="1"/>
  <c r="NZ195" i="1"/>
  <c r="NU195" i="1"/>
  <c r="NP195" i="1"/>
  <c r="NK195" i="1"/>
  <c r="NF195" i="1"/>
  <c r="NA195" i="1"/>
  <c r="MV195" i="1"/>
  <c r="MQ195" i="1"/>
  <c r="ML195" i="1"/>
  <c r="MG195" i="1"/>
  <c r="MB195" i="1"/>
  <c r="LW195" i="1"/>
  <c r="LR195" i="1"/>
  <c r="LM195" i="1"/>
  <c r="LH195" i="1"/>
  <c r="LC195" i="1"/>
  <c r="KX195" i="1"/>
  <c r="KS195" i="1"/>
  <c r="KN195" i="1"/>
  <c r="KI195" i="1"/>
  <c r="KD195" i="1"/>
  <c r="JY195" i="1"/>
  <c r="JT195" i="1"/>
  <c r="JO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J195" i="1"/>
  <c r="EE195" i="1"/>
  <c r="DZ195" i="1"/>
  <c r="DU195" i="1"/>
  <c r="DP195" i="1"/>
  <c r="DK195" i="1"/>
  <c r="DF195" i="1"/>
  <c r="DA195" i="1"/>
  <c r="CV195" i="1"/>
  <c r="CQ195" i="1"/>
  <c r="CL195" i="1"/>
  <c r="CG195" i="1"/>
  <c r="CB195" i="1"/>
  <c r="BW195" i="1"/>
  <c r="BR195" i="1"/>
  <c r="BM195" i="1"/>
  <c r="BH195" i="1"/>
  <c r="BC195" i="1"/>
  <c r="AX195" i="1"/>
  <c r="AS195" i="1"/>
  <c r="AN195" i="1"/>
  <c r="AI195" i="1"/>
  <c r="AD195" i="1"/>
  <c r="Y195" i="1"/>
  <c r="T195" i="1"/>
  <c r="O195" i="1"/>
  <c r="J195" i="1"/>
  <c r="PV194" i="1"/>
  <c r="PW194" i="1" s="1"/>
  <c r="PX194" i="1" s="1"/>
  <c r="PS194" i="1"/>
  <c r="PN194" i="1"/>
  <c r="PI194" i="1"/>
  <c r="PD194" i="1"/>
  <c r="OY194" i="1"/>
  <c r="OT194" i="1"/>
  <c r="OO194" i="1"/>
  <c r="OJ194" i="1"/>
  <c r="OE194" i="1"/>
  <c r="NZ194" i="1"/>
  <c r="NU194" i="1"/>
  <c r="NP194" i="1"/>
  <c r="NK194" i="1"/>
  <c r="NF194" i="1"/>
  <c r="NA194" i="1"/>
  <c r="MV194" i="1"/>
  <c r="MQ194" i="1"/>
  <c r="ML194" i="1"/>
  <c r="MG194" i="1"/>
  <c r="MB194" i="1"/>
  <c r="LW194" i="1"/>
  <c r="LR194" i="1"/>
  <c r="LM194" i="1"/>
  <c r="LH194" i="1"/>
  <c r="LC194" i="1"/>
  <c r="KX194" i="1"/>
  <c r="KS194" i="1"/>
  <c r="KN194" i="1"/>
  <c r="KI194" i="1"/>
  <c r="KD194" i="1"/>
  <c r="JY194" i="1"/>
  <c r="JT194" i="1"/>
  <c r="JO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J194" i="1"/>
  <c r="EE194" i="1"/>
  <c r="DZ194" i="1"/>
  <c r="DU194" i="1"/>
  <c r="DP194" i="1"/>
  <c r="DK194" i="1"/>
  <c r="DF194" i="1"/>
  <c r="DA194" i="1"/>
  <c r="CV194" i="1"/>
  <c r="CQ194" i="1"/>
  <c r="CL194" i="1"/>
  <c r="CG194" i="1"/>
  <c r="CB194" i="1"/>
  <c r="BW194" i="1"/>
  <c r="BR194" i="1"/>
  <c r="BM194" i="1"/>
  <c r="BH194" i="1"/>
  <c r="BC194" i="1"/>
  <c r="AX194" i="1"/>
  <c r="AS194" i="1"/>
  <c r="AN194" i="1"/>
  <c r="AI194" i="1"/>
  <c r="AD194" i="1"/>
  <c r="Y194" i="1"/>
  <c r="T194" i="1"/>
  <c r="O194" i="1"/>
  <c r="J194" i="1"/>
  <c r="PV193" i="1"/>
  <c r="PW193" i="1" s="1"/>
  <c r="PX193" i="1" s="1"/>
  <c r="PS193" i="1"/>
  <c r="PN193" i="1"/>
  <c r="PI193" i="1"/>
  <c r="PD193" i="1"/>
  <c r="OY193" i="1"/>
  <c r="OT193" i="1"/>
  <c r="OO193" i="1"/>
  <c r="OJ193" i="1"/>
  <c r="OE193" i="1"/>
  <c r="NZ193" i="1"/>
  <c r="NU193" i="1"/>
  <c r="NP193" i="1"/>
  <c r="NK193" i="1"/>
  <c r="NF193" i="1"/>
  <c r="NA193" i="1"/>
  <c r="MV193" i="1"/>
  <c r="MQ193" i="1"/>
  <c r="ML193" i="1"/>
  <c r="MG193" i="1"/>
  <c r="MB193" i="1"/>
  <c r="LW193" i="1"/>
  <c r="LR193" i="1"/>
  <c r="LM193" i="1"/>
  <c r="LH193" i="1"/>
  <c r="LC193" i="1"/>
  <c r="KX193" i="1"/>
  <c r="KS193" i="1"/>
  <c r="KN193" i="1"/>
  <c r="KI193" i="1"/>
  <c r="KD193" i="1"/>
  <c r="JY193" i="1"/>
  <c r="JT193" i="1"/>
  <c r="JO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J193" i="1"/>
  <c r="EE193" i="1"/>
  <c r="DZ193" i="1"/>
  <c r="DU193" i="1"/>
  <c r="DP193" i="1"/>
  <c r="DK193" i="1"/>
  <c r="DF193" i="1"/>
  <c r="DA193" i="1"/>
  <c r="CV193" i="1"/>
  <c r="CQ193" i="1"/>
  <c r="CL193" i="1"/>
  <c r="CG193" i="1"/>
  <c r="CB193" i="1"/>
  <c r="BW193" i="1"/>
  <c r="BR193" i="1"/>
  <c r="BM193" i="1"/>
  <c r="BH193" i="1"/>
  <c r="BC193" i="1"/>
  <c r="AX193" i="1"/>
  <c r="AS193" i="1"/>
  <c r="AN193" i="1"/>
  <c r="AI193" i="1"/>
  <c r="AD193" i="1"/>
  <c r="Y193" i="1"/>
  <c r="T193" i="1"/>
  <c r="O193" i="1"/>
  <c r="J193" i="1"/>
  <c r="PV192" i="1"/>
  <c r="PW192" i="1" s="1"/>
  <c r="PX192" i="1" s="1"/>
  <c r="PS192" i="1"/>
  <c r="PN192" i="1"/>
  <c r="PI192" i="1"/>
  <c r="PD192" i="1"/>
  <c r="OY192" i="1"/>
  <c r="OT192" i="1"/>
  <c r="OO192" i="1"/>
  <c r="OJ192" i="1"/>
  <c r="OE192" i="1"/>
  <c r="NZ192" i="1"/>
  <c r="NU192" i="1"/>
  <c r="NP192" i="1"/>
  <c r="NK192" i="1"/>
  <c r="NF192" i="1"/>
  <c r="NA192" i="1"/>
  <c r="MV192" i="1"/>
  <c r="MQ192" i="1"/>
  <c r="ML192" i="1"/>
  <c r="MG192" i="1"/>
  <c r="MB192" i="1"/>
  <c r="LW192" i="1"/>
  <c r="LR192" i="1"/>
  <c r="LM192" i="1"/>
  <c r="LH192" i="1"/>
  <c r="LC192" i="1"/>
  <c r="KX192" i="1"/>
  <c r="KS192" i="1"/>
  <c r="KN192" i="1"/>
  <c r="KI192" i="1"/>
  <c r="KD192" i="1"/>
  <c r="JY192" i="1"/>
  <c r="JT192" i="1"/>
  <c r="JO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J192" i="1"/>
  <c r="EE192" i="1"/>
  <c r="DZ192" i="1"/>
  <c r="DU192" i="1"/>
  <c r="DP192" i="1"/>
  <c r="DK192" i="1"/>
  <c r="DF192" i="1"/>
  <c r="DA192" i="1"/>
  <c r="CV192" i="1"/>
  <c r="CQ192" i="1"/>
  <c r="CL192" i="1"/>
  <c r="CG192" i="1"/>
  <c r="CB192" i="1"/>
  <c r="BW192" i="1"/>
  <c r="BR192" i="1"/>
  <c r="BM192" i="1"/>
  <c r="BH192" i="1"/>
  <c r="BC192" i="1"/>
  <c r="AX192" i="1"/>
  <c r="AS192" i="1"/>
  <c r="AN192" i="1"/>
  <c r="AI192" i="1"/>
  <c r="AD192" i="1"/>
  <c r="Y192" i="1"/>
  <c r="T192" i="1"/>
  <c r="O192" i="1"/>
  <c r="J192" i="1"/>
  <c r="PX191" i="1"/>
  <c r="PS191" i="1"/>
  <c r="PN191" i="1"/>
  <c r="PI191" i="1"/>
  <c r="PD191" i="1"/>
  <c r="OY191" i="1"/>
  <c r="OT191" i="1"/>
  <c r="OO191" i="1"/>
  <c r="OJ191" i="1"/>
  <c r="OE191" i="1"/>
  <c r="NZ191" i="1"/>
  <c r="NU191" i="1"/>
  <c r="NP191" i="1"/>
  <c r="NK191" i="1"/>
  <c r="NF191" i="1"/>
  <c r="NA191" i="1"/>
  <c r="MV191" i="1"/>
  <c r="MQ191" i="1"/>
  <c r="ML191" i="1"/>
  <c r="MG191" i="1"/>
  <c r="MB191" i="1"/>
  <c r="LW191" i="1"/>
  <c r="LR191" i="1"/>
  <c r="LM191" i="1"/>
  <c r="LH191" i="1"/>
  <c r="LC191" i="1"/>
  <c r="KX191" i="1"/>
  <c r="KS191" i="1"/>
  <c r="KN191" i="1"/>
  <c r="KI191" i="1"/>
  <c r="KD191" i="1"/>
  <c r="JY191" i="1"/>
  <c r="JT191" i="1"/>
  <c r="JO191" i="1"/>
  <c r="JJ191" i="1"/>
  <c r="JE191" i="1"/>
  <c r="IZ191" i="1"/>
  <c r="IU191" i="1"/>
  <c r="IP191" i="1"/>
  <c r="IK191" i="1"/>
  <c r="IF191" i="1"/>
  <c r="IA191" i="1"/>
  <c r="HV191" i="1"/>
  <c r="HQ191" i="1"/>
  <c r="HL191" i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H191" i="1"/>
  <c r="EI191" i="1" s="1"/>
  <c r="EJ191" i="1" s="1"/>
  <c r="EC191" i="1"/>
  <c r="ED191" i="1" s="1"/>
  <c r="EE191" i="1" s="1"/>
  <c r="DX191" i="1"/>
  <c r="DY191" i="1" s="1"/>
  <c r="DZ191" i="1" s="1"/>
  <c r="DS191" i="1"/>
  <c r="DT191" i="1" s="1"/>
  <c r="DU191" i="1" s="1"/>
  <c r="DN191" i="1"/>
  <c r="DO191" i="1" s="1"/>
  <c r="DP191" i="1" s="1"/>
  <c r="DI191" i="1"/>
  <c r="DJ191" i="1" s="1"/>
  <c r="DK191" i="1" s="1"/>
  <c r="DD191" i="1"/>
  <c r="DE191" i="1" s="1"/>
  <c r="DF191" i="1" s="1"/>
  <c r="CY191" i="1"/>
  <c r="CZ191" i="1" s="1"/>
  <c r="DA191" i="1" s="1"/>
  <c r="CT191" i="1"/>
  <c r="CU191" i="1" s="1"/>
  <c r="CV191" i="1" s="1"/>
  <c r="CO191" i="1"/>
  <c r="CP191" i="1" s="1"/>
  <c r="CQ191" i="1" s="1"/>
  <c r="CJ191" i="1"/>
  <c r="CK191" i="1" s="1"/>
  <c r="CL191" i="1" s="1"/>
  <c r="CE191" i="1"/>
  <c r="CF191" i="1" s="1"/>
  <c r="CG191" i="1" s="1"/>
  <c r="BZ191" i="1"/>
  <c r="CA191" i="1" s="1"/>
  <c r="CB191" i="1" s="1"/>
  <c r="BU191" i="1"/>
  <c r="BV191" i="1" s="1"/>
  <c r="BW191" i="1" s="1"/>
  <c r="BP191" i="1"/>
  <c r="BQ191" i="1" s="1"/>
  <c r="BR191" i="1" s="1"/>
  <c r="BK191" i="1"/>
  <c r="BL191" i="1" s="1"/>
  <c r="BM191" i="1" s="1"/>
  <c r="BF191" i="1"/>
  <c r="BG191" i="1" s="1"/>
  <c r="BH191" i="1" s="1"/>
  <c r="BA191" i="1"/>
  <c r="BB191" i="1" s="1"/>
  <c r="BC191" i="1" s="1"/>
  <c r="AV191" i="1"/>
  <c r="AW191" i="1" s="1"/>
  <c r="AX191" i="1" s="1"/>
  <c r="AQ191" i="1"/>
  <c r="AR191" i="1" s="1"/>
  <c r="AS191" i="1" s="1"/>
  <c r="AL191" i="1"/>
  <c r="AM191" i="1" s="1"/>
  <c r="AN191" i="1" s="1"/>
  <c r="AG191" i="1"/>
  <c r="AH191" i="1" s="1"/>
  <c r="AI191" i="1" s="1"/>
  <c r="AB191" i="1"/>
  <c r="AC191" i="1" s="1"/>
  <c r="AD191" i="1" s="1"/>
  <c r="W191" i="1"/>
  <c r="X191" i="1" s="1"/>
  <c r="Y191" i="1" s="1"/>
  <c r="R191" i="1"/>
  <c r="S191" i="1" s="1"/>
  <c r="T191" i="1" s="1"/>
  <c r="O191" i="1"/>
  <c r="J191" i="1"/>
  <c r="PX190" i="1"/>
  <c r="PS190" i="1"/>
  <c r="PN190" i="1"/>
  <c r="PI190" i="1"/>
  <c r="PD190" i="1"/>
  <c r="OY190" i="1"/>
  <c r="OT190" i="1"/>
  <c r="OO190" i="1"/>
  <c r="OJ190" i="1"/>
  <c r="OE190" i="1"/>
  <c r="NZ190" i="1"/>
  <c r="NU190" i="1"/>
  <c r="NP190" i="1"/>
  <c r="NK190" i="1"/>
  <c r="NF190" i="1"/>
  <c r="NA190" i="1"/>
  <c r="MV190" i="1"/>
  <c r="MQ190" i="1"/>
  <c r="ML190" i="1"/>
  <c r="MG190" i="1"/>
  <c r="MB190" i="1"/>
  <c r="LW190" i="1"/>
  <c r="LR190" i="1"/>
  <c r="LM190" i="1"/>
  <c r="LH190" i="1"/>
  <c r="LC190" i="1"/>
  <c r="KX190" i="1"/>
  <c r="KS190" i="1"/>
  <c r="KN190" i="1"/>
  <c r="KI190" i="1"/>
  <c r="KD190" i="1"/>
  <c r="JY190" i="1"/>
  <c r="JT190" i="1"/>
  <c r="JO190" i="1"/>
  <c r="JJ190" i="1"/>
  <c r="JE190" i="1"/>
  <c r="IZ190" i="1"/>
  <c r="IU190" i="1"/>
  <c r="IP190" i="1"/>
  <c r="IK190" i="1"/>
  <c r="IF190" i="1"/>
  <c r="IA190" i="1"/>
  <c r="HV190" i="1"/>
  <c r="HQ190" i="1"/>
  <c r="HL190" i="1"/>
  <c r="HG190" i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H190" i="1"/>
  <c r="EI190" i="1" s="1"/>
  <c r="EJ190" i="1" s="1"/>
  <c r="EC190" i="1"/>
  <c r="ED190" i="1" s="1"/>
  <c r="EE190" i="1" s="1"/>
  <c r="DX190" i="1"/>
  <c r="DY190" i="1" s="1"/>
  <c r="DZ190" i="1" s="1"/>
  <c r="DS190" i="1"/>
  <c r="DT190" i="1" s="1"/>
  <c r="DU190" i="1" s="1"/>
  <c r="DN190" i="1"/>
  <c r="DO190" i="1" s="1"/>
  <c r="DP190" i="1" s="1"/>
  <c r="DI190" i="1"/>
  <c r="DJ190" i="1" s="1"/>
  <c r="DK190" i="1" s="1"/>
  <c r="DD190" i="1"/>
  <c r="DE190" i="1" s="1"/>
  <c r="DF190" i="1" s="1"/>
  <c r="CY190" i="1"/>
  <c r="CZ190" i="1" s="1"/>
  <c r="DA190" i="1" s="1"/>
  <c r="CT190" i="1"/>
  <c r="CU190" i="1" s="1"/>
  <c r="CV190" i="1" s="1"/>
  <c r="CO190" i="1"/>
  <c r="CP190" i="1" s="1"/>
  <c r="CQ190" i="1" s="1"/>
  <c r="CJ190" i="1"/>
  <c r="CK190" i="1" s="1"/>
  <c r="CL190" i="1" s="1"/>
  <c r="CE190" i="1"/>
  <c r="CF190" i="1" s="1"/>
  <c r="CG190" i="1" s="1"/>
  <c r="BZ190" i="1"/>
  <c r="CA190" i="1" s="1"/>
  <c r="CB190" i="1" s="1"/>
  <c r="BU190" i="1"/>
  <c r="BV190" i="1" s="1"/>
  <c r="BW190" i="1" s="1"/>
  <c r="BP190" i="1"/>
  <c r="BQ190" i="1" s="1"/>
  <c r="BR190" i="1" s="1"/>
  <c r="BK190" i="1"/>
  <c r="BL190" i="1" s="1"/>
  <c r="BM190" i="1" s="1"/>
  <c r="BF190" i="1"/>
  <c r="BG190" i="1" s="1"/>
  <c r="BH190" i="1" s="1"/>
  <c r="BA190" i="1"/>
  <c r="BB190" i="1" s="1"/>
  <c r="BC190" i="1" s="1"/>
  <c r="AV190" i="1"/>
  <c r="AW190" i="1" s="1"/>
  <c r="AX190" i="1" s="1"/>
  <c r="AQ190" i="1"/>
  <c r="AR190" i="1" s="1"/>
  <c r="AS190" i="1" s="1"/>
  <c r="AL190" i="1"/>
  <c r="AM190" i="1" s="1"/>
  <c r="AN190" i="1" s="1"/>
  <c r="AG190" i="1"/>
  <c r="AH190" i="1" s="1"/>
  <c r="AI190" i="1" s="1"/>
  <c r="AD190" i="1"/>
  <c r="W190" i="1"/>
  <c r="X190" i="1" s="1"/>
  <c r="Y190" i="1" s="1"/>
  <c r="T190" i="1"/>
  <c r="O190" i="1"/>
  <c r="H190" i="1"/>
  <c r="I190" i="1" s="1"/>
  <c r="J190" i="1" s="1"/>
  <c r="PX189" i="1"/>
  <c r="PS189" i="1"/>
  <c r="PN189" i="1"/>
  <c r="PI189" i="1"/>
  <c r="PD189" i="1"/>
  <c r="OY189" i="1"/>
  <c r="OT189" i="1"/>
  <c r="OO189" i="1"/>
  <c r="OJ189" i="1"/>
  <c r="OE189" i="1"/>
  <c r="NZ189" i="1"/>
  <c r="NU189" i="1"/>
  <c r="NP189" i="1"/>
  <c r="NK189" i="1"/>
  <c r="NF189" i="1"/>
  <c r="NA189" i="1"/>
  <c r="MV189" i="1"/>
  <c r="MQ189" i="1"/>
  <c r="ML189" i="1"/>
  <c r="MG189" i="1"/>
  <c r="MB189" i="1"/>
  <c r="LW189" i="1"/>
  <c r="LR189" i="1"/>
  <c r="LM189" i="1"/>
  <c r="LH189" i="1"/>
  <c r="LC189" i="1"/>
  <c r="KX189" i="1"/>
  <c r="KQ189" i="1"/>
  <c r="KR189" i="1" s="1"/>
  <c r="KS189" i="1" s="1"/>
  <c r="KN189" i="1"/>
  <c r="KG189" i="1"/>
  <c r="KH189" i="1" s="1"/>
  <c r="KI189" i="1" s="1"/>
  <c r="KD189" i="1"/>
  <c r="JY189" i="1"/>
  <c r="JT189" i="1"/>
  <c r="JO189" i="1"/>
  <c r="JJ189" i="1"/>
  <c r="JE189" i="1"/>
  <c r="IZ189" i="1"/>
  <c r="IU189" i="1"/>
  <c r="IP189" i="1"/>
  <c r="IK189" i="1"/>
  <c r="IF189" i="1"/>
  <c r="IA189" i="1"/>
  <c r="HV189" i="1"/>
  <c r="HQ189" i="1"/>
  <c r="HL189" i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H189" i="1"/>
  <c r="EI189" i="1" s="1"/>
  <c r="EJ189" i="1" s="1"/>
  <c r="EC189" i="1"/>
  <c r="ED189" i="1" s="1"/>
  <c r="EE189" i="1" s="1"/>
  <c r="DX189" i="1"/>
  <c r="DY189" i="1" s="1"/>
  <c r="DZ189" i="1" s="1"/>
  <c r="DS189" i="1"/>
  <c r="DT189" i="1" s="1"/>
  <c r="DU189" i="1" s="1"/>
  <c r="DN189" i="1"/>
  <c r="DO189" i="1" s="1"/>
  <c r="DP189" i="1" s="1"/>
  <c r="DI189" i="1"/>
  <c r="DJ189" i="1" s="1"/>
  <c r="DK189" i="1" s="1"/>
  <c r="DD189" i="1"/>
  <c r="DE189" i="1" s="1"/>
  <c r="DF189" i="1" s="1"/>
  <c r="CY189" i="1"/>
  <c r="CZ189" i="1" s="1"/>
  <c r="DA189" i="1" s="1"/>
  <c r="CT189" i="1"/>
  <c r="CU189" i="1" s="1"/>
  <c r="CV189" i="1" s="1"/>
  <c r="CO189" i="1"/>
  <c r="CP189" i="1" s="1"/>
  <c r="CQ189" i="1" s="1"/>
  <c r="CJ189" i="1"/>
  <c r="CK189" i="1" s="1"/>
  <c r="CL189" i="1" s="1"/>
  <c r="CE189" i="1"/>
  <c r="CF189" i="1" s="1"/>
  <c r="CG189" i="1" s="1"/>
  <c r="BZ189" i="1"/>
  <c r="CA189" i="1" s="1"/>
  <c r="CB189" i="1" s="1"/>
  <c r="BU189" i="1"/>
  <c r="BV189" i="1" s="1"/>
  <c r="BW189" i="1" s="1"/>
  <c r="BP189" i="1"/>
  <c r="BQ189" i="1" s="1"/>
  <c r="BR189" i="1" s="1"/>
  <c r="BK189" i="1"/>
  <c r="BL189" i="1" s="1"/>
  <c r="BM189" i="1" s="1"/>
  <c r="BF189" i="1"/>
  <c r="BG189" i="1" s="1"/>
  <c r="BH189" i="1" s="1"/>
  <c r="BA189" i="1"/>
  <c r="BB189" i="1" s="1"/>
  <c r="BC189" i="1" s="1"/>
  <c r="AV189" i="1"/>
  <c r="AW189" i="1" s="1"/>
  <c r="AX189" i="1" s="1"/>
  <c r="AQ189" i="1"/>
  <c r="AR189" i="1" s="1"/>
  <c r="AS189" i="1" s="1"/>
  <c r="AL189" i="1"/>
  <c r="AM189" i="1" s="1"/>
  <c r="AN189" i="1" s="1"/>
  <c r="AG189" i="1"/>
  <c r="AH189" i="1" s="1"/>
  <c r="AI189" i="1" s="1"/>
  <c r="AB189" i="1"/>
  <c r="AC189" i="1" s="1"/>
  <c r="AD189" i="1" s="1"/>
  <c r="W189" i="1"/>
  <c r="X189" i="1" s="1"/>
  <c r="Y189" i="1" s="1"/>
  <c r="T189" i="1"/>
  <c r="O189" i="1"/>
  <c r="J189" i="1"/>
  <c r="PX188" i="1"/>
  <c r="PS188" i="1"/>
  <c r="PN188" i="1"/>
  <c r="PI188" i="1"/>
  <c r="PD188" i="1"/>
  <c r="OY188" i="1"/>
  <c r="OT188" i="1"/>
  <c r="OO188" i="1"/>
  <c r="OJ188" i="1"/>
  <c r="OE188" i="1"/>
  <c r="NZ188" i="1"/>
  <c r="NU188" i="1"/>
  <c r="NP188" i="1"/>
  <c r="NK188" i="1"/>
  <c r="NF188" i="1"/>
  <c r="NA188" i="1"/>
  <c r="MV188" i="1"/>
  <c r="MQ188" i="1"/>
  <c r="ML188" i="1"/>
  <c r="MG188" i="1"/>
  <c r="LZ188" i="1"/>
  <c r="MA188" i="1" s="1"/>
  <c r="MB188" i="1" s="1"/>
  <c r="LU188" i="1"/>
  <c r="LV188" i="1" s="1"/>
  <c r="LW188" i="1" s="1"/>
  <c r="LR188" i="1"/>
  <c r="LM188" i="1"/>
  <c r="LH188" i="1"/>
  <c r="LC188" i="1"/>
  <c r="KX188" i="1"/>
  <c r="KS188" i="1"/>
  <c r="KN188" i="1"/>
  <c r="KI188" i="1"/>
  <c r="KD188" i="1"/>
  <c r="JY188" i="1"/>
  <c r="JT188" i="1"/>
  <c r="JO188" i="1"/>
  <c r="JJ188" i="1"/>
  <c r="JE188" i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H188" i="1"/>
  <c r="EI188" i="1" s="1"/>
  <c r="EJ188" i="1" s="1"/>
  <c r="EC188" i="1"/>
  <c r="ED188" i="1" s="1"/>
  <c r="EE188" i="1" s="1"/>
  <c r="DX188" i="1"/>
  <c r="DY188" i="1" s="1"/>
  <c r="DZ188" i="1" s="1"/>
  <c r="DS188" i="1"/>
  <c r="DT188" i="1" s="1"/>
  <c r="DU188" i="1" s="1"/>
  <c r="DN188" i="1"/>
  <c r="DO188" i="1" s="1"/>
  <c r="DP188" i="1" s="1"/>
  <c r="DI188" i="1"/>
  <c r="DJ188" i="1" s="1"/>
  <c r="DK188" i="1" s="1"/>
  <c r="DD188" i="1"/>
  <c r="DE188" i="1" s="1"/>
  <c r="DF188" i="1" s="1"/>
  <c r="CY188" i="1"/>
  <c r="CZ188" i="1" s="1"/>
  <c r="DA188" i="1" s="1"/>
  <c r="CT188" i="1"/>
  <c r="CU188" i="1" s="1"/>
  <c r="CV188" i="1" s="1"/>
  <c r="CO188" i="1"/>
  <c r="CP188" i="1" s="1"/>
  <c r="CQ188" i="1" s="1"/>
  <c r="CJ188" i="1"/>
  <c r="CK188" i="1" s="1"/>
  <c r="CL188" i="1" s="1"/>
  <c r="CE188" i="1"/>
  <c r="CF188" i="1" s="1"/>
  <c r="CG188" i="1" s="1"/>
  <c r="BZ188" i="1"/>
  <c r="CA188" i="1" s="1"/>
  <c r="CB188" i="1" s="1"/>
  <c r="BU188" i="1"/>
  <c r="BV188" i="1" s="1"/>
  <c r="BW188" i="1" s="1"/>
  <c r="BP188" i="1"/>
  <c r="BQ188" i="1" s="1"/>
  <c r="BR188" i="1" s="1"/>
  <c r="BK188" i="1"/>
  <c r="BL188" i="1" s="1"/>
  <c r="BM188" i="1" s="1"/>
  <c r="BF188" i="1"/>
  <c r="BG188" i="1" s="1"/>
  <c r="BH188" i="1" s="1"/>
  <c r="BA188" i="1"/>
  <c r="BB188" i="1" s="1"/>
  <c r="BC188" i="1" s="1"/>
  <c r="AV188" i="1"/>
  <c r="AW188" i="1" s="1"/>
  <c r="AX188" i="1" s="1"/>
  <c r="AQ188" i="1"/>
  <c r="AR188" i="1" s="1"/>
  <c r="AS188" i="1" s="1"/>
  <c r="AL188" i="1"/>
  <c r="AM188" i="1" s="1"/>
  <c r="AN188" i="1" s="1"/>
  <c r="AG188" i="1"/>
  <c r="AH188" i="1" s="1"/>
  <c r="AI188" i="1" s="1"/>
  <c r="AB188" i="1"/>
  <c r="AC188" i="1" s="1"/>
  <c r="AD188" i="1" s="1"/>
  <c r="W188" i="1"/>
  <c r="X188" i="1" s="1"/>
  <c r="Y188" i="1" s="1"/>
  <c r="T188" i="1"/>
  <c r="O188" i="1"/>
  <c r="J188" i="1"/>
  <c r="PX187" i="1"/>
  <c r="PS187" i="1"/>
  <c r="PN187" i="1"/>
  <c r="PI187" i="1"/>
  <c r="PD187" i="1"/>
  <c r="OY187" i="1"/>
  <c r="OT187" i="1"/>
  <c r="OO187" i="1"/>
  <c r="OJ187" i="1"/>
  <c r="OE187" i="1"/>
  <c r="NZ187" i="1"/>
  <c r="NU187" i="1"/>
  <c r="NP187" i="1"/>
  <c r="NK187" i="1"/>
  <c r="NF187" i="1"/>
  <c r="NA187" i="1"/>
  <c r="MV187" i="1"/>
  <c r="MQ187" i="1"/>
  <c r="ML187" i="1"/>
  <c r="MG187" i="1"/>
  <c r="MB187" i="1"/>
  <c r="LW187" i="1"/>
  <c r="LR187" i="1"/>
  <c r="LM187" i="1"/>
  <c r="LH187" i="1"/>
  <c r="LC187" i="1"/>
  <c r="KX187" i="1"/>
  <c r="KS187" i="1"/>
  <c r="KN187" i="1"/>
  <c r="KI187" i="1"/>
  <c r="KD187" i="1"/>
  <c r="JY187" i="1"/>
  <c r="JT187" i="1"/>
  <c r="JO187" i="1"/>
  <c r="JJ187" i="1"/>
  <c r="JE187" i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T187" i="1"/>
  <c r="HU187" i="1" s="1"/>
  <c r="HV187" i="1" s="1"/>
  <c r="HQ187" i="1"/>
  <c r="HL187" i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H187" i="1"/>
  <c r="EI187" i="1" s="1"/>
  <c r="EJ187" i="1" s="1"/>
  <c r="EC187" i="1"/>
  <c r="ED187" i="1" s="1"/>
  <c r="EE187" i="1" s="1"/>
  <c r="DX187" i="1"/>
  <c r="DY187" i="1" s="1"/>
  <c r="DZ187" i="1" s="1"/>
  <c r="DS187" i="1"/>
  <c r="DT187" i="1" s="1"/>
  <c r="DU187" i="1" s="1"/>
  <c r="DN187" i="1"/>
  <c r="DO187" i="1" s="1"/>
  <c r="DP187" i="1" s="1"/>
  <c r="DI187" i="1"/>
  <c r="DJ187" i="1" s="1"/>
  <c r="DK187" i="1" s="1"/>
  <c r="DD187" i="1"/>
  <c r="DE187" i="1" s="1"/>
  <c r="DF187" i="1" s="1"/>
  <c r="CY187" i="1"/>
  <c r="CZ187" i="1" s="1"/>
  <c r="DA187" i="1" s="1"/>
  <c r="CT187" i="1"/>
  <c r="CU187" i="1" s="1"/>
  <c r="CV187" i="1" s="1"/>
  <c r="CO187" i="1"/>
  <c r="CP187" i="1" s="1"/>
  <c r="CQ187" i="1" s="1"/>
  <c r="CJ187" i="1"/>
  <c r="CK187" i="1" s="1"/>
  <c r="CL187" i="1" s="1"/>
  <c r="CE187" i="1"/>
  <c r="CF187" i="1" s="1"/>
  <c r="CG187" i="1" s="1"/>
  <c r="BZ187" i="1"/>
  <c r="CA187" i="1" s="1"/>
  <c r="CB187" i="1" s="1"/>
  <c r="BU187" i="1"/>
  <c r="BV187" i="1" s="1"/>
  <c r="BW187" i="1" s="1"/>
  <c r="BP187" i="1"/>
  <c r="BQ187" i="1" s="1"/>
  <c r="BR187" i="1" s="1"/>
  <c r="BK187" i="1"/>
  <c r="BL187" i="1" s="1"/>
  <c r="BM187" i="1" s="1"/>
  <c r="BF187" i="1"/>
  <c r="BG187" i="1" s="1"/>
  <c r="BH187" i="1" s="1"/>
  <c r="BA187" i="1"/>
  <c r="BB187" i="1" s="1"/>
  <c r="BC187" i="1" s="1"/>
  <c r="AV187" i="1"/>
  <c r="AW187" i="1" s="1"/>
  <c r="AX187" i="1" s="1"/>
  <c r="AQ187" i="1"/>
  <c r="AR187" i="1" s="1"/>
  <c r="AS187" i="1" s="1"/>
  <c r="AL187" i="1"/>
  <c r="AM187" i="1" s="1"/>
  <c r="AN187" i="1" s="1"/>
  <c r="AG187" i="1"/>
  <c r="AH187" i="1" s="1"/>
  <c r="AI187" i="1" s="1"/>
  <c r="AB187" i="1"/>
  <c r="AC187" i="1" s="1"/>
  <c r="AD187" i="1" s="1"/>
  <c r="W187" i="1"/>
  <c r="X187" i="1" s="1"/>
  <c r="Y187" i="1" s="1"/>
  <c r="T187" i="1"/>
  <c r="O187" i="1"/>
  <c r="J187" i="1"/>
  <c r="PX186" i="1"/>
  <c r="PS186" i="1"/>
  <c r="PN186" i="1"/>
  <c r="PI186" i="1"/>
  <c r="PD186" i="1"/>
  <c r="OY186" i="1"/>
  <c r="OT186" i="1"/>
  <c r="OO186" i="1"/>
  <c r="OJ186" i="1"/>
  <c r="OE186" i="1"/>
  <c r="NX186" i="1"/>
  <c r="NY186" i="1" s="1"/>
  <c r="NZ186" i="1" s="1"/>
  <c r="NU186" i="1"/>
  <c r="NP186" i="1"/>
  <c r="NK186" i="1"/>
  <c r="NF186" i="1"/>
  <c r="NA186" i="1"/>
  <c r="MV186" i="1"/>
  <c r="MQ186" i="1"/>
  <c r="ML186" i="1"/>
  <c r="MG186" i="1"/>
  <c r="MB186" i="1"/>
  <c r="LW186" i="1"/>
  <c r="LR186" i="1"/>
  <c r="LM186" i="1"/>
  <c r="LH186" i="1"/>
  <c r="LA186" i="1"/>
  <c r="LB186" i="1" s="1"/>
  <c r="LC186" i="1" s="1"/>
  <c r="KV186" i="1"/>
  <c r="KW186" i="1" s="1"/>
  <c r="KX186" i="1" s="1"/>
  <c r="KQ186" i="1"/>
  <c r="KR186" i="1" s="1"/>
  <c r="KS186" i="1" s="1"/>
  <c r="KN186" i="1"/>
  <c r="KI186" i="1"/>
  <c r="KD186" i="1"/>
  <c r="JY186" i="1"/>
  <c r="JT186" i="1"/>
  <c r="JO186" i="1"/>
  <c r="JJ186" i="1"/>
  <c r="JE186" i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T186" i="1"/>
  <c r="HU186" i="1" s="1"/>
  <c r="HV186" i="1" s="1"/>
  <c r="HQ186" i="1"/>
  <c r="HL186" i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H186" i="1"/>
  <c r="EI186" i="1" s="1"/>
  <c r="EJ186" i="1" s="1"/>
  <c r="EC186" i="1"/>
  <c r="ED186" i="1" s="1"/>
  <c r="EE186" i="1" s="1"/>
  <c r="DX186" i="1"/>
  <c r="DY186" i="1" s="1"/>
  <c r="DZ186" i="1" s="1"/>
  <c r="DS186" i="1"/>
  <c r="DT186" i="1" s="1"/>
  <c r="DU186" i="1" s="1"/>
  <c r="DN186" i="1"/>
  <c r="DO186" i="1" s="1"/>
  <c r="DP186" i="1" s="1"/>
  <c r="DI186" i="1"/>
  <c r="DJ186" i="1" s="1"/>
  <c r="DK186" i="1" s="1"/>
  <c r="DD186" i="1"/>
  <c r="DE186" i="1" s="1"/>
  <c r="DF186" i="1" s="1"/>
  <c r="CY186" i="1"/>
  <c r="CZ186" i="1" s="1"/>
  <c r="DA186" i="1" s="1"/>
  <c r="CT186" i="1"/>
  <c r="CU186" i="1" s="1"/>
  <c r="CV186" i="1" s="1"/>
  <c r="CO186" i="1"/>
  <c r="CP186" i="1" s="1"/>
  <c r="CQ186" i="1" s="1"/>
  <c r="CJ186" i="1"/>
  <c r="CK186" i="1" s="1"/>
  <c r="CL186" i="1" s="1"/>
  <c r="CE186" i="1"/>
  <c r="CF186" i="1" s="1"/>
  <c r="CG186" i="1" s="1"/>
  <c r="BZ186" i="1"/>
  <c r="CA186" i="1" s="1"/>
  <c r="CB186" i="1" s="1"/>
  <c r="BU186" i="1"/>
  <c r="BV186" i="1" s="1"/>
  <c r="BW186" i="1" s="1"/>
  <c r="BP186" i="1"/>
  <c r="BQ186" i="1" s="1"/>
  <c r="BR186" i="1" s="1"/>
  <c r="BK186" i="1"/>
  <c r="BL186" i="1" s="1"/>
  <c r="BM186" i="1" s="1"/>
  <c r="BF186" i="1"/>
  <c r="BG186" i="1" s="1"/>
  <c r="BH186" i="1" s="1"/>
  <c r="BA186" i="1"/>
  <c r="BB186" i="1" s="1"/>
  <c r="BC186" i="1" s="1"/>
  <c r="AV186" i="1"/>
  <c r="AW186" i="1" s="1"/>
  <c r="AX186" i="1" s="1"/>
  <c r="AQ186" i="1"/>
  <c r="AR186" i="1" s="1"/>
  <c r="AS186" i="1" s="1"/>
  <c r="AL186" i="1"/>
  <c r="AM186" i="1" s="1"/>
  <c r="AN186" i="1" s="1"/>
  <c r="AG186" i="1"/>
  <c r="AH186" i="1" s="1"/>
  <c r="AI186" i="1" s="1"/>
  <c r="AB186" i="1"/>
  <c r="AC186" i="1" s="1"/>
  <c r="AD186" i="1" s="1"/>
  <c r="W186" i="1"/>
  <c r="X186" i="1" s="1"/>
  <c r="Y186" i="1" s="1"/>
  <c r="R186" i="1"/>
  <c r="S186" i="1" s="1"/>
  <c r="T186" i="1" s="1"/>
  <c r="O186" i="1"/>
  <c r="J186" i="1"/>
  <c r="PX185" i="1"/>
  <c r="PS185" i="1"/>
  <c r="PN185" i="1"/>
  <c r="PI185" i="1"/>
  <c r="PD185" i="1"/>
  <c r="OY185" i="1"/>
  <c r="OT185" i="1"/>
  <c r="OO185" i="1"/>
  <c r="OJ185" i="1"/>
  <c r="OE185" i="1"/>
  <c r="NZ185" i="1"/>
  <c r="NU185" i="1"/>
  <c r="NP185" i="1"/>
  <c r="NK185" i="1"/>
  <c r="NF185" i="1"/>
  <c r="NA185" i="1"/>
  <c r="MV185" i="1"/>
  <c r="MQ185" i="1"/>
  <c r="ML185" i="1"/>
  <c r="MG185" i="1"/>
  <c r="MB185" i="1"/>
  <c r="LW185" i="1"/>
  <c r="LR185" i="1"/>
  <c r="LM185" i="1"/>
  <c r="LF185" i="1"/>
  <c r="LG185" i="1" s="1"/>
  <c r="LH185" i="1" s="1"/>
  <c r="LA185" i="1"/>
  <c r="LB185" i="1" s="1"/>
  <c r="LC185" i="1" s="1"/>
  <c r="KX185" i="1"/>
  <c r="KQ185" i="1"/>
  <c r="KR185" i="1" s="1"/>
  <c r="KS185" i="1" s="1"/>
  <c r="KN185" i="1"/>
  <c r="KI185" i="1"/>
  <c r="KD185" i="1"/>
  <c r="JY185" i="1"/>
  <c r="JT185" i="1"/>
  <c r="JO185" i="1"/>
  <c r="JJ185" i="1"/>
  <c r="JE185" i="1"/>
  <c r="IX185" i="1"/>
  <c r="IY185" i="1" s="1"/>
  <c r="IZ185" i="1" s="1"/>
  <c r="IS185" i="1"/>
  <c r="IT185" i="1" s="1"/>
  <c r="IU185" i="1" s="1"/>
  <c r="IP185" i="1"/>
  <c r="IK185" i="1"/>
  <c r="IF185" i="1"/>
  <c r="IA185" i="1"/>
  <c r="HV185" i="1"/>
  <c r="HQ185" i="1"/>
  <c r="HL185" i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H185" i="1"/>
  <c r="EI185" i="1" s="1"/>
  <c r="EJ185" i="1" s="1"/>
  <c r="EC185" i="1"/>
  <c r="ED185" i="1" s="1"/>
  <c r="EE185" i="1" s="1"/>
  <c r="DX185" i="1"/>
  <c r="DY185" i="1" s="1"/>
  <c r="DZ185" i="1" s="1"/>
  <c r="DS185" i="1"/>
  <c r="DT185" i="1" s="1"/>
  <c r="DU185" i="1" s="1"/>
  <c r="DN185" i="1"/>
  <c r="DO185" i="1" s="1"/>
  <c r="DP185" i="1" s="1"/>
  <c r="DI185" i="1"/>
  <c r="DJ185" i="1" s="1"/>
  <c r="DK185" i="1" s="1"/>
  <c r="DD185" i="1"/>
  <c r="DE185" i="1" s="1"/>
  <c r="DF185" i="1" s="1"/>
  <c r="CY185" i="1"/>
  <c r="CZ185" i="1" s="1"/>
  <c r="DA185" i="1" s="1"/>
  <c r="CT185" i="1"/>
  <c r="CU185" i="1" s="1"/>
  <c r="CV185" i="1" s="1"/>
  <c r="CO185" i="1"/>
  <c r="CP185" i="1" s="1"/>
  <c r="CQ185" i="1" s="1"/>
  <c r="CJ185" i="1"/>
  <c r="CK185" i="1" s="1"/>
  <c r="CL185" i="1" s="1"/>
  <c r="CE185" i="1"/>
  <c r="CF185" i="1" s="1"/>
  <c r="CG185" i="1" s="1"/>
  <c r="BZ185" i="1"/>
  <c r="CA185" i="1" s="1"/>
  <c r="CB185" i="1" s="1"/>
  <c r="BU185" i="1"/>
  <c r="BV185" i="1" s="1"/>
  <c r="BW185" i="1" s="1"/>
  <c r="BP185" i="1"/>
  <c r="BQ185" i="1" s="1"/>
  <c r="BR185" i="1" s="1"/>
  <c r="BK185" i="1"/>
  <c r="BL185" i="1" s="1"/>
  <c r="BM185" i="1" s="1"/>
  <c r="BF185" i="1"/>
  <c r="BG185" i="1" s="1"/>
  <c r="BH185" i="1" s="1"/>
  <c r="BA185" i="1"/>
  <c r="BB185" i="1" s="1"/>
  <c r="BC185" i="1" s="1"/>
  <c r="AV185" i="1"/>
  <c r="AW185" i="1" s="1"/>
  <c r="AX185" i="1" s="1"/>
  <c r="AQ185" i="1"/>
  <c r="AR185" i="1" s="1"/>
  <c r="AS185" i="1" s="1"/>
  <c r="AL185" i="1"/>
  <c r="AM185" i="1" s="1"/>
  <c r="AN185" i="1" s="1"/>
  <c r="AG185" i="1"/>
  <c r="AH185" i="1" s="1"/>
  <c r="AI185" i="1" s="1"/>
  <c r="AB185" i="1"/>
  <c r="AC185" i="1" s="1"/>
  <c r="AD185" i="1" s="1"/>
  <c r="W185" i="1"/>
  <c r="X185" i="1" s="1"/>
  <c r="Y185" i="1" s="1"/>
  <c r="T185" i="1"/>
  <c r="O185" i="1"/>
  <c r="J185" i="1"/>
  <c r="PX184" i="1"/>
  <c r="PS184" i="1"/>
  <c r="PN184" i="1"/>
  <c r="PI184" i="1"/>
  <c r="PD184" i="1"/>
  <c r="OY184" i="1"/>
  <c r="OT184" i="1"/>
  <c r="OO184" i="1"/>
  <c r="OJ184" i="1"/>
  <c r="OE184" i="1"/>
  <c r="NZ184" i="1"/>
  <c r="NU184" i="1"/>
  <c r="NP184" i="1"/>
  <c r="NK184" i="1"/>
  <c r="NF184" i="1"/>
  <c r="NA184" i="1"/>
  <c r="MV184" i="1"/>
  <c r="MQ184" i="1"/>
  <c r="ML184" i="1"/>
  <c r="MG184" i="1"/>
  <c r="MB184" i="1"/>
  <c r="LW184" i="1"/>
  <c r="LR184" i="1"/>
  <c r="LM184" i="1"/>
  <c r="LH184" i="1"/>
  <c r="LC184" i="1"/>
  <c r="KX184" i="1"/>
  <c r="KS184" i="1"/>
  <c r="KN184" i="1"/>
  <c r="KI184" i="1"/>
  <c r="KD184" i="1"/>
  <c r="JY184" i="1"/>
  <c r="JT184" i="1"/>
  <c r="JO184" i="1"/>
  <c r="JJ184" i="1"/>
  <c r="JE184" i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T184" i="1"/>
  <c r="HU184" i="1" s="1"/>
  <c r="HV184" i="1" s="1"/>
  <c r="HQ184" i="1"/>
  <c r="HL184" i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H184" i="1"/>
  <c r="EI184" i="1" s="1"/>
  <c r="EJ184" i="1" s="1"/>
  <c r="EC184" i="1"/>
  <c r="ED184" i="1" s="1"/>
  <c r="EE184" i="1" s="1"/>
  <c r="DX184" i="1"/>
  <c r="DY184" i="1" s="1"/>
  <c r="DZ184" i="1" s="1"/>
  <c r="DS184" i="1"/>
  <c r="DT184" i="1" s="1"/>
  <c r="DU184" i="1" s="1"/>
  <c r="DN184" i="1"/>
  <c r="DO184" i="1" s="1"/>
  <c r="DP184" i="1" s="1"/>
  <c r="DI184" i="1"/>
  <c r="DJ184" i="1" s="1"/>
  <c r="DK184" i="1" s="1"/>
  <c r="DD184" i="1"/>
  <c r="DE184" i="1" s="1"/>
  <c r="DF184" i="1" s="1"/>
  <c r="CY184" i="1"/>
  <c r="CZ184" i="1" s="1"/>
  <c r="DA184" i="1" s="1"/>
  <c r="CT184" i="1"/>
  <c r="CU184" i="1" s="1"/>
  <c r="CV184" i="1" s="1"/>
  <c r="CO184" i="1"/>
  <c r="CP184" i="1" s="1"/>
  <c r="CQ184" i="1" s="1"/>
  <c r="CJ184" i="1"/>
  <c r="CK184" i="1" s="1"/>
  <c r="CL184" i="1" s="1"/>
  <c r="CE184" i="1"/>
  <c r="CF184" i="1" s="1"/>
  <c r="CG184" i="1" s="1"/>
  <c r="BZ184" i="1"/>
  <c r="CA184" i="1" s="1"/>
  <c r="CB184" i="1" s="1"/>
  <c r="BU184" i="1"/>
  <c r="BV184" i="1" s="1"/>
  <c r="BW184" i="1" s="1"/>
  <c r="BP184" i="1"/>
  <c r="BQ184" i="1" s="1"/>
  <c r="BR184" i="1" s="1"/>
  <c r="BK184" i="1"/>
  <c r="BL184" i="1" s="1"/>
  <c r="BM184" i="1" s="1"/>
  <c r="BF184" i="1"/>
  <c r="BG184" i="1" s="1"/>
  <c r="BH184" i="1" s="1"/>
  <c r="BA184" i="1"/>
  <c r="BB184" i="1" s="1"/>
  <c r="BC184" i="1" s="1"/>
  <c r="AV184" i="1"/>
  <c r="AW184" i="1" s="1"/>
  <c r="AX184" i="1" s="1"/>
  <c r="AQ184" i="1"/>
  <c r="AR184" i="1" s="1"/>
  <c r="AS184" i="1" s="1"/>
  <c r="AL184" i="1"/>
  <c r="AM184" i="1" s="1"/>
  <c r="AN184" i="1" s="1"/>
  <c r="AG184" i="1"/>
  <c r="AH184" i="1" s="1"/>
  <c r="AI184" i="1" s="1"/>
  <c r="AB184" i="1"/>
  <c r="AC184" i="1" s="1"/>
  <c r="AD184" i="1" s="1"/>
  <c r="W184" i="1"/>
  <c r="X184" i="1" s="1"/>
  <c r="Y184" i="1" s="1"/>
  <c r="T184" i="1"/>
  <c r="O184" i="1"/>
  <c r="J184" i="1"/>
  <c r="PX183" i="1"/>
  <c r="PS183" i="1"/>
  <c r="PN183" i="1"/>
  <c r="PI183" i="1"/>
  <c r="PD183" i="1"/>
  <c r="OY183" i="1"/>
  <c r="OT183" i="1"/>
  <c r="OO183" i="1"/>
  <c r="OJ183" i="1"/>
  <c r="OE183" i="1"/>
  <c r="NZ183" i="1"/>
  <c r="NU183" i="1"/>
  <c r="NP183" i="1"/>
  <c r="NK183" i="1"/>
  <c r="NF183" i="1"/>
  <c r="NA183" i="1"/>
  <c r="MV183" i="1"/>
  <c r="MQ183" i="1"/>
  <c r="ML183" i="1"/>
  <c r="MG183" i="1"/>
  <c r="MB183" i="1"/>
  <c r="LW183" i="1"/>
  <c r="LR183" i="1"/>
  <c r="LM183" i="1"/>
  <c r="LF183" i="1"/>
  <c r="LG183" i="1" s="1"/>
  <c r="LH183" i="1" s="1"/>
  <c r="LC183" i="1"/>
  <c r="KV183" i="1"/>
  <c r="KW183" i="1" s="1"/>
  <c r="KX183" i="1" s="1"/>
  <c r="KQ183" i="1"/>
  <c r="KR183" i="1" s="1"/>
  <c r="KS183" i="1" s="1"/>
  <c r="KN183" i="1"/>
  <c r="KI183" i="1"/>
  <c r="KD183" i="1"/>
  <c r="JY183" i="1"/>
  <c r="JT183" i="1"/>
  <c r="JO183" i="1"/>
  <c r="JJ183" i="1"/>
  <c r="JE183" i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T183" i="1"/>
  <c r="HU183" i="1" s="1"/>
  <c r="HV183" i="1" s="1"/>
  <c r="HQ183" i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H183" i="1"/>
  <c r="EI183" i="1" s="1"/>
  <c r="EJ183" i="1" s="1"/>
  <c r="EC183" i="1"/>
  <c r="ED183" i="1" s="1"/>
  <c r="EE183" i="1" s="1"/>
  <c r="DX183" i="1"/>
  <c r="DY183" i="1" s="1"/>
  <c r="DZ183" i="1" s="1"/>
  <c r="DS183" i="1"/>
  <c r="DT183" i="1" s="1"/>
  <c r="DU183" i="1" s="1"/>
  <c r="DN183" i="1"/>
  <c r="DO183" i="1" s="1"/>
  <c r="DP183" i="1" s="1"/>
  <c r="DI183" i="1"/>
  <c r="DJ183" i="1" s="1"/>
  <c r="DK183" i="1" s="1"/>
  <c r="DD183" i="1"/>
  <c r="DE183" i="1" s="1"/>
  <c r="DF183" i="1" s="1"/>
  <c r="CY183" i="1"/>
  <c r="CZ183" i="1" s="1"/>
  <c r="DA183" i="1" s="1"/>
  <c r="CT183" i="1"/>
  <c r="CU183" i="1" s="1"/>
  <c r="CV183" i="1" s="1"/>
  <c r="CO183" i="1"/>
  <c r="CP183" i="1" s="1"/>
  <c r="CQ183" i="1" s="1"/>
  <c r="CJ183" i="1"/>
  <c r="CK183" i="1" s="1"/>
  <c r="CL183" i="1" s="1"/>
  <c r="CE183" i="1"/>
  <c r="CF183" i="1" s="1"/>
  <c r="CG183" i="1" s="1"/>
  <c r="BZ183" i="1"/>
  <c r="CA183" i="1" s="1"/>
  <c r="CB183" i="1" s="1"/>
  <c r="BU183" i="1"/>
  <c r="BV183" i="1" s="1"/>
  <c r="BW183" i="1" s="1"/>
  <c r="BP183" i="1"/>
  <c r="BQ183" i="1" s="1"/>
  <c r="BR183" i="1" s="1"/>
  <c r="BK183" i="1"/>
  <c r="BL183" i="1" s="1"/>
  <c r="BM183" i="1" s="1"/>
  <c r="BF183" i="1"/>
  <c r="BG183" i="1" s="1"/>
  <c r="BH183" i="1" s="1"/>
  <c r="BA183" i="1"/>
  <c r="BB183" i="1" s="1"/>
  <c r="BC183" i="1" s="1"/>
  <c r="AV183" i="1"/>
  <c r="AW183" i="1" s="1"/>
  <c r="AX183" i="1" s="1"/>
  <c r="AQ183" i="1"/>
  <c r="AR183" i="1" s="1"/>
  <c r="AS183" i="1" s="1"/>
  <c r="AL183" i="1"/>
  <c r="AM183" i="1" s="1"/>
  <c r="AN183" i="1" s="1"/>
  <c r="AG183" i="1"/>
  <c r="AH183" i="1" s="1"/>
  <c r="AI183" i="1" s="1"/>
  <c r="AB183" i="1"/>
  <c r="AC183" i="1" s="1"/>
  <c r="AD183" i="1" s="1"/>
  <c r="W183" i="1"/>
  <c r="X183" i="1" s="1"/>
  <c r="Y183" i="1" s="1"/>
  <c r="T183" i="1"/>
  <c r="O183" i="1"/>
  <c r="J183" i="1"/>
  <c r="PX182" i="1"/>
  <c r="PS182" i="1"/>
  <c r="PN182" i="1"/>
  <c r="PI182" i="1"/>
  <c r="PD182" i="1"/>
  <c r="OY182" i="1"/>
  <c r="OT182" i="1"/>
  <c r="OO182" i="1"/>
  <c r="OJ182" i="1"/>
  <c r="OC182" i="1"/>
  <c r="OD182" i="1" s="1"/>
  <c r="OE182" i="1" s="1"/>
  <c r="NZ182" i="1"/>
  <c r="NU182" i="1"/>
  <c r="NP182" i="1"/>
  <c r="NK182" i="1"/>
  <c r="NF182" i="1"/>
  <c r="NA182" i="1"/>
  <c r="MV182" i="1"/>
  <c r="MQ182" i="1"/>
  <c r="MJ182" i="1"/>
  <c r="MK182" i="1" s="1"/>
  <c r="ML182" i="1" s="1"/>
  <c r="ME182" i="1"/>
  <c r="MF182" i="1" s="1"/>
  <c r="MG182" i="1" s="1"/>
  <c r="LZ182" i="1"/>
  <c r="MA182" i="1" s="1"/>
  <c r="MB182" i="1" s="1"/>
  <c r="LU182" i="1"/>
  <c r="LV182" i="1" s="1"/>
  <c r="LW182" i="1" s="1"/>
  <c r="LR182" i="1"/>
  <c r="LM182" i="1"/>
  <c r="LH182" i="1"/>
  <c r="LA182" i="1"/>
  <c r="LB182" i="1" s="1"/>
  <c r="LC182" i="1" s="1"/>
  <c r="KV182" i="1"/>
  <c r="KW182" i="1" s="1"/>
  <c r="KX182" i="1" s="1"/>
  <c r="KS182" i="1"/>
  <c r="KL182" i="1"/>
  <c r="KM182" i="1" s="1"/>
  <c r="KN182" i="1" s="1"/>
  <c r="KI182" i="1"/>
  <c r="KD182" i="1"/>
  <c r="JY182" i="1"/>
  <c r="JT182" i="1"/>
  <c r="JO182" i="1"/>
  <c r="JJ182" i="1"/>
  <c r="JE182" i="1"/>
  <c r="IZ182" i="1"/>
  <c r="IU182" i="1"/>
  <c r="IP182" i="1"/>
  <c r="IK182" i="1"/>
  <c r="IF182" i="1"/>
  <c r="IA182" i="1"/>
  <c r="HV182" i="1"/>
  <c r="HQ182" i="1"/>
  <c r="HL182" i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H182" i="1"/>
  <c r="EI182" i="1" s="1"/>
  <c r="EJ182" i="1" s="1"/>
  <c r="EC182" i="1"/>
  <c r="ED182" i="1" s="1"/>
  <c r="EE182" i="1" s="1"/>
  <c r="DX182" i="1"/>
  <c r="DY182" i="1" s="1"/>
  <c r="DZ182" i="1" s="1"/>
  <c r="DS182" i="1"/>
  <c r="DT182" i="1" s="1"/>
  <c r="DU182" i="1" s="1"/>
  <c r="DN182" i="1"/>
  <c r="DO182" i="1" s="1"/>
  <c r="DP182" i="1" s="1"/>
  <c r="DI182" i="1"/>
  <c r="DJ182" i="1" s="1"/>
  <c r="DK182" i="1" s="1"/>
  <c r="DD182" i="1"/>
  <c r="DE182" i="1" s="1"/>
  <c r="DF182" i="1" s="1"/>
  <c r="CY182" i="1"/>
  <c r="CZ182" i="1" s="1"/>
  <c r="DA182" i="1" s="1"/>
  <c r="CT182" i="1"/>
  <c r="CU182" i="1" s="1"/>
  <c r="CV182" i="1" s="1"/>
  <c r="CO182" i="1"/>
  <c r="CP182" i="1" s="1"/>
  <c r="CQ182" i="1" s="1"/>
  <c r="CJ182" i="1"/>
  <c r="CK182" i="1" s="1"/>
  <c r="CL182" i="1" s="1"/>
  <c r="CE182" i="1"/>
  <c r="CF182" i="1" s="1"/>
  <c r="CG182" i="1" s="1"/>
  <c r="BZ182" i="1"/>
  <c r="CA182" i="1" s="1"/>
  <c r="CB182" i="1" s="1"/>
  <c r="BU182" i="1"/>
  <c r="BV182" i="1" s="1"/>
  <c r="BW182" i="1" s="1"/>
  <c r="BP182" i="1"/>
  <c r="BQ182" i="1" s="1"/>
  <c r="BR182" i="1" s="1"/>
  <c r="BK182" i="1"/>
  <c r="BL182" i="1" s="1"/>
  <c r="BM182" i="1" s="1"/>
  <c r="BF182" i="1"/>
  <c r="BG182" i="1" s="1"/>
  <c r="BH182" i="1" s="1"/>
  <c r="BA182" i="1"/>
  <c r="BB182" i="1" s="1"/>
  <c r="BC182" i="1" s="1"/>
  <c r="AV182" i="1"/>
  <c r="AW182" i="1" s="1"/>
  <c r="AX182" i="1" s="1"/>
  <c r="AQ182" i="1"/>
  <c r="AR182" i="1" s="1"/>
  <c r="AS182" i="1" s="1"/>
  <c r="AL182" i="1"/>
  <c r="AM182" i="1" s="1"/>
  <c r="AN182" i="1" s="1"/>
  <c r="AG182" i="1"/>
  <c r="AH182" i="1" s="1"/>
  <c r="AI182" i="1" s="1"/>
  <c r="AB182" i="1"/>
  <c r="AC182" i="1" s="1"/>
  <c r="AD182" i="1" s="1"/>
  <c r="W182" i="1"/>
  <c r="X182" i="1" s="1"/>
  <c r="Y182" i="1" s="1"/>
  <c r="R182" i="1"/>
  <c r="S182" i="1" s="1"/>
  <c r="T182" i="1" s="1"/>
  <c r="O182" i="1"/>
  <c r="J182" i="1"/>
  <c r="PX181" i="1"/>
  <c r="PS181" i="1"/>
  <c r="PN181" i="1"/>
  <c r="PI181" i="1"/>
  <c r="PD181" i="1"/>
  <c r="OY181" i="1"/>
  <c r="OT181" i="1"/>
  <c r="OO181" i="1"/>
  <c r="OJ181" i="1"/>
  <c r="OE181" i="1"/>
  <c r="NZ181" i="1"/>
  <c r="NU181" i="1"/>
  <c r="NP181" i="1"/>
  <c r="NK181" i="1"/>
  <c r="NF181" i="1"/>
  <c r="NA181" i="1"/>
  <c r="MT181" i="1"/>
  <c r="MU181" i="1" s="1"/>
  <c r="MV181" i="1" s="1"/>
  <c r="MO181" i="1"/>
  <c r="MP181" i="1" s="1"/>
  <c r="MQ181" i="1" s="1"/>
  <c r="ML181" i="1"/>
  <c r="MG181" i="1"/>
  <c r="MB181" i="1"/>
  <c r="LW181" i="1"/>
  <c r="LR181" i="1"/>
  <c r="LM181" i="1"/>
  <c r="LF181" i="1"/>
  <c r="LG181" i="1" s="1"/>
  <c r="LH181" i="1" s="1"/>
  <c r="LA181" i="1"/>
  <c r="LB181" i="1" s="1"/>
  <c r="LC181" i="1" s="1"/>
  <c r="KV181" i="1"/>
  <c r="KW181" i="1" s="1"/>
  <c r="KX181" i="1" s="1"/>
  <c r="KQ181" i="1"/>
  <c r="KR181" i="1" s="1"/>
  <c r="KS181" i="1" s="1"/>
  <c r="KN181" i="1"/>
  <c r="KI181" i="1"/>
  <c r="KD181" i="1"/>
  <c r="JY181" i="1"/>
  <c r="JT181" i="1"/>
  <c r="JO181" i="1"/>
  <c r="JJ181" i="1"/>
  <c r="JE181" i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H181" i="1"/>
  <c r="EI181" i="1" s="1"/>
  <c r="EJ181" i="1" s="1"/>
  <c r="EC181" i="1"/>
  <c r="ED181" i="1" s="1"/>
  <c r="EE181" i="1" s="1"/>
  <c r="DX181" i="1"/>
  <c r="DY181" i="1" s="1"/>
  <c r="DZ181" i="1" s="1"/>
  <c r="DS181" i="1"/>
  <c r="DT181" i="1" s="1"/>
  <c r="DU181" i="1" s="1"/>
  <c r="DN181" i="1"/>
  <c r="DO181" i="1" s="1"/>
  <c r="DP181" i="1" s="1"/>
  <c r="DI181" i="1"/>
  <c r="DJ181" i="1" s="1"/>
  <c r="DK181" i="1" s="1"/>
  <c r="DD181" i="1"/>
  <c r="DE181" i="1" s="1"/>
  <c r="DF181" i="1" s="1"/>
  <c r="CY181" i="1"/>
  <c r="CZ181" i="1" s="1"/>
  <c r="DA181" i="1" s="1"/>
  <c r="CT181" i="1"/>
  <c r="CU181" i="1" s="1"/>
  <c r="CV181" i="1" s="1"/>
  <c r="CO181" i="1"/>
  <c r="CP181" i="1" s="1"/>
  <c r="CQ181" i="1" s="1"/>
  <c r="CJ181" i="1"/>
  <c r="CK181" i="1" s="1"/>
  <c r="CL181" i="1" s="1"/>
  <c r="CE181" i="1"/>
  <c r="CF181" i="1" s="1"/>
  <c r="CG181" i="1" s="1"/>
  <c r="BZ181" i="1"/>
  <c r="CA181" i="1" s="1"/>
  <c r="CB181" i="1" s="1"/>
  <c r="BU181" i="1"/>
  <c r="BV181" i="1" s="1"/>
  <c r="BW181" i="1" s="1"/>
  <c r="BP181" i="1"/>
  <c r="BQ181" i="1" s="1"/>
  <c r="BR181" i="1" s="1"/>
  <c r="BK181" i="1"/>
  <c r="BL181" i="1" s="1"/>
  <c r="BM181" i="1" s="1"/>
  <c r="BF181" i="1"/>
  <c r="BG181" i="1" s="1"/>
  <c r="BH181" i="1" s="1"/>
  <c r="BA181" i="1"/>
  <c r="BB181" i="1" s="1"/>
  <c r="BC181" i="1" s="1"/>
  <c r="AV181" i="1"/>
  <c r="AW181" i="1" s="1"/>
  <c r="AX181" i="1" s="1"/>
  <c r="AQ181" i="1"/>
  <c r="AR181" i="1" s="1"/>
  <c r="AS181" i="1" s="1"/>
  <c r="AL181" i="1"/>
  <c r="AM181" i="1" s="1"/>
  <c r="AN181" i="1" s="1"/>
  <c r="AG181" i="1"/>
  <c r="AH181" i="1" s="1"/>
  <c r="AI181" i="1" s="1"/>
  <c r="AB181" i="1"/>
  <c r="AC181" i="1" s="1"/>
  <c r="AD181" i="1" s="1"/>
  <c r="W181" i="1"/>
  <c r="X181" i="1" s="1"/>
  <c r="Y181" i="1" s="1"/>
  <c r="T181" i="1"/>
  <c r="O181" i="1"/>
  <c r="J181" i="1"/>
  <c r="PX180" i="1"/>
  <c r="PS180" i="1"/>
  <c r="PN180" i="1"/>
  <c r="PI180" i="1"/>
  <c r="PD180" i="1"/>
  <c r="OY180" i="1"/>
  <c r="OT180" i="1"/>
  <c r="OO180" i="1"/>
  <c r="OJ180" i="1"/>
  <c r="OE180" i="1"/>
  <c r="NZ180" i="1"/>
  <c r="NU180" i="1"/>
  <c r="NP180" i="1"/>
  <c r="NK180" i="1"/>
  <c r="NF180" i="1"/>
  <c r="NA180" i="1"/>
  <c r="MV180" i="1"/>
  <c r="MQ180" i="1"/>
  <c r="ML180" i="1"/>
  <c r="MG180" i="1"/>
  <c r="MB180" i="1"/>
  <c r="LW180" i="1"/>
  <c r="LR180" i="1"/>
  <c r="LM180" i="1"/>
  <c r="LH180" i="1"/>
  <c r="LC180" i="1"/>
  <c r="KX180" i="1"/>
  <c r="KS180" i="1"/>
  <c r="KN180" i="1"/>
  <c r="KI180" i="1"/>
  <c r="KD180" i="1"/>
  <c r="JY180" i="1"/>
  <c r="JT180" i="1"/>
  <c r="JO180" i="1"/>
  <c r="JJ180" i="1"/>
  <c r="JE180" i="1"/>
  <c r="IZ180" i="1"/>
  <c r="IU180" i="1"/>
  <c r="IP180" i="1"/>
  <c r="IK180" i="1"/>
  <c r="IF180" i="1"/>
  <c r="IA180" i="1"/>
  <c r="HV180" i="1"/>
  <c r="HQ180" i="1"/>
  <c r="HL180" i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H180" i="1"/>
  <c r="EI180" i="1" s="1"/>
  <c r="EJ180" i="1" s="1"/>
  <c r="EC180" i="1"/>
  <c r="ED180" i="1" s="1"/>
  <c r="EE180" i="1" s="1"/>
  <c r="DX180" i="1"/>
  <c r="DY180" i="1" s="1"/>
  <c r="DZ180" i="1" s="1"/>
  <c r="DS180" i="1"/>
  <c r="DT180" i="1" s="1"/>
  <c r="DU180" i="1" s="1"/>
  <c r="DN180" i="1"/>
  <c r="DO180" i="1" s="1"/>
  <c r="DP180" i="1" s="1"/>
  <c r="DI180" i="1"/>
  <c r="DJ180" i="1" s="1"/>
  <c r="DK180" i="1" s="1"/>
  <c r="DD180" i="1"/>
  <c r="DE180" i="1" s="1"/>
  <c r="DF180" i="1" s="1"/>
  <c r="CY180" i="1"/>
  <c r="CZ180" i="1" s="1"/>
  <c r="DA180" i="1" s="1"/>
  <c r="CT180" i="1"/>
  <c r="CU180" i="1" s="1"/>
  <c r="CV180" i="1" s="1"/>
  <c r="CO180" i="1"/>
  <c r="CP180" i="1" s="1"/>
  <c r="CQ180" i="1" s="1"/>
  <c r="CJ180" i="1"/>
  <c r="CK180" i="1" s="1"/>
  <c r="CL180" i="1" s="1"/>
  <c r="CE180" i="1"/>
  <c r="CF180" i="1" s="1"/>
  <c r="CG180" i="1" s="1"/>
  <c r="BZ180" i="1"/>
  <c r="CA180" i="1" s="1"/>
  <c r="CB180" i="1" s="1"/>
  <c r="BU180" i="1"/>
  <c r="BV180" i="1" s="1"/>
  <c r="BW180" i="1" s="1"/>
  <c r="BP180" i="1"/>
  <c r="BQ180" i="1" s="1"/>
  <c r="BR180" i="1" s="1"/>
  <c r="BK180" i="1"/>
  <c r="BL180" i="1" s="1"/>
  <c r="BM180" i="1" s="1"/>
  <c r="BF180" i="1"/>
  <c r="BG180" i="1" s="1"/>
  <c r="BH180" i="1" s="1"/>
  <c r="BA180" i="1"/>
  <c r="BB180" i="1" s="1"/>
  <c r="BC180" i="1" s="1"/>
  <c r="AV180" i="1"/>
  <c r="AW180" i="1" s="1"/>
  <c r="AX180" i="1" s="1"/>
  <c r="AQ180" i="1"/>
  <c r="AR180" i="1" s="1"/>
  <c r="AS180" i="1" s="1"/>
  <c r="AL180" i="1"/>
  <c r="AM180" i="1" s="1"/>
  <c r="AN180" i="1" s="1"/>
  <c r="AG180" i="1"/>
  <c r="AH180" i="1" s="1"/>
  <c r="AI180" i="1" s="1"/>
  <c r="AB180" i="1"/>
  <c r="AC180" i="1" s="1"/>
  <c r="AD180" i="1" s="1"/>
  <c r="W180" i="1"/>
  <c r="X180" i="1" s="1"/>
  <c r="Y180" i="1" s="1"/>
  <c r="T180" i="1"/>
  <c r="O180" i="1"/>
  <c r="J180" i="1"/>
  <c r="PX179" i="1"/>
  <c r="PS179" i="1"/>
  <c r="PN179" i="1"/>
  <c r="PI179" i="1"/>
  <c r="PD179" i="1"/>
  <c r="OY179" i="1"/>
  <c r="OT179" i="1"/>
  <c r="OO179" i="1"/>
  <c r="OJ179" i="1"/>
  <c r="OE179" i="1"/>
  <c r="NZ179" i="1"/>
  <c r="NU179" i="1"/>
  <c r="NP179" i="1"/>
  <c r="NK179" i="1"/>
  <c r="NF179" i="1"/>
  <c r="NA179" i="1"/>
  <c r="MV179" i="1"/>
  <c r="MQ179" i="1"/>
  <c r="ML179" i="1"/>
  <c r="MG179" i="1"/>
  <c r="MB179" i="1"/>
  <c r="LW179" i="1"/>
  <c r="LR179" i="1"/>
  <c r="LM179" i="1"/>
  <c r="LH179" i="1"/>
  <c r="LC179" i="1"/>
  <c r="KX179" i="1"/>
  <c r="KS179" i="1"/>
  <c r="KN179" i="1"/>
  <c r="KI179" i="1"/>
  <c r="KD179" i="1"/>
  <c r="JY179" i="1"/>
  <c r="JT179" i="1"/>
  <c r="JO179" i="1"/>
  <c r="JJ179" i="1"/>
  <c r="JE179" i="1"/>
  <c r="IZ179" i="1"/>
  <c r="IU179" i="1"/>
  <c r="IP179" i="1"/>
  <c r="IK179" i="1"/>
  <c r="IF179" i="1"/>
  <c r="IA179" i="1"/>
  <c r="HV179" i="1"/>
  <c r="HQ179" i="1"/>
  <c r="HL179" i="1"/>
  <c r="HG179" i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H179" i="1"/>
  <c r="EI179" i="1" s="1"/>
  <c r="EJ179" i="1" s="1"/>
  <c r="EC179" i="1"/>
  <c r="ED179" i="1" s="1"/>
  <c r="EE179" i="1" s="1"/>
  <c r="DX179" i="1"/>
  <c r="DY179" i="1" s="1"/>
  <c r="DZ179" i="1" s="1"/>
  <c r="DS179" i="1"/>
  <c r="DT179" i="1" s="1"/>
  <c r="DU179" i="1" s="1"/>
  <c r="DN179" i="1"/>
  <c r="DO179" i="1" s="1"/>
  <c r="DP179" i="1" s="1"/>
  <c r="DI179" i="1"/>
  <c r="DJ179" i="1" s="1"/>
  <c r="DK179" i="1" s="1"/>
  <c r="DD179" i="1"/>
  <c r="DE179" i="1" s="1"/>
  <c r="DF179" i="1" s="1"/>
  <c r="CY179" i="1"/>
  <c r="CZ179" i="1" s="1"/>
  <c r="DA179" i="1" s="1"/>
  <c r="CT179" i="1"/>
  <c r="CU179" i="1" s="1"/>
  <c r="CV179" i="1" s="1"/>
  <c r="CO179" i="1"/>
  <c r="CP179" i="1" s="1"/>
  <c r="CQ179" i="1" s="1"/>
  <c r="CJ179" i="1"/>
  <c r="CK179" i="1" s="1"/>
  <c r="CL179" i="1" s="1"/>
  <c r="CE179" i="1"/>
  <c r="CF179" i="1" s="1"/>
  <c r="CG179" i="1" s="1"/>
  <c r="BZ179" i="1"/>
  <c r="CA179" i="1" s="1"/>
  <c r="CB179" i="1" s="1"/>
  <c r="BU179" i="1"/>
  <c r="BV179" i="1" s="1"/>
  <c r="BW179" i="1" s="1"/>
  <c r="BP179" i="1"/>
  <c r="BQ179" i="1" s="1"/>
  <c r="BR179" i="1" s="1"/>
  <c r="BK179" i="1"/>
  <c r="BL179" i="1" s="1"/>
  <c r="BM179" i="1" s="1"/>
  <c r="BF179" i="1"/>
  <c r="BG179" i="1" s="1"/>
  <c r="BH179" i="1" s="1"/>
  <c r="BA179" i="1"/>
  <c r="BB179" i="1" s="1"/>
  <c r="BC179" i="1" s="1"/>
  <c r="AV179" i="1"/>
  <c r="AW179" i="1" s="1"/>
  <c r="AX179" i="1" s="1"/>
  <c r="AQ179" i="1"/>
  <c r="AR179" i="1" s="1"/>
  <c r="AS179" i="1" s="1"/>
  <c r="AL179" i="1"/>
  <c r="AM179" i="1" s="1"/>
  <c r="AN179" i="1" s="1"/>
  <c r="AG179" i="1"/>
  <c r="AH179" i="1" s="1"/>
  <c r="AI179" i="1" s="1"/>
  <c r="AD179" i="1"/>
  <c r="W179" i="1"/>
  <c r="X179" i="1" s="1"/>
  <c r="Y179" i="1" s="1"/>
  <c r="T179" i="1"/>
  <c r="O179" i="1"/>
  <c r="H179" i="1"/>
  <c r="I179" i="1" s="1"/>
  <c r="J179" i="1" s="1"/>
  <c r="PX178" i="1"/>
  <c r="PS178" i="1"/>
  <c r="PN178" i="1"/>
  <c r="PI178" i="1"/>
  <c r="PD178" i="1"/>
  <c r="OY178" i="1"/>
  <c r="OT178" i="1"/>
  <c r="OO178" i="1"/>
  <c r="OJ178" i="1"/>
  <c r="OE178" i="1"/>
  <c r="NZ178" i="1"/>
  <c r="NU178" i="1"/>
  <c r="NP178" i="1"/>
  <c r="NK178" i="1"/>
  <c r="NF178" i="1"/>
  <c r="NA178" i="1"/>
  <c r="MV178" i="1"/>
  <c r="MQ178" i="1"/>
  <c r="ML178" i="1"/>
  <c r="MG178" i="1"/>
  <c r="MB178" i="1"/>
  <c r="LW178" i="1"/>
  <c r="LR178" i="1"/>
  <c r="LM178" i="1"/>
  <c r="LH178" i="1"/>
  <c r="LC178" i="1"/>
  <c r="KV178" i="1"/>
  <c r="KW178" i="1" s="1"/>
  <c r="KX178" i="1" s="1"/>
  <c r="KS178" i="1"/>
  <c r="KN178" i="1"/>
  <c r="KI178" i="1"/>
  <c r="KD178" i="1"/>
  <c r="JY178" i="1"/>
  <c r="JT178" i="1"/>
  <c r="JO178" i="1"/>
  <c r="JJ178" i="1"/>
  <c r="JE178" i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T178" i="1"/>
  <c r="HU178" i="1" s="1"/>
  <c r="HV178" i="1" s="1"/>
  <c r="HQ178" i="1"/>
  <c r="HL178" i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H178" i="1"/>
  <c r="EI178" i="1" s="1"/>
  <c r="EJ178" i="1" s="1"/>
  <c r="EC178" i="1"/>
  <c r="ED178" i="1" s="1"/>
  <c r="EE178" i="1" s="1"/>
  <c r="DX178" i="1"/>
  <c r="DY178" i="1" s="1"/>
  <c r="DZ178" i="1" s="1"/>
  <c r="DS178" i="1"/>
  <c r="DT178" i="1" s="1"/>
  <c r="DU178" i="1" s="1"/>
  <c r="DN178" i="1"/>
  <c r="DO178" i="1" s="1"/>
  <c r="DP178" i="1" s="1"/>
  <c r="DI178" i="1"/>
  <c r="DJ178" i="1" s="1"/>
  <c r="DK178" i="1" s="1"/>
  <c r="DD178" i="1"/>
  <c r="DE178" i="1" s="1"/>
  <c r="DF178" i="1" s="1"/>
  <c r="CY178" i="1"/>
  <c r="CZ178" i="1" s="1"/>
  <c r="DA178" i="1" s="1"/>
  <c r="CT178" i="1"/>
  <c r="CU178" i="1" s="1"/>
  <c r="CV178" i="1" s="1"/>
  <c r="CO178" i="1"/>
  <c r="CP178" i="1" s="1"/>
  <c r="CQ178" i="1" s="1"/>
  <c r="CJ178" i="1"/>
  <c r="CK178" i="1" s="1"/>
  <c r="CL178" i="1" s="1"/>
  <c r="CE178" i="1"/>
  <c r="CF178" i="1" s="1"/>
  <c r="CG178" i="1" s="1"/>
  <c r="BZ178" i="1"/>
  <c r="CA178" i="1" s="1"/>
  <c r="CB178" i="1" s="1"/>
  <c r="BU178" i="1"/>
  <c r="BV178" i="1" s="1"/>
  <c r="BW178" i="1" s="1"/>
  <c r="BP178" i="1"/>
  <c r="BQ178" i="1" s="1"/>
  <c r="BR178" i="1" s="1"/>
  <c r="BK178" i="1"/>
  <c r="BL178" i="1" s="1"/>
  <c r="BM178" i="1" s="1"/>
  <c r="BF178" i="1"/>
  <c r="BG178" i="1" s="1"/>
  <c r="BH178" i="1" s="1"/>
  <c r="BA178" i="1"/>
  <c r="BB178" i="1" s="1"/>
  <c r="BC178" i="1" s="1"/>
  <c r="AV178" i="1"/>
  <c r="AW178" i="1" s="1"/>
  <c r="AX178" i="1" s="1"/>
  <c r="AQ178" i="1"/>
  <c r="AR178" i="1" s="1"/>
  <c r="AS178" i="1" s="1"/>
  <c r="AL178" i="1"/>
  <c r="AM178" i="1" s="1"/>
  <c r="AN178" i="1" s="1"/>
  <c r="AG178" i="1"/>
  <c r="AH178" i="1" s="1"/>
  <c r="AI178" i="1" s="1"/>
  <c r="AB178" i="1"/>
  <c r="AC178" i="1" s="1"/>
  <c r="AD178" i="1" s="1"/>
  <c r="W178" i="1"/>
  <c r="X178" i="1" s="1"/>
  <c r="Y178" i="1" s="1"/>
  <c r="T178" i="1"/>
  <c r="O178" i="1"/>
  <c r="J178" i="1"/>
  <c r="PX177" i="1"/>
  <c r="PS177" i="1"/>
  <c r="PN177" i="1"/>
  <c r="PI177" i="1"/>
  <c r="PD177" i="1"/>
  <c r="OY177" i="1"/>
  <c r="OT177" i="1"/>
  <c r="OO177" i="1"/>
  <c r="OJ177" i="1"/>
  <c r="OE177" i="1"/>
  <c r="NZ177" i="1"/>
  <c r="NU177" i="1"/>
  <c r="NP177" i="1"/>
  <c r="NK177" i="1"/>
  <c r="NF177" i="1"/>
  <c r="NA177" i="1"/>
  <c r="MV177" i="1"/>
  <c r="MQ177" i="1"/>
  <c r="ML177" i="1"/>
  <c r="MG177" i="1"/>
  <c r="MB177" i="1"/>
  <c r="LW177" i="1"/>
  <c r="LR177" i="1"/>
  <c r="LM177" i="1"/>
  <c r="LH177" i="1"/>
  <c r="LC177" i="1"/>
  <c r="KX177" i="1"/>
  <c r="KQ177" i="1"/>
  <c r="KR177" i="1" s="1"/>
  <c r="KS177" i="1" s="1"/>
  <c r="KN177" i="1"/>
  <c r="KI177" i="1"/>
  <c r="KD177" i="1"/>
  <c r="JY177" i="1"/>
  <c r="JT177" i="1"/>
  <c r="JO177" i="1"/>
  <c r="JJ177" i="1"/>
  <c r="JE177" i="1"/>
  <c r="IZ177" i="1"/>
  <c r="IU177" i="1"/>
  <c r="IP177" i="1"/>
  <c r="IK177" i="1"/>
  <c r="IF177" i="1"/>
  <c r="IA177" i="1"/>
  <c r="HV177" i="1"/>
  <c r="HQ177" i="1"/>
  <c r="HL177" i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H177" i="1"/>
  <c r="EI177" i="1" s="1"/>
  <c r="EJ177" i="1" s="1"/>
  <c r="EC177" i="1"/>
  <c r="ED177" i="1" s="1"/>
  <c r="EE177" i="1" s="1"/>
  <c r="DX177" i="1"/>
  <c r="DY177" i="1" s="1"/>
  <c r="DZ177" i="1" s="1"/>
  <c r="DS177" i="1"/>
  <c r="DT177" i="1" s="1"/>
  <c r="DU177" i="1" s="1"/>
  <c r="DN177" i="1"/>
  <c r="DO177" i="1" s="1"/>
  <c r="DP177" i="1" s="1"/>
  <c r="DI177" i="1"/>
  <c r="DJ177" i="1" s="1"/>
  <c r="DK177" i="1" s="1"/>
  <c r="DD177" i="1"/>
  <c r="DE177" i="1" s="1"/>
  <c r="DF177" i="1" s="1"/>
  <c r="CY177" i="1"/>
  <c r="CZ177" i="1" s="1"/>
  <c r="DA177" i="1" s="1"/>
  <c r="CT177" i="1"/>
  <c r="CU177" i="1" s="1"/>
  <c r="CV177" i="1" s="1"/>
  <c r="CO177" i="1"/>
  <c r="CP177" i="1" s="1"/>
  <c r="CQ177" i="1" s="1"/>
  <c r="CJ177" i="1"/>
  <c r="CK177" i="1" s="1"/>
  <c r="CL177" i="1" s="1"/>
  <c r="CE177" i="1"/>
  <c r="CF177" i="1" s="1"/>
  <c r="CG177" i="1" s="1"/>
  <c r="BZ177" i="1"/>
  <c r="CA177" i="1" s="1"/>
  <c r="CB177" i="1" s="1"/>
  <c r="BU177" i="1"/>
  <c r="BV177" i="1" s="1"/>
  <c r="BW177" i="1" s="1"/>
  <c r="BP177" i="1"/>
  <c r="BQ177" i="1" s="1"/>
  <c r="BR177" i="1" s="1"/>
  <c r="BK177" i="1"/>
  <c r="BL177" i="1" s="1"/>
  <c r="BM177" i="1" s="1"/>
  <c r="BF177" i="1"/>
  <c r="BG177" i="1" s="1"/>
  <c r="BH177" i="1" s="1"/>
  <c r="BA177" i="1"/>
  <c r="BB177" i="1" s="1"/>
  <c r="BC177" i="1" s="1"/>
  <c r="AV177" i="1"/>
  <c r="AW177" i="1" s="1"/>
  <c r="AX177" i="1" s="1"/>
  <c r="AQ177" i="1"/>
  <c r="AR177" i="1" s="1"/>
  <c r="AS177" i="1" s="1"/>
  <c r="AL177" i="1"/>
  <c r="AM177" i="1" s="1"/>
  <c r="AN177" i="1" s="1"/>
  <c r="AG177" i="1"/>
  <c r="AH177" i="1" s="1"/>
  <c r="AI177" i="1" s="1"/>
  <c r="AB177" i="1"/>
  <c r="AC177" i="1" s="1"/>
  <c r="AD177" i="1" s="1"/>
  <c r="W177" i="1"/>
  <c r="X177" i="1" s="1"/>
  <c r="Y177" i="1" s="1"/>
  <c r="T177" i="1"/>
  <c r="O177" i="1"/>
  <c r="J177" i="1"/>
  <c r="PX176" i="1"/>
  <c r="PS176" i="1"/>
  <c r="PN176" i="1"/>
  <c r="PI176" i="1"/>
  <c r="PD176" i="1"/>
  <c r="OY176" i="1"/>
  <c r="OT176" i="1"/>
  <c r="OO176" i="1"/>
  <c r="OJ176" i="1"/>
  <c r="OE176" i="1"/>
  <c r="NZ176" i="1"/>
  <c r="NU176" i="1"/>
  <c r="NP176" i="1"/>
  <c r="NK176" i="1"/>
  <c r="NF176" i="1"/>
  <c r="NA176" i="1"/>
  <c r="MV176" i="1"/>
  <c r="MQ176" i="1"/>
  <c r="ML176" i="1"/>
  <c r="MG176" i="1"/>
  <c r="MB176" i="1"/>
  <c r="LW176" i="1"/>
  <c r="LR176" i="1"/>
  <c r="LM176" i="1"/>
  <c r="LH176" i="1"/>
  <c r="LC176" i="1"/>
  <c r="KX176" i="1"/>
  <c r="KS176" i="1"/>
  <c r="KN176" i="1"/>
  <c r="KI176" i="1"/>
  <c r="KD176" i="1"/>
  <c r="JY176" i="1"/>
  <c r="JT176" i="1"/>
  <c r="JO176" i="1"/>
  <c r="JJ176" i="1"/>
  <c r="JE176" i="1"/>
  <c r="IZ176" i="1"/>
  <c r="IU176" i="1"/>
  <c r="IP176" i="1"/>
  <c r="IK176" i="1"/>
  <c r="IF176" i="1"/>
  <c r="IA176" i="1"/>
  <c r="HV176" i="1"/>
  <c r="HQ176" i="1"/>
  <c r="HL176" i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H176" i="1"/>
  <c r="EI176" i="1" s="1"/>
  <c r="EJ176" i="1" s="1"/>
  <c r="EC176" i="1"/>
  <c r="ED176" i="1" s="1"/>
  <c r="EE176" i="1" s="1"/>
  <c r="DX176" i="1"/>
  <c r="DY176" i="1" s="1"/>
  <c r="DZ176" i="1" s="1"/>
  <c r="DS176" i="1"/>
  <c r="DT176" i="1" s="1"/>
  <c r="DU176" i="1" s="1"/>
  <c r="DN176" i="1"/>
  <c r="DO176" i="1" s="1"/>
  <c r="DP176" i="1" s="1"/>
  <c r="DI176" i="1"/>
  <c r="DJ176" i="1" s="1"/>
  <c r="DK176" i="1" s="1"/>
  <c r="DD176" i="1"/>
  <c r="DE176" i="1" s="1"/>
  <c r="DF176" i="1" s="1"/>
  <c r="CY176" i="1"/>
  <c r="CZ176" i="1" s="1"/>
  <c r="DA176" i="1" s="1"/>
  <c r="CT176" i="1"/>
  <c r="CU176" i="1" s="1"/>
  <c r="CV176" i="1" s="1"/>
  <c r="CO176" i="1"/>
  <c r="CP176" i="1" s="1"/>
  <c r="CQ176" i="1" s="1"/>
  <c r="CJ176" i="1"/>
  <c r="CK176" i="1" s="1"/>
  <c r="CL176" i="1" s="1"/>
  <c r="CE176" i="1"/>
  <c r="CF176" i="1" s="1"/>
  <c r="CG176" i="1" s="1"/>
  <c r="BZ176" i="1"/>
  <c r="CA176" i="1" s="1"/>
  <c r="CB176" i="1" s="1"/>
  <c r="BU176" i="1"/>
  <c r="BV176" i="1" s="1"/>
  <c r="BW176" i="1" s="1"/>
  <c r="BP176" i="1"/>
  <c r="BQ176" i="1" s="1"/>
  <c r="BR176" i="1" s="1"/>
  <c r="BK176" i="1"/>
  <c r="BL176" i="1" s="1"/>
  <c r="BM176" i="1" s="1"/>
  <c r="BF176" i="1"/>
  <c r="BG176" i="1" s="1"/>
  <c r="BH176" i="1" s="1"/>
  <c r="BA176" i="1"/>
  <c r="BB176" i="1" s="1"/>
  <c r="BC176" i="1" s="1"/>
  <c r="AV176" i="1"/>
  <c r="AW176" i="1" s="1"/>
  <c r="AX176" i="1" s="1"/>
  <c r="AQ176" i="1"/>
  <c r="AR176" i="1" s="1"/>
  <c r="AS176" i="1" s="1"/>
  <c r="AL176" i="1"/>
  <c r="AM176" i="1" s="1"/>
  <c r="AN176" i="1" s="1"/>
  <c r="AG176" i="1"/>
  <c r="AH176" i="1" s="1"/>
  <c r="AI176" i="1" s="1"/>
  <c r="AD176" i="1"/>
  <c r="W176" i="1"/>
  <c r="X176" i="1" s="1"/>
  <c r="Y176" i="1" s="1"/>
  <c r="R176" i="1"/>
  <c r="S176" i="1" s="1"/>
  <c r="T176" i="1" s="1"/>
  <c r="O176" i="1"/>
  <c r="J176" i="1"/>
  <c r="PX175" i="1"/>
  <c r="PS175" i="1"/>
  <c r="PN175" i="1"/>
  <c r="PI175" i="1"/>
  <c r="PD175" i="1"/>
  <c r="OY175" i="1"/>
  <c r="OT175" i="1"/>
  <c r="OO175" i="1"/>
  <c r="OJ175" i="1"/>
  <c r="OE175" i="1"/>
  <c r="NZ175" i="1"/>
  <c r="NU175" i="1"/>
  <c r="NP175" i="1"/>
  <c r="NK175" i="1"/>
  <c r="NF175" i="1"/>
  <c r="NA175" i="1"/>
  <c r="MV175" i="1"/>
  <c r="MQ175" i="1"/>
  <c r="ML175" i="1"/>
  <c r="MG175" i="1"/>
  <c r="MB175" i="1"/>
  <c r="LW175" i="1"/>
  <c r="LR175" i="1"/>
  <c r="LM175" i="1"/>
  <c r="LH175" i="1"/>
  <c r="LC175" i="1"/>
  <c r="KX175" i="1"/>
  <c r="KQ175" i="1"/>
  <c r="KR175" i="1" s="1"/>
  <c r="KS175" i="1" s="1"/>
  <c r="KN175" i="1"/>
  <c r="KI175" i="1"/>
  <c r="KD175" i="1"/>
  <c r="JY175" i="1"/>
  <c r="JT175" i="1"/>
  <c r="JO175" i="1"/>
  <c r="JJ175" i="1"/>
  <c r="JE175" i="1"/>
  <c r="IX175" i="1"/>
  <c r="IY175" i="1" s="1"/>
  <c r="IZ175" i="1" s="1"/>
  <c r="IS175" i="1"/>
  <c r="IT175" i="1" s="1"/>
  <c r="IU175" i="1" s="1"/>
  <c r="IN175" i="1"/>
  <c r="IO175" i="1" s="1"/>
  <c r="IP175" i="1" s="1"/>
  <c r="II175" i="1"/>
  <c r="IJ175" i="1" s="1"/>
  <c r="IK175" i="1" s="1"/>
  <c r="IF175" i="1"/>
  <c r="HY175" i="1"/>
  <c r="HZ175" i="1" s="1"/>
  <c r="IA175" i="1" s="1"/>
  <c r="HT175" i="1"/>
  <c r="HU175" i="1" s="1"/>
  <c r="HV175" i="1" s="1"/>
  <c r="HQ175" i="1"/>
  <c r="HL175" i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H175" i="1"/>
  <c r="EI175" i="1" s="1"/>
  <c r="EJ175" i="1" s="1"/>
  <c r="EC175" i="1"/>
  <c r="ED175" i="1" s="1"/>
  <c r="EE175" i="1" s="1"/>
  <c r="DX175" i="1"/>
  <c r="DY175" i="1" s="1"/>
  <c r="DZ175" i="1" s="1"/>
  <c r="DS175" i="1"/>
  <c r="DT175" i="1" s="1"/>
  <c r="DU175" i="1" s="1"/>
  <c r="DN175" i="1"/>
  <c r="DO175" i="1" s="1"/>
  <c r="DP175" i="1" s="1"/>
  <c r="DI175" i="1"/>
  <c r="DJ175" i="1" s="1"/>
  <c r="DK175" i="1" s="1"/>
  <c r="DD175" i="1"/>
  <c r="DE175" i="1" s="1"/>
  <c r="DF175" i="1" s="1"/>
  <c r="CY175" i="1"/>
  <c r="CZ175" i="1" s="1"/>
  <c r="DA175" i="1" s="1"/>
  <c r="CT175" i="1"/>
  <c r="CU175" i="1" s="1"/>
  <c r="CV175" i="1" s="1"/>
  <c r="CO175" i="1"/>
  <c r="CP175" i="1" s="1"/>
  <c r="CQ175" i="1" s="1"/>
  <c r="CJ175" i="1"/>
  <c r="CK175" i="1" s="1"/>
  <c r="CL175" i="1" s="1"/>
  <c r="CE175" i="1"/>
  <c r="CF175" i="1" s="1"/>
  <c r="CG175" i="1" s="1"/>
  <c r="BZ175" i="1"/>
  <c r="CA175" i="1" s="1"/>
  <c r="CB175" i="1" s="1"/>
  <c r="BU175" i="1"/>
  <c r="BV175" i="1" s="1"/>
  <c r="BW175" i="1" s="1"/>
  <c r="BP175" i="1"/>
  <c r="BQ175" i="1" s="1"/>
  <c r="BR175" i="1" s="1"/>
  <c r="BK175" i="1"/>
  <c r="BL175" i="1" s="1"/>
  <c r="BM175" i="1" s="1"/>
  <c r="BF175" i="1"/>
  <c r="BG175" i="1" s="1"/>
  <c r="BH175" i="1" s="1"/>
  <c r="BA175" i="1"/>
  <c r="BB175" i="1" s="1"/>
  <c r="BC175" i="1" s="1"/>
  <c r="AV175" i="1"/>
  <c r="AW175" i="1" s="1"/>
  <c r="AX175" i="1" s="1"/>
  <c r="AQ175" i="1"/>
  <c r="AR175" i="1" s="1"/>
  <c r="AS175" i="1" s="1"/>
  <c r="AL175" i="1"/>
  <c r="AM175" i="1" s="1"/>
  <c r="AN175" i="1" s="1"/>
  <c r="AG175" i="1"/>
  <c r="AH175" i="1" s="1"/>
  <c r="AI175" i="1" s="1"/>
  <c r="AB175" i="1"/>
  <c r="AC175" i="1" s="1"/>
  <c r="AD175" i="1" s="1"/>
  <c r="W175" i="1"/>
  <c r="X175" i="1" s="1"/>
  <c r="Y175" i="1" s="1"/>
  <c r="T175" i="1"/>
  <c r="O175" i="1"/>
  <c r="J175" i="1"/>
  <c r="PX174" i="1"/>
  <c r="PS174" i="1"/>
  <c r="PN174" i="1"/>
  <c r="PI174" i="1"/>
  <c r="PD174" i="1"/>
  <c r="OY174" i="1"/>
  <c r="OT174" i="1"/>
  <c r="OO174" i="1"/>
  <c r="OJ174" i="1"/>
  <c r="OE174" i="1"/>
  <c r="NZ174" i="1"/>
  <c r="NU174" i="1"/>
  <c r="NP174" i="1"/>
  <c r="NK174" i="1"/>
  <c r="NF174" i="1"/>
  <c r="NA174" i="1"/>
  <c r="MV174" i="1"/>
  <c r="MQ174" i="1"/>
  <c r="ML174" i="1"/>
  <c r="MG174" i="1"/>
  <c r="LZ174" i="1"/>
  <c r="MA174" i="1" s="1"/>
  <c r="MB174" i="1" s="1"/>
  <c r="LU174" i="1"/>
  <c r="LV174" i="1" s="1"/>
  <c r="LW174" i="1" s="1"/>
  <c r="LR174" i="1"/>
  <c r="LM174" i="1"/>
  <c r="LH174" i="1"/>
  <c r="LC174" i="1"/>
  <c r="KV174" i="1"/>
  <c r="KW174" i="1" s="1"/>
  <c r="KX174" i="1" s="1"/>
  <c r="KS174" i="1"/>
  <c r="KN174" i="1"/>
  <c r="KI174" i="1"/>
  <c r="KD174" i="1"/>
  <c r="JY174" i="1"/>
  <c r="JT174" i="1"/>
  <c r="JO174" i="1"/>
  <c r="JJ174" i="1"/>
  <c r="JE174" i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H174" i="1"/>
  <c r="EI174" i="1" s="1"/>
  <c r="EJ174" i="1" s="1"/>
  <c r="EC174" i="1"/>
  <c r="ED174" i="1" s="1"/>
  <c r="EE174" i="1" s="1"/>
  <c r="DX174" i="1"/>
  <c r="DY174" i="1" s="1"/>
  <c r="DZ174" i="1" s="1"/>
  <c r="DS174" i="1"/>
  <c r="DT174" i="1" s="1"/>
  <c r="DU174" i="1" s="1"/>
  <c r="DN174" i="1"/>
  <c r="DO174" i="1" s="1"/>
  <c r="DP174" i="1" s="1"/>
  <c r="DI174" i="1"/>
  <c r="DJ174" i="1" s="1"/>
  <c r="DK174" i="1" s="1"/>
  <c r="DD174" i="1"/>
  <c r="DE174" i="1" s="1"/>
  <c r="DF174" i="1" s="1"/>
  <c r="CY174" i="1"/>
  <c r="CZ174" i="1" s="1"/>
  <c r="DA174" i="1" s="1"/>
  <c r="CT174" i="1"/>
  <c r="CU174" i="1" s="1"/>
  <c r="CV174" i="1" s="1"/>
  <c r="CO174" i="1"/>
  <c r="CP174" i="1" s="1"/>
  <c r="CQ174" i="1" s="1"/>
  <c r="CJ174" i="1"/>
  <c r="CK174" i="1" s="1"/>
  <c r="CL174" i="1" s="1"/>
  <c r="CE174" i="1"/>
  <c r="CF174" i="1" s="1"/>
  <c r="CG174" i="1" s="1"/>
  <c r="BZ174" i="1"/>
  <c r="CA174" i="1" s="1"/>
  <c r="CB174" i="1" s="1"/>
  <c r="BU174" i="1"/>
  <c r="BV174" i="1" s="1"/>
  <c r="BW174" i="1" s="1"/>
  <c r="BP174" i="1"/>
  <c r="BQ174" i="1" s="1"/>
  <c r="BR174" i="1" s="1"/>
  <c r="BK174" i="1"/>
  <c r="BL174" i="1" s="1"/>
  <c r="BM174" i="1" s="1"/>
  <c r="BF174" i="1"/>
  <c r="BG174" i="1" s="1"/>
  <c r="BH174" i="1" s="1"/>
  <c r="BA174" i="1"/>
  <c r="BB174" i="1" s="1"/>
  <c r="BC174" i="1" s="1"/>
  <c r="AV174" i="1"/>
  <c r="AW174" i="1" s="1"/>
  <c r="AX174" i="1" s="1"/>
  <c r="AQ174" i="1"/>
  <c r="AR174" i="1" s="1"/>
  <c r="AS174" i="1" s="1"/>
  <c r="AL174" i="1"/>
  <c r="AM174" i="1" s="1"/>
  <c r="AN174" i="1" s="1"/>
  <c r="AG174" i="1"/>
  <c r="AH174" i="1" s="1"/>
  <c r="AI174" i="1" s="1"/>
  <c r="AB174" i="1"/>
  <c r="AC174" i="1" s="1"/>
  <c r="AD174" i="1" s="1"/>
  <c r="W174" i="1"/>
  <c r="X174" i="1" s="1"/>
  <c r="Y174" i="1" s="1"/>
  <c r="T174" i="1"/>
  <c r="O174" i="1"/>
  <c r="J174" i="1"/>
  <c r="PX173" i="1"/>
  <c r="PS173" i="1"/>
  <c r="PN173" i="1"/>
  <c r="PI173" i="1"/>
  <c r="PD173" i="1"/>
  <c r="OY173" i="1"/>
  <c r="OT173" i="1"/>
  <c r="OO173" i="1"/>
  <c r="OJ173" i="1"/>
  <c r="OE173" i="1"/>
  <c r="NZ173" i="1"/>
  <c r="NU173" i="1"/>
  <c r="NP173" i="1"/>
  <c r="NK173" i="1"/>
  <c r="NF173" i="1"/>
  <c r="NA173" i="1"/>
  <c r="MV173" i="1"/>
  <c r="MQ173" i="1"/>
  <c r="ML173" i="1"/>
  <c r="MG173" i="1"/>
  <c r="MB173" i="1"/>
  <c r="LW173" i="1"/>
  <c r="LR173" i="1"/>
  <c r="LM173" i="1"/>
  <c r="LH173" i="1"/>
  <c r="LA173" i="1"/>
  <c r="LB173" i="1" s="1"/>
  <c r="LC173" i="1" s="1"/>
  <c r="KX173" i="1"/>
  <c r="KS173" i="1"/>
  <c r="KN173" i="1"/>
  <c r="KI173" i="1"/>
  <c r="KD173" i="1"/>
  <c r="JY173" i="1"/>
  <c r="JT173" i="1"/>
  <c r="JO173" i="1"/>
  <c r="JJ173" i="1"/>
  <c r="JE173" i="1"/>
  <c r="IZ173" i="1"/>
  <c r="IU173" i="1"/>
  <c r="IP173" i="1"/>
  <c r="IK173" i="1"/>
  <c r="IF173" i="1"/>
  <c r="IA173" i="1"/>
  <c r="HV173" i="1"/>
  <c r="HQ173" i="1"/>
  <c r="HL173" i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H173" i="1"/>
  <c r="EI173" i="1" s="1"/>
  <c r="EJ173" i="1" s="1"/>
  <c r="EC173" i="1"/>
  <c r="ED173" i="1" s="1"/>
  <c r="EE173" i="1" s="1"/>
  <c r="DX173" i="1"/>
  <c r="DY173" i="1" s="1"/>
  <c r="DZ173" i="1" s="1"/>
  <c r="DS173" i="1"/>
  <c r="DT173" i="1" s="1"/>
  <c r="DU173" i="1" s="1"/>
  <c r="DN173" i="1"/>
  <c r="DO173" i="1" s="1"/>
  <c r="DP173" i="1" s="1"/>
  <c r="DI173" i="1"/>
  <c r="DJ173" i="1" s="1"/>
  <c r="DK173" i="1" s="1"/>
  <c r="DD173" i="1"/>
  <c r="DE173" i="1" s="1"/>
  <c r="DF173" i="1" s="1"/>
  <c r="CY173" i="1"/>
  <c r="CZ173" i="1" s="1"/>
  <c r="DA173" i="1" s="1"/>
  <c r="CT173" i="1"/>
  <c r="CU173" i="1" s="1"/>
  <c r="CV173" i="1" s="1"/>
  <c r="CO173" i="1"/>
  <c r="CP173" i="1" s="1"/>
  <c r="CQ173" i="1" s="1"/>
  <c r="CJ173" i="1"/>
  <c r="CK173" i="1" s="1"/>
  <c r="CL173" i="1" s="1"/>
  <c r="CE173" i="1"/>
  <c r="CF173" i="1" s="1"/>
  <c r="CG173" i="1" s="1"/>
  <c r="BZ173" i="1"/>
  <c r="CA173" i="1" s="1"/>
  <c r="CB173" i="1" s="1"/>
  <c r="BU173" i="1"/>
  <c r="BV173" i="1" s="1"/>
  <c r="BW173" i="1" s="1"/>
  <c r="BP173" i="1"/>
  <c r="BQ173" i="1" s="1"/>
  <c r="BR173" i="1" s="1"/>
  <c r="BK173" i="1"/>
  <c r="BL173" i="1" s="1"/>
  <c r="BM173" i="1" s="1"/>
  <c r="BF173" i="1"/>
  <c r="BG173" i="1" s="1"/>
  <c r="BH173" i="1" s="1"/>
  <c r="BA173" i="1"/>
  <c r="BB173" i="1" s="1"/>
  <c r="BC173" i="1" s="1"/>
  <c r="AV173" i="1"/>
  <c r="AW173" i="1" s="1"/>
  <c r="AX173" i="1" s="1"/>
  <c r="AQ173" i="1"/>
  <c r="AR173" i="1" s="1"/>
  <c r="AS173" i="1" s="1"/>
  <c r="AL173" i="1"/>
  <c r="AM173" i="1" s="1"/>
  <c r="AN173" i="1" s="1"/>
  <c r="AG173" i="1"/>
  <c r="AH173" i="1" s="1"/>
  <c r="AI173" i="1" s="1"/>
  <c r="AB173" i="1"/>
  <c r="AC173" i="1" s="1"/>
  <c r="AD173" i="1" s="1"/>
  <c r="W173" i="1"/>
  <c r="X173" i="1" s="1"/>
  <c r="Y173" i="1" s="1"/>
  <c r="R173" i="1"/>
  <c r="S173" i="1" s="1"/>
  <c r="T173" i="1" s="1"/>
  <c r="M173" i="1"/>
  <c r="N173" i="1" s="1"/>
  <c r="O173" i="1" s="1"/>
  <c r="J173" i="1"/>
  <c r="PX172" i="1"/>
  <c r="PS172" i="1"/>
  <c r="PN172" i="1"/>
  <c r="PI172" i="1"/>
  <c r="PD172" i="1"/>
  <c r="OY172" i="1"/>
  <c r="OT172" i="1"/>
  <c r="OO172" i="1"/>
  <c r="OJ172" i="1"/>
  <c r="OE172" i="1"/>
  <c r="NZ172" i="1"/>
  <c r="NU172" i="1"/>
  <c r="NP172" i="1"/>
  <c r="NK172" i="1"/>
  <c r="NF172" i="1"/>
  <c r="NA172" i="1"/>
  <c r="MV172" i="1"/>
  <c r="MQ172" i="1"/>
  <c r="ML172" i="1"/>
  <c r="MG172" i="1"/>
  <c r="MB172" i="1"/>
  <c r="LW172" i="1"/>
  <c r="LR172" i="1"/>
  <c r="LM172" i="1"/>
  <c r="LH172" i="1"/>
  <c r="LC172" i="1"/>
  <c r="KX172" i="1"/>
  <c r="KS172" i="1"/>
  <c r="KN172" i="1"/>
  <c r="KI172" i="1"/>
  <c r="KD172" i="1"/>
  <c r="JY172" i="1"/>
  <c r="JT172" i="1"/>
  <c r="JO172" i="1"/>
  <c r="JJ172" i="1"/>
  <c r="JE172" i="1"/>
  <c r="IZ172" i="1"/>
  <c r="IU172" i="1"/>
  <c r="IP172" i="1"/>
  <c r="IK172" i="1"/>
  <c r="IF172" i="1"/>
  <c r="IA172" i="1"/>
  <c r="HV172" i="1"/>
  <c r="HQ172" i="1"/>
  <c r="HL172" i="1"/>
  <c r="HG172" i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H172" i="1"/>
  <c r="EI172" i="1" s="1"/>
  <c r="EJ172" i="1" s="1"/>
  <c r="EC172" i="1"/>
  <c r="ED172" i="1" s="1"/>
  <c r="EE172" i="1" s="1"/>
  <c r="DX172" i="1"/>
  <c r="DY172" i="1" s="1"/>
  <c r="DZ172" i="1" s="1"/>
  <c r="DS172" i="1"/>
  <c r="DT172" i="1" s="1"/>
  <c r="DU172" i="1" s="1"/>
  <c r="DN172" i="1"/>
  <c r="DO172" i="1" s="1"/>
  <c r="DP172" i="1" s="1"/>
  <c r="DI172" i="1"/>
  <c r="DJ172" i="1" s="1"/>
  <c r="DK172" i="1" s="1"/>
  <c r="DD172" i="1"/>
  <c r="DE172" i="1" s="1"/>
  <c r="DF172" i="1" s="1"/>
  <c r="CY172" i="1"/>
  <c r="CZ172" i="1" s="1"/>
  <c r="DA172" i="1" s="1"/>
  <c r="CT172" i="1"/>
  <c r="CU172" i="1" s="1"/>
  <c r="CV172" i="1" s="1"/>
  <c r="CO172" i="1"/>
  <c r="CP172" i="1" s="1"/>
  <c r="CQ172" i="1" s="1"/>
  <c r="CJ172" i="1"/>
  <c r="CK172" i="1" s="1"/>
  <c r="CL172" i="1" s="1"/>
  <c r="CE172" i="1"/>
  <c r="CF172" i="1" s="1"/>
  <c r="CG172" i="1" s="1"/>
  <c r="BZ172" i="1"/>
  <c r="CA172" i="1" s="1"/>
  <c r="CB172" i="1" s="1"/>
  <c r="BU172" i="1"/>
  <c r="BV172" i="1" s="1"/>
  <c r="BW172" i="1" s="1"/>
  <c r="BP172" i="1"/>
  <c r="BQ172" i="1" s="1"/>
  <c r="BR172" i="1" s="1"/>
  <c r="BK172" i="1"/>
  <c r="BL172" i="1" s="1"/>
  <c r="BM172" i="1" s="1"/>
  <c r="BF172" i="1"/>
  <c r="BG172" i="1" s="1"/>
  <c r="BH172" i="1" s="1"/>
  <c r="BA172" i="1"/>
  <c r="BB172" i="1" s="1"/>
  <c r="BC172" i="1" s="1"/>
  <c r="AV172" i="1"/>
  <c r="AW172" i="1" s="1"/>
  <c r="AX172" i="1" s="1"/>
  <c r="AQ172" i="1"/>
  <c r="AR172" i="1" s="1"/>
  <c r="AS172" i="1" s="1"/>
  <c r="AL172" i="1"/>
  <c r="AM172" i="1" s="1"/>
  <c r="AN172" i="1" s="1"/>
  <c r="AG172" i="1"/>
  <c r="AH172" i="1" s="1"/>
  <c r="AI172" i="1" s="1"/>
  <c r="AD172" i="1"/>
  <c r="W172" i="1"/>
  <c r="X172" i="1" s="1"/>
  <c r="Y172" i="1" s="1"/>
  <c r="T172" i="1"/>
  <c r="O172" i="1"/>
  <c r="J172" i="1"/>
  <c r="PV171" i="1"/>
  <c r="PW171" i="1" s="1"/>
  <c r="PX171" i="1" s="1"/>
  <c r="PS171" i="1"/>
  <c r="PN171" i="1"/>
  <c r="PI171" i="1"/>
  <c r="PD171" i="1"/>
  <c r="OY171" i="1"/>
  <c r="OT171" i="1"/>
  <c r="OO171" i="1"/>
  <c r="OJ171" i="1"/>
  <c r="OE171" i="1"/>
  <c r="NX171" i="1"/>
  <c r="NY171" i="1" s="1"/>
  <c r="NZ171" i="1" s="1"/>
  <c r="NU171" i="1"/>
  <c r="NP171" i="1"/>
  <c r="NK171" i="1"/>
  <c r="NF171" i="1"/>
  <c r="NA171" i="1"/>
  <c r="MV171" i="1"/>
  <c r="MQ171" i="1"/>
  <c r="ML171" i="1"/>
  <c r="MG171" i="1"/>
  <c r="MB171" i="1"/>
  <c r="LW171" i="1"/>
  <c r="LR171" i="1"/>
  <c r="LM171" i="1"/>
  <c r="LH171" i="1"/>
  <c r="LC171" i="1"/>
  <c r="KX171" i="1"/>
  <c r="KS171" i="1"/>
  <c r="KN171" i="1"/>
  <c r="KI171" i="1"/>
  <c r="KD171" i="1"/>
  <c r="JY171" i="1"/>
  <c r="JT171" i="1"/>
  <c r="JO171" i="1"/>
  <c r="JJ171" i="1"/>
  <c r="JE171" i="1"/>
  <c r="IZ171" i="1"/>
  <c r="IU171" i="1"/>
  <c r="IP171" i="1"/>
  <c r="IK171" i="1"/>
  <c r="IF171" i="1"/>
  <c r="IA171" i="1"/>
  <c r="HV171" i="1"/>
  <c r="HQ171" i="1"/>
  <c r="HL171" i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H171" i="1"/>
  <c r="EI171" i="1" s="1"/>
  <c r="EJ171" i="1" s="1"/>
  <c r="EC171" i="1"/>
  <c r="ED171" i="1" s="1"/>
  <c r="EE171" i="1" s="1"/>
  <c r="DX171" i="1"/>
  <c r="DY171" i="1" s="1"/>
  <c r="DZ171" i="1" s="1"/>
  <c r="DS171" i="1"/>
  <c r="DT171" i="1" s="1"/>
  <c r="DU171" i="1" s="1"/>
  <c r="DN171" i="1"/>
  <c r="DO171" i="1" s="1"/>
  <c r="DP171" i="1" s="1"/>
  <c r="DI171" i="1"/>
  <c r="DJ171" i="1" s="1"/>
  <c r="DK171" i="1" s="1"/>
  <c r="DD171" i="1"/>
  <c r="DE171" i="1" s="1"/>
  <c r="DF171" i="1" s="1"/>
  <c r="CY171" i="1"/>
  <c r="CZ171" i="1" s="1"/>
  <c r="DA171" i="1" s="1"/>
  <c r="CT171" i="1"/>
  <c r="CU171" i="1" s="1"/>
  <c r="CV171" i="1" s="1"/>
  <c r="CO171" i="1"/>
  <c r="CP171" i="1" s="1"/>
  <c r="CQ171" i="1" s="1"/>
  <c r="CJ171" i="1"/>
  <c r="CK171" i="1" s="1"/>
  <c r="CL171" i="1" s="1"/>
  <c r="CE171" i="1"/>
  <c r="CF171" i="1" s="1"/>
  <c r="CG171" i="1" s="1"/>
  <c r="BZ171" i="1"/>
  <c r="CA171" i="1" s="1"/>
  <c r="CB171" i="1" s="1"/>
  <c r="BU171" i="1"/>
  <c r="BV171" i="1" s="1"/>
  <c r="BW171" i="1" s="1"/>
  <c r="BP171" i="1"/>
  <c r="BQ171" i="1" s="1"/>
  <c r="BR171" i="1" s="1"/>
  <c r="BK171" i="1"/>
  <c r="BL171" i="1" s="1"/>
  <c r="BM171" i="1" s="1"/>
  <c r="BF171" i="1"/>
  <c r="BG171" i="1" s="1"/>
  <c r="BH171" i="1" s="1"/>
  <c r="BA171" i="1"/>
  <c r="BB171" i="1" s="1"/>
  <c r="BC171" i="1" s="1"/>
  <c r="AV171" i="1"/>
  <c r="AW171" i="1" s="1"/>
  <c r="AX171" i="1" s="1"/>
  <c r="AQ171" i="1"/>
  <c r="AR171" i="1" s="1"/>
  <c r="AS171" i="1" s="1"/>
  <c r="AL171" i="1"/>
  <c r="AM171" i="1" s="1"/>
  <c r="AN171" i="1" s="1"/>
  <c r="AG171" i="1"/>
  <c r="AH171" i="1" s="1"/>
  <c r="AI171" i="1" s="1"/>
  <c r="AB171" i="1"/>
  <c r="AC171" i="1" s="1"/>
  <c r="AD171" i="1" s="1"/>
  <c r="W171" i="1"/>
  <c r="X171" i="1" s="1"/>
  <c r="Y171" i="1" s="1"/>
  <c r="R171" i="1"/>
  <c r="S171" i="1" s="1"/>
  <c r="T171" i="1" s="1"/>
  <c r="O171" i="1"/>
  <c r="J171" i="1"/>
  <c r="PX170" i="1"/>
  <c r="PS170" i="1"/>
  <c r="PN170" i="1"/>
  <c r="PI170" i="1"/>
  <c r="PD170" i="1"/>
  <c r="OY170" i="1"/>
  <c r="OT170" i="1"/>
  <c r="OO170" i="1"/>
  <c r="OJ170" i="1"/>
  <c r="OE170" i="1"/>
  <c r="NZ170" i="1"/>
  <c r="NU170" i="1"/>
  <c r="NP170" i="1"/>
  <c r="NK170" i="1"/>
  <c r="NF170" i="1"/>
  <c r="NA170" i="1"/>
  <c r="MV170" i="1"/>
  <c r="MQ170" i="1"/>
  <c r="ML170" i="1"/>
  <c r="MG170" i="1"/>
  <c r="MB170" i="1"/>
  <c r="LW170" i="1"/>
  <c r="LR170" i="1"/>
  <c r="LM170" i="1"/>
  <c r="LH170" i="1"/>
  <c r="LC170" i="1"/>
  <c r="KX170" i="1"/>
  <c r="KQ170" i="1"/>
  <c r="KR170" i="1" s="1"/>
  <c r="KS170" i="1" s="1"/>
  <c r="KN170" i="1"/>
  <c r="KI170" i="1"/>
  <c r="KD170" i="1"/>
  <c r="JY170" i="1"/>
  <c r="JT170" i="1"/>
  <c r="JO170" i="1"/>
  <c r="JJ170" i="1"/>
  <c r="JE170" i="1"/>
  <c r="IZ170" i="1"/>
  <c r="IU170" i="1"/>
  <c r="IP170" i="1"/>
  <c r="IK170" i="1"/>
  <c r="IF170" i="1"/>
  <c r="IA170" i="1"/>
  <c r="HV170" i="1"/>
  <c r="HQ170" i="1"/>
  <c r="HL170" i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H170" i="1"/>
  <c r="EI170" i="1" s="1"/>
  <c r="EJ170" i="1" s="1"/>
  <c r="EC170" i="1"/>
  <c r="ED170" i="1" s="1"/>
  <c r="EE170" i="1" s="1"/>
  <c r="DX170" i="1"/>
  <c r="DY170" i="1" s="1"/>
  <c r="DZ170" i="1" s="1"/>
  <c r="DS170" i="1"/>
  <c r="DT170" i="1" s="1"/>
  <c r="DU170" i="1" s="1"/>
  <c r="DN170" i="1"/>
  <c r="DO170" i="1" s="1"/>
  <c r="DP170" i="1" s="1"/>
  <c r="DI170" i="1"/>
  <c r="DJ170" i="1" s="1"/>
  <c r="DK170" i="1" s="1"/>
  <c r="DD170" i="1"/>
  <c r="DE170" i="1" s="1"/>
  <c r="DF170" i="1" s="1"/>
  <c r="CY170" i="1"/>
  <c r="CZ170" i="1" s="1"/>
  <c r="DA170" i="1" s="1"/>
  <c r="CT170" i="1"/>
  <c r="CU170" i="1" s="1"/>
  <c r="CV170" i="1" s="1"/>
  <c r="CO170" i="1"/>
  <c r="CP170" i="1" s="1"/>
  <c r="CQ170" i="1" s="1"/>
  <c r="CJ170" i="1"/>
  <c r="CK170" i="1" s="1"/>
  <c r="CL170" i="1" s="1"/>
  <c r="CE170" i="1"/>
  <c r="CF170" i="1" s="1"/>
  <c r="CG170" i="1" s="1"/>
  <c r="BZ170" i="1"/>
  <c r="CA170" i="1" s="1"/>
  <c r="CB170" i="1" s="1"/>
  <c r="BU170" i="1"/>
  <c r="BV170" i="1" s="1"/>
  <c r="BW170" i="1" s="1"/>
  <c r="BP170" i="1"/>
  <c r="BQ170" i="1" s="1"/>
  <c r="BR170" i="1" s="1"/>
  <c r="BK170" i="1"/>
  <c r="BL170" i="1" s="1"/>
  <c r="BM170" i="1" s="1"/>
  <c r="BF170" i="1"/>
  <c r="BG170" i="1" s="1"/>
  <c r="BH170" i="1" s="1"/>
  <c r="BA170" i="1"/>
  <c r="BB170" i="1" s="1"/>
  <c r="BC170" i="1" s="1"/>
  <c r="AV170" i="1"/>
  <c r="AW170" i="1" s="1"/>
  <c r="AX170" i="1" s="1"/>
  <c r="AQ170" i="1"/>
  <c r="AR170" i="1" s="1"/>
  <c r="AS170" i="1" s="1"/>
  <c r="AL170" i="1"/>
  <c r="AM170" i="1" s="1"/>
  <c r="AN170" i="1" s="1"/>
  <c r="AG170" i="1"/>
  <c r="AH170" i="1" s="1"/>
  <c r="AI170" i="1" s="1"/>
  <c r="AB170" i="1"/>
  <c r="AC170" i="1" s="1"/>
  <c r="AD170" i="1" s="1"/>
  <c r="W170" i="1"/>
  <c r="X170" i="1" s="1"/>
  <c r="Y170" i="1" s="1"/>
  <c r="R170" i="1"/>
  <c r="S170" i="1" s="1"/>
  <c r="T170" i="1" s="1"/>
  <c r="O170" i="1"/>
  <c r="J170" i="1"/>
  <c r="PX169" i="1"/>
  <c r="PS169" i="1"/>
  <c r="PN169" i="1"/>
  <c r="PI169" i="1"/>
  <c r="PD169" i="1"/>
  <c r="OY169" i="1"/>
  <c r="OT169" i="1"/>
  <c r="OO169" i="1"/>
  <c r="OJ169" i="1"/>
  <c r="OE169" i="1"/>
  <c r="NZ169" i="1"/>
  <c r="NU169" i="1"/>
  <c r="NP169" i="1"/>
  <c r="NK169" i="1"/>
  <c r="NF169" i="1"/>
  <c r="NA169" i="1"/>
  <c r="MV169" i="1"/>
  <c r="MQ169" i="1"/>
  <c r="ML169" i="1"/>
  <c r="ME169" i="1"/>
  <c r="MF169" i="1" s="1"/>
  <c r="MG169" i="1" s="1"/>
  <c r="MB169" i="1"/>
  <c r="LW169" i="1"/>
  <c r="LR169" i="1"/>
  <c r="LM169" i="1"/>
  <c r="LF169" i="1"/>
  <c r="LG169" i="1" s="1"/>
  <c r="LH169" i="1" s="1"/>
  <c r="LC169" i="1"/>
  <c r="KX169" i="1"/>
  <c r="KQ169" i="1"/>
  <c r="KR169" i="1" s="1"/>
  <c r="KS169" i="1" s="1"/>
  <c r="KN169" i="1"/>
  <c r="KI169" i="1"/>
  <c r="KD169" i="1"/>
  <c r="JY169" i="1"/>
  <c r="JT169" i="1"/>
  <c r="JO169" i="1"/>
  <c r="JJ169" i="1"/>
  <c r="JE169" i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T169" i="1"/>
  <c r="HU169" i="1" s="1"/>
  <c r="HV169" i="1" s="1"/>
  <c r="HQ169" i="1"/>
  <c r="HL169" i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H169" i="1"/>
  <c r="EI169" i="1" s="1"/>
  <c r="EJ169" i="1" s="1"/>
  <c r="EC169" i="1"/>
  <c r="ED169" i="1" s="1"/>
  <c r="EE169" i="1" s="1"/>
  <c r="DX169" i="1"/>
  <c r="DY169" i="1" s="1"/>
  <c r="DZ169" i="1" s="1"/>
  <c r="DS169" i="1"/>
  <c r="DT169" i="1" s="1"/>
  <c r="DU169" i="1" s="1"/>
  <c r="DN169" i="1"/>
  <c r="DO169" i="1" s="1"/>
  <c r="DP169" i="1" s="1"/>
  <c r="DI169" i="1"/>
  <c r="DJ169" i="1" s="1"/>
  <c r="DK169" i="1" s="1"/>
  <c r="DD169" i="1"/>
  <c r="DE169" i="1" s="1"/>
  <c r="DF169" i="1" s="1"/>
  <c r="CY169" i="1"/>
  <c r="CZ169" i="1" s="1"/>
  <c r="DA169" i="1" s="1"/>
  <c r="CT169" i="1"/>
  <c r="CU169" i="1" s="1"/>
  <c r="CV169" i="1" s="1"/>
  <c r="CO169" i="1"/>
  <c r="CP169" i="1" s="1"/>
  <c r="CQ169" i="1" s="1"/>
  <c r="CJ169" i="1"/>
  <c r="CK169" i="1" s="1"/>
  <c r="CL169" i="1" s="1"/>
  <c r="CE169" i="1"/>
  <c r="CF169" i="1" s="1"/>
  <c r="CG169" i="1" s="1"/>
  <c r="BZ169" i="1"/>
  <c r="CA169" i="1" s="1"/>
  <c r="CB169" i="1" s="1"/>
  <c r="BU169" i="1"/>
  <c r="BV169" i="1" s="1"/>
  <c r="BW169" i="1" s="1"/>
  <c r="BP169" i="1"/>
  <c r="BQ169" i="1" s="1"/>
  <c r="BR169" i="1" s="1"/>
  <c r="BK169" i="1"/>
  <c r="BL169" i="1" s="1"/>
  <c r="BM169" i="1" s="1"/>
  <c r="BF169" i="1"/>
  <c r="BG169" i="1" s="1"/>
  <c r="BH169" i="1" s="1"/>
  <c r="BA169" i="1"/>
  <c r="BB169" i="1" s="1"/>
  <c r="BC169" i="1" s="1"/>
  <c r="AV169" i="1"/>
  <c r="AW169" i="1" s="1"/>
  <c r="AX169" i="1" s="1"/>
  <c r="AQ169" i="1"/>
  <c r="AR169" i="1" s="1"/>
  <c r="AS169" i="1" s="1"/>
  <c r="AL169" i="1"/>
  <c r="AM169" i="1" s="1"/>
  <c r="AN169" i="1" s="1"/>
  <c r="AG169" i="1"/>
  <c r="AH169" i="1" s="1"/>
  <c r="AI169" i="1" s="1"/>
  <c r="AB169" i="1"/>
  <c r="AC169" i="1" s="1"/>
  <c r="AD169" i="1" s="1"/>
  <c r="W169" i="1"/>
  <c r="X169" i="1" s="1"/>
  <c r="Y169" i="1" s="1"/>
  <c r="T169" i="1"/>
  <c r="O169" i="1"/>
  <c r="J169" i="1"/>
  <c r="PX168" i="1"/>
  <c r="PS168" i="1"/>
  <c r="PN168" i="1"/>
  <c r="PI168" i="1"/>
  <c r="PD168" i="1"/>
  <c r="OY168" i="1"/>
  <c r="OT168" i="1"/>
  <c r="OO168" i="1"/>
  <c r="OJ168" i="1"/>
  <c r="OE168" i="1"/>
  <c r="NZ168" i="1"/>
  <c r="NU168" i="1"/>
  <c r="NP168" i="1"/>
  <c r="NK168" i="1"/>
  <c r="NF168" i="1"/>
  <c r="NA168" i="1"/>
  <c r="MV168" i="1"/>
  <c r="MQ168" i="1"/>
  <c r="ML168" i="1"/>
  <c r="MG168" i="1"/>
  <c r="MB168" i="1"/>
  <c r="LW168" i="1"/>
  <c r="LR168" i="1"/>
  <c r="LM168" i="1"/>
  <c r="LH168" i="1"/>
  <c r="LA168" i="1"/>
  <c r="LB168" i="1" s="1"/>
  <c r="LC168" i="1" s="1"/>
  <c r="KX168" i="1"/>
  <c r="KS168" i="1"/>
  <c r="KN168" i="1"/>
  <c r="KG168" i="1"/>
  <c r="KH168" i="1" s="1"/>
  <c r="KI168" i="1" s="1"/>
  <c r="KD168" i="1"/>
  <c r="JY168" i="1"/>
  <c r="JT168" i="1"/>
  <c r="JO168" i="1"/>
  <c r="JJ168" i="1"/>
  <c r="JE168" i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T168" i="1"/>
  <c r="HU168" i="1" s="1"/>
  <c r="HV168" i="1" s="1"/>
  <c r="HQ168" i="1"/>
  <c r="HL168" i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H168" i="1"/>
  <c r="EI168" i="1" s="1"/>
  <c r="EJ168" i="1" s="1"/>
  <c r="EC168" i="1"/>
  <c r="ED168" i="1" s="1"/>
  <c r="EE168" i="1" s="1"/>
  <c r="DX168" i="1"/>
  <c r="DY168" i="1" s="1"/>
  <c r="DZ168" i="1" s="1"/>
  <c r="DS168" i="1"/>
  <c r="DT168" i="1" s="1"/>
  <c r="DU168" i="1" s="1"/>
  <c r="DN168" i="1"/>
  <c r="DO168" i="1" s="1"/>
  <c r="DP168" i="1" s="1"/>
  <c r="DI168" i="1"/>
  <c r="DJ168" i="1" s="1"/>
  <c r="DK168" i="1" s="1"/>
  <c r="DD168" i="1"/>
  <c r="DE168" i="1" s="1"/>
  <c r="DF168" i="1" s="1"/>
  <c r="CY168" i="1"/>
  <c r="CZ168" i="1" s="1"/>
  <c r="DA168" i="1" s="1"/>
  <c r="CT168" i="1"/>
  <c r="CU168" i="1" s="1"/>
  <c r="CV168" i="1" s="1"/>
  <c r="CO168" i="1"/>
  <c r="CP168" i="1" s="1"/>
  <c r="CQ168" i="1" s="1"/>
  <c r="CJ168" i="1"/>
  <c r="CK168" i="1" s="1"/>
  <c r="CL168" i="1" s="1"/>
  <c r="CE168" i="1"/>
  <c r="CF168" i="1" s="1"/>
  <c r="CG168" i="1" s="1"/>
  <c r="BZ168" i="1"/>
  <c r="CA168" i="1" s="1"/>
  <c r="CB168" i="1" s="1"/>
  <c r="BU168" i="1"/>
  <c r="BV168" i="1" s="1"/>
  <c r="BW168" i="1" s="1"/>
  <c r="BP168" i="1"/>
  <c r="BQ168" i="1" s="1"/>
  <c r="BR168" i="1" s="1"/>
  <c r="BK168" i="1"/>
  <c r="BL168" i="1" s="1"/>
  <c r="BM168" i="1" s="1"/>
  <c r="BF168" i="1"/>
  <c r="BG168" i="1" s="1"/>
  <c r="BH168" i="1" s="1"/>
  <c r="BA168" i="1"/>
  <c r="BB168" i="1" s="1"/>
  <c r="BC168" i="1" s="1"/>
  <c r="AV168" i="1"/>
  <c r="AW168" i="1" s="1"/>
  <c r="AX168" i="1" s="1"/>
  <c r="AQ168" i="1"/>
  <c r="AR168" i="1" s="1"/>
  <c r="AS168" i="1" s="1"/>
  <c r="AL168" i="1"/>
  <c r="AM168" i="1" s="1"/>
  <c r="AN168" i="1" s="1"/>
  <c r="AG168" i="1"/>
  <c r="AH168" i="1" s="1"/>
  <c r="AI168" i="1" s="1"/>
  <c r="AB168" i="1"/>
  <c r="AC168" i="1" s="1"/>
  <c r="AD168" i="1" s="1"/>
  <c r="W168" i="1"/>
  <c r="X168" i="1" s="1"/>
  <c r="Y168" i="1" s="1"/>
  <c r="R168" i="1"/>
  <c r="S168" i="1" s="1"/>
  <c r="T168" i="1" s="1"/>
  <c r="O168" i="1"/>
  <c r="J168" i="1"/>
  <c r="PX167" i="1"/>
  <c r="PS167" i="1"/>
  <c r="PN167" i="1"/>
  <c r="PI167" i="1"/>
  <c r="PD167" i="1"/>
  <c r="OY167" i="1"/>
  <c r="OT167" i="1"/>
  <c r="OO167" i="1"/>
  <c r="OJ167" i="1"/>
  <c r="OE167" i="1"/>
  <c r="NZ167" i="1"/>
  <c r="NU167" i="1"/>
  <c r="NN167" i="1"/>
  <c r="NO167" i="1" s="1"/>
  <c r="NP167" i="1" s="1"/>
  <c r="NK167" i="1"/>
  <c r="NF167" i="1"/>
  <c r="NA167" i="1"/>
  <c r="MV167" i="1"/>
  <c r="MQ167" i="1"/>
  <c r="MJ167" i="1"/>
  <c r="MK167" i="1" s="1"/>
  <c r="ML167" i="1" s="1"/>
  <c r="ME167" i="1"/>
  <c r="MF167" i="1" s="1"/>
  <c r="MG167" i="1" s="1"/>
  <c r="LZ167" i="1"/>
  <c r="MA167" i="1" s="1"/>
  <c r="MB167" i="1" s="1"/>
  <c r="LU167" i="1"/>
  <c r="LV167" i="1" s="1"/>
  <c r="LW167" i="1" s="1"/>
  <c r="LR167" i="1"/>
  <c r="LM167" i="1"/>
  <c r="LH167" i="1"/>
  <c r="LC167" i="1"/>
  <c r="KX167" i="1"/>
  <c r="KQ167" i="1"/>
  <c r="KR167" i="1" s="1"/>
  <c r="KS167" i="1" s="1"/>
  <c r="KL167" i="1"/>
  <c r="KM167" i="1" s="1"/>
  <c r="KN167" i="1" s="1"/>
  <c r="KI167" i="1"/>
  <c r="KD167" i="1"/>
  <c r="JY167" i="1"/>
  <c r="JT167" i="1"/>
  <c r="JO167" i="1"/>
  <c r="JJ167" i="1"/>
  <c r="JE167" i="1"/>
  <c r="IZ167" i="1"/>
  <c r="IU167" i="1"/>
  <c r="IP167" i="1"/>
  <c r="IK167" i="1"/>
  <c r="IF167" i="1"/>
  <c r="IA167" i="1"/>
  <c r="HV167" i="1"/>
  <c r="HQ167" i="1"/>
  <c r="HL167" i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H167" i="1"/>
  <c r="EI167" i="1" s="1"/>
  <c r="EJ167" i="1" s="1"/>
  <c r="EC167" i="1"/>
  <c r="ED167" i="1" s="1"/>
  <c r="EE167" i="1" s="1"/>
  <c r="DX167" i="1"/>
  <c r="DY167" i="1" s="1"/>
  <c r="DZ167" i="1" s="1"/>
  <c r="DS167" i="1"/>
  <c r="DT167" i="1" s="1"/>
  <c r="DU167" i="1" s="1"/>
  <c r="DN167" i="1"/>
  <c r="DO167" i="1" s="1"/>
  <c r="DP167" i="1" s="1"/>
  <c r="DI167" i="1"/>
  <c r="DJ167" i="1" s="1"/>
  <c r="DK167" i="1" s="1"/>
  <c r="DD167" i="1"/>
  <c r="DE167" i="1" s="1"/>
  <c r="DF167" i="1" s="1"/>
  <c r="CY167" i="1"/>
  <c r="CZ167" i="1" s="1"/>
  <c r="DA167" i="1" s="1"/>
  <c r="CT167" i="1"/>
  <c r="CU167" i="1" s="1"/>
  <c r="CV167" i="1" s="1"/>
  <c r="CO167" i="1"/>
  <c r="CP167" i="1" s="1"/>
  <c r="CQ167" i="1" s="1"/>
  <c r="CJ167" i="1"/>
  <c r="CK167" i="1" s="1"/>
  <c r="CL167" i="1" s="1"/>
  <c r="CE167" i="1"/>
  <c r="CF167" i="1" s="1"/>
  <c r="CG167" i="1" s="1"/>
  <c r="BZ167" i="1"/>
  <c r="CA167" i="1" s="1"/>
  <c r="CB167" i="1" s="1"/>
  <c r="BU167" i="1"/>
  <c r="BV167" i="1" s="1"/>
  <c r="BW167" i="1" s="1"/>
  <c r="BP167" i="1"/>
  <c r="BQ167" i="1" s="1"/>
  <c r="BR167" i="1" s="1"/>
  <c r="BK167" i="1"/>
  <c r="BL167" i="1" s="1"/>
  <c r="BM167" i="1" s="1"/>
  <c r="BF167" i="1"/>
  <c r="BG167" i="1" s="1"/>
  <c r="BH167" i="1" s="1"/>
  <c r="BA167" i="1"/>
  <c r="BB167" i="1" s="1"/>
  <c r="BC167" i="1" s="1"/>
  <c r="AV167" i="1"/>
  <c r="AW167" i="1" s="1"/>
  <c r="AX167" i="1" s="1"/>
  <c r="AQ167" i="1"/>
  <c r="AR167" i="1" s="1"/>
  <c r="AS167" i="1" s="1"/>
  <c r="AL167" i="1"/>
  <c r="AM167" i="1" s="1"/>
  <c r="AN167" i="1" s="1"/>
  <c r="AG167" i="1"/>
  <c r="AH167" i="1" s="1"/>
  <c r="AI167" i="1" s="1"/>
  <c r="AB167" i="1"/>
  <c r="AC167" i="1" s="1"/>
  <c r="AD167" i="1" s="1"/>
  <c r="W167" i="1"/>
  <c r="X167" i="1" s="1"/>
  <c r="Y167" i="1" s="1"/>
  <c r="R167" i="1"/>
  <c r="S167" i="1" s="1"/>
  <c r="T167" i="1" s="1"/>
  <c r="O167" i="1"/>
  <c r="J167" i="1"/>
  <c r="PX166" i="1"/>
  <c r="PS166" i="1"/>
  <c r="PN166" i="1"/>
  <c r="PI166" i="1"/>
  <c r="PD166" i="1"/>
  <c r="OY166" i="1"/>
  <c r="OT166" i="1"/>
  <c r="OO166" i="1"/>
  <c r="OJ166" i="1"/>
  <c r="OE166" i="1"/>
  <c r="NZ166" i="1"/>
  <c r="NU166" i="1"/>
  <c r="NP166" i="1"/>
  <c r="NK166" i="1"/>
  <c r="NF166" i="1"/>
  <c r="NA166" i="1"/>
  <c r="MV166" i="1"/>
  <c r="MQ166" i="1"/>
  <c r="ML166" i="1"/>
  <c r="MG166" i="1"/>
  <c r="LZ166" i="1"/>
  <c r="MA166" i="1" s="1"/>
  <c r="MB166" i="1" s="1"/>
  <c r="LU166" i="1"/>
  <c r="LV166" i="1" s="1"/>
  <c r="LW166" i="1" s="1"/>
  <c r="LR166" i="1"/>
  <c r="LM166" i="1"/>
  <c r="LH166" i="1"/>
  <c r="LA166" i="1"/>
  <c r="LB166" i="1" s="1"/>
  <c r="LC166" i="1" s="1"/>
  <c r="KX166" i="1"/>
  <c r="KQ166" i="1"/>
  <c r="KR166" i="1" s="1"/>
  <c r="KS166" i="1" s="1"/>
  <c r="KN166" i="1"/>
  <c r="KI166" i="1"/>
  <c r="KD166" i="1"/>
  <c r="JY166" i="1"/>
  <c r="JT166" i="1"/>
  <c r="JO166" i="1"/>
  <c r="JJ166" i="1"/>
  <c r="JE166" i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H166" i="1"/>
  <c r="EI166" i="1" s="1"/>
  <c r="EJ166" i="1" s="1"/>
  <c r="EC166" i="1"/>
  <c r="ED166" i="1" s="1"/>
  <c r="EE166" i="1" s="1"/>
  <c r="DX166" i="1"/>
  <c r="DY166" i="1" s="1"/>
  <c r="DZ166" i="1" s="1"/>
  <c r="DS166" i="1"/>
  <c r="DT166" i="1" s="1"/>
  <c r="DU166" i="1" s="1"/>
  <c r="DN166" i="1"/>
  <c r="DO166" i="1" s="1"/>
  <c r="DP166" i="1" s="1"/>
  <c r="DI166" i="1"/>
  <c r="DJ166" i="1" s="1"/>
  <c r="DK166" i="1" s="1"/>
  <c r="DD166" i="1"/>
  <c r="DE166" i="1" s="1"/>
  <c r="DF166" i="1" s="1"/>
  <c r="CY166" i="1"/>
  <c r="CZ166" i="1" s="1"/>
  <c r="DA166" i="1" s="1"/>
  <c r="CT166" i="1"/>
  <c r="CU166" i="1" s="1"/>
  <c r="CV166" i="1" s="1"/>
  <c r="CO166" i="1"/>
  <c r="CP166" i="1" s="1"/>
  <c r="CQ166" i="1" s="1"/>
  <c r="CJ166" i="1"/>
  <c r="CK166" i="1" s="1"/>
  <c r="CL166" i="1" s="1"/>
  <c r="CE166" i="1"/>
  <c r="CF166" i="1" s="1"/>
  <c r="CG166" i="1" s="1"/>
  <c r="BZ166" i="1"/>
  <c r="CA166" i="1" s="1"/>
  <c r="CB166" i="1" s="1"/>
  <c r="BU166" i="1"/>
  <c r="BV166" i="1" s="1"/>
  <c r="BW166" i="1" s="1"/>
  <c r="BP166" i="1"/>
  <c r="BQ166" i="1" s="1"/>
  <c r="BR166" i="1" s="1"/>
  <c r="BK166" i="1"/>
  <c r="BL166" i="1" s="1"/>
  <c r="BM166" i="1" s="1"/>
  <c r="BF166" i="1"/>
  <c r="BG166" i="1" s="1"/>
  <c r="BH166" i="1" s="1"/>
  <c r="BA166" i="1"/>
  <c r="BB166" i="1" s="1"/>
  <c r="BC166" i="1" s="1"/>
  <c r="AV166" i="1"/>
  <c r="AW166" i="1" s="1"/>
  <c r="AX166" i="1" s="1"/>
  <c r="AQ166" i="1"/>
  <c r="AR166" i="1" s="1"/>
  <c r="AS166" i="1" s="1"/>
  <c r="AL166" i="1"/>
  <c r="AM166" i="1" s="1"/>
  <c r="AN166" i="1" s="1"/>
  <c r="AG166" i="1"/>
  <c r="AH166" i="1" s="1"/>
  <c r="AI166" i="1" s="1"/>
  <c r="AB166" i="1"/>
  <c r="AC166" i="1" s="1"/>
  <c r="AD166" i="1" s="1"/>
  <c r="W166" i="1"/>
  <c r="X166" i="1" s="1"/>
  <c r="Y166" i="1" s="1"/>
  <c r="T166" i="1"/>
  <c r="O166" i="1"/>
  <c r="J166" i="1"/>
  <c r="PX165" i="1"/>
  <c r="PS165" i="1"/>
  <c r="PN165" i="1"/>
  <c r="PI165" i="1"/>
  <c r="PD165" i="1"/>
  <c r="OY165" i="1"/>
  <c r="OT165" i="1"/>
  <c r="OO165" i="1"/>
  <c r="OJ165" i="1"/>
  <c r="OE165" i="1"/>
  <c r="NZ165" i="1"/>
  <c r="NU165" i="1"/>
  <c r="NP165" i="1"/>
  <c r="NK165" i="1"/>
  <c r="NF165" i="1"/>
  <c r="NA165" i="1"/>
  <c r="MV165" i="1"/>
  <c r="MQ165" i="1"/>
  <c r="ML165" i="1"/>
  <c r="MG165" i="1"/>
  <c r="MB165" i="1"/>
  <c r="LW165" i="1"/>
  <c r="LR165" i="1"/>
  <c r="LM165" i="1"/>
  <c r="LH165" i="1"/>
  <c r="LC165" i="1"/>
  <c r="KX165" i="1"/>
  <c r="KS165" i="1"/>
  <c r="KN165" i="1"/>
  <c r="KI165" i="1"/>
  <c r="KD165" i="1"/>
  <c r="JY165" i="1"/>
  <c r="JT165" i="1"/>
  <c r="JO165" i="1"/>
  <c r="JJ165" i="1"/>
  <c r="JE165" i="1"/>
  <c r="IZ165" i="1"/>
  <c r="IU165" i="1"/>
  <c r="IP165" i="1"/>
  <c r="IK165" i="1"/>
  <c r="IF165" i="1"/>
  <c r="IA165" i="1"/>
  <c r="HV165" i="1"/>
  <c r="HQ165" i="1"/>
  <c r="HL165" i="1"/>
  <c r="HG165" i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H165" i="1"/>
  <c r="EI165" i="1" s="1"/>
  <c r="EJ165" i="1" s="1"/>
  <c r="EC165" i="1"/>
  <c r="ED165" i="1" s="1"/>
  <c r="EE165" i="1" s="1"/>
  <c r="DX165" i="1"/>
  <c r="DY165" i="1" s="1"/>
  <c r="DZ165" i="1" s="1"/>
  <c r="DS165" i="1"/>
  <c r="DT165" i="1" s="1"/>
  <c r="DU165" i="1" s="1"/>
  <c r="DN165" i="1"/>
  <c r="DO165" i="1" s="1"/>
  <c r="DP165" i="1" s="1"/>
  <c r="DI165" i="1"/>
  <c r="DJ165" i="1" s="1"/>
  <c r="DK165" i="1" s="1"/>
  <c r="DD165" i="1"/>
  <c r="DE165" i="1" s="1"/>
  <c r="DF165" i="1" s="1"/>
  <c r="CY165" i="1"/>
  <c r="CZ165" i="1" s="1"/>
  <c r="DA165" i="1" s="1"/>
  <c r="CT165" i="1"/>
  <c r="CU165" i="1" s="1"/>
  <c r="CV165" i="1" s="1"/>
  <c r="CO165" i="1"/>
  <c r="CP165" i="1" s="1"/>
  <c r="CQ165" i="1" s="1"/>
  <c r="CJ165" i="1"/>
  <c r="CK165" i="1" s="1"/>
  <c r="CL165" i="1" s="1"/>
  <c r="CE165" i="1"/>
  <c r="CF165" i="1" s="1"/>
  <c r="CG165" i="1" s="1"/>
  <c r="BZ165" i="1"/>
  <c r="CA165" i="1" s="1"/>
  <c r="CB165" i="1" s="1"/>
  <c r="BU165" i="1"/>
  <c r="BV165" i="1" s="1"/>
  <c r="BW165" i="1" s="1"/>
  <c r="BP165" i="1"/>
  <c r="BQ165" i="1" s="1"/>
  <c r="BR165" i="1" s="1"/>
  <c r="BK165" i="1"/>
  <c r="BL165" i="1" s="1"/>
  <c r="BM165" i="1" s="1"/>
  <c r="BF165" i="1"/>
  <c r="BG165" i="1" s="1"/>
  <c r="BH165" i="1" s="1"/>
  <c r="BA165" i="1"/>
  <c r="BB165" i="1" s="1"/>
  <c r="BC165" i="1" s="1"/>
  <c r="AV165" i="1"/>
  <c r="AW165" i="1" s="1"/>
  <c r="AX165" i="1" s="1"/>
  <c r="AQ165" i="1"/>
  <c r="AR165" i="1" s="1"/>
  <c r="AS165" i="1" s="1"/>
  <c r="AL165" i="1"/>
  <c r="AM165" i="1" s="1"/>
  <c r="AN165" i="1" s="1"/>
  <c r="AG165" i="1"/>
  <c r="AH165" i="1" s="1"/>
  <c r="AI165" i="1" s="1"/>
  <c r="AD165" i="1"/>
  <c r="W165" i="1"/>
  <c r="X165" i="1" s="1"/>
  <c r="Y165" i="1" s="1"/>
  <c r="T165" i="1"/>
  <c r="O165" i="1"/>
  <c r="H165" i="1"/>
  <c r="I165" i="1" s="1"/>
  <c r="J165" i="1" s="1"/>
  <c r="PX164" i="1"/>
  <c r="PS164" i="1"/>
  <c r="PN164" i="1"/>
  <c r="PI164" i="1"/>
  <c r="PD164" i="1"/>
  <c r="OY164" i="1"/>
  <c r="OT164" i="1"/>
  <c r="OO164" i="1"/>
  <c r="OJ164" i="1"/>
  <c r="OE164" i="1"/>
  <c r="NZ164" i="1"/>
  <c r="NU164" i="1"/>
  <c r="NP164" i="1"/>
  <c r="NK164" i="1"/>
  <c r="NF164" i="1"/>
  <c r="NA164" i="1"/>
  <c r="MV164" i="1"/>
  <c r="MQ164" i="1"/>
  <c r="ML164" i="1"/>
  <c r="MG164" i="1"/>
  <c r="MB164" i="1"/>
  <c r="LW164" i="1"/>
  <c r="LR164" i="1"/>
  <c r="LM164" i="1"/>
  <c r="LH164" i="1"/>
  <c r="LC164" i="1"/>
  <c r="KX164" i="1"/>
  <c r="KS164" i="1"/>
  <c r="KN164" i="1"/>
  <c r="KI164" i="1"/>
  <c r="KD164" i="1"/>
  <c r="JY164" i="1"/>
  <c r="JT164" i="1"/>
  <c r="JO164" i="1"/>
  <c r="JJ164" i="1"/>
  <c r="JE164" i="1"/>
  <c r="IZ164" i="1"/>
  <c r="IU164" i="1"/>
  <c r="IP164" i="1"/>
  <c r="IK164" i="1"/>
  <c r="IF164" i="1"/>
  <c r="IA164" i="1"/>
  <c r="HV164" i="1"/>
  <c r="HQ164" i="1"/>
  <c r="HL164" i="1"/>
  <c r="HE164" i="1"/>
  <c r="HF164" i="1" s="1"/>
  <c r="HG164" i="1" s="1"/>
  <c r="GZ164" i="1"/>
  <c r="HA164" i="1" s="1"/>
  <c r="HB164" i="1" s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H164" i="1"/>
  <c r="EI164" i="1" s="1"/>
  <c r="EJ164" i="1" s="1"/>
  <c r="EC164" i="1"/>
  <c r="ED164" i="1" s="1"/>
  <c r="EE164" i="1" s="1"/>
  <c r="DX164" i="1"/>
  <c r="DY164" i="1" s="1"/>
  <c r="DZ164" i="1" s="1"/>
  <c r="DS164" i="1"/>
  <c r="DT164" i="1" s="1"/>
  <c r="DU164" i="1" s="1"/>
  <c r="DN164" i="1"/>
  <c r="DO164" i="1" s="1"/>
  <c r="DP164" i="1" s="1"/>
  <c r="DI164" i="1"/>
  <c r="DJ164" i="1" s="1"/>
  <c r="DK164" i="1" s="1"/>
  <c r="DD164" i="1"/>
  <c r="DE164" i="1" s="1"/>
  <c r="DF164" i="1" s="1"/>
  <c r="CY164" i="1"/>
  <c r="CZ164" i="1" s="1"/>
  <c r="DA164" i="1" s="1"/>
  <c r="CT164" i="1"/>
  <c r="CU164" i="1" s="1"/>
  <c r="CV164" i="1" s="1"/>
  <c r="CO164" i="1"/>
  <c r="CP164" i="1" s="1"/>
  <c r="CQ164" i="1" s="1"/>
  <c r="CJ164" i="1"/>
  <c r="CK164" i="1" s="1"/>
  <c r="CL164" i="1" s="1"/>
  <c r="CE164" i="1"/>
  <c r="CF164" i="1" s="1"/>
  <c r="CG164" i="1" s="1"/>
  <c r="BZ164" i="1"/>
  <c r="CA164" i="1" s="1"/>
  <c r="CB164" i="1" s="1"/>
  <c r="BU164" i="1"/>
  <c r="BV164" i="1" s="1"/>
  <c r="BW164" i="1" s="1"/>
  <c r="BP164" i="1"/>
  <c r="BQ164" i="1" s="1"/>
  <c r="BR164" i="1" s="1"/>
  <c r="BK164" i="1"/>
  <c r="BL164" i="1" s="1"/>
  <c r="BM164" i="1" s="1"/>
  <c r="BF164" i="1"/>
  <c r="BG164" i="1" s="1"/>
  <c r="BH164" i="1" s="1"/>
  <c r="BA164" i="1"/>
  <c r="BB164" i="1" s="1"/>
  <c r="BC164" i="1" s="1"/>
  <c r="AV164" i="1"/>
  <c r="AW164" i="1" s="1"/>
  <c r="AX164" i="1" s="1"/>
  <c r="AQ164" i="1"/>
  <c r="AR164" i="1" s="1"/>
  <c r="AS164" i="1" s="1"/>
  <c r="AL164" i="1"/>
  <c r="AM164" i="1" s="1"/>
  <c r="AN164" i="1" s="1"/>
  <c r="AG164" i="1"/>
  <c r="AH164" i="1" s="1"/>
  <c r="AI164" i="1" s="1"/>
  <c r="AB164" i="1"/>
  <c r="AC164" i="1" s="1"/>
  <c r="AD164" i="1" s="1"/>
  <c r="W164" i="1"/>
  <c r="X164" i="1" s="1"/>
  <c r="Y164" i="1" s="1"/>
  <c r="T164" i="1"/>
  <c r="O164" i="1"/>
  <c r="J164" i="1"/>
  <c r="PX163" i="1"/>
  <c r="PS163" i="1"/>
  <c r="PN163" i="1"/>
  <c r="PI163" i="1"/>
  <c r="PD163" i="1"/>
  <c r="OY163" i="1"/>
  <c r="OT163" i="1"/>
  <c r="OO163" i="1"/>
  <c r="OJ163" i="1"/>
  <c r="OE163" i="1"/>
  <c r="NZ163" i="1"/>
  <c r="NU163" i="1"/>
  <c r="NP163" i="1"/>
  <c r="NK163" i="1"/>
  <c r="NF163" i="1"/>
  <c r="NA163" i="1"/>
  <c r="MV163" i="1"/>
  <c r="MQ163" i="1"/>
  <c r="ML163" i="1"/>
  <c r="MG163" i="1"/>
  <c r="MB163" i="1"/>
  <c r="LW163" i="1"/>
  <c r="LR163" i="1"/>
  <c r="LM163" i="1"/>
  <c r="LH163" i="1"/>
  <c r="LC163" i="1"/>
  <c r="KX163" i="1"/>
  <c r="KQ163" i="1"/>
  <c r="KR163" i="1" s="1"/>
  <c r="KS163" i="1" s="1"/>
  <c r="KN163" i="1"/>
  <c r="KI163" i="1"/>
  <c r="KD163" i="1"/>
  <c r="JY163" i="1"/>
  <c r="JT163" i="1"/>
  <c r="JO163" i="1"/>
  <c r="JJ163" i="1"/>
  <c r="JE163" i="1"/>
  <c r="IZ163" i="1"/>
  <c r="IU163" i="1"/>
  <c r="IP163" i="1"/>
  <c r="IK163" i="1"/>
  <c r="IF163" i="1"/>
  <c r="IA163" i="1"/>
  <c r="HV163" i="1"/>
  <c r="HQ163" i="1"/>
  <c r="HL163" i="1"/>
  <c r="HG163" i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H163" i="1"/>
  <c r="EI163" i="1" s="1"/>
  <c r="EJ163" i="1" s="1"/>
  <c r="EC163" i="1"/>
  <c r="ED163" i="1" s="1"/>
  <c r="EE163" i="1" s="1"/>
  <c r="DX163" i="1"/>
  <c r="DY163" i="1" s="1"/>
  <c r="DZ163" i="1" s="1"/>
  <c r="DS163" i="1"/>
  <c r="DT163" i="1" s="1"/>
  <c r="DU163" i="1" s="1"/>
  <c r="DN163" i="1"/>
  <c r="DO163" i="1" s="1"/>
  <c r="DP163" i="1" s="1"/>
  <c r="DI163" i="1"/>
  <c r="DJ163" i="1" s="1"/>
  <c r="DK163" i="1" s="1"/>
  <c r="DD163" i="1"/>
  <c r="DE163" i="1" s="1"/>
  <c r="DF163" i="1" s="1"/>
  <c r="CY163" i="1"/>
  <c r="CZ163" i="1" s="1"/>
  <c r="DA163" i="1" s="1"/>
  <c r="CT163" i="1"/>
  <c r="CU163" i="1" s="1"/>
  <c r="CV163" i="1" s="1"/>
  <c r="CO163" i="1"/>
  <c r="CP163" i="1" s="1"/>
  <c r="CQ163" i="1" s="1"/>
  <c r="CJ163" i="1"/>
  <c r="CK163" i="1" s="1"/>
  <c r="CL163" i="1" s="1"/>
  <c r="CE163" i="1"/>
  <c r="CF163" i="1" s="1"/>
  <c r="CG163" i="1" s="1"/>
  <c r="BZ163" i="1"/>
  <c r="CA163" i="1" s="1"/>
  <c r="CB163" i="1" s="1"/>
  <c r="BU163" i="1"/>
  <c r="BV163" i="1" s="1"/>
  <c r="BW163" i="1" s="1"/>
  <c r="BP163" i="1"/>
  <c r="BQ163" i="1" s="1"/>
  <c r="BR163" i="1" s="1"/>
  <c r="BK163" i="1"/>
  <c r="BL163" i="1" s="1"/>
  <c r="BM163" i="1" s="1"/>
  <c r="BF163" i="1"/>
  <c r="BG163" i="1" s="1"/>
  <c r="BH163" i="1" s="1"/>
  <c r="BA163" i="1"/>
  <c r="BB163" i="1" s="1"/>
  <c r="BC163" i="1" s="1"/>
  <c r="AV163" i="1"/>
  <c r="AW163" i="1" s="1"/>
  <c r="AX163" i="1" s="1"/>
  <c r="AQ163" i="1"/>
  <c r="AR163" i="1" s="1"/>
  <c r="AS163" i="1" s="1"/>
  <c r="AL163" i="1"/>
  <c r="AM163" i="1" s="1"/>
  <c r="AN163" i="1" s="1"/>
  <c r="AG163" i="1"/>
  <c r="AH163" i="1" s="1"/>
  <c r="AI163" i="1" s="1"/>
  <c r="AD163" i="1"/>
  <c r="W163" i="1"/>
  <c r="X163" i="1" s="1"/>
  <c r="Y163" i="1" s="1"/>
  <c r="T163" i="1"/>
  <c r="O163" i="1"/>
  <c r="H163" i="1"/>
  <c r="I163" i="1" s="1"/>
  <c r="J163" i="1" s="1"/>
  <c r="PX162" i="1"/>
  <c r="PS162" i="1"/>
  <c r="PN162" i="1"/>
  <c r="PI162" i="1"/>
  <c r="PD162" i="1"/>
  <c r="OY162" i="1"/>
  <c r="OT162" i="1"/>
  <c r="OO162" i="1"/>
  <c r="OJ162" i="1"/>
  <c r="OE162" i="1"/>
  <c r="NZ162" i="1"/>
  <c r="NU162" i="1"/>
  <c r="NP162" i="1"/>
  <c r="NK162" i="1"/>
  <c r="NF162" i="1"/>
  <c r="NA162" i="1"/>
  <c r="MV162" i="1"/>
  <c r="MQ162" i="1"/>
  <c r="ML162" i="1"/>
  <c r="MG162" i="1"/>
  <c r="MB162" i="1"/>
  <c r="LW162" i="1"/>
  <c r="LR162" i="1"/>
  <c r="LM162" i="1"/>
  <c r="LH162" i="1"/>
  <c r="LA162" i="1"/>
  <c r="LB162" i="1" s="1"/>
  <c r="LC162" i="1" s="1"/>
  <c r="KV162" i="1"/>
  <c r="KW162" i="1" s="1"/>
  <c r="KX162" i="1" s="1"/>
  <c r="KQ162" i="1"/>
  <c r="KR162" i="1" s="1"/>
  <c r="KS162" i="1" s="1"/>
  <c r="KN162" i="1"/>
  <c r="KI162" i="1"/>
  <c r="KD162" i="1"/>
  <c r="JY162" i="1"/>
  <c r="JT162" i="1"/>
  <c r="JO162" i="1"/>
  <c r="JJ162" i="1"/>
  <c r="JE162" i="1"/>
  <c r="IZ162" i="1"/>
  <c r="IU162" i="1"/>
  <c r="IP162" i="1"/>
  <c r="IK162" i="1"/>
  <c r="IF162" i="1"/>
  <c r="IA162" i="1"/>
  <c r="HV162" i="1"/>
  <c r="HQ162" i="1"/>
  <c r="HL162" i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H162" i="1"/>
  <c r="EI162" i="1" s="1"/>
  <c r="EJ162" i="1" s="1"/>
  <c r="EC162" i="1"/>
  <c r="ED162" i="1" s="1"/>
  <c r="EE162" i="1" s="1"/>
  <c r="DX162" i="1"/>
  <c r="DY162" i="1" s="1"/>
  <c r="DZ162" i="1" s="1"/>
  <c r="DS162" i="1"/>
  <c r="DT162" i="1" s="1"/>
  <c r="DU162" i="1" s="1"/>
  <c r="DN162" i="1"/>
  <c r="DO162" i="1" s="1"/>
  <c r="DP162" i="1" s="1"/>
  <c r="DI162" i="1"/>
  <c r="DJ162" i="1" s="1"/>
  <c r="DK162" i="1" s="1"/>
  <c r="DD162" i="1"/>
  <c r="DE162" i="1" s="1"/>
  <c r="DF162" i="1" s="1"/>
  <c r="CY162" i="1"/>
  <c r="CZ162" i="1" s="1"/>
  <c r="DA162" i="1" s="1"/>
  <c r="CT162" i="1"/>
  <c r="CU162" i="1" s="1"/>
  <c r="CV162" i="1" s="1"/>
  <c r="CO162" i="1"/>
  <c r="CP162" i="1" s="1"/>
  <c r="CQ162" i="1" s="1"/>
  <c r="CJ162" i="1"/>
  <c r="CK162" i="1" s="1"/>
  <c r="CL162" i="1" s="1"/>
  <c r="CE162" i="1"/>
  <c r="CF162" i="1" s="1"/>
  <c r="CG162" i="1" s="1"/>
  <c r="BZ162" i="1"/>
  <c r="CA162" i="1" s="1"/>
  <c r="CB162" i="1" s="1"/>
  <c r="BU162" i="1"/>
  <c r="BV162" i="1" s="1"/>
  <c r="BW162" i="1" s="1"/>
  <c r="BP162" i="1"/>
  <c r="BQ162" i="1" s="1"/>
  <c r="BR162" i="1" s="1"/>
  <c r="BK162" i="1"/>
  <c r="BL162" i="1" s="1"/>
  <c r="BM162" i="1" s="1"/>
  <c r="BF162" i="1"/>
  <c r="BG162" i="1" s="1"/>
  <c r="BH162" i="1" s="1"/>
  <c r="BA162" i="1"/>
  <c r="BB162" i="1" s="1"/>
  <c r="BC162" i="1" s="1"/>
  <c r="AV162" i="1"/>
  <c r="AW162" i="1" s="1"/>
  <c r="AX162" i="1" s="1"/>
  <c r="AQ162" i="1"/>
  <c r="AR162" i="1" s="1"/>
  <c r="AS162" i="1" s="1"/>
  <c r="AL162" i="1"/>
  <c r="AM162" i="1" s="1"/>
  <c r="AN162" i="1" s="1"/>
  <c r="AG162" i="1"/>
  <c r="AH162" i="1" s="1"/>
  <c r="AI162" i="1" s="1"/>
  <c r="AB162" i="1"/>
  <c r="AC162" i="1" s="1"/>
  <c r="AD162" i="1" s="1"/>
  <c r="W162" i="1"/>
  <c r="X162" i="1" s="1"/>
  <c r="Y162" i="1" s="1"/>
  <c r="R162" i="1"/>
  <c r="S162" i="1" s="1"/>
  <c r="T162" i="1" s="1"/>
  <c r="O162" i="1"/>
  <c r="J162" i="1"/>
  <c r="PX161" i="1"/>
  <c r="PS161" i="1"/>
  <c r="PN161" i="1"/>
  <c r="PI161" i="1"/>
  <c r="PD161" i="1"/>
  <c r="OY161" i="1"/>
  <c r="OT161" i="1"/>
  <c r="OO161" i="1"/>
  <c r="OJ161" i="1"/>
  <c r="OE161" i="1"/>
  <c r="NZ161" i="1"/>
  <c r="NU161" i="1"/>
  <c r="NP161" i="1"/>
  <c r="NK161" i="1"/>
  <c r="NF161" i="1"/>
  <c r="NA161" i="1"/>
  <c r="MV161" i="1"/>
  <c r="MQ161" i="1"/>
  <c r="ML161" i="1"/>
  <c r="MG161" i="1"/>
  <c r="MB161" i="1"/>
  <c r="LW161" i="1"/>
  <c r="LR161" i="1"/>
  <c r="LM161" i="1"/>
  <c r="LH161" i="1"/>
  <c r="LA161" i="1"/>
  <c r="LB161" i="1" s="1"/>
  <c r="LC161" i="1" s="1"/>
  <c r="KV161" i="1"/>
  <c r="KW161" i="1" s="1"/>
  <c r="KX161" i="1" s="1"/>
  <c r="KS161" i="1"/>
  <c r="KN161" i="1"/>
  <c r="KI161" i="1"/>
  <c r="KD161" i="1"/>
  <c r="JY161" i="1"/>
  <c r="JT161" i="1"/>
  <c r="JO161" i="1"/>
  <c r="JJ161" i="1"/>
  <c r="JE161" i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E161" i="1"/>
  <c r="HF161" i="1" s="1"/>
  <c r="HG161" i="1" s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H161" i="1"/>
  <c r="EI161" i="1" s="1"/>
  <c r="EJ161" i="1" s="1"/>
  <c r="EC161" i="1"/>
  <c r="ED161" i="1" s="1"/>
  <c r="EE161" i="1" s="1"/>
  <c r="DX161" i="1"/>
  <c r="DY161" i="1" s="1"/>
  <c r="DZ161" i="1" s="1"/>
  <c r="DS161" i="1"/>
  <c r="DT161" i="1" s="1"/>
  <c r="DU161" i="1" s="1"/>
  <c r="DN161" i="1"/>
  <c r="DO161" i="1" s="1"/>
  <c r="DP161" i="1" s="1"/>
  <c r="DI161" i="1"/>
  <c r="DJ161" i="1" s="1"/>
  <c r="DK161" i="1" s="1"/>
  <c r="DD161" i="1"/>
  <c r="DE161" i="1" s="1"/>
  <c r="DF161" i="1" s="1"/>
  <c r="CY161" i="1"/>
  <c r="CZ161" i="1" s="1"/>
  <c r="DA161" i="1" s="1"/>
  <c r="CT161" i="1"/>
  <c r="CU161" i="1" s="1"/>
  <c r="CV161" i="1" s="1"/>
  <c r="CO161" i="1"/>
  <c r="CP161" i="1" s="1"/>
  <c r="CQ161" i="1" s="1"/>
  <c r="CJ161" i="1"/>
  <c r="CK161" i="1" s="1"/>
  <c r="CL161" i="1" s="1"/>
  <c r="CE161" i="1"/>
  <c r="CF161" i="1" s="1"/>
  <c r="CG161" i="1" s="1"/>
  <c r="BZ161" i="1"/>
  <c r="CA161" i="1" s="1"/>
  <c r="CB161" i="1" s="1"/>
  <c r="BU161" i="1"/>
  <c r="BV161" i="1" s="1"/>
  <c r="BW161" i="1" s="1"/>
  <c r="BP161" i="1"/>
  <c r="BQ161" i="1" s="1"/>
  <c r="BR161" i="1" s="1"/>
  <c r="BK161" i="1"/>
  <c r="BL161" i="1" s="1"/>
  <c r="BM161" i="1" s="1"/>
  <c r="BF161" i="1"/>
  <c r="BG161" i="1" s="1"/>
  <c r="BH161" i="1" s="1"/>
  <c r="BA161" i="1"/>
  <c r="BB161" i="1" s="1"/>
  <c r="BC161" i="1" s="1"/>
  <c r="AV161" i="1"/>
  <c r="AW161" i="1" s="1"/>
  <c r="AX161" i="1" s="1"/>
  <c r="AQ161" i="1"/>
  <c r="AR161" i="1" s="1"/>
  <c r="AS161" i="1" s="1"/>
  <c r="AL161" i="1"/>
  <c r="AM161" i="1" s="1"/>
  <c r="AN161" i="1" s="1"/>
  <c r="AG161" i="1"/>
  <c r="AH161" i="1" s="1"/>
  <c r="AI161" i="1" s="1"/>
  <c r="AB161" i="1"/>
  <c r="AC161" i="1" s="1"/>
  <c r="AD161" i="1" s="1"/>
  <c r="W161" i="1"/>
  <c r="X161" i="1" s="1"/>
  <c r="Y161" i="1" s="1"/>
  <c r="T161" i="1"/>
  <c r="O161" i="1"/>
  <c r="J161" i="1"/>
  <c r="PX160" i="1"/>
  <c r="PS160" i="1"/>
  <c r="PL160" i="1"/>
  <c r="PM160" i="1" s="1"/>
  <c r="PN160" i="1" s="1"/>
  <c r="PI160" i="1"/>
  <c r="PD160" i="1"/>
  <c r="OW160" i="1"/>
  <c r="OX160" i="1" s="1"/>
  <c r="OY160" i="1" s="1"/>
  <c r="OT160" i="1"/>
  <c r="OO160" i="1"/>
  <c r="OJ160" i="1"/>
  <c r="OE160" i="1"/>
  <c r="NZ160" i="1"/>
  <c r="NS160" i="1"/>
  <c r="NT160" i="1" s="1"/>
  <c r="NU160" i="1" s="1"/>
  <c r="NN160" i="1"/>
  <c r="NO160" i="1" s="1"/>
  <c r="NP160" i="1" s="1"/>
  <c r="NI160" i="1"/>
  <c r="NJ160" i="1" s="1"/>
  <c r="NK160" i="1" s="1"/>
  <c r="ND160" i="1"/>
  <c r="NE160" i="1" s="1"/>
  <c r="NF160" i="1" s="1"/>
  <c r="MY160" i="1"/>
  <c r="MZ160" i="1" s="1"/>
  <c r="NA160" i="1" s="1"/>
  <c r="MV160" i="1"/>
  <c r="MQ160" i="1"/>
  <c r="ML160" i="1"/>
  <c r="MG160" i="1"/>
  <c r="MB160" i="1"/>
  <c r="LW160" i="1"/>
  <c r="LP160" i="1"/>
  <c r="LQ160" i="1" s="1"/>
  <c r="LR160" i="1" s="1"/>
  <c r="LM160" i="1"/>
  <c r="LH160" i="1"/>
  <c r="LA160" i="1"/>
  <c r="LB160" i="1" s="1"/>
  <c r="LC160" i="1" s="1"/>
  <c r="KX160" i="1"/>
  <c r="KQ160" i="1"/>
  <c r="KR160" i="1" s="1"/>
  <c r="KS160" i="1" s="1"/>
  <c r="KN160" i="1"/>
  <c r="KI160" i="1"/>
  <c r="KB160" i="1"/>
  <c r="KC160" i="1" s="1"/>
  <c r="KD160" i="1" s="1"/>
  <c r="JY160" i="1"/>
  <c r="JT160" i="1"/>
  <c r="JO160" i="1"/>
  <c r="JJ160" i="1"/>
  <c r="JE160" i="1"/>
  <c r="IZ160" i="1"/>
  <c r="IU160" i="1"/>
  <c r="IP160" i="1"/>
  <c r="IK160" i="1"/>
  <c r="IF160" i="1"/>
  <c r="IA160" i="1"/>
  <c r="HV160" i="1"/>
  <c r="HQ160" i="1"/>
  <c r="HL160" i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H160" i="1"/>
  <c r="EI160" i="1" s="1"/>
  <c r="EJ160" i="1" s="1"/>
  <c r="EC160" i="1"/>
  <c r="ED160" i="1" s="1"/>
  <c r="EE160" i="1" s="1"/>
  <c r="DX160" i="1"/>
  <c r="DY160" i="1" s="1"/>
  <c r="DZ160" i="1" s="1"/>
  <c r="DS160" i="1"/>
  <c r="DT160" i="1" s="1"/>
  <c r="DU160" i="1" s="1"/>
  <c r="DN160" i="1"/>
  <c r="DO160" i="1" s="1"/>
  <c r="DP160" i="1" s="1"/>
  <c r="DI160" i="1"/>
  <c r="DJ160" i="1" s="1"/>
  <c r="DK160" i="1" s="1"/>
  <c r="DD160" i="1"/>
  <c r="DE160" i="1" s="1"/>
  <c r="DF160" i="1" s="1"/>
  <c r="CY160" i="1"/>
  <c r="CZ160" i="1" s="1"/>
  <c r="DA160" i="1" s="1"/>
  <c r="CT160" i="1"/>
  <c r="CU160" i="1" s="1"/>
  <c r="CV160" i="1" s="1"/>
  <c r="CO160" i="1"/>
  <c r="CP160" i="1" s="1"/>
  <c r="CQ160" i="1" s="1"/>
  <c r="CJ160" i="1"/>
  <c r="CK160" i="1" s="1"/>
  <c r="CL160" i="1" s="1"/>
  <c r="CE160" i="1"/>
  <c r="CF160" i="1" s="1"/>
  <c r="CG160" i="1" s="1"/>
  <c r="BZ160" i="1"/>
  <c r="CA160" i="1" s="1"/>
  <c r="CB160" i="1" s="1"/>
  <c r="BU160" i="1"/>
  <c r="BV160" i="1" s="1"/>
  <c r="BW160" i="1" s="1"/>
  <c r="BP160" i="1"/>
  <c r="BQ160" i="1" s="1"/>
  <c r="BR160" i="1" s="1"/>
  <c r="BK160" i="1"/>
  <c r="BL160" i="1" s="1"/>
  <c r="BM160" i="1" s="1"/>
  <c r="BF160" i="1"/>
  <c r="BG160" i="1" s="1"/>
  <c r="BH160" i="1" s="1"/>
  <c r="BA160" i="1"/>
  <c r="BB160" i="1" s="1"/>
  <c r="BC160" i="1" s="1"/>
  <c r="AV160" i="1"/>
  <c r="AW160" i="1" s="1"/>
  <c r="AX160" i="1" s="1"/>
  <c r="AQ160" i="1"/>
  <c r="AR160" i="1" s="1"/>
  <c r="AS160" i="1" s="1"/>
  <c r="AL160" i="1"/>
  <c r="AM160" i="1" s="1"/>
  <c r="AN160" i="1" s="1"/>
  <c r="AG160" i="1"/>
  <c r="AH160" i="1" s="1"/>
  <c r="AI160" i="1" s="1"/>
  <c r="AB160" i="1"/>
  <c r="AC160" i="1" s="1"/>
  <c r="AD160" i="1" s="1"/>
  <c r="W160" i="1"/>
  <c r="X160" i="1" s="1"/>
  <c r="Y160" i="1" s="1"/>
  <c r="T160" i="1"/>
  <c r="O160" i="1"/>
  <c r="J160" i="1"/>
  <c r="PX159" i="1"/>
  <c r="PS159" i="1"/>
  <c r="PN159" i="1"/>
  <c r="PI159" i="1"/>
  <c r="PD159" i="1"/>
  <c r="OY159" i="1"/>
  <c r="OT159" i="1"/>
  <c r="OO159" i="1"/>
  <c r="OJ159" i="1"/>
  <c r="OE159" i="1"/>
  <c r="NZ159" i="1"/>
  <c r="NU159" i="1"/>
  <c r="NP159" i="1"/>
  <c r="NK159" i="1"/>
  <c r="NF159" i="1"/>
  <c r="NA159" i="1"/>
  <c r="MV159" i="1"/>
  <c r="MQ159" i="1"/>
  <c r="ML159" i="1"/>
  <c r="ME159" i="1"/>
  <c r="MF159" i="1" s="1"/>
  <c r="MG159" i="1" s="1"/>
  <c r="LZ159" i="1"/>
  <c r="MA159" i="1" s="1"/>
  <c r="MB159" i="1" s="1"/>
  <c r="LU159" i="1"/>
  <c r="LV159" i="1" s="1"/>
  <c r="LW159" i="1" s="1"/>
  <c r="LP159" i="1"/>
  <c r="LQ159" i="1" s="1"/>
  <c r="LR159" i="1" s="1"/>
  <c r="LK159" i="1"/>
  <c r="LL159" i="1" s="1"/>
  <c r="LM159" i="1" s="1"/>
  <c r="LH159" i="1"/>
  <c r="LA159" i="1"/>
  <c r="LB159" i="1" s="1"/>
  <c r="LC159" i="1" s="1"/>
  <c r="KX159" i="1"/>
  <c r="KS159" i="1"/>
  <c r="KL159" i="1"/>
  <c r="KM159" i="1" s="1"/>
  <c r="KN159" i="1" s="1"/>
  <c r="KI159" i="1"/>
  <c r="KD159" i="1"/>
  <c r="JY159" i="1"/>
  <c r="JT159" i="1"/>
  <c r="JO159" i="1"/>
  <c r="JJ159" i="1"/>
  <c r="JE159" i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T159" i="1"/>
  <c r="HU159" i="1" s="1"/>
  <c r="HV159" i="1" s="1"/>
  <c r="HQ159" i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H159" i="1"/>
  <c r="EI159" i="1" s="1"/>
  <c r="EJ159" i="1" s="1"/>
  <c r="EC159" i="1"/>
  <c r="ED159" i="1" s="1"/>
  <c r="EE159" i="1" s="1"/>
  <c r="DX159" i="1"/>
  <c r="DY159" i="1" s="1"/>
  <c r="DZ159" i="1" s="1"/>
  <c r="DS159" i="1"/>
  <c r="DT159" i="1" s="1"/>
  <c r="DU159" i="1" s="1"/>
  <c r="DN159" i="1"/>
  <c r="DO159" i="1" s="1"/>
  <c r="DP159" i="1" s="1"/>
  <c r="DI159" i="1"/>
  <c r="DJ159" i="1" s="1"/>
  <c r="DK159" i="1" s="1"/>
  <c r="DD159" i="1"/>
  <c r="DE159" i="1" s="1"/>
  <c r="DF159" i="1" s="1"/>
  <c r="CY159" i="1"/>
  <c r="CZ159" i="1" s="1"/>
  <c r="DA159" i="1" s="1"/>
  <c r="CT159" i="1"/>
  <c r="CU159" i="1" s="1"/>
  <c r="CV159" i="1" s="1"/>
  <c r="CO159" i="1"/>
  <c r="CP159" i="1" s="1"/>
  <c r="CQ159" i="1" s="1"/>
  <c r="CJ159" i="1"/>
  <c r="CK159" i="1" s="1"/>
  <c r="CL159" i="1" s="1"/>
  <c r="CE159" i="1"/>
  <c r="CF159" i="1" s="1"/>
  <c r="CG159" i="1" s="1"/>
  <c r="BZ159" i="1"/>
  <c r="CA159" i="1" s="1"/>
  <c r="CB159" i="1" s="1"/>
  <c r="BU159" i="1"/>
  <c r="BV159" i="1" s="1"/>
  <c r="BW159" i="1" s="1"/>
  <c r="BP159" i="1"/>
  <c r="BQ159" i="1" s="1"/>
  <c r="BR159" i="1" s="1"/>
  <c r="BK159" i="1"/>
  <c r="BL159" i="1" s="1"/>
  <c r="BM159" i="1" s="1"/>
  <c r="BF159" i="1"/>
  <c r="BG159" i="1" s="1"/>
  <c r="BH159" i="1" s="1"/>
  <c r="BA159" i="1"/>
  <c r="BB159" i="1" s="1"/>
  <c r="BC159" i="1" s="1"/>
  <c r="AV159" i="1"/>
  <c r="AW159" i="1" s="1"/>
  <c r="AX159" i="1" s="1"/>
  <c r="AQ159" i="1"/>
  <c r="AR159" i="1" s="1"/>
  <c r="AS159" i="1" s="1"/>
  <c r="AL159" i="1"/>
  <c r="AM159" i="1" s="1"/>
  <c r="AN159" i="1" s="1"/>
  <c r="AG159" i="1"/>
  <c r="AH159" i="1" s="1"/>
  <c r="AI159" i="1" s="1"/>
  <c r="AB159" i="1"/>
  <c r="AC159" i="1" s="1"/>
  <c r="AD159" i="1" s="1"/>
  <c r="W159" i="1"/>
  <c r="X159" i="1" s="1"/>
  <c r="Y159" i="1" s="1"/>
  <c r="T159" i="1"/>
  <c r="O159" i="1"/>
  <c r="J159" i="1"/>
  <c r="PX158" i="1"/>
  <c r="PS158" i="1"/>
  <c r="PN158" i="1"/>
  <c r="PI158" i="1"/>
  <c r="PD158" i="1"/>
  <c r="OY158" i="1"/>
  <c r="OT158" i="1"/>
  <c r="OO158" i="1"/>
  <c r="OJ158" i="1"/>
  <c r="OE158" i="1"/>
  <c r="NZ158" i="1"/>
  <c r="NU158" i="1"/>
  <c r="NP158" i="1"/>
  <c r="NK158" i="1"/>
  <c r="NF158" i="1"/>
  <c r="NA158" i="1"/>
  <c r="MV158" i="1"/>
  <c r="MQ158" i="1"/>
  <c r="ML158" i="1"/>
  <c r="MG158" i="1"/>
  <c r="MB158" i="1"/>
  <c r="LW158" i="1"/>
  <c r="LR158" i="1"/>
  <c r="LM158" i="1"/>
  <c r="LH158" i="1"/>
  <c r="LC158" i="1"/>
  <c r="KX158" i="1"/>
  <c r="KS158" i="1"/>
  <c r="KN158" i="1"/>
  <c r="KI158" i="1"/>
  <c r="KD158" i="1"/>
  <c r="JY158" i="1"/>
  <c r="JT158" i="1"/>
  <c r="JO158" i="1"/>
  <c r="JJ158" i="1"/>
  <c r="JE158" i="1"/>
  <c r="IZ158" i="1"/>
  <c r="IU158" i="1"/>
  <c r="IP158" i="1"/>
  <c r="IK158" i="1"/>
  <c r="IF158" i="1"/>
  <c r="IA158" i="1"/>
  <c r="HV158" i="1"/>
  <c r="HQ158" i="1"/>
  <c r="HL158" i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H158" i="1"/>
  <c r="EI158" i="1" s="1"/>
  <c r="EJ158" i="1" s="1"/>
  <c r="EC158" i="1"/>
  <c r="ED158" i="1" s="1"/>
  <c r="EE158" i="1" s="1"/>
  <c r="DX158" i="1"/>
  <c r="DY158" i="1" s="1"/>
  <c r="DZ158" i="1" s="1"/>
  <c r="DS158" i="1"/>
  <c r="DT158" i="1" s="1"/>
  <c r="DU158" i="1" s="1"/>
  <c r="DN158" i="1"/>
  <c r="DO158" i="1" s="1"/>
  <c r="DP158" i="1" s="1"/>
  <c r="DI158" i="1"/>
  <c r="DJ158" i="1" s="1"/>
  <c r="DK158" i="1" s="1"/>
  <c r="DD158" i="1"/>
  <c r="DE158" i="1" s="1"/>
  <c r="DF158" i="1" s="1"/>
  <c r="CY158" i="1"/>
  <c r="CZ158" i="1" s="1"/>
  <c r="DA158" i="1" s="1"/>
  <c r="CT158" i="1"/>
  <c r="CU158" i="1" s="1"/>
  <c r="CV158" i="1" s="1"/>
  <c r="CO158" i="1"/>
  <c r="CP158" i="1" s="1"/>
  <c r="CQ158" i="1" s="1"/>
  <c r="CJ158" i="1"/>
  <c r="CK158" i="1" s="1"/>
  <c r="CL158" i="1" s="1"/>
  <c r="CG158" i="1"/>
  <c r="BZ158" i="1"/>
  <c r="CA158" i="1" s="1"/>
  <c r="CB158" i="1" s="1"/>
  <c r="BU158" i="1"/>
  <c r="BV158" i="1" s="1"/>
  <c r="BW158" i="1" s="1"/>
  <c r="BP158" i="1"/>
  <c r="BQ158" i="1" s="1"/>
  <c r="BR158" i="1" s="1"/>
  <c r="BK158" i="1"/>
  <c r="BL158" i="1" s="1"/>
  <c r="BM158" i="1" s="1"/>
  <c r="BF158" i="1"/>
  <c r="BG158" i="1" s="1"/>
  <c r="BH158" i="1" s="1"/>
  <c r="BA158" i="1"/>
  <c r="BB158" i="1" s="1"/>
  <c r="BC158" i="1" s="1"/>
  <c r="AV158" i="1"/>
  <c r="AW158" i="1" s="1"/>
  <c r="AX158" i="1" s="1"/>
  <c r="AQ158" i="1"/>
  <c r="AR158" i="1" s="1"/>
  <c r="AS158" i="1" s="1"/>
  <c r="AL158" i="1"/>
  <c r="AM158" i="1" s="1"/>
  <c r="AN158" i="1" s="1"/>
  <c r="AG158" i="1"/>
  <c r="AH158" i="1" s="1"/>
  <c r="AI158" i="1" s="1"/>
  <c r="AD158" i="1"/>
  <c r="Y158" i="1"/>
  <c r="R158" i="1"/>
  <c r="S158" i="1" s="1"/>
  <c r="T158" i="1" s="1"/>
  <c r="O158" i="1"/>
  <c r="J158" i="1"/>
  <c r="PX157" i="1"/>
  <c r="PS157" i="1"/>
  <c r="PN157" i="1"/>
  <c r="PI157" i="1"/>
  <c r="PD157" i="1"/>
  <c r="OY157" i="1"/>
  <c r="OT157" i="1"/>
  <c r="OO157" i="1"/>
  <c r="OJ157" i="1"/>
  <c r="OE157" i="1"/>
  <c r="NZ157" i="1"/>
  <c r="NU157" i="1"/>
  <c r="NP157" i="1"/>
  <c r="NK157" i="1"/>
  <c r="NF157" i="1"/>
  <c r="NA157" i="1"/>
  <c r="MV157" i="1"/>
  <c r="MQ157" i="1"/>
  <c r="ML157" i="1"/>
  <c r="MG157" i="1"/>
  <c r="MB157" i="1"/>
  <c r="LW157" i="1"/>
  <c r="LR157" i="1"/>
  <c r="LM157" i="1"/>
  <c r="LH157" i="1"/>
  <c r="LC157" i="1"/>
  <c r="KX157" i="1"/>
  <c r="KQ157" i="1"/>
  <c r="KR157" i="1" s="1"/>
  <c r="KS157" i="1" s="1"/>
  <c r="KN157" i="1"/>
  <c r="KG157" i="1"/>
  <c r="KH157" i="1" s="1"/>
  <c r="KI157" i="1" s="1"/>
  <c r="KD157" i="1"/>
  <c r="JY157" i="1"/>
  <c r="JT157" i="1"/>
  <c r="JO157" i="1"/>
  <c r="JJ157" i="1"/>
  <c r="JE157" i="1"/>
  <c r="IZ157" i="1"/>
  <c r="IS157" i="1"/>
  <c r="IT157" i="1" s="1"/>
  <c r="IU157" i="1" s="1"/>
  <c r="IP157" i="1"/>
  <c r="IK157" i="1"/>
  <c r="IF157" i="1"/>
  <c r="IA157" i="1"/>
  <c r="HV157" i="1"/>
  <c r="HQ157" i="1"/>
  <c r="HL157" i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H157" i="1"/>
  <c r="EI157" i="1" s="1"/>
  <c r="EJ157" i="1" s="1"/>
  <c r="EC157" i="1"/>
  <c r="ED157" i="1" s="1"/>
  <c r="EE157" i="1" s="1"/>
  <c r="DX157" i="1"/>
  <c r="DY157" i="1" s="1"/>
  <c r="DZ157" i="1" s="1"/>
  <c r="DS157" i="1"/>
  <c r="DT157" i="1" s="1"/>
  <c r="DU157" i="1" s="1"/>
  <c r="DN157" i="1"/>
  <c r="DO157" i="1" s="1"/>
  <c r="DP157" i="1" s="1"/>
  <c r="DI157" i="1"/>
  <c r="DJ157" i="1" s="1"/>
  <c r="DK157" i="1" s="1"/>
  <c r="DD157" i="1"/>
  <c r="DE157" i="1" s="1"/>
  <c r="DF157" i="1" s="1"/>
  <c r="CY157" i="1"/>
  <c r="CZ157" i="1" s="1"/>
  <c r="DA157" i="1" s="1"/>
  <c r="CT157" i="1"/>
  <c r="CU157" i="1" s="1"/>
  <c r="CV157" i="1" s="1"/>
  <c r="CO157" i="1"/>
  <c r="CP157" i="1" s="1"/>
  <c r="CQ157" i="1" s="1"/>
  <c r="CJ157" i="1"/>
  <c r="CK157" i="1" s="1"/>
  <c r="CL157" i="1" s="1"/>
  <c r="CE157" i="1"/>
  <c r="CF157" i="1" s="1"/>
  <c r="CG157" i="1" s="1"/>
  <c r="BZ157" i="1"/>
  <c r="CA157" i="1" s="1"/>
  <c r="CB157" i="1" s="1"/>
  <c r="BU157" i="1"/>
  <c r="BV157" i="1" s="1"/>
  <c r="BW157" i="1" s="1"/>
  <c r="BP157" i="1"/>
  <c r="BQ157" i="1" s="1"/>
  <c r="BR157" i="1" s="1"/>
  <c r="BK157" i="1"/>
  <c r="BL157" i="1" s="1"/>
  <c r="BM157" i="1" s="1"/>
  <c r="BF157" i="1"/>
  <c r="BG157" i="1" s="1"/>
  <c r="BH157" i="1" s="1"/>
  <c r="BA157" i="1"/>
  <c r="BB157" i="1" s="1"/>
  <c r="BC157" i="1" s="1"/>
  <c r="AV157" i="1"/>
  <c r="AW157" i="1" s="1"/>
  <c r="AX157" i="1" s="1"/>
  <c r="AQ157" i="1"/>
  <c r="AR157" i="1" s="1"/>
  <c r="AS157" i="1" s="1"/>
  <c r="AL157" i="1"/>
  <c r="AM157" i="1" s="1"/>
  <c r="AN157" i="1" s="1"/>
  <c r="AG157" i="1"/>
  <c r="AH157" i="1" s="1"/>
  <c r="AI157" i="1" s="1"/>
  <c r="AB157" i="1"/>
  <c r="AC157" i="1" s="1"/>
  <c r="AD157" i="1" s="1"/>
  <c r="W157" i="1"/>
  <c r="X157" i="1" s="1"/>
  <c r="Y157" i="1" s="1"/>
  <c r="T157" i="1"/>
  <c r="O157" i="1"/>
  <c r="J157" i="1"/>
  <c r="PX156" i="1"/>
  <c r="PS156" i="1"/>
  <c r="PN156" i="1"/>
  <c r="PI156" i="1"/>
  <c r="PD156" i="1"/>
  <c r="OY156" i="1"/>
  <c r="OT156" i="1"/>
  <c r="OO156" i="1"/>
  <c r="OJ156" i="1"/>
  <c r="OE156" i="1"/>
  <c r="NZ156" i="1"/>
  <c r="NU156" i="1"/>
  <c r="NP156" i="1"/>
  <c r="NK156" i="1"/>
  <c r="NF156" i="1"/>
  <c r="NA156" i="1"/>
  <c r="MV156" i="1"/>
  <c r="MQ156" i="1"/>
  <c r="ML156" i="1"/>
  <c r="MG156" i="1"/>
  <c r="MB156" i="1"/>
  <c r="LW156" i="1"/>
  <c r="LR156" i="1"/>
  <c r="LM156" i="1"/>
  <c r="LH156" i="1"/>
  <c r="LC156" i="1"/>
  <c r="KX156" i="1"/>
  <c r="KS156" i="1"/>
  <c r="KN156" i="1"/>
  <c r="KI156" i="1"/>
  <c r="KD156" i="1"/>
  <c r="JY156" i="1"/>
  <c r="JT156" i="1"/>
  <c r="JO156" i="1"/>
  <c r="JJ156" i="1"/>
  <c r="JE156" i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H156" i="1"/>
  <c r="EI156" i="1" s="1"/>
  <c r="EJ156" i="1" s="1"/>
  <c r="EC156" i="1"/>
  <c r="ED156" i="1" s="1"/>
  <c r="EE156" i="1" s="1"/>
  <c r="DX156" i="1"/>
  <c r="DY156" i="1" s="1"/>
  <c r="DZ156" i="1" s="1"/>
  <c r="DS156" i="1"/>
  <c r="DT156" i="1" s="1"/>
  <c r="DU156" i="1" s="1"/>
  <c r="DN156" i="1"/>
  <c r="DO156" i="1" s="1"/>
  <c r="DP156" i="1" s="1"/>
  <c r="DI156" i="1"/>
  <c r="DJ156" i="1" s="1"/>
  <c r="DK156" i="1" s="1"/>
  <c r="DD156" i="1"/>
  <c r="DE156" i="1" s="1"/>
  <c r="DF156" i="1" s="1"/>
  <c r="CY156" i="1"/>
  <c r="CZ156" i="1" s="1"/>
  <c r="DA156" i="1" s="1"/>
  <c r="CT156" i="1"/>
  <c r="CU156" i="1" s="1"/>
  <c r="CV156" i="1" s="1"/>
  <c r="CO156" i="1"/>
  <c r="CP156" i="1" s="1"/>
  <c r="CQ156" i="1" s="1"/>
  <c r="CJ156" i="1"/>
  <c r="CK156" i="1" s="1"/>
  <c r="CL156" i="1" s="1"/>
  <c r="CE156" i="1"/>
  <c r="CF156" i="1" s="1"/>
  <c r="CG156" i="1" s="1"/>
  <c r="BZ156" i="1"/>
  <c r="CA156" i="1" s="1"/>
  <c r="CB156" i="1" s="1"/>
  <c r="BU156" i="1"/>
  <c r="BV156" i="1" s="1"/>
  <c r="BW156" i="1" s="1"/>
  <c r="BP156" i="1"/>
  <c r="BQ156" i="1" s="1"/>
  <c r="BR156" i="1" s="1"/>
  <c r="BK156" i="1"/>
  <c r="BL156" i="1" s="1"/>
  <c r="BM156" i="1" s="1"/>
  <c r="BF156" i="1"/>
  <c r="BG156" i="1" s="1"/>
  <c r="BH156" i="1" s="1"/>
  <c r="BA156" i="1"/>
  <c r="BB156" i="1" s="1"/>
  <c r="BC156" i="1" s="1"/>
  <c r="AV156" i="1"/>
  <c r="AW156" i="1" s="1"/>
  <c r="AX156" i="1" s="1"/>
  <c r="AQ156" i="1"/>
  <c r="AR156" i="1" s="1"/>
  <c r="AS156" i="1" s="1"/>
  <c r="AL156" i="1"/>
  <c r="AM156" i="1" s="1"/>
  <c r="AN156" i="1" s="1"/>
  <c r="AG156" i="1"/>
  <c r="AH156" i="1" s="1"/>
  <c r="AI156" i="1" s="1"/>
  <c r="AB156" i="1"/>
  <c r="AC156" i="1" s="1"/>
  <c r="AD156" i="1" s="1"/>
  <c r="W156" i="1"/>
  <c r="X156" i="1" s="1"/>
  <c r="Y156" i="1" s="1"/>
  <c r="T156" i="1"/>
  <c r="O156" i="1"/>
  <c r="J156" i="1"/>
  <c r="PX155" i="1"/>
  <c r="PS155" i="1"/>
  <c r="PN155" i="1"/>
  <c r="PI155" i="1"/>
  <c r="PD155" i="1"/>
  <c r="OY155" i="1"/>
  <c r="OT155" i="1"/>
  <c r="OO155" i="1"/>
  <c r="OJ155" i="1"/>
  <c r="OE155" i="1"/>
  <c r="NX155" i="1"/>
  <c r="NY155" i="1" s="1"/>
  <c r="NZ155" i="1" s="1"/>
  <c r="NU155" i="1"/>
  <c r="NP155" i="1"/>
  <c r="NK155" i="1"/>
  <c r="NF155" i="1"/>
  <c r="NA155" i="1"/>
  <c r="MV155" i="1"/>
  <c r="MQ155" i="1"/>
  <c r="ML155" i="1"/>
  <c r="MG155" i="1"/>
  <c r="MB155" i="1"/>
  <c r="LW155" i="1"/>
  <c r="LR155" i="1"/>
  <c r="LM155" i="1"/>
  <c r="LH155" i="1"/>
  <c r="LC155" i="1"/>
  <c r="KX155" i="1"/>
  <c r="KQ155" i="1"/>
  <c r="KR155" i="1" s="1"/>
  <c r="KS155" i="1" s="1"/>
  <c r="KN155" i="1"/>
  <c r="KI155" i="1"/>
  <c r="KD155" i="1"/>
  <c r="JY155" i="1"/>
  <c r="JT155" i="1"/>
  <c r="JO155" i="1"/>
  <c r="JJ155" i="1"/>
  <c r="JE155" i="1"/>
  <c r="IZ155" i="1"/>
  <c r="IU155" i="1"/>
  <c r="IP155" i="1"/>
  <c r="IK155" i="1"/>
  <c r="IF155" i="1"/>
  <c r="IA155" i="1"/>
  <c r="HV155" i="1"/>
  <c r="HQ155" i="1"/>
  <c r="HL155" i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K155" i="1"/>
  <c r="GL155" i="1" s="1"/>
  <c r="GM155" i="1" s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H155" i="1"/>
  <c r="EI155" i="1" s="1"/>
  <c r="EJ155" i="1" s="1"/>
  <c r="EC155" i="1"/>
  <c r="ED155" i="1" s="1"/>
  <c r="EE155" i="1" s="1"/>
  <c r="DX155" i="1"/>
  <c r="DY155" i="1" s="1"/>
  <c r="DZ155" i="1" s="1"/>
  <c r="DS155" i="1"/>
  <c r="DT155" i="1" s="1"/>
  <c r="DU155" i="1" s="1"/>
  <c r="DN155" i="1"/>
  <c r="DO155" i="1" s="1"/>
  <c r="DP155" i="1" s="1"/>
  <c r="DI155" i="1"/>
  <c r="DJ155" i="1" s="1"/>
  <c r="DK155" i="1" s="1"/>
  <c r="DD155" i="1"/>
  <c r="DE155" i="1" s="1"/>
  <c r="DF155" i="1" s="1"/>
  <c r="CY155" i="1"/>
  <c r="CZ155" i="1" s="1"/>
  <c r="DA155" i="1" s="1"/>
  <c r="CT155" i="1"/>
  <c r="CU155" i="1" s="1"/>
  <c r="CV155" i="1" s="1"/>
  <c r="CO155" i="1"/>
  <c r="CP155" i="1" s="1"/>
  <c r="CQ155" i="1" s="1"/>
  <c r="CJ155" i="1"/>
  <c r="CK155" i="1" s="1"/>
  <c r="CL155" i="1" s="1"/>
  <c r="CE155" i="1"/>
  <c r="CF155" i="1" s="1"/>
  <c r="CG155" i="1" s="1"/>
  <c r="BZ155" i="1"/>
  <c r="CA155" i="1" s="1"/>
  <c r="CB155" i="1" s="1"/>
  <c r="BU155" i="1"/>
  <c r="BV155" i="1" s="1"/>
  <c r="BW155" i="1" s="1"/>
  <c r="BP155" i="1"/>
  <c r="BQ155" i="1" s="1"/>
  <c r="BR155" i="1" s="1"/>
  <c r="BK155" i="1"/>
  <c r="BL155" i="1" s="1"/>
  <c r="BM155" i="1" s="1"/>
  <c r="BF155" i="1"/>
  <c r="BG155" i="1" s="1"/>
  <c r="BH155" i="1" s="1"/>
  <c r="BA155" i="1"/>
  <c r="BB155" i="1" s="1"/>
  <c r="BC155" i="1" s="1"/>
  <c r="AV155" i="1"/>
  <c r="AW155" i="1" s="1"/>
  <c r="AX155" i="1" s="1"/>
  <c r="AQ155" i="1"/>
  <c r="AR155" i="1" s="1"/>
  <c r="AS155" i="1" s="1"/>
  <c r="AL155" i="1"/>
  <c r="AM155" i="1" s="1"/>
  <c r="AN155" i="1" s="1"/>
  <c r="AG155" i="1"/>
  <c r="AH155" i="1" s="1"/>
  <c r="AI155" i="1" s="1"/>
  <c r="AD155" i="1"/>
  <c r="W155" i="1"/>
  <c r="X155" i="1" s="1"/>
  <c r="Y155" i="1" s="1"/>
  <c r="R155" i="1"/>
  <c r="S155" i="1" s="1"/>
  <c r="T155" i="1" s="1"/>
  <c r="O155" i="1"/>
  <c r="J155" i="1"/>
  <c r="PX154" i="1"/>
  <c r="PS154" i="1"/>
  <c r="PN154" i="1"/>
  <c r="PI154" i="1"/>
  <c r="PD154" i="1"/>
  <c r="OY154" i="1"/>
  <c r="OT154" i="1"/>
  <c r="OO154" i="1"/>
  <c r="OJ154" i="1"/>
  <c r="OE154" i="1"/>
  <c r="NZ154" i="1"/>
  <c r="NU154" i="1"/>
  <c r="NP154" i="1"/>
  <c r="NK154" i="1"/>
  <c r="NF154" i="1"/>
  <c r="NA154" i="1"/>
  <c r="MT154" i="1"/>
  <c r="MU154" i="1" s="1"/>
  <c r="MV154" i="1" s="1"/>
  <c r="MO154" i="1"/>
  <c r="MP154" i="1" s="1"/>
  <c r="MQ154" i="1" s="1"/>
  <c r="ML154" i="1"/>
  <c r="MG154" i="1"/>
  <c r="MB154" i="1"/>
  <c r="LW154" i="1"/>
  <c r="LR154" i="1"/>
  <c r="LM154" i="1"/>
  <c r="LH154" i="1"/>
  <c r="LA154" i="1"/>
  <c r="LB154" i="1" s="1"/>
  <c r="LC154" i="1" s="1"/>
  <c r="KX154" i="1"/>
  <c r="KS154" i="1"/>
  <c r="KN154" i="1"/>
  <c r="KG154" i="1"/>
  <c r="KH154" i="1" s="1"/>
  <c r="KI154" i="1" s="1"/>
  <c r="KD154" i="1"/>
  <c r="JY154" i="1"/>
  <c r="JT154" i="1"/>
  <c r="JO154" i="1"/>
  <c r="JJ154" i="1"/>
  <c r="JE154" i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T154" i="1"/>
  <c r="HU154" i="1" s="1"/>
  <c r="HV154" i="1" s="1"/>
  <c r="HQ154" i="1"/>
  <c r="HL154" i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H154" i="1"/>
  <c r="EI154" i="1" s="1"/>
  <c r="EJ154" i="1" s="1"/>
  <c r="EC154" i="1"/>
  <c r="ED154" i="1" s="1"/>
  <c r="EE154" i="1" s="1"/>
  <c r="DX154" i="1"/>
  <c r="DY154" i="1" s="1"/>
  <c r="DZ154" i="1" s="1"/>
  <c r="DS154" i="1"/>
  <c r="DT154" i="1" s="1"/>
  <c r="DU154" i="1" s="1"/>
  <c r="DN154" i="1"/>
  <c r="DO154" i="1" s="1"/>
  <c r="DP154" i="1" s="1"/>
  <c r="DI154" i="1"/>
  <c r="DJ154" i="1" s="1"/>
  <c r="DK154" i="1" s="1"/>
  <c r="DD154" i="1"/>
  <c r="DE154" i="1" s="1"/>
  <c r="DF154" i="1" s="1"/>
  <c r="CY154" i="1"/>
  <c r="CZ154" i="1" s="1"/>
  <c r="DA154" i="1" s="1"/>
  <c r="CT154" i="1"/>
  <c r="CU154" i="1" s="1"/>
  <c r="CV154" i="1" s="1"/>
  <c r="CO154" i="1"/>
  <c r="CP154" i="1" s="1"/>
  <c r="CQ154" i="1" s="1"/>
  <c r="CJ154" i="1"/>
  <c r="CK154" i="1" s="1"/>
  <c r="CL154" i="1" s="1"/>
  <c r="CE154" i="1"/>
  <c r="CF154" i="1" s="1"/>
  <c r="CG154" i="1" s="1"/>
  <c r="BZ154" i="1"/>
  <c r="CA154" i="1" s="1"/>
  <c r="CB154" i="1" s="1"/>
  <c r="BU154" i="1"/>
  <c r="BV154" i="1" s="1"/>
  <c r="BW154" i="1" s="1"/>
  <c r="BP154" i="1"/>
  <c r="BQ154" i="1" s="1"/>
  <c r="BR154" i="1" s="1"/>
  <c r="BK154" i="1"/>
  <c r="BL154" i="1" s="1"/>
  <c r="BM154" i="1" s="1"/>
  <c r="BF154" i="1"/>
  <c r="BG154" i="1" s="1"/>
  <c r="BH154" i="1" s="1"/>
  <c r="BA154" i="1"/>
  <c r="BB154" i="1" s="1"/>
  <c r="BC154" i="1" s="1"/>
  <c r="AV154" i="1"/>
  <c r="AW154" i="1" s="1"/>
  <c r="AX154" i="1" s="1"/>
  <c r="AQ154" i="1"/>
  <c r="AR154" i="1" s="1"/>
  <c r="AS154" i="1" s="1"/>
  <c r="AL154" i="1"/>
  <c r="AM154" i="1" s="1"/>
  <c r="AN154" i="1" s="1"/>
  <c r="AG154" i="1"/>
  <c r="AH154" i="1" s="1"/>
  <c r="AI154" i="1" s="1"/>
  <c r="AB154" i="1"/>
  <c r="AC154" i="1" s="1"/>
  <c r="AD154" i="1" s="1"/>
  <c r="W154" i="1"/>
  <c r="X154" i="1" s="1"/>
  <c r="Y154" i="1" s="1"/>
  <c r="T154" i="1"/>
  <c r="O154" i="1"/>
  <c r="J154" i="1"/>
  <c r="PX153" i="1"/>
  <c r="PS153" i="1"/>
  <c r="PN153" i="1"/>
  <c r="PI153" i="1"/>
  <c r="PD153" i="1"/>
  <c r="OY153" i="1"/>
  <c r="OT153" i="1"/>
  <c r="OO153" i="1"/>
  <c r="OJ153" i="1"/>
  <c r="OE153" i="1"/>
  <c r="NZ153" i="1"/>
  <c r="NU153" i="1"/>
  <c r="NP153" i="1"/>
  <c r="NK153" i="1"/>
  <c r="NF153" i="1"/>
  <c r="NA153" i="1"/>
  <c r="MV153" i="1"/>
  <c r="MQ153" i="1"/>
  <c r="ML153" i="1"/>
  <c r="MG153" i="1"/>
  <c r="MB153" i="1"/>
  <c r="LW153" i="1"/>
  <c r="LR153" i="1"/>
  <c r="LM153" i="1"/>
  <c r="LH153" i="1"/>
  <c r="LC153" i="1"/>
  <c r="KX153" i="1"/>
  <c r="KS153" i="1"/>
  <c r="KN153" i="1"/>
  <c r="KI153" i="1"/>
  <c r="KD153" i="1"/>
  <c r="JY153" i="1"/>
  <c r="JT153" i="1"/>
  <c r="JO153" i="1"/>
  <c r="JJ153" i="1"/>
  <c r="JE153" i="1"/>
  <c r="IZ153" i="1"/>
  <c r="IU153" i="1"/>
  <c r="IP153" i="1"/>
  <c r="IK153" i="1"/>
  <c r="IF153" i="1"/>
  <c r="IA153" i="1"/>
  <c r="HV153" i="1"/>
  <c r="HQ153" i="1"/>
  <c r="HL153" i="1"/>
  <c r="HG153" i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H153" i="1"/>
  <c r="EI153" i="1" s="1"/>
  <c r="EJ153" i="1" s="1"/>
  <c r="EC153" i="1"/>
  <c r="ED153" i="1" s="1"/>
  <c r="EE153" i="1" s="1"/>
  <c r="DX153" i="1"/>
  <c r="DY153" i="1" s="1"/>
  <c r="DZ153" i="1" s="1"/>
  <c r="DS153" i="1"/>
  <c r="DT153" i="1" s="1"/>
  <c r="DU153" i="1" s="1"/>
  <c r="DN153" i="1"/>
  <c r="DO153" i="1" s="1"/>
  <c r="DP153" i="1" s="1"/>
  <c r="DI153" i="1"/>
  <c r="DJ153" i="1" s="1"/>
  <c r="DK153" i="1" s="1"/>
  <c r="DD153" i="1"/>
  <c r="DE153" i="1" s="1"/>
  <c r="DF153" i="1" s="1"/>
  <c r="CY153" i="1"/>
  <c r="CZ153" i="1" s="1"/>
  <c r="DA153" i="1" s="1"/>
  <c r="CT153" i="1"/>
  <c r="CU153" i="1" s="1"/>
  <c r="CV153" i="1" s="1"/>
  <c r="CO153" i="1"/>
  <c r="CP153" i="1" s="1"/>
  <c r="CQ153" i="1" s="1"/>
  <c r="CJ153" i="1"/>
  <c r="CK153" i="1" s="1"/>
  <c r="CL153" i="1" s="1"/>
  <c r="CE153" i="1"/>
  <c r="CF153" i="1" s="1"/>
  <c r="CG153" i="1" s="1"/>
  <c r="BZ153" i="1"/>
  <c r="CA153" i="1" s="1"/>
  <c r="CB153" i="1" s="1"/>
  <c r="BU153" i="1"/>
  <c r="BV153" i="1" s="1"/>
  <c r="BW153" i="1" s="1"/>
  <c r="BP153" i="1"/>
  <c r="BQ153" i="1" s="1"/>
  <c r="BR153" i="1" s="1"/>
  <c r="BK153" i="1"/>
  <c r="BL153" i="1" s="1"/>
  <c r="BM153" i="1" s="1"/>
  <c r="BF153" i="1"/>
  <c r="BG153" i="1" s="1"/>
  <c r="BH153" i="1" s="1"/>
  <c r="BA153" i="1"/>
  <c r="BB153" i="1" s="1"/>
  <c r="BC153" i="1" s="1"/>
  <c r="AV153" i="1"/>
  <c r="AW153" i="1" s="1"/>
  <c r="AX153" i="1" s="1"/>
  <c r="AQ153" i="1"/>
  <c r="AR153" i="1" s="1"/>
  <c r="AS153" i="1" s="1"/>
  <c r="AL153" i="1"/>
  <c r="AM153" i="1" s="1"/>
  <c r="AN153" i="1" s="1"/>
  <c r="AG153" i="1"/>
  <c r="AH153" i="1" s="1"/>
  <c r="AI153" i="1" s="1"/>
  <c r="AD153" i="1"/>
  <c r="W153" i="1"/>
  <c r="X153" i="1" s="1"/>
  <c r="Y153" i="1" s="1"/>
  <c r="T153" i="1"/>
  <c r="O153" i="1"/>
  <c r="H153" i="1"/>
  <c r="I153" i="1" s="1"/>
  <c r="J153" i="1" s="1"/>
  <c r="PX152" i="1"/>
  <c r="PS152" i="1"/>
  <c r="PN152" i="1"/>
  <c r="PI152" i="1"/>
  <c r="PD152" i="1"/>
  <c r="OY152" i="1"/>
  <c r="OT152" i="1"/>
  <c r="OO152" i="1"/>
  <c r="OJ152" i="1"/>
  <c r="OE152" i="1"/>
  <c r="NZ152" i="1"/>
  <c r="NU152" i="1"/>
  <c r="NP152" i="1"/>
  <c r="NK152" i="1"/>
  <c r="NF152" i="1"/>
  <c r="NA152" i="1"/>
  <c r="MV152" i="1"/>
  <c r="MQ152" i="1"/>
  <c r="ML152" i="1"/>
  <c r="MG152" i="1"/>
  <c r="MB152" i="1"/>
  <c r="LW152" i="1"/>
  <c r="LR152" i="1"/>
  <c r="LM152" i="1"/>
  <c r="LH152" i="1"/>
  <c r="LC152" i="1"/>
  <c r="KV152" i="1"/>
  <c r="KW152" i="1" s="1"/>
  <c r="KX152" i="1" s="1"/>
  <c r="KS152" i="1"/>
  <c r="KN152" i="1"/>
  <c r="KI152" i="1"/>
  <c r="KD152" i="1"/>
  <c r="JY152" i="1"/>
  <c r="JT152" i="1"/>
  <c r="JO152" i="1"/>
  <c r="JJ152" i="1"/>
  <c r="JE152" i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H152" i="1"/>
  <c r="EI152" i="1" s="1"/>
  <c r="EJ152" i="1" s="1"/>
  <c r="EC152" i="1"/>
  <c r="ED152" i="1" s="1"/>
  <c r="EE152" i="1" s="1"/>
  <c r="DX152" i="1"/>
  <c r="DY152" i="1" s="1"/>
  <c r="DZ152" i="1" s="1"/>
  <c r="DS152" i="1"/>
  <c r="DT152" i="1" s="1"/>
  <c r="DU152" i="1" s="1"/>
  <c r="DN152" i="1"/>
  <c r="DO152" i="1" s="1"/>
  <c r="DP152" i="1" s="1"/>
  <c r="DI152" i="1"/>
  <c r="DJ152" i="1" s="1"/>
  <c r="DK152" i="1" s="1"/>
  <c r="DD152" i="1"/>
  <c r="DE152" i="1" s="1"/>
  <c r="DF152" i="1" s="1"/>
  <c r="CY152" i="1"/>
  <c r="CZ152" i="1" s="1"/>
  <c r="DA152" i="1" s="1"/>
  <c r="CT152" i="1"/>
  <c r="CU152" i="1" s="1"/>
  <c r="CV152" i="1" s="1"/>
  <c r="CO152" i="1"/>
  <c r="CP152" i="1" s="1"/>
  <c r="CQ152" i="1" s="1"/>
  <c r="CJ152" i="1"/>
  <c r="CK152" i="1" s="1"/>
  <c r="CL152" i="1" s="1"/>
  <c r="CE152" i="1"/>
  <c r="CF152" i="1" s="1"/>
  <c r="CG152" i="1" s="1"/>
  <c r="BZ152" i="1"/>
  <c r="CA152" i="1" s="1"/>
  <c r="CB152" i="1" s="1"/>
  <c r="BU152" i="1"/>
  <c r="BV152" i="1" s="1"/>
  <c r="BW152" i="1" s="1"/>
  <c r="BP152" i="1"/>
  <c r="BQ152" i="1" s="1"/>
  <c r="BR152" i="1" s="1"/>
  <c r="BK152" i="1"/>
  <c r="BL152" i="1" s="1"/>
  <c r="BM152" i="1" s="1"/>
  <c r="BF152" i="1"/>
  <c r="BG152" i="1" s="1"/>
  <c r="BH152" i="1" s="1"/>
  <c r="BA152" i="1"/>
  <c r="BB152" i="1" s="1"/>
  <c r="BC152" i="1" s="1"/>
  <c r="AV152" i="1"/>
  <c r="AW152" i="1" s="1"/>
  <c r="AX152" i="1" s="1"/>
  <c r="AQ152" i="1"/>
  <c r="AR152" i="1" s="1"/>
  <c r="AS152" i="1" s="1"/>
  <c r="AL152" i="1"/>
  <c r="AM152" i="1" s="1"/>
  <c r="AN152" i="1" s="1"/>
  <c r="AG152" i="1"/>
  <c r="AH152" i="1" s="1"/>
  <c r="AI152" i="1" s="1"/>
  <c r="AB152" i="1"/>
  <c r="AC152" i="1" s="1"/>
  <c r="AD152" i="1" s="1"/>
  <c r="W152" i="1"/>
  <c r="X152" i="1" s="1"/>
  <c r="Y152" i="1" s="1"/>
  <c r="R152" i="1"/>
  <c r="S152" i="1" s="1"/>
  <c r="T152" i="1" s="1"/>
  <c r="O152" i="1"/>
  <c r="J152" i="1"/>
  <c r="PX151" i="1"/>
  <c r="PS151" i="1"/>
  <c r="PN151" i="1"/>
  <c r="PI151" i="1"/>
  <c r="PD151" i="1"/>
  <c r="OY151" i="1"/>
  <c r="OT151" i="1"/>
  <c r="OO151" i="1"/>
  <c r="OJ151" i="1"/>
  <c r="OE151" i="1"/>
  <c r="NZ151" i="1"/>
  <c r="NU151" i="1"/>
  <c r="NP151" i="1"/>
  <c r="NK151" i="1"/>
  <c r="NF151" i="1"/>
  <c r="NA151" i="1"/>
  <c r="MV151" i="1"/>
  <c r="MQ151" i="1"/>
  <c r="ML151" i="1"/>
  <c r="MG151" i="1"/>
  <c r="MB151" i="1"/>
  <c r="LW151" i="1"/>
  <c r="LR151" i="1"/>
  <c r="LM151" i="1"/>
  <c r="LH151" i="1"/>
  <c r="LC151" i="1"/>
  <c r="KV151" i="1"/>
  <c r="KW151" i="1" s="1"/>
  <c r="KX151" i="1" s="1"/>
  <c r="KS151" i="1"/>
  <c r="KN151" i="1"/>
  <c r="KG151" i="1"/>
  <c r="KH151" i="1" s="1"/>
  <c r="KI151" i="1" s="1"/>
  <c r="KD151" i="1"/>
  <c r="JY151" i="1"/>
  <c r="JT151" i="1"/>
  <c r="JO151" i="1"/>
  <c r="JJ151" i="1"/>
  <c r="JE151" i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T151" i="1"/>
  <c r="HU151" i="1" s="1"/>
  <c r="HV151" i="1" s="1"/>
  <c r="HQ151" i="1"/>
  <c r="HL151" i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H151" i="1"/>
  <c r="EI151" i="1" s="1"/>
  <c r="EJ151" i="1" s="1"/>
  <c r="EC151" i="1"/>
  <c r="ED151" i="1" s="1"/>
  <c r="EE151" i="1" s="1"/>
  <c r="DX151" i="1"/>
  <c r="DY151" i="1" s="1"/>
  <c r="DZ151" i="1" s="1"/>
  <c r="DS151" i="1"/>
  <c r="DT151" i="1" s="1"/>
  <c r="DU151" i="1" s="1"/>
  <c r="DN151" i="1"/>
  <c r="DO151" i="1" s="1"/>
  <c r="DP151" i="1" s="1"/>
  <c r="DI151" i="1"/>
  <c r="DJ151" i="1" s="1"/>
  <c r="DK151" i="1" s="1"/>
  <c r="DD151" i="1"/>
  <c r="DE151" i="1" s="1"/>
  <c r="DF151" i="1" s="1"/>
  <c r="CY151" i="1"/>
  <c r="CZ151" i="1" s="1"/>
  <c r="DA151" i="1" s="1"/>
  <c r="CT151" i="1"/>
  <c r="CU151" i="1" s="1"/>
  <c r="CV151" i="1" s="1"/>
  <c r="CO151" i="1"/>
  <c r="CP151" i="1" s="1"/>
  <c r="CQ151" i="1" s="1"/>
  <c r="CJ151" i="1"/>
  <c r="CK151" i="1" s="1"/>
  <c r="CL151" i="1" s="1"/>
  <c r="CE151" i="1"/>
  <c r="CF151" i="1" s="1"/>
  <c r="CG151" i="1" s="1"/>
  <c r="BZ151" i="1"/>
  <c r="CA151" i="1" s="1"/>
  <c r="CB151" i="1" s="1"/>
  <c r="BU151" i="1"/>
  <c r="BV151" i="1" s="1"/>
  <c r="BW151" i="1" s="1"/>
  <c r="BP151" i="1"/>
  <c r="BQ151" i="1" s="1"/>
  <c r="BR151" i="1" s="1"/>
  <c r="BK151" i="1"/>
  <c r="BL151" i="1" s="1"/>
  <c r="BM151" i="1" s="1"/>
  <c r="BF151" i="1"/>
  <c r="BG151" i="1" s="1"/>
  <c r="BH151" i="1" s="1"/>
  <c r="BA151" i="1"/>
  <c r="BB151" i="1" s="1"/>
  <c r="BC151" i="1" s="1"/>
  <c r="AV151" i="1"/>
  <c r="AW151" i="1" s="1"/>
  <c r="AX151" i="1" s="1"/>
  <c r="AQ151" i="1"/>
  <c r="AR151" i="1" s="1"/>
  <c r="AS151" i="1" s="1"/>
  <c r="AL151" i="1"/>
  <c r="AM151" i="1" s="1"/>
  <c r="AN151" i="1" s="1"/>
  <c r="AG151" i="1"/>
  <c r="AH151" i="1" s="1"/>
  <c r="AI151" i="1" s="1"/>
  <c r="AB151" i="1"/>
  <c r="AC151" i="1" s="1"/>
  <c r="AD151" i="1" s="1"/>
  <c r="W151" i="1"/>
  <c r="X151" i="1" s="1"/>
  <c r="Y151" i="1" s="1"/>
  <c r="T151" i="1"/>
  <c r="O151" i="1"/>
  <c r="J151" i="1"/>
  <c r="PX150" i="1"/>
  <c r="PS150" i="1"/>
  <c r="PN150" i="1"/>
  <c r="PI150" i="1"/>
  <c r="PD150" i="1"/>
  <c r="OY150" i="1"/>
  <c r="OT150" i="1"/>
  <c r="OO150" i="1"/>
  <c r="OJ150" i="1"/>
  <c r="OE150" i="1"/>
  <c r="NZ150" i="1"/>
  <c r="NU150" i="1"/>
  <c r="NP150" i="1"/>
  <c r="NK150" i="1"/>
  <c r="NF150" i="1"/>
  <c r="NA150" i="1"/>
  <c r="MV150" i="1"/>
  <c r="MQ150" i="1"/>
  <c r="ML150" i="1"/>
  <c r="MG150" i="1"/>
  <c r="MB150" i="1"/>
  <c r="LW150" i="1"/>
  <c r="LR150" i="1"/>
  <c r="LM150" i="1"/>
  <c r="LH150" i="1"/>
  <c r="LC150" i="1"/>
  <c r="KX150" i="1"/>
  <c r="KS150" i="1"/>
  <c r="KN150" i="1"/>
  <c r="KI150" i="1"/>
  <c r="KD150" i="1"/>
  <c r="JY150" i="1"/>
  <c r="JT150" i="1"/>
  <c r="JO150" i="1"/>
  <c r="JJ150" i="1"/>
  <c r="JE150" i="1"/>
  <c r="IZ150" i="1"/>
  <c r="IU150" i="1"/>
  <c r="IP150" i="1"/>
  <c r="IK150" i="1"/>
  <c r="IF150" i="1"/>
  <c r="IA150" i="1"/>
  <c r="HV150" i="1"/>
  <c r="HQ150" i="1"/>
  <c r="HL150" i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H150" i="1"/>
  <c r="EI150" i="1" s="1"/>
  <c r="EJ150" i="1" s="1"/>
  <c r="EC150" i="1"/>
  <c r="ED150" i="1" s="1"/>
  <c r="EE150" i="1" s="1"/>
  <c r="DX150" i="1"/>
  <c r="DY150" i="1" s="1"/>
  <c r="DZ150" i="1" s="1"/>
  <c r="DS150" i="1"/>
  <c r="DT150" i="1" s="1"/>
  <c r="DU150" i="1" s="1"/>
  <c r="DN150" i="1"/>
  <c r="DO150" i="1" s="1"/>
  <c r="DP150" i="1" s="1"/>
  <c r="DI150" i="1"/>
  <c r="DJ150" i="1" s="1"/>
  <c r="DK150" i="1" s="1"/>
  <c r="DD150" i="1"/>
  <c r="DE150" i="1" s="1"/>
  <c r="DF150" i="1" s="1"/>
  <c r="CY150" i="1"/>
  <c r="CZ150" i="1" s="1"/>
  <c r="DA150" i="1" s="1"/>
  <c r="CT150" i="1"/>
  <c r="CU150" i="1" s="1"/>
  <c r="CV150" i="1" s="1"/>
  <c r="CO150" i="1"/>
  <c r="CP150" i="1" s="1"/>
  <c r="CQ150" i="1" s="1"/>
  <c r="CJ150" i="1"/>
  <c r="CK150" i="1" s="1"/>
  <c r="CL150" i="1" s="1"/>
  <c r="CE150" i="1"/>
  <c r="CF150" i="1" s="1"/>
  <c r="CG150" i="1" s="1"/>
  <c r="BZ150" i="1"/>
  <c r="CA150" i="1" s="1"/>
  <c r="CB150" i="1" s="1"/>
  <c r="BU150" i="1"/>
  <c r="BV150" i="1" s="1"/>
  <c r="BW150" i="1" s="1"/>
  <c r="BP150" i="1"/>
  <c r="BQ150" i="1" s="1"/>
  <c r="BR150" i="1" s="1"/>
  <c r="BK150" i="1"/>
  <c r="BL150" i="1" s="1"/>
  <c r="BM150" i="1" s="1"/>
  <c r="BF150" i="1"/>
  <c r="BG150" i="1" s="1"/>
  <c r="BH150" i="1" s="1"/>
  <c r="BA150" i="1"/>
  <c r="BB150" i="1" s="1"/>
  <c r="BC150" i="1" s="1"/>
  <c r="AV150" i="1"/>
  <c r="AW150" i="1" s="1"/>
  <c r="AX150" i="1" s="1"/>
  <c r="AQ150" i="1"/>
  <c r="AR150" i="1" s="1"/>
  <c r="AS150" i="1" s="1"/>
  <c r="AL150" i="1"/>
  <c r="AM150" i="1" s="1"/>
  <c r="AN150" i="1" s="1"/>
  <c r="AG150" i="1"/>
  <c r="AH150" i="1" s="1"/>
  <c r="AI150" i="1" s="1"/>
  <c r="AB150" i="1"/>
  <c r="AC150" i="1" s="1"/>
  <c r="AD150" i="1" s="1"/>
  <c r="W150" i="1"/>
  <c r="X150" i="1" s="1"/>
  <c r="Y150" i="1" s="1"/>
  <c r="R150" i="1"/>
  <c r="S150" i="1" s="1"/>
  <c r="T150" i="1" s="1"/>
  <c r="O150" i="1"/>
  <c r="J150" i="1"/>
  <c r="PX149" i="1"/>
  <c r="PS149" i="1"/>
  <c r="PN149" i="1"/>
  <c r="PI149" i="1"/>
  <c r="PD149" i="1"/>
  <c r="OY149" i="1"/>
  <c r="OT149" i="1"/>
  <c r="OO149" i="1"/>
  <c r="OJ149" i="1"/>
  <c r="OE149" i="1"/>
  <c r="NZ149" i="1"/>
  <c r="NU149" i="1"/>
  <c r="NP149" i="1"/>
  <c r="NK149" i="1"/>
  <c r="NF149" i="1"/>
  <c r="NA149" i="1"/>
  <c r="MT149" i="1"/>
  <c r="MU149" i="1" s="1"/>
  <c r="MV149" i="1" s="1"/>
  <c r="MO149" i="1"/>
  <c r="MP149" i="1" s="1"/>
  <c r="MQ149" i="1" s="1"/>
  <c r="ML149" i="1"/>
  <c r="MG149" i="1"/>
  <c r="MB149" i="1"/>
  <c r="LW149" i="1"/>
  <c r="LR149" i="1"/>
  <c r="LM149" i="1"/>
  <c r="LH149" i="1"/>
  <c r="LC149" i="1"/>
  <c r="KV149" i="1"/>
  <c r="KW149" i="1" s="1"/>
  <c r="KX149" i="1" s="1"/>
  <c r="KQ149" i="1"/>
  <c r="KR149" i="1" s="1"/>
  <c r="KS149" i="1" s="1"/>
  <c r="KN149" i="1"/>
  <c r="KI149" i="1"/>
  <c r="KD149" i="1"/>
  <c r="JY149" i="1"/>
  <c r="JT149" i="1"/>
  <c r="JO149" i="1"/>
  <c r="JJ149" i="1"/>
  <c r="JE149" i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T149" i="1"/>
  <c r="HU149" i="1" s="1"/>
  <c r="HV149" i="1" s="1"/>
  <c r="HQ149" i="1"/>
  <c r="HL149" i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H149" i="1"/>
  <c r="EI149" i="1" s="1"/>
  <c r="EJ149" i="1" s="1"/>
  <c r="EC149" i="1"/>
  <c r="ED149" i="1" s="1"/>
  <c r="EE149" i="1" s="1"/>
  <c r="DX149" i="1"/>
  <c r="DY149" i="1" s="1"/>
  <c r="DZ149" i="1" s="1"/>
  <c r="DS149" i="1"/>
  <c r="DT149" i="1" s="1"/>
  <c r="DU149" i="1" s="1"/>
  <c r="DN149" i="1"/>
  <c r="DO149" i="1" s="1"/>
  <c r="DP149" i="1" s="1"/>
  <c r="DI149" i="1"/>
  <c r="DJ149" i="1" s="1"/>
  <c r="DK149" i="1" s="1"/>
  <c r="DD149" i="1"/>
  <c r="DE149" i="1" s="1"/>
  <c r="DF149" i="1" s="1"/>
  <c r="CY149" i="1"/>
  <c r="CZ149" i="1" s="1"/>
  <c r="DA149" i="1" s="1"/>
  <c r="CT149" i="1"/>
  <c r="CU149" i="1" s="1"/>
  <c r="CV149" i="1" s="1"/>
  <c r="CO149" i="1"/>
  <c r="CP149" i="1" s="1"/>
  <c r="CQ149" i="1" s="1"/>
  <c r="CJ149" i="1"/>
  <c r="CK149" i="1" s="1"/>
  <c r="CL149" i="1" s="1"/>
  <c r="CE149" i="1"/>
  <c r="CF149" i="1" s="1"/>
  <c r="CG149" i="1" s="1"/>
  <c r="BZ149" i="1"/>
  <c r="CA149" i="1" s="1"/>
  <c r="CB149" i="1" s="1"/>
  <c r="BU149" i="1"/>
  <c r="BV149" i="1" s="1"/>
  <c r="BW149" i="1" s="1"/>
  <c r="BP149" i="1"/>
  <c r="BQ149" i="1" s="1"/>
  <c r="BR149" i="1" s="1"/>
  <c r="BK149" i="1"/>
  <c r="BL149" i="1" s="1"/>
  <c r="BM149" i="1" s="1"/>
  <c r="BF149" i="1"/>
  <c r="BG149" i="1" s="1"/>
  <c r="BH149" i="1" s="1"/>
  <c r="BA149" i="1"/>
  <c r="BB149" i="1" s="1"/>
  <c r="BC149" i="1" s="1"/>
  <c r="AV149" i="1"/>
  <c r="AW149" i="1" s="1"/>
  <c r="AX149" i="1" s="1"/>
  <c r="AQ149" i="1"/>
  <c r="AR149" i="1" s="1"/>
  <c r="AS149" i="1" s="1"/>
  <c r="AL149" i="1"/>
  <c r="AM149" i="1" s="1"/>
  <c r="AN149" i="1" s="1"/>
  <c r="AG149" i="1"/>
  <c r="AH149" i="1" s="1"/>
  <c r="AI149" i="1" s="1"/>
  <c r="AB149" i="1"/>
  <c r="AC149" i="1" s="1"/>
  <c r="AD149" i="1" s="1"/>
  <c r="W149" i="1"/>
  <c r="X149" i="1" s="1"/>
  <c r="Y149" i="1" s="1"/>
  <c r="T149" i="1"/>
  <c r="O149" i="1"/>
  <c r="J149" i="1"/>
  <c r="PX148" i="1"/>
  <c r="PS148" i="1"/>
  <c r="PN148" i="1"/>
  <c r="PI148" i="1"/>
  <c r="PD148" i="1"/>
  <c r="OY148" i="1"/>
  <c r="OT148" i="1"/>
  <c r="OO148" i="1"/>
  <c r="OJ148" i="1"/>
  <c r="OE148" i="1"/>
  <c r="NZ148" i="1"/>
  <c r="NU148" i="1"/>
  <c r="NP148" i="1"/>
  <c r="NK148" i="1"/>
  <c r="NF148" i="1"/>
  <c r="NA148" i="1"/>
  <c r="MV148" i="1"/>
  <c r="MQ148" i="1"/>
  <c r="ML148" i="1"/>
  <c r="MG148" i="1"/>
  <c r="MB148" i="1"/>
  <c r="LW148" i="1"/>
  <c r="LR148" i="1"/>
  <c r="LM148" i="1"/>
  <c r="LH148" i="1"/>
  <c r="LC148" i="1"/>
  <c r="KX148" i="1"/>
  <c r="KS148" i="1"/>
  <c r="KN148" i="1"/>
  <c r="KI148" i="1"/>
  <c r="KD148" i="1"/>
  <c r="JY148" i="1"/>
  <c r="JT148" i="1"/>
  <c r="JO148" i="1"/>
  <c r="JJ148" i="1"/>
  <c r="JE148" i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T148" i="1"/>
  <c r="HU148" i="1" s="1"/>
  <c r="HV148" i="1" s="1"/>
  <c r="HQ148" i="1"/>
  <c r="HL148" i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H148" i="1"/>
  <c r="EI148" i="1" s="1"/>
  <c r="EJ148" i="1" s="1"/>
  <c r="EC148" i="1"/>
  <c r="ED148" i="1" s="1"/>
  <c r="EE148" i="1" s="1"/>
  <c r="DX148" i="1"/>
  <c r="DY148" i="1" s="1"/>
  <c r="DZ148" i="1" s="1"/>
  <c r="DS148" i="1"/>
  <c r="DT148" i="1" s="1"/>
  <c r="DU148" i="1" s="1"/>
  <c r="DN148" i="1"/>
  <c r="DO148" i="1" s="1"/>
  <c r="DP148" i="1" s="1"/>
  <c r="DI148" i="1"/>
  <c r="DJ148" i="1" s="1"/>
  <c r="DK148" i="1" s="1"/>
  <c r="DD148" i="1"/>
  <c r="DE148" i="1" s="1"/>
  <c r="DF148" i="1" s="1"/>
  <c r="CY148" i="1"/>
  <c r="CZ148" i="1" s="1"/>
  <c r="DA148" i="1" s="1"/>
  <c r="CT148" i="1"/>
  <c r="CU148" i="1" s="1"/>
  <c r="CV148" i="1" s="1"/>
  <c r="CO148" i="1"/>
  <c r="CP148" i="1" s="1"/>
  <c r="CQ148" i="1" s="1"/>
  <c r="CJ148" i="1"/>
  <c r="CK148" i="1" s="1"/>
  <c r="CL148" i="1" s="1"/>
  <c r="CE148" i="1"/>
  <c r="CF148" i="1" s="1"/>
  <c r="CG148" i="1" s="1"/>
  <c r="BZ148" i="1"/>
  <c r="CA148" i="1" s="1"/>
  <c r="CB148" i="1" s="1"/>
  <c r="BU148" i="1"/>
  <c r="BV148" i="1" s="1"/>
  <c r="BW148" i="1" s="1"/>
  <c r="BP148" i="1"/>
  <c r="BQ148" i="1" s="1"/>
  <c r="BR148" i="1" s="1"/>
  <c r="BK148" i="1"/>
  <c r="BL148" i="1" s="1"/>
  <c r="BM148" i="1" s="1"/>
  <c r="BF148" i="1"/>
  <c r="BG148" i="1" s="1"/>
  <c r="BH148" i="1" s="1"/>
  <c r="BA148" i="1"/>
  <c r="BB148" i="1" s="1"/>
  <c r="BC148" i="1" s="1"/>
  <c r="AV148" i="1"/>
  <c r="AW148" i="1" s="1"/>
  <c r="AX148" i="1" s="1"/>
  <c r="AQ148" i="1"/>
  <c r="AR148" i="1" s="1"/>
  <c r="AS148" i="1" s="1"/>
  <c r="AL148" i="1"/>
  <c r="AM148" i="1" s="1"/>
  <c r="AN148" i="1" s="1"/>
  <c r="AG148" i="1"/>
  <c r="AH148" i="1" s="1"/>
  <c r="AI148" i="1" s="1"/>
  <c r="AB148" i="1"/>
  <c r="AC148" i="1" s="1"/>
  <c r="AD148" i="1" s="1"/>
  <c r="W148" i="1"/>
  <c r="X148" i="1" s="1"/>
  <c r="Y148" i="1" s="1"/>
  <c r="T148" i="1"/>
  <c r="O148" i="1"/>
  <c r="J148" i="1"/>
  <c r="PV147" i="1"/>
  <c r="PW147" i="1" s="1"/>
  <c r="PX147" i="1" s="1"/>
  <c r="PS147" i="1"/>
  <c r="PN147" i="1"/>
  <c r="PI147" i="1"/>
  <c r="PD147" i="1"/>
  <c r="OY147" i="1"/>
  <c r="OT147" i="1"/>
  <c r="OO147" i="1"/>
  <c r="OJ147" i="1"/>
  <c r="OE147" i="1"/>
  <c r="NZ147" i="1"/>
  <c r="NU147" i="1"/>
  <c r="NP147" i="1"/>
  <c r="NK147" i="1"/>
  <c r="NF147" i="1"/>
  <c r="NA147" i="1"/>
  <c r="MV147" i="1"/>
  <c r="MQ147" i="1"/>
  <c r="ML147" i="1"/>
  <c r="MG147" i="1"/>
  <c r="MB147" i="1"/>
  <c r="LW147" i="1"/>
  <c r="LR147" i="1"/>
  <c r="LM147" i="1"/>
  <c r="LH147" i="1"/>
  <c r="LC147" i="1"/>
  <c r="KV147" i="1"/>
  <c r="KW147" i="1" s="1"/>
  <c r="KX147" i="1" s="1"/>
  <c r="KS147" i="1"/>
  <c r="KN147" i="1"/>
  <c r="KI147" i="1"/>
  <c r="KD147" i="1"/>
  <c r="JY147" i="1"/>
  <c r="JT147" i="1"/>
  <c r="JO147" i="1"/>
  <c r="JJ147" i="1"/>
  <c r="JE147" i="1"/>
  <c r="IZ147" i="1"/>
  <c r="IU147" i="1"/>
  <c r="IP147" i="1"/>
  <c r="IK147" i="1"/>
  <c r="IF147" i="1"/>
  <c r="IA147" i="1"/>
  <c r="HV147" i="1"/>
  <c r="HQ147" i="1"/>
  <c r="HL147" i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H147" i="1"/>
  <c r="EI147" i="1" s="1"/>
  <c r="EJ147" i="1" s="1"/>
  <c r="EC147" i="1"/>
  <c r="ED147" i="1" s="1"/>
  <c r="EE147" i="1" s="1"/>
  <c r="DX147" i="1"/>
  <c r="DY147" i="1" s="1"/>
  <c r="DZ147" i="1" s="1"/>
  <c r="DS147" i="1"/>
  <c r="DT147" i="1" s="1"/>
  <c r="DU147" i="1" s="1"/>
  <c r="DN147" i="1"/>
  <c r="DO147" i="1" s="1"/>
  <c r="DP147" i="1" s="1"/>
  <c r="DI147" i="1"/>
  <c r="DJ147" i="1" s="1"/>
  <c r="DK147" i="1" s="1"/>
  <c r="DD147" i="1"/>
  <c r="DE147" i="1" s="1"/>
  <c r="DF147" i="1" s="1"/>
  <c r="CY147" i="1"/>
  <c r="CZ147" i="1" s="1"/>
  <c r="DA147" i="1" s="1"/>
  <c r="CT147" i="1"/>
  <c r="CU147" i="1" s="1"/>
  <c r="CV147" i="1" s="1"/>
  <c r="CO147" i="1"/>
  <c r="CP147" i="1" s="1"/>
  <c r="CQ147" i="1" s="1"/>
  <c r="CJ147" i="1"/>
  <c r="CK147" i="1" s="1"/>
  <c r="CL147" i="1" s="1"/>
  <c r="CE147" i="1"/>
  <c r="CF147" i="1" s="1"/>
  <c r="CG147" i="1" s="1"/>
  <c r="BZ147" i="1"/>
  <c r="CA147" i="1" s="1"/>
  <c r="CB147" i="1" s="1"/>
  <c r="BU147" i="1"/>
  <c r="BV147" i="1" s="1"/>
  <c r="BW147" i="1" s="1"/>
  <c r="BP147" i="1"/>
  <c r="BQ147" i="1" s="1"/>
  <c r="BR147" i="1" s="1"/>
  <c r="BK147" i="1"/>
  <c r="BL147" i="1" s="1"/>
  <c r="BM147" i="1" s="1"/>
  <c r="BF147" i="1"/>
  <c r="BG147" i="1" s="1"/>
  <c r="BH147" i="1" s="1"/>
  <c r="BA147" i="1"/>
  <c r="BB147" i="1" s="1"/>
  <c r="BC147" i="1" s="1"/>
  <c r="AV147" i="1"/>
  <c r="AW147" i="1" s="1"/>
  <c r="AX147" i="1" s="1"/>
  <c r="AQ147" i="1"/>
  <c r="AR147" i="1" s="1"/>
  <c r="AS147" i="1" s="1"/>
  <c r="AL147" i="1"/>
  <c r="AM147" i="1" s="1"/>
  <c r="AN147" i="1" s="1"/>
  <c r="AG147" i="1"/>
  <c r="AH147" i="1" s="1"/>
  <c r="AI147" i="1" s="1"/>
  <c r="AB147" i="1"/>
  <c r="AC147" i="1" s="1"/>
  <c r="AD147" i="1" s="1"/>
  <c r="W147" i="1"/>
  <c r="X147" i="1" s="1"/>
  <c r="Y147" i="1" s="1"/>
  <c r="T147" i="1"/>
  <c r="O147" i="1"/>
  <c r="J147" i="1"/>
  <c r="PX146" i="1"/>
  <c r="PS146" i="1"/>
  <c r="PN146" i="1"/>
  <c r="PI146" i="1"/>
  <c r="PD146" i="1"/>
  <c r="OY146" i="1"/>
  <c r="OT146" i="1"/>
  <c r="OO146" i="1"/>
  <c r="OJ146" i="1"/>
  <c r="OE146" i="1"/>
  <c r="NZ146" i="1"/>
  <c r="NU146" i="1"/>
  <c r="NP146" i="1"/>
  <c r="NK146" i="1"/>
  <c r="NF146" i="1"/>
  <c r="NA146" i="1"/>
  <c r="MV146" i="1"/>
  <c r="MQ146" i="1"/>
  <c r="ML146" i="1"/>
  <c r="MG146" i="1"/>
  <c r="MB146" i="1"/>
  <c r="LW146" i="1"/>
  <c r="LR146" i="1"/>
  <c r="LM146" i="1"/>
  <c r="LH146" i="1"/>
  <c r="LC146" i="1"/>
  <c r="KX146" i="1"/>
  <c r="KS146" i="1"/>
  <c r="KN146" i="1"/>
  <c r="KI146" i="1"/>
  <c r="KD146" i="1"/>
  <c r="JY146" i="1"/>
  <c r="JT146" i="1"/>
  <c r="JO146" i="1"/>
  <c r="JJ146" i="1"/>
  <c r="JE146" i="1"/>
  <c r="IZ146" i="1"/>
  <c r="IU146" i="1"/>
  <c r="IP146" i="1"/>
  <c r="IK146" i="1"/>
  <c r="IF146" i="1"/>
  <c r="IA146" i="1"/>
  <c r="HV146" i="1"/>
  <c r="HQ146" i="1"/>
  <c r="HL146" i="1"/>
  <c r="HG146" i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H146" i="1"/>
  <c r="EI146" i="1" s="1"/>
  <c r="EJ146" i="1" s="1"/>
  <c r="EC146" i="1"/>
  <c r="ED146" i="1" s="1"/>
  <c r="EE146" i="1" s="1"/>
  <c r="DX146" i="1"/>
  <c r="DY146" i="1" s="1"/>
  <c r="DZ146" i="1" s="1"/>
  <c r="DS146" i="1"/>
  <c r="DT146" i="1" s="1"/>
  <c r="DU146" i="1" s="1"/>
  <c r="DN146" i="1"/>
  <c r="DO146" i="1" s="1"/>
  <c r="DP146" i="1" s="1"/>
  <c r="DI146" i="1"/>
  <c r="DJ146" i="1" s="1"/>
  <c r="DK146" i="1" s="1"/>
  <c r="DD146" i="1"/>
  <c r="DE146" i="1" s="1"/>
  <c r="DF146" i="1" s="1"/>
  <c r="CY146" i="1"/>
  <c r="CZ146" i="1" s="1"/>
  <c r="DA146" i="1" s="1"/>
  <c r="CT146" i="1"/>
  <c r="CU146" i="1" s="1"/>
  <c r="CV146" i="1" s="1"/>
  <c r="CO146" i="1"/>
  <c r="CP146" i="1" s="1"/>
  <c r="CQ146" i="1" s="1"/>
  <c r="CJ146" i="1"/>
  <c r="CK146" i="1" s="1"/>
  <c r="CL146" i="1" s="1"/>
  <c r="CE146" i="1"/>
  <c r="CF146" i="1" s="1"/>
  <c r="CG146" i="1" s="1"/>
  <c r="BZ146" i="1"/>
  <c r="CA146" i="1" s="1"/>
  <c r="CB146" i="1" s="1"/>
  <c r="BU146" i="1"/>
  <c r="BV146" i="1" s="1"/>
  <c r="BW146" i="1" s="1"/>
  <c r="BP146" i="1"/>
  <c r="BQ146" i="1" s="1"/>
  <c r="BR146" i="1" s="1"/>
  <c r="BK146" i="1"/>
  <c r="BL146" i="1" s="1"/>
  <c r="BM146" i="1" s="1"/>
  <c r="BF146" i="1"/>
  <c r="BG146" i="1" s="1"/>
  <c r="BH146" i="1" s="1"/>
  <c r="BA146" i="1"/>
  <c r="BB146" i="1" s="1"/>
  <c r="BC146" i="1" s="1"/>
  <c r="AV146" i="1"/>
  <c r="AW146" i="1" s="1"/>
  <c r="AX146" i="1" s="1"/>
  <c r="AQ146" i="1"/>
  <c r="AR146" i="1" s="1"/>
  <c r="AS146" i="1" s="1"/>
  <c r="AL146" i="1"/>
  <c r="AM146" i="1" s="1"/>
  <c r="AN146" i="1" s="1"/>
  <c r="AG146" i="1"/>
  <c r="AH146" i="1" s="1"/>
  <c r="AI146" i="1" s="1"/>
  <c r="AD146" i="1"/>
  <c r="W146" i="1"/>
  <c r="X146" i="1" s="1"/>
  <c r="Y146" i="1" s="1"/>
  <c r="T146" i="1"/>
  <c r="O146" i="1"/>
  <c r="H146" i="1"/>
  <c r="I146" i="1" s="1"/>
  <c r="J146" i="1" s="1"/>
  <c r="PX145" i="1"/>
  <c r="PS145" i="1"/>
  <c r="PN145" i="1"/>
  <c r="PI145" i="1"/>
  <c r="PD145" i="1"/>
  <c r="OY145" i="1"/>
  <c r="OT145" i="1"/>
  <c r="OO145" i="1"/>
  <c r="OJ145" i="1"/>
  <c r="OE145" i="1"/>
  <c r="NZ145" i="1"/>
  <c r="NU145" i="1"/>
  <c r="NP145" i="1"/>
  <c r="NK145" i="1"/>
  <c r="NF145" i="1"/>
  <c r="NA145" i="1"/>
  <c r="MV145" i="1"/>
  <c r="MQ145" i="1"/>
  <c r="ML145" i="1"/>
  <c r="MG145" i="1"/>
  <c r="MB145" i="1"/>
  <c r="LW145" i="1"/>
  <c r="LR145" i="1"/>
  <c r="LM145" i="1"/>
  <c r="LH145" i="1"/>
  <c r="LC145" i="1"/>
  <c r="KX145" i="1"/>
  <c r="KQ145" i="1"/>
  <c r="KR145" i="1" s="1"/>
  <c r="KS145" i="1" s="1"/>
  <c r="KN145" i="1"/>
  <c r="KI145" i="1"/>
  <c r="KD145" i="1"/>
  <c r="JY145" i="1"/>
  <c r="JT145" i="1"/>
  <c r="JO145" i="1"/>
  <c r="JJ145" i="1"/>
  <c r="JE145" i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T145" i="1"/>
  <c r="HU145" i="1" s="1"/>
  <c r="HV145" i="1" s="1"/>
  <c r="HQ145" i="1"/>
  <c r="HL145" i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H145" i="1"/>
  <c r="EI145" i="1" s="1"/>
  <c r="EJ145" i="1" s="1"/>
  <c r="EC145" i="1"/>
  <c r="ED145" i="1" s="1"/>
  <c r="EE145" i="1" s="1"/>
  <c r="DX145" i="1"/>
  <c r="DY145" i="1" s="1"/>
  <c r="DZ145" i="1" s="1"/>
  <c r="DS145" i="1"/>
  <c r="DT145" i="1" s="1"/>
  <c r="DU145" i="1" s="1"/>
  <c r="DN145" i="1"/>
  <c r="DO145" i="1" s="1"/>
  <c r="DP145" i="1" s="1"/>
  <c r="DI145" i="1"/>
  <c r="DJ145" i="1" s="1"/>
  <c r="DK145" i="1" s="1"/>
  <c r="DD145" i="1"/>
  <c r="DE145" i="1" s="1"/>
  <c r="DF145" i="1" s="1"/>
  <c r="CY145" i="1"/>
  <c r="CZ145" i="1" s="1"/>
  <c r="DA145" i="1" s="1"/>
  <c r="CT145" i="1"/>
  <c r="CU145" i="1" s="1"/>
  <c r="CV145" i="1" s="1"/>
  <c r="CO145" i="1"/>
  <c r="CP145" i="1" s="1"/>
  <c r="CQ145" i="1" s="1"/>
  <c r="CJ145" i="1"/>
  <c r="CK145" i="1" s="1"/>
  <c r="CL145" i="1" s="1"/>
  <c r="CE145" i="1"/>
  <c r="CF145" i="1" s="1"/>
  <c r="CG145" i="1" s="1"/>
  <c r="BZ145" i="1"/>
  <c r="CA145" i="1" s="1"/>
  <c r="CB145" i="1" s="1"/>
  <c r="BU145" i="1"/>
  <c r="BV145" i="1" s="1"/>
  <c r="BW145" i="1" s="1"/>
  <c r="BP145" i="1"/>
  <c r="BQ145" i="1" s="1"/>
  <c r="BR145" i="1" s="1"/>
  <c r="BK145" i="1"/>
  <c r="BL145" i="1" s="1"/>
  <c r="BM145" i="1" s="1"/>
  <c r="BF145" i="1"/>
  <c r="BG145" i="1" s="1"/>
  <c r="BH145" i="1" s="1"/>
  <c r="BA145" i="1"/>
  <c r="BB145" i="1" s="1"/>
  <c r="BC145" i="1" s="1"/>
  <c r="AV145" i="1"/>
  <c r="AW145" i="1" s="1"/>
  <c r="AX145" i="1" s="1"/>
  <c r="AQ145" i="1"/>
  <c r="AR145" i="1" s="1"/>
  <c r="AS145" i="1" s="1"/>
  <c r="AL145" i="1"/>
  <c r="AM145" i="1" s="1"/>
  <c r="AN145" i="1" s="1"/>
  <c r="AG145" i="1"/>
  <c r="AH145" i="1" s="1"/>
  <c r="AI145" i="1" s="1"/>
  <c r="AB145" i="1"/>
  <c r="AC145" i="1" s="1"/>
  <c r="AD145" i="1" s="1"/>
  <c r="W145" i="1"/>
  <c r="X145" i="1" s="1"/>
  <c r="Y145" i="1" s="1"/>
  <c r="T145" i="1"/>
  <c r="O145" i="1"/>
  <c r="J145" i="1"/>
  <c r="PX144" i="1"/>
  <c r="PS144" i="1"/>
  <c r="PN144" i="1"/>
  <c r="PI144" i="1"/>
  <c r="PD144" i="1"/>
  <c r="OY144" i="1"/>
  <c r="OT144" i="1"/>
  <c r="OM144" i="1"/>
  <c r="ON144" i="1" s="1"/>
  <c r="OO144" i="1" s="1"/>
  <c r="OJ144" i="1"/>
  <c r="OE144" i="1"/>
  <c r="NZ144" i="1"/>
  <c r="NU144" i="1"/>
  <c r="NP144" i="1"/>
  <c r="NK144" i="1"/>
  <c r="NF144" i="1"/>
  <c r="NA144" i="1"/>
  <c r="MV144" i="1"/>
  <c r="MQ144" i="1"/>
  <c r="ML144" i="1"/>
  <c r="MG144" i="1"/>
  <c r="MB144" i="1"/>
  <c r="LW144" i="1"/>
  <c r="LR144" i="1"/>
  <c r="LM144" i="1"/>
  <c r="LH144" i="1"/>
  <c r="LC144" i="1"/>
  <c r="KX144" i="1"/>
  <c r="KS144" i="1"/>
  <c r="KN144" i="1"/>
  <c r="KI144" i="1"/>
  <c r="KD144" i="1"/>
  <c r="JY144" i="1"/>
  <c r="JT144" i="1"/>
  <c r="JO144" i="1"/>
  <c r="JJ144" i="1"/>
  <c r="JE144" i="1"/>
  <c r="IZ144" i="1"/>
  <c r="IU144" i="1"/>
  <c r="IP144" i="1"/>
  <c r="IK144" i="1"/>
  <c r="IF144" i="1"/>
  <c r="IA144" i="1"/>
  <c r="HV144" i="1"/>
  <c r="HQ144" i="1"/>
  <c r="HL144" i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H144" i="1"/>
  <c r="EI144" i="1" s="1"/>
  <c r="EJ144" i="1" s="1"/>
  <c r="EC144" i="1"/>
  <c r="ED144" i="1" s="1"/>
  <c r="EE144" i="1" s="1"/>
  <c r="DX144" i="1"/>
  <c r="DY144" i="1" s="1"/>
  <c r="DZ144" i="1" s="1"/>
  <c r="DS144" i="1"/>
  <c r="DT144" i="1" s="1"/>
  <c r="DU144" i="1" s="1"/>
  <c r="DN144" i="1"/>
  <c r="DO144" i="1" s="1"/>
  <c r="DP144" i="1" s="1"/>
  <c r="DI144" i="1"/>
  <c r="DJ144" i="1" s="1"/>
  <c r="DK144" i="1" s="1"/>
  <c r="DD144" i="1"/>
  <c r="DE144" i="1" s="1"/>
  <c r="DF144" i="1" s="1"/>
  <c r="CY144" i="1"/>
  <c r="CZ144" i="1" s="1"/>
  <c r="DA144" i="1" s="1"/>
  <c r="CT144" i="1"/>
  <c r="CU144" i="1" s="1"/>
  <c r="CV144" i="1" s="1"/>
  <c r="CO144" i="1"/>
  <c r="CP144" i="1" s="1"/>
  <c r="CQ144" i="1" s="1"/>
  <c r="CJ144" i="1"/>
  <c r="CK144" i="1" s="1"/>
  <c r="CL144" i="1" s="1"/>
  <c r="CE144" i="1"/>
  <c r="CF144" i="1" s="1"/>
  <c r="CG144" i="1" s="1"/>
  <c r="BZ144" i="1"/>
  <c r="CA144" i="1" s="1"/>
  <c r="CB144" i="1" s="1"/>
  <c r="BU144" i="1"/>
  <c r="BV144" i="1" s="1"/>
  <c r="BW144" i="1" s="1"/>
  <c r="BP144" i="1"/>
  <c r="BQ144" i="1" s="1"/>
  <c r="BR144" i="1" s="1"/>
  <c r="BK144" i="1"/>
  <c r="BL144" i="1" s="1"/>
  <c r="BM144" i="1" s="1"/>
  <c r="BF144" i="1"/>
  <c r="BG144" i="1" s="1"/>
  <c r="BH144" i="1" s="1"/>
  <c r="BA144" i="1"/>
  <c r="BB144" i="1" s="1"/>
  <c r="BC144" i="1" s="1"/>
  <c r="AV144" i="1"/>
  <c r="AW144" i="1" s="1"/>
  <c r="AX144" i="1" s="1"/>
  <c r="AQ144" i="1"/>
  <c r="AR144" i="1" s="1"/>
  <c r="AS144" i="1" s="1"/>
  <c r="AL144" i="1"/>
  <c r="AM144" i="1" s="1"/>
  <c r="AN144" i="1" s="1"/>
  <c r="AG144" i="1"/>
  <c r="AH144" i="1" s="1"/>
  <c r="AI144" i="1" s="1"/>
  <c r="AB144" i="1"/>
  <c r="AC144" i="1" s="1"/>
  <c r="AD144" i="1" s="1"/>
  <c r="W144" i="1"/>
  <c r="X144" i="1" s="1"/>
  <c r="Y144" i="1" s="1"/>
  <c r="T144" i="1"/>
  <c r="O144" i="1"/>
  <c r="J144" i="1"/>
  <c r="PX143" i="1"/>
  <c r="PS143" i="1"/>
  <c r="PN143" i="1"/>
  <c r="PI143" i="1"/>
  <c r="PD143" i="1"/>
  <c r="OY143" i="1"/>
  <c r="OT143" i="1"/>
  <c r="OO143" i="1"/>
  <c r="OJ143" i="1"/>
  <c r="OE143" i="1"/>
  <c r="NX143" i="1"/>
  <c r="NY143" i="1" s="1"/>
  <c r="NZ143" i="1" s="1"/>
  <c r="NU143" i="1"/>
  <c r="NP143" i="1"/>
  <c r="NK143" i="1"/>
  <c r="NF143" i="1"/>
  <c r="NA143" i="1"/>
  <c r="MV143" i="1"/>
  <c r="MQ143" i="1"/>
  <c r="ML143" i="1"/>
  <c r="MG143" i="1"/>
  <c r="MB143" i="1"/>
  <c r="LW143" i="1"/>
  <c r="LR143" i="1"/>
  <c r="LM143" i="1"/>
  <c r="LH143" i="1"/>
  <c r="LC143" i="1"/>
  <c r="KX143" i="1"/>
  <c r="KS143" i="1"/>
  <c r="KN143" i="1"/>
  <c r="KI143" i="1"/>
  <c r="KD143" i="1"/>
  <c r="JY143" i="1"/>
  <c r="JT143" i="1"/>
  <c r="JO143" i="1"/>
  <c r="JJ143" i="1"/>
  <c r="JE143" i="1"/>
  <c r="IZ143" i="1"/>
  <c r="IU143" i="1"/>
  <c r="IP143" i="1"/>
  <c r="IK143" i="1"/>
  <c r="IF143" i="1"/>
  <c r="IA143" i="1"/>
  <c r="HV143" i="1"/>
  <c r="HQ143" i="1"/>
  <c r="HL143" i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H143" i="1"/>
  <c r="EI143" i="1" s="1"/>
  <c r="EJ143" i="1" s="1"/>
  <c r="EC143" i="1"/>
  <c r="ED143" i="1" s="1"/>
  <c r="EE143" i="1" s="1"/>
  <c r="DX143" i="1"/>
  <c r="DY143" i="1" s="1"/>
  <c r="DZ143" i="1" s="1"/>
  <c r="DS143" i="1"/>
  <c r="DT143" i="1" s="1"/>
  <c r="DU143" i="1" s="1"/>
  <c r="DN143" i="1"/>
  <c r="DO143" i="1" s="1"/>
  <c r="DP143" i="1" s="1"/>
  <c r="DI143" i="1"/>
  <c r="DJ143" i="1" s="1"/>
  <c r="DK143" i="1" s="1"/>
  <c r="DD143" i="1"/>
  <c r="DE143" i="1" s="1"/>
  <c r="DF143" i="1" s="1"/>
  <c r="CY143" i="1"/>
  <c r="CZ143" i="1" s="1"/>
  <c r="DA143" i="1" s="1"/>
  <c r="CT143" i="1"/>
  <c r="CU143" i="1" s="1"/>
  <c r="CV143" i="1" s="1"/>
  <c r="CO143" i="1"/>
  <c r="CP143" i="1" s="1"/>
  <c r="CQ143" i="1" s="1"/>
  <c r="CJ143" i="1"/>
  <c r="CK143" i="1" s="1"/>
  <c r="CL143" i="1" s="1"/>
  <c r="CE143" i="1"/>
  <c r="CF143" i="1" s="1"/>
  <c r="BZ143" i="1"/>
  <c r="CA143" i="1" s="1"/>
  <c r="CB143" i="1" s="1"/>
  <c r="BU143" i="1"/>
  <c r="BV143" i="1" s="1"/>
  <c r="BW143" i="1" s="1"/>
  <c r="BP143" i="1"/>
  <c r="BQ143" i="1" s="1"/>
  <c r="BR143" i="1" s="1"/>
  <c r="BK143" i="1"/>
  <c r="BL143" i="1" s="1"/>
  <c r="BM143" i="1" s="1"/>
  <c r="BF143" i="1"/>
  <c r="BG143" i="1" s="1"/>
  <c r="BH143" i="1" s="1"/>
  <c r="BA143" i="1"/>
  <c r="BB143" i="1" s="1"/>
  <c r="BC143" i="1" s="1"/>
  <c r="AV143" i="1"/>
  <c r="AW143" i="1" s="1"/>
  <c r="AX143" i="1" s="1"/>
  <c r="AQ143" i="1"/>
  <c r="AR143" i="1" s="1"/>
  <c r="AS143" i="1" s="1"/>
  <c r="AL143" i="1"/>
  <c r="AM143" i="1" s="1"/>
  <c r="AN143" i="1" s="1"/>
  <c r="AG143" i="1"/>
  <c r="AH143" i="1" s="1"/>
  <c r="AI143" i="1" s="1"/>
  <c r="AB143" i="1"/>
  <c r="AC143" i="1" s="1"/>
  <c r="AD143" i="1" s="1"/>
  <c r="W143" i="1"/>
  <c r="X143" i="1" s="1"/>
  <c r="Y143" i="1" s="1"/>
  <c r="R143" i="1"/>
  <c r="S143" i="1" s="1"/>
  <c r="T143" i="1" s="1"/>
  <c r="O143" i="1"/>
  <c r="J143" i="1"/>
  <c r="PX142" i="1"/>
  <c r="PS142" i="1"/>
  <c r="PN142" i="1"/>
  <c r="PI142" i="1"/>
  <c r="PD142" i="1"/>
  <c r="OY142" i="1"/>
  <c r="OT142" i="1"/>
  <c r="OO142" i="1"/>
  <c r="OJ142" i="1"/>
  <c r="OE142" i="1"/>
  <c r="NZ142" i="1"/>
  <c r="NU142" i="1"/>
  <c r="NP142" i="1"/>
  <c r="NK142" i="1"/>
  <c r="NF142" i="1"/>
  <c r="NA142" i="1"/>
  <c r="MV142" i="1"/>
  <c r="MQ142" i="1"/>
  <c r="ML142" i="1"/>
  <c r="MG142" i="1"/>
  <c r="MB142" i="1"/>
  <c r="LW142" i="1"/>
  <c r="LR142" i="1"/>
  <c r="LM142" i="1"/>
  <c r="LH142" i="1"/>
  <c r="LC142" i="1"/>
  <c r="KX142" i="1"/>
  <c r="KQ142" i="1"/>
  <c r="KR142" i="1" s="1"/>
  <c r="KS142" i="1" s="1"/>
  <c r="KN142" i="1"/>
  <c r="KI142" i="1"/>
  <c r="KD142" i="1"/>
  <c r="JY142" i="1"/>
  <c r="JT142" i="1"/>
  <c r="JO142" i="1"/>
  <c r="JJ142" i="1"/>
  <c r="JE142" i="1"/>
  <c r="IZ142" i="1"/>
  <c r="IS142" i="1"/>
  <c r="IT142" i="1" s="1"/>
  <c r="IU142" i="1" s="1"/>
  <c r="IP142" i="1"/>
  <c r="IK142" i="1"/>
  <c r="IF142" i="1"/>
  <c r="IA142" i="1"/>
  <c r="HV142" i="1"/>
  <c r="HQ142" i="1"/>
  <c r="HL142" i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H142" i="1"/>
  <c r="EI142" i="1" s="1"/>
  <c r="EJ142" i="1" s="1"/>
  <c r="EC142" i="1"/>
  <c r="ED142" i="1" s="1"/>
  <c r="EE142" i="1" s="1"/>
  <c r="DX142" i="1"/>
  <c r="DY142" i="1" s="1"/>
  <c r="DZ142" i="1" s="1"/>
  <c r="DS142" i="1"/>
  <c r="DT142" i="1" s="1"/>
  <c r="DU142" i="1" s="1"/>
  <c r="DN142" i="1"/>
  <c r="DO142" i="1" s="1"/>
  <c r="DP142" i="1" s="1"/>
  <c r="DI142" i="1"/>
  <c r="DJ142" i="1" s="1"/>
  <c r="DK142" i="1" s="1"/>
  <c r="DD142" i="1"/>
  <c r="DE142" i="1" s="1"/>
  <c r="DF142" i="1" s="1"/>
  <c r="CY142" i="1"/>
  <c r="CZ142" i="1" s="1"/>
  <c r="DA142" i="1" s="1"/>
  <c r="CT142" i="1"/>
  <c r="CU142" i="1" s="1"/>
  <c r="CV142" i="1" s="1"/>
  <c r="CO142" i="1"/>
  <c r="CP142" i="1" s="1"/>
  <c r="CQ142" i="1" s="1"/>
  <c r="CJ142" i="1"/>
  <c r="CK142" i="1" s="1"/>
  <c r="CL142" i="1" s="1"/>
  <c r="CE142" i="1"/>
  <c r="CF142" i="1" s="1"/>
  <c r="CG142" i="1" s="1"/>
  <c r="BZ142" i="1"/>
  <c r="CA142" i="1" s="1"/>
  <c r="CB142" i="1" s="1"/>
  <c r="BU142" i="1"/>
  <c r="BV142" i="1" s="1"/>
  <c r="BW142" i="1" s="1"/>
  <c r="BP142" i="1"/>
  <c r="BQ142" i="1" s="1"/>
  <c r="BR142" i="1" s="1"/>
  <c r="BK142" i="1"/>
  <c r="BL142" i="1" s="1"/>
  <c r="BM142" i="1" s="1"/>
  <c r="BF142" i="1"/>
  <c r="BG142" i="1" s="1"/>
  <c r="BH142" i="1" s="1"/>
  <c r="BA142" i="1"/>
  <c r="BB142" i="1" s="1"/>
  <c r="BC142" i="1" s="1"/>
  <c r="AV142" i="1"/>
  <c r="AW142" i="1" s="1"/>
  <c r="AX142" i="1" s="1"/>
  <c r="AQ142" i="1"/>
  <c r="AR142" i="1" s="1"/>
  <c r="AS142" i="1" s="1"/>
  <c r="AL142" i="1"/>
  <c r="AM142" i="1" s="1"/>
  <c r="AN142" i="1" s="1"/>
  <c r="AG142" i="1"/>
  <c r="AH142" i="1" s="1"/>
  <c r="AI142" i="1" s="1"/>
  <c r="AB142" i="1"/>
  <c r="AC142" i="1" s="1"/>
  <c r="AD142" i="1" s="1"/>
  <c r="W142" i="1"/>
  <c r="X142" i="1" s="1"/>
  <c r="Y142" i="1" s="1"/>
  <c r="T142" i="1"/>
  <c r="O142" i="1"/>
  <c r="J142" i="1"/>
  <c r="PX141" i="1"/>
  <c r="PS141" i="1"/>
  <c r="PN141" i="1"/>
  <c r="PI141" i="1"/>
  <c r="PD141" i="1"/>
  <c r="OY141" i="1"/>
  <c r="OT141" i="1"/>
  <c r="OO141" i="1"/>
  <c r="OJ141" i="1"/>
  <c r="OE141" i="1"/>
  <c r="NZ141" i="1"/>
  <c r="NU141" i="1"/>
  <c r="NP141" i="1"/>
  <c r="NK141" i="1"/>
  <c r="NF141" i="1"/>
  <c r="NA141" i="1"/>
  <c r="MV141" i="1"/>
  <c r="MQ141" i="1"/>
  <c r="ML141" i="1"/>
  <c r="MG141" i="1"/>
  <c r="MB141" i="1"/>
  <c r="LW141" i="1"/>
  <c r="LR141" i="1"/>
  <c r="LM141" i="1"/>
  <c r="LH141" i="1"/>
  <c r="LC141" i="1"/>
  <c r="KX141" i="1"/>
  <c r="KS141" i="1"/>
  <c r="KN141" i="1"/>
  <c r="KI141" i="1"/>
  <c r="KD141" i="1"/>
  <c r="JY141" i="1"/>
  <c r="JT141" i="1"/>
  <c r="JO141" i="1"/>
  <c r="JJ141" i="1"/>
  <c r="JE141" i="1"/>
  <c r="IZ141" i="1"/>
  <c r="IU141" i="1"/>
  <c r="IP141" i="1"/>
  <c r="IK141" i="1"/>
  <c r="IF141" i="1"/>
  <c r="IA141" i="1"/>
  <c r="HV141" i="1"/>
  <c r="HQ141" i="1"/>
  <c r="HL141" i="1"/>
  <c r="HG141" i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H141" i="1"/>
  <c r="EI141" i="1" s="1"/>
  <c r="EJ141" i="1" s="1"/>
  <c r="EC141" i="1"/>
  <c r="ED141" i="1" s="1"/>
  <c r="EE141" i="1" s="1"/>
  <c r="DX141" i="1"/>
  <c r="DY141" i="1" s="1"/>
  <c r="DZ141" i="1" s="1"/>
  <c r="DS141" i="1"/>
  <c r="DT141" i="1" s="1"/>
  <c r="DU141" i="1" s="1"/>
  <c r="DN141" i="1"/>
  <c r="DO141" i="1" s="1"/>
  <c r="DP141" i="1" s="1"/>
  <c r="DI141" i="1"/>
  <c r="DJ141" i="1" s="1"/>
  <c r="DK141" i="1" s="1"/>
  <c r="DD141" i="1"/>
  <c r="DE141" i="1" s="1"/>
  <c r="DF141" i="1" s="1"/>
  <c r="CY141" i="1"/>
  <c r="CZ141" i="1" s="1"/>
  <c r="DA141" i="1" s="1"/>
  <c r="CT141" i="1"/>
  <c r="CU141" i="1" s="1"/>
  <c r="CV141" i="1" s="1"/>
  <c r="CO141" i="1"/>
  <c r="CP141" i="1" s="1"/>
  <c r="CQ141" i="1" s="1"/>
  <c r="CJ141" i="1"/>
  <c r="CK141" i="1" s="1"/>
  <c r="CL141" i="1" s="1"/>
  <c r="CE141" i="1"/>
  <c r="CF141" i="1" s="1"/>
  <c r="CG141" i="1" s="1"/>
  <c r="BZ141" i="1"/>
  <c r="CA141" i="1" s="1"/>
  <c r="CB141" i="1" s="1"/>
  <c r="BU141" i="1"/>
  <c r="BV141" i="1" s="1"/>
  <c r="BW141" i="1" s="1"/>
  <c r="BP141" i="1"/>
  <c r="BQ141" i="1" s="1"/>
  <c r="BR141" i="1" s="1"/>
  <c r="BK141" i="1"/>
  <c r="BL141" i="1" s="1"/>
  <c r="BM141" i="1" s="1"/>
  <c r="BF141" i="1"/>
  <c r="BG141" i="1" s="1"/>
  <c r="BH141" i="1" s="1"/>
  <c r="BA141" i="1"/>
  <c r="BB141" i="1" s="1"/>
  <c r="BC141" i="1" s="1"/>
  <c r="AV141" i="1"/>
  <c r="AW141" i="1" s="1"/>
  <c r="AX141" i="1" s="1"/>
  <c r="AQ141" i="1"/>
  <c r="AR141" i="1" s="1"/>
  <c r="AS141" i="1" s="1"/>
  <c r="AL141" i="1"/>
  <c r="AM141" i="1" s="1"/>
  <c r="AN141" i="1" s="1"/>
  <c r="AG141" i="1"/>
  <c r="AH141" i="1" s="1"/>
  <c r="AI141" i="1" s="1"/>
  <c r="AD141" i="1"/>
  <c r="W141" i="1"/>
  <c r="X141" i="1" s="1"/>
  <c r="Y141" i="1" s="1"/>
  <c r="T141" i="1"/>
  <c r="O141" i="1"/>
  <c r="H141" i="1"/>
  <c r="I141" i="1" s="1"/>
  <c r="J141" i="1" s="1"/>
  <c r="PX140" i="1"/>
  <c r="PS140" i="1"/>
  <c r="PN140" i="1"/>
  <c r="PI140" i="1"/>
  <c r="PD140" i="1"/>
  <c r="OY140" i="1"/>
  <c r="OT140" i="1"/>
  <c r="OO140" i="1"/>
  <c r="OJ140" i="1"/>
  <c r="OE140" i="1"/>
  <c r="NZ140" i="1"/>
  <c r="NU140" i="1"/>
  <c r="NP140" i="1"/>
  <c r="NK140" i="1"/>
  <c r="NF140" i="1"/>
  <c r="NA140" i="1"/>
  <c r="MV140" i="1"/>
  <c r="MQ140" i="1"/>
  <c r="ML140" i="1"/>
  <c r="MG140" i="1"/>
  <c r="MB140" i="1"/>
  <c r="LW140" i="1"/>
  <c r="LR140" i="1"/>
  <c r="LM140" i="1"/>
  <c r="LH140" i="1"/>
  <c r="LA140" i="1"/>
  <c r="LB140" i="1" s="1"/>
  <c r="LC140" i="1" s="1"/>
  <c r="KX140" i="1"/>
  <c r="KS140" i="1"/>
  <c r="KN140" i="1"/>
  <c r="KI140" i="1"/>
  <c r="KD140" i="1"/>
  <c r="JY140" i="1"/>
  <c r="JT140" i="1"/>
  <c r="JO140" i="1"/>
  <c r="JJ140" i="1"/>
  <c r="JE140" i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T140" i="1"/>
  <c r="HU140" i="1" s="1"/>
  <c r="HV140" i="1" s="1"/>
  <c r="HQ140" i="1"/>
  <c r="HL140" i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H140" i="1"/>
  <c r="EI140" i="1" s="1"/>
  <c r="EJ140" i="1" s="1"/>
  <c r="EC140" i="1"/>
  <c r="ED140" i="1" s="1"/>
  <c r="EE140" i="1" s="1"/>
  <c r="DX140" i="1"/>
  <c r="DY140" i="1" s="1"/>
  <c r="DZ140" i="1" s="1"/>
  <c r="DS140" i="1"/>
  <c r="DT140" i="1" s="1"/>
  <c r="DU140" i="1" s="1"/>
  <c r="DN140" i="1"/>
  <c r="DO140" i="1" s="1"/>
  <c r="DP140" i="1" s="1"/>
  <c r="DI140" i="1"/>
  <c r="DJ140" i="1" s="1"/>
  <c r="DK140" i="1" s="1"/>
  <c r="DD140" i="1"/>
  <c r="DE140" i="1" s="1"/>
  <c r="DF140" i="1" s="1"/>
  <c r="CY140" i="1"/>
  <c r="CZ140" i="1" s="1"/>
  <c r="DA140" i="1" s="1"/>
  <c r="CT140" i="1"/>
  <c r="CU140" i="1" s="1"/>
  <c r="CV140" i="1" s="1"/>
  <c r="CO140" i="1"/>
  <c r="CP140" i="1" s="1"/>
  <c r="CQ140" i="1" s="1"/>
  <c r="CJ140" i="1"/>
  <c r="CK140" i="1" s="1"/>
  <c r="CL140" i="1" s="1"/>
  <c r="CE140" i="1"/>
  <c r="CF140" i="1" s="1"/>
  <c r="CG140" i="1" s="1"/>
  <c r="BZ140" i="1"/>
  <c r="CA140" i="1" s="1"/>
  <c r="CB140" i="1" s="1"/>
  <c r="BU140" i="1"/>
  <c r="BV140" i="1" s="1"/>
  <c r="BW140" i="1" s="1"/>
  <c r="BP140" i="1"/>
  <c r="BQ140" i="1" s="1"/>
  <c r="BR140" i="1" s="1"/>
  <c r="BK140" i="1"/>
  <c r="BL140" i="1" s="1"/>
  <c r="BM140" i="1" s="1"/>
  <c r="BF140" i="1"/>
  <c r="BG140" i="1" s="1"/>
  <c r="BH140" i="1" s="1"/>
  <c r="BA140" i="1"/>
  <c r="BB140" i="1" s="1"/>
  <c r="BC140" i="1" s="1"/>
  <c r="AV140" i="1"/>
  <c r="AW140" i="1" s="1"/>
  <c r="AX140" i="1" s="1"/>
  <c r="AQ140" i="1"/>
  <c r="AR140" i="1" s="1"/>
  <c r="AS140" i="1" s="1"/>
  <c r="AL140" i="1"/>
  <c r="AM140" i="1" s="1"/>
  <c r="AN140" i="1" s="1"/>
  <c r="AG140" i="1"/>
  <c r="AH140" i="1" s="1"/>
  <c r="AI140" i="1" s="1"/>
  <c r="AB140" i="1"/>
  <c r="AC140" i="1" s="1"/>
  <c r="AD140" i="1" s="1"/>
  <c r="W140" i="1"/>
  <c r="X140" i="1" s="1"/>
  <c r="Y140" i="1" s="1"/>
  <c r="T140" i="1"/>
  <c r="O140" i="1"/>
  <c r="J140" i="1"/>
  <c r="PX139" i="1"/>
  <c r="PS139" i="1"/>
  <c r="PN139" i="1"/>
  <c r="PI139" i="1"/>
  <c r="PD139" i="1"/>
  <c r="OY139" i="1"/>
  <c r="OT139" i="1"/>
  <c r="OO139" i="1"/>
  <c r="OJ139" i="1"/>
  <c r="OE139" i="1"/>
  <c r="NZ139" i="1"/>
  <c r="NU139" i="1"/>
  <c r="NP139" i="1"/>
  <c r="NK139" i="1"/>
  <c r="NF139" i="1"/>
  <c r="NA139" i="1"/>
  <c r="MV139" i="1"/>
  <c r="MQ139" i="1"/>
  <c r="ML139" i="1"/>
  <c r="MG139" i="1"/>
  <c r="MB139" i="1"/>
  <c r="LW139" i="1"/>
  <c r="LR139" i="1"/>
  <c r="LM139" i="1"/>
  <c r="LH139" i="1"/>
  <c r="LC139" i="1"/>
  <c r="KX139" i="1"/>
  <c r="KS139" i="1"/>
  <c r="KN139" i="1"/>
  <c r="KI139" i="1"/>
  <c r="KD139" i="1"/>
  <c r="JY139" i="1"/>
  <c r="JT139" i="1"/>
  <c r="JO139" i="1"/>
  <c r="JJ139" i="1"/>
  <c r="JE139" i="1"/>
  <c r="IZ139" i="1"/>
  <c r="IU139" i="1"/>
  <c r="IP139" i="1"/>
  <c r="IK139" i="1"/>
  <c r="IF139" i="1"/>
  <c r="IA139" i="1"/>
  <c r="HV139" i="1"/>
  <c r="HQ139" i="1"/>
  <c r="HL139" i="1"/>
  <c r="HG139" i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H139" i="1"/>
  <c r="EI139" i="1" s="1"/>
  <c r="EJ139" i="1" s="1"/>
  <c r="EC139" i="1"/>
  <c r="ED139" i="1" s="1"/>
  <c r="EE139" i="1" s="1"/>
  <c r="DX139" i="1"/>
  <c r="DY139" i="1" s="1"/>
  <c r="DZ139" i="1" s="1"/>
  <c r="DS139" i="1"/>
  <c r="DT139" i="1" s="1"/>
  <c r="DU139" i="1" s="1"/>
  <c r="DN139" i="1"/>
  <c r="DO139" i="1" s="1"/>
  <c r="DP139" i="1" s="1"/>
  <c r="DI139" i="1"/>
  <c r="DJ139" i="1" s="1"/>
  <c r="DK139" i="1" s="1"/>
  <c r="DD139" i="1"/>
  <c r="DE139" i="1" s="1"/>
  <c r="DF139" i="1" s="1"/>
  <c r="CY139" i="1"/>
  <c r="CZ139" i="1" s="1"/>
  <c r="DA139" i="1" s="1"/>
  <c r="CT139" i="1"/>
  <c r="CU139" i="1" s="1"/>
  <c r="CV139" i="1" s="1"/>
  <c r="CO139" i="1"/>
  <c r="CP139" i="1" s="1"/>
  <c r="CQ139" i="1" s="1"/>
  <c r="CJ139" i="1"/>
  <c r="CK139" i="1" s="1"/>
  <c r="CL139" i="1" s="1"/>
  <c r="CE139" i="1"/>
  <c r="CF139" i="1" s="1"/>
  <c r="CG139" i="1" s="1"/>
  <c r="BZ139" i="1"/>
  <c r="CA139" i="1" s="1"/>
  <c r="CB139" i="1" s="1"/>
  <c r="BU139" i="1"/>
  <c r="BV139" i="1" s="1"/>
  <c r="BW139" i="1" s="1"/>
  <c r="BP139" i="1"/>
  <c r="BQ139" i="1" s="1"/>
  <c r="BR139" i="1" s="1"/>
  <c r="BK139" i="1"/>
  <c r="BL139" i="1" s="1"/>
  <c r="BM139" i="1" s="1"/>
  <c r="BF139" i="1"/>
  <c r="BG139" i="1" s="1"/>
  <c r="BH139" i="1" s="1"/>
  <c r="BA139" i="1"/>
  <c r="BB139" i="1" s="1"/>
  <c r="BC139" i="1" s="1"/>
  <c r="AV139" i="1"/>
  <c r="AW139" i="1" s="1"/>
  <c r="AX139" i="1" s="1"/>
  <c r="AQ139" i="1"/>
  <c r="AR139" i="1" s="1"/>
  <c r="AS139" i="1" s="1"/>
  <c r="AL139" i="1"/>
  <c r="AM139" i="1" s="1"/>
  <c r="AN139" i="1" s="1"/>
  <c r="AG139" i="1"/>
  <c r="AH139" i="1" s="1"/>
  <c r="AI139" i="1" s="1"/>
  <c r="AD139" i="1"/>
  <c r="W139" i="1"/>
  <c r="X139" i="1" s="1"/>
  <c r="Y139" i="1" s="1"/>
  <c r="T139" i="1"/>
  <c r="O139" i="1"/>
  <c r="J139" i="1"/>
  <c r="PX138" i="1"/>
  <c r="PS138" i="1"/>
  <c r="PL138" i="1"/>
  <c r="PM138" i="1" s="1"/>
  <c r="PN138" i="1" s="1"/>
  <c r="PI138" i="1"/>
  <c r="PD138" i="1"/>
  <c r="OW138" i="1"/>
  <c r="OX138" i="1" s="1"/>
  <c r="OY138" i="1" s="1"/>
  <c r="OT138" i="1"/>
  <c r="OO138" i="1"/>
  <c r="OJ138" i="1"/>
  <c r="OE138" i="1"/>
  <c r="NZ138" i="1"/>
  <c r="NU138" i="1"/>
  <c r="NP138" i="1"/>
  <c r="NK138" i="1"/>
  <c r="NF138" i="1"/>
  <c r="NA138" i="1"/>
  <c r="MV138" i="1"/>
  <c r="MQ138" i="1"/>
  <c r="ML138" i="1"/>
  <c r="MG138" i="1"/>
  <c r="LZ138" i="1"/>
  <c r="MA138" i="1" s="1"/>
  <c r="MB138" i="1" s="1"/>
  <c r="LU138" i="1"/>
  <c r="LV138" i="1" s="1"/>
  <c r="LW138" i="1" s="1"/>
  <c r="LR138" i="1"/>
  <c r="LM138" i="1"/>
  <c r="LH138" i="1"/>
  <c r="LA138" i="1"/>
  <c r="LB138" i="1" s="1"/>
  <c r="LC138" i="1" s="1"/>
  <c r="KX138" i="1"/>
  <c r="KS138" i="1"/>
  <c r="KN138" i="1"/>
  <c r="KI138" i="1"/>
  <c r="KD138" i="1"/>
  <c r="JY138" i="1"/>
  <c r="JT138" i="1"/>
  <c r="JO138" i="1"/>
  <c r="JJ138" i="1"/>
  <c r="JE138" i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T138" i="1"/>
  <c r="HU138" i="1" s="1"/>
  <c r="HV138" i="1" s="1"/>
  <c r="HQ138" i="1"/>
  <c r="HL138" i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H138" i="1"/>
  <c r="EI138" i="1" s="1"/>
  <c r="EJ138" i="1" s="1"/>
  <c r="EC138" i="1"/>
  <c r="ED138" i="1" s="1"/>
  <c r="EE138" i="1" s="1"/>
  <c r="DX138" i="1"/>
  <c r="DY138" i="1" s="1"/>
  <c r="DZ138" i="1" s="1"/>
  <c r="DS138" i="1"/>
  <c r="DT138" i="1" s="1"/>
  <c r="DU138" i="1" s="1"/>
  <c r="DN138" i="1"/>
  <c r="DO138" i="1" s="1"/>
  <c r="DP138" i="1" s="1"/>
  <c r="DI138" i="1"/>
  <c r="DJ138" i="1" s="1"/>
  <c r="DK138" i="1" s="1"/>
  <c r="DD138" i="1"/>
  <c r="DE138" i="1" s="1"/>
  <c r="DF138" i="1" s="1"/>
  <c r="CY138" i="1"/>
  <c r="CZ138" i="1" s="1"/>
  <c r="DA138" i="1" s="1"/>
  <c r="CT138" i="1"/>
  <c r="CU138" i="1" s="1"/>
  <c r="CV138" i="1" s="1"/>
  <c r="CO138" i="1"/>
  <c r="CP138" i="1" s="1"/>
  <c r="CQ138" i="1" s="1"/>
  <c r="CJ138" i="1"/>
  <c r="CK138" i="1" s="1"/>
  <c r="CL138" i="1" s="1"/>
  <c r="CE138" i="1"/>
  <c r="CF138" i="1" s="1"/>
  <c r="CG138" i="1" s="1"/>
  <c r="BZ138" i="1"/>
  <c r="CA138" i="1" s="1"/>
  <c r="CB138" i="1" s="1"/>
  <c r="BU138" i="1"/>
  <c r="BV138" i="1" s="1"/>
  <c r="BW138" i="1" s="1"/>
  <c r="BP138" i="1"/>
  <c r="BQ138" i="1" s="1"/>
  <c r="BR138" i="1" s="1"/>
  <c r="BK138" i="1"/>
  <c r="BL138" i="1" s="1"/>
  <c r="BM138" i="1" s="1"/>
  <c r="BF138" i="1"/>
  <c r="BG138" i="1" s="1"/>
  <c r="BH138" i="1" s="1"/>
  <c r="BA138" i="1"/>
  <c r="BB138" i="1" s="1"/>
  <c r="BC138" i="1" s="1"/>
  <c r="AV138" i="1"/>
  <c r="AW138" i="1" s="1"/>
  <c r="AX138" i="1" s="1"/>
  <c r="AQ138" i="1"/>
  <c r="AR138" i="1" s="1"/>
  <c r="AS138" i="1" s="1"/>
  <c r="AL138" i="1"/>
  <c r="AM138" i="1" s="1"/>
  <c r="AN138" i="1" s="1"/>
  <c r="AG138" i="1"/>
  <c r="AH138" i="1" s="1"/>
  <c r="AI138" i="1" s="1"/>
  <c r="AB138" i="1"/>
  <c r="AC138" i="1" s="1"/>
  <c r="AD138" i="1" s="1"/>
  <c r="W138" i="1"/>
  <c r="X138" i="1" s="1"/>
  <c r="Y138" i="1" s="1"/>
  <c r="T138" i="1"/>
  <c r="O138" i="1"/>
  <c r="J138" i="1"/>
  <c r="PX137" i="1"/>
  <c r="PS137" i="1"/>
  <c r="PN137" i="1"/>
  <c r="PI137" i="1"/>
  <c r="PD137" i="1"/>
  <c r="OY137" i="1"/>
  <c r="OT137" i="1"/>
  <c r="OO137" i="1"/>
  <c r="OJ137" i="1"/>
  <c r="OE137" i="1"/>
  <c r="NZ137" i="1"/>
  <c r="NU137" i="1"/>
  <c r="NP137" i="1"/>
  <c r="NK137" i="1"/>
  <c r="NF137" i="1"/>
  <c r="NA137" i="1"/>
  <c r="MV137" i="1"/>
  <c r="MQ137" i="1"/>
  <c r="ML137" i="1"/>
  <c r="MG137" i="1"/>
  <c r="MB137" i="1"/>
  <c r="LW137" i="1"/>
  <c r="LR137" i="1"/>
  <c r="LM137" i="1"/>
  <c r="LH137" i="1"/>
  <c r="LC137" i="1"/>
  <c r="KX137" i="1"/>
  <c r="KS137" i="1"/>
  <c r="KN137" i="1"/>
  <c r="KI137" i="1"/>
  <c r="KD137" i="1"/>
  <c r="JY137" i="1"/>
  <c r="JT137" i="1"/>
  <c r="JO137" i="1"/>
  <c r="JJ137" i="1"/>
  <c r="JE137" i="1"/>
  <c r="IX137" i="1"/>
  <c r="IY137" i="1" s="1"/>
  <c r="IZ137" i="1" s="1"/>
  <c r="IS137" i="1"/>
  <c r="IT137" i="1" s="1"/>
  <c r="IU137" i="1" s="1"/>
  <c r="IP137" i="1"/>
  <c r="IK137" i="1"/>
  <c r="ID137" i="1"/>
  <c r="IE137" i="1" s="1"/>
  <c r="IF137" i="1" s="1"/>
  <c r="IA137" i="1"/>
  <c r="HV137" i="1"/>
  <c r="HQ137" i="1"/>
  <c r="HL137" i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H137" i="1"/>
  <c r="EI137" i="1" s="1"/>
  <c r="EJ137" i="1" s="1"/>
  <c r="EC137" i="1"/>
  <c r="ED137" i="1" s="1"/>
  <c r="EE137" i="1" s="1"/>
  <c r="DX137" i="1"/>
  <c r="DY137" i="1" s="1"/>
  <c r="DZ137" i="1" s="1"/>
  <c r="DS137" i="1"/>
  <c r="DT137" i="1" s="1"/>
  <c r="DU137" i="1" s="1"/>
  <c r="DN137" i="1"/>
  <c r="DO137" i="1" s="1"/>
  <c r="DP137" i="1" s="1"/>
  <c r="DI137" i="1"/>
  <c r="DJ137" i="1" s="1"/>
  <c r="DK137" i="1" s="1"/>
  <c r="DD137" i="1"/>
  <c r="DE137" i="1" s="1"/>
  <c r="DF137" i="1" s="1"/>
  <c r="CY137" i="1"/>
  <c r="CZ137" i="1" s="1"/>
  <c r="DA137" i="1" s="1"/>
  <c r="CT137" i="1"/>
  <c r="CU137" i="1" s="1"/>
  <c r="CV137" i="1" s="1"/>
  <c r="CO137" i="1"/>
  <c r="CP137" i="1" s="1"/>
  <c r="CQ137" i="1" s="1"/>
  <c r="CJ137" i="1"/>
  <c r="CK137" i="1" s="1"/>
  <c r="CL137" i="1" s="1"/>
  <c r="CE137" i="1"/>
  <c r="CF137" i="1" s="1"/>
  <c r="CG137" i="1" s="1"/>
  <c r="BZ137" i="1"/>
  <c r="CA137" i="1" s="1"/>
  <c r="CB137" i="1" s="1"/>
  <c r="BU137" i="1"/>
  <c r="BV137" i="1" s="1"/>
  <c r="BW137" i="1" s="1"/>
  <c r="BP137" i="1"/>
  <c r="BQ137" i="1" s="1"/>
  <c r="BR137" i="1" s="1"/>
  <c r="BK137" i="1"/>
  <c r="BL137" i="1" s="1"/>
  <c r="BM137" i="1" s="1"/>
  <c r="BF137" i="1"/>
  <c r="BG137" i="1" s="1"/>
  <c r="BH137" i="1" s="1"/>
  <c r="BA137" i="1"/>
  <c r="BB137" i="1" s="1"/>
  <c r="BC137" i="1" s="1"/>
  <c r="AV137" i="1"/>
  <c r="AW137" i="1" s="1"/>
  <c r="AX137" i="1" s="1"/>
  <c r="AQ137" i="1"/>
  <c r="AR137" i="1" s="1"/>
  <c r="AS137" i="1" s="1"/>
  <c r="AL137" i="1"/>
  <c r="AM137" i="1" s="1"/>
  <c r="AN137" i="1" s="1"/>
  <c r="AG137" i="1"/>
  <c r="AH137" i="1" s="1"/>
  <c r="AI137" i="1" s="1"/>
  <c r="AB137" i="1"/>
  <c r="AC137" i="1" s="1"/>
  <c r="AD137" i="1" s="1"/>
  <c r="W137" i="1"/>
  <c r="X137" i="1" s="1"/>
  <c r="Y137" i="1" s="1"/>
  <c r="T137" i="1"/>
  <c r="O137" i="1"/>
  <c r="J137" i="1"/>
  <c r="PX136" i="1"/>
  <c r="PS136" i="1"/>
  <c r="PN136" i="1"/>
  <c r="PI136" i="1"/>
  <c r="PD136" i="1"/>
  <c r="OY136" i="1"/>
  <c r="OT136" i="1"/>
  <c r="OO136" i="1"/>
  <c r="OJ136" i="1"/>
  <c r="OE136" i="1"/>
  <c r="NZ136" i="1"/>
  <c r="NU136" i="1"/>
  <c r="NP136" i="1"/>
  <c r="NK136" i="1"/>
  <c r="NF136" i="1"/>
  <c r="NA136" i="1"/>
  <c r="MV136" i="1"/>
  <c r="MQ136" i="1"/>
  <c r="ML136" i="1"/>
  <c r="MG136" i="1"/>
  <c r="MB136" i="1"/>
  <c r="LW136" i="1"/>
  <c r="LR136" i="1"/>
  <c r="LM136" i="1"/>
  <c r="LH136" i="1"/>
  <c r="LC136" i="1"/>
  <c r="KX136" i="1"/>
  <c r="KS136" i="1"/>
  <c r="KN136" i="1"/>
  <c r="KI136" i="1"/>
  <c r="KD136" i="1"/>
  <c r="JY136" i="1"/>
  <c r="JT136" i="1"/>
  <c r="JO136" i="1"/>
  <c r="JJ136" i="1"/>
  <c r="JE136" i="1"/>
  <c r="IZ136" i="1"/>
  <c r="IU136" i="1"/>
  <c r="IP136" i="1"/>
  <c r="IK136" i="1"/>
  <c r="IF136" i="1"/>
  <c r="IA136" i="1"/>
  <c r="HV136" i="1"/>
  <c r="HQ136" i="1"/>
  <c r="HL136" i="1"/>
  <c r="HG136" i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H136" i="1"/>
  <c r="EI136" i="1" s="1"/>
  <c r="EJ136" i="1" s="1"/>
  <c r="EC136" i="1"/>
  <c r="ED136" i="1" s="1"/>
  <c r="EE136" i="1" s="1"/>
  <c r="DX136" i="1"/>
  <c r="DY136" i="1" s="1"/>
  <c r="DZ136" i="1" s="1"/>
  <c r="DS136" i="1"/>
  <c r="DT136" i="1" s="1"/>
  <c r="DU136" i="1" s="1"/>
  <c r="DN136" i="1"/>
  <c r="DO136" i="1" s="1"/>
  <c r="DP136" i="1" s="1"/>
  <c r="DI136" i="1"/>
  <c r="DJ136" i="1" s="1"/>
  <c r="DK136" i="1" s="1"/>
  <c r="DD136" i="1"/>
  <c r="DE136" i="1" s="1"/>
  <c r="DF136" i="1" s="1"/>
  <c r="CY136" i="1"/>
  <c r="CZ136" i="1" s="1"/>
  <c r="DA136" i="1" s="1"/>
  <c r="CT136" i="1"/>
  <c r="CU136" i="1" s="1"/>
  <c r="CV136" i="1" s="1"/>
  <c r="CO136" i="1"/>
  <c r="CP136" i="1" s="1"/>
  <c r="CQ136" i="1" s="1"/>
  <c r="CJ136" i="1"/>
  <c r="CK136" i="1" s="1"/>
  <c r="CL136" i="1" s="1"/>
  <c r="CE136" i="1"/>
  <c r="CF136" i="1" s="1"/>
  <c r="CG136" i="1" s="1"/>
  <c r="BZ136" i="1"/>
  <c r="CA136" i="1" s="1"/>
  <c r="CB136" i="1" s="1"/>
  <c r="BU136" i="1"/>
  <c r="BV136" i="1" s="1"/>
  <c r="BW136" i="1" s="1"/>
  <c r="BP136" i="1"/>
  <c r="BQ136" i="1" s="1"/>
  <c r="BR136" i="1" s="1"/>
  <c r="BK136" i="1"/>
  <c r="BL136" i="1" s="1"/>
  <c r="BM136" i="1" s="1"/>
  <c r="BF136" i="1"/>
  <c r="BG136" i="1" s="1"/>
  <c r="BH136" i="1" s="1"/>
  <c r="BA136" i="1"/>
  <c r="BB136" i="1" s="1"/>
  <c r="BC136" i="1" s="1"/>
  <c r="AV136" i="1"/>
  <c r="AW136" i="1" s="1"/>
  <c r="AX136" i="1" s="1"/>
  <c r="AQ136" i="1"/>
  <c r="AR136" i="1" s="1"/>
  <c r="AS136" i="1" s="1"/>
  <c r="AL136" i="1"/>
  <c r="AM136" i="1" s="1"/>
  <c r="AN136" i="1" s="1"/>
  <c r="AG136" i="1"/>
  <c r="AH136" i="1" s="1"/>
  <c r="AI136" i="1" s="1"/>
  <c r="AD136" i="1"/>
  <c r="W136" i="1"/>
  <c r="X136" i="1" s="1"/>
  <c r="Y136" i="1" s="1"/>
  <c r="T136" i="1"/>
  <c r="O136" i="1"/>
  <c r="H136" i="1"/>
  <c r="I136" i="1" s="1"/>
  <c r="J136" i="1" s="1"/>
  <c r="PX135" i="1"/>
  <c r="PS135" i="1"/>
  <c r="PN135" i="1"/>
  <c r="PI135" i="1"/>
  <c r="PD135" i="1"/>
  <c r="OY135" i="1"/>
  <c r="OT135" i="1"/>
  <c r="OO135" i="1"/>
  <c r="OJ135" i="1"/>
  <c r="OE135" i="1"/>
  <c r="NZ135" i="1"/>
  <c r="NU135" i="1"/>
  <c r="NP135" i="1"/>
  <c r="NK135" i="1"/>
  <c r="NF135" i="1"/>
  <c r="NA135" i="1"/>
  <c r="MV135" i="1"/>
  <c r="MQ135" i="1"/>
  <c r="ML135" i="1"/>
  <c r="MG135" i="1"/>
  <c r="MB135" i="1"/>
  <c r="LW135" i="1"/>
  <c r="LR135" i="1"/>
  <c r="LM135" i="1"/>
  <c r="LH135" i="1"/>
  <c r="LC135" i="1"/>
  <c r="KX135" i="1"/>
  <c r="KS135" i="1"/>
  <c r="KN135" i="1"/>
  <c r="KI135" i="1"/>
  <c r="KD135" i="1"/>
  <c r="JY135" i="1"/>
  <c r="JT135" i="1"/>
  <c r="JO135" i="1"/>
  <c r="JJ135" i="1"/>
  <c r="JE135" i="1"/>
  <c r="IZ135" i="1"/>
  <c r="IU135" i="1"/>
  <c r="IP135" i="1"/>
  <c r="IK135" i="1"/>
  <c r="IF135" i="1"/>
  <c r="IA135" i="1"/>
  <c r="HV135" i="1"/>
  <c r="HQ135" i="1"/>
  <c r="HL135" i="1"/>
  <c r="HG135" i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H135" i="1"/>
  <c r="EI135" i="1" s="1"/>
  <c r="EJ135" i="1" s="1"/>
  <c r="EC135" i="1"/>
  <c r="ED135" i="1" s="1"/>
  <c r="EE135" i="1" s="1"/>
  <c r="DX135" i="1"/>
  <c r="DY135" i="1" s="1"/>
  <c r="DZ135" i="1" s="1"/>
  <c r="DS135" i="1"/>
  <c r="DT135" i="1" s="1"/>
  <c r="DU135" i="1" s="1"/>
  <c r="DN135" i="1"/>
  <c r="DO135" i="1" s="1"/>
  <c r="DP135" i="1" s="1"/>
  <c r="DI135" i="1"/>
  <c r="DJ135" i="1" s="1"/>
  <c r="DK135" i="1" s="1"/>
  <c r="DD135" i="1"/>
  <c r="DE135" i="1" s="1"/>
  <c r="DF135" i="1" s="1"/>
  <c r="CY135" i="1"/>
  <c r="CZ135" i="1" s="1"/>
  <c r="DA135" i="1" s="1"/>
  <c r="CT135" i="1"/>
  <c r="CU135" i="1" s="1"/>
  <c r="CV135" i="1" s="1"/>
  <c r="CO135" i="1"/>
  <c r="CP135" i="1" s="1"/>
  <c r="CQ135" i="1" s="1"/>
  <c r="CJ135" i="1"/>
  <c r="CK135" i="1" s="1"/>
  <c r="CL135" i="1" s="1"/>
  <c r="CE135" i="1"/>
  <c r="CF135" i="1" s="1"/>
  <c r="CG135" i="1" s="1"/>
  <c r="BZ135" i="1"/>
  <c r="CA135" i="1" s="1"/>
  <c r="CB135" i="1" s="1"/>
  <c r="BU135" i="1"/>
  <c r="BV135" i="1" s="1"/>
  <c r="BW135" i="1" s="1"/>
  <c r="BP135" i="1"/>
  <c r="BQ135" i="1" s="1"/>
  <c r="BR135" i="1" s="1"/>
  <c r="BK135" i="1"/>
  <c r="BL135" i="1" s="1"/>
  <c r="BM135" i="1" s="1"/>
  <c r="BF135" i="1"/>
  <c r="BG135" i="1" s="1"/>
  <c r="BH135" i="1" s="1"/>
  <c r="BA135" i="1"/>
  <c r="BB135" i="1" s="1"/>
  <c r="BC135" i="1" s="1"/>
  <c r="AV135" i="1"/>
  <c r="AW135" i="1" s="1"/>
  <c r="AX135" i="1" s="1"/>
  <c r="AQ135" i="1"/>
  <c r="AR135" i="1" s="1"/>
  <c r="AS135" i="1" s="1"/>
  <c r="AL135" i="1"/>
  <c r="AM135" i="1" s="1"/>
  <c r="AN135" i="1" s="1"/>
  <c r="AG135" i="1"/>
  <c r="AH135" i="1" s="1"/>
  <c r="AI135" i="1" s="1"/>
  <c r="AD135" i="1"/>
  <c r="W135" i="1"/>
  <c r="X135" i="1" s="1"/>
  <c r="Y135" i="1" s="1"/>
  <c r="T135" i="1"/>
  <c r="O135" i="1"/>
  <c r="J135" i="1"/>
  <c r="PX134" i="1"/>
  <c r="PS134" i="1"/>
  <c r="PN134" i="1"/>
  <c r="PI134" i="1"/>
  <c r="PD134" i="1"/>
  <c r="OY134" i="1"/>
  <c r="OT134" i="1"/>
  <c r="OO134" i="1"/>
  <c r="OJ134" i="1"/>
  <c r="OE134" i="1"/>
  <c r="NZ134" i="1"/>
  <c r="NU134" i="1"/>
  <c r="NP134" i="1"/>
  <c r="NK134" i="1"/>
  <c r="NF134" i="1"/>
  <c r="NA134" i="1"/>
  <c r="MV134" i="1"/>
  <c r="MQ134" i="1"/>
  <c r="ML134" i="1"/>
  <c r="MG134" i="1"/>
  <c r="MB134" i="1"/>
  <c r="LW134" i="1"/>
  <c r="LR134" i="1"/>
  <c r="LM134" i="1"/>
  <c r="LH134" i="1"/>
  <c r="LA134" i="1"/>
  <c r="LB134" i="1" s="1"/>
  <c r="LC134" i="1" s="1"/>
  <c r="KV134" i="1"/>
  <c r="KW134" i="1" s="1"/>
  <c r="KX134" i="1" s="1"/>
  <c r="KS134" i="1"/>
  <c r="KN134" i="1"/>
  <c r="KG134" i="1"/>
  <c r="KH134" i="1" s="1"/>
  <c r="KI134" i="1" s="1"/>
  <c r="KD134" i="1"/>
  <c r="JY134" i="1"/>
  <c r="JT134" i="1"/>
  <c r="JO134" i="1"/>
  <c r="JJ134" i="1"/>
  <c r="JE134" i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H134" i="1"/>
  <c r="EI134" i="1" s="1"/>
  <c r="EJ134" i="1" s="1"/>
  <c r="EC134" i="1"/>
  <c r="ED134" i="1" s="1"/>
  <c r="EE134" i="1" s="1"/>
  <c r="DX134" i="1"/>
  <c r="DY134" i="1" s="1"/>
  <c r="DZ134" i="1" s="1"/>
  <c r="DS134" i="1"/>
  <c r="DT134" i="1" s="1"/>
  <c r="DU134" i="1" s="1"/>
  <c r="DN134" i="1"/>
  <c r="DO134" i="1" s="1"/>
  <c r="DP134" i="1" s="1"/>
  <c r="DI134" i="1"/>
  <c r="DJ134" i="1" s="1"/>
  <c r="DK134" i="1" s="1"/>
  <c r="DD134" i="1"/>
  <c r="DE134" i="1" s="1"/>
  <c r="DF134" i="1" s="1"/>
  <c r="CY134" i="1"/>
  <c r="CZ134" i="1" s="1"/>
  <c r="DA134" i="1" s="1"/>
  <c r="CT134" i="1"/>
  <c r="CU134" i="1" s="1"/>
  <c r="CV134" i="1" s="1"/>
  <c r="CO134" i="1"/>
  <c r="CP134" i="1" s="1"/>
  <c r="CQ134" i="1" s="1"/>
  <c r="CJ134" i="1"/>
  <c r="CK134" i="1" s="1"/>
  <c r="CL134" i="1" s="1"/>
  <c r="CE134" i="1"/>
  <c r="CF134" i="1" s="1"/>
  <c r="CG134" i="1" s="1"/>
  <c r="BZ134" i="1"/>
  <c r="CA134" i="1" s="1"/>
  <c r="CB134" i="1" s="1"/>
  <c r="BU134" i="1"/>
  <c r="BV134" i="1" s="1"/>
  <c r="BW134" i="1" s="1"/>
  <c r="BP134" i="1"/>
  <c r="BQ134" i="1" s="1"/>
  <c r="BR134" i="1" s="1"/>
  <c r="BK134" i="1"/>
  <c r="BL134" i="1" s="1"/>
  <c r="BM134" i="1" s="1"/>
  <c r="BF134" i="1"/>
  <c r="BG134" i="1" s="1"/>
  <c r="BH134" i="1" s="1"/>
  <c r="BA134" i="1"/>
  <c r="BB134" i="1" s="1"/>
  <c r="BC134" i="1" s="1"/>
  <c r="AV134" i="1"/>
  <c r="AW134" i="1" s="1"/>
  <c r="AX134" i="1" s="1"/>
  <c r="AQ134" i="1"/>
  <c r="AR134" i="1" s="1"/>
  <c r="AS134" i="1" s="1"/>
  <c r="AL134" i="1"/>
  <c r="AM134" i="1" s="1"/>
  <c r="AN134" i="1" s="1"/>
  <c r="AG134" i="1"/>
  <c r="AH134" i="1" s="1"/>
  <c r="AI134" i="1" s="1"/>
  <c r="AB134" i="1"/>
  <c r="AC134" i="1" s="1"/>
  <c r="AD134" i="1" s="1"/>
  <c r="W134" i="1"/>
  <c r="X134" i="1" s="1"/>
  <c r="Y134" i="1" s="1"/>
  <c r="T134" i="1"/>
  <c r="O134" i="1"/>
  <c r="J134" i="1"/>
  <c r="PX133" i="1"/>
  <c r="PS133" i="1"/>
  <c r="PN133" i="1"/>
  <c r="PI133" i="1"/>
  <c r="PD133" i="1"/>
  <c r="OY133" i="1"/>
  <c r="OT133" i="1"/>
  <c r="OO133" i="1"/>
  <c r="OJ133" i="1"/>
  <c r="OE133" i="1"/>
  <c r="NZ133" i="1"/>
  <c r="NU133" i="1"/>
  <c r="NP133" i="1"/>
  <c r="NK133" i="1"/>
  <c r="NF133" i="1"/>
  <c r="NA133" i="1"/>
  <c r="MV133" i="1"/>
  <c r="MQ133" i="1"/>
  <c r="ML133" i="1"/>
  <c r="MG133" i="1"/>
  <c r="MB133" i="1"/>
  <c r="LW133" i="1"/>
  <c r="LR133" i="1"/>
  <c r="LM133" i="1"/>
  <c r="LH133" i="1"/>
  <c r="LC133" i="1"/>
  <c r="KX133" i="1"/>
  <c r="KQ133" i="1"/>
  <c r="KR133" i="1" s="1"/>
  <c r="KS133" i="1" s="1"/>
  <c r="KN133" i="1"/>
  <c r="KI133" i="1"/>
  <c r="KD133" i="1"/>
  <c r="JY133" i="1"/>
  <c r="JT133" i="1"/>
  <c r="JO133" i="1"/>
  <c r="JJ133" i="1"/>
  <c r="JE133" i="1"/>
  <c r="IZ133" i="1"/>
  <c r="IU133" i="1"/>
  <c r="IP133" i="1"/>
  <c r="IK133" i="1"/>
  <c r="IF133" i="1"/>
  <c r="IA133" i="1"/>
  <c r="HV133" i="1"/>
  <c r="HQ133" i="1"/>
  <c r="HL133" i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H133" i="1"/>
  <c r="EI133" i="1" s="1"/>
  <c r="EJ133" i="1" s="1"/>
  <c r="EC133" i="1"/>
  <c r="ED133" i="1" s="1"/>
  <c r="EE133" i="1" s="1"/>
  <c r="DX133" i="1"/>
  <c r="DY133" i="1" s="1"/>
  <c r="DZ133" i="1" s="1"/>
  <c r="DS133" i="1"/>
  <c r="DT133" i="1" s="1"/>
  <c r="DU133" i="1" s="1"/>
  <c r="DN133" i="1"/>
  <c r="DO133" i="1" s="1"/>
  <c r="DP133" i="1" s="1"/>
  <c r="DI133" i="1"/>
  <c r="DJ133" i="1" s="1"/>
  <c r="DK133" i="1" s="1"/>
  <c r="DD133" i="1"/>
  <c r="DE133" i="1" s="1"/>
  <c r="DF133" i="1" s="1"/>
  <c r="CY133" i="1"/>
  <c r="CZ133" i="1" s="1"/>
  <c r="DA133" i="1" s="1"/>
  <c r="CT133" i="1"/>
  <c r="CU133" i="1" s="1"/>
  <c r="CV133" i="1" s="1"/>
  <c r="CO133" i="1"/>
  <c r="CP133" i="1" s="1"/>
  <c r="CQ133" i="1" s="1"/>
  <c r="CJ133" i="1"/>
  <c r="CK133" i="1" s="1"/>
  <c r="CL133" i="1" s="1"/>
  <c r="CE133" i="1"/>
  <c r="CF133" i="1" s="1"/>
  <c r="CG133" i="1" s="1"/>
  <c r="BZ133" i="1"/>
  <c r="CA133" i="1" s="1"/>
  <c r="CB133" i="1" s="1"/>
  <c r="BU133" i="1"/>
  <c r="BV133" i="1" s="1"/>
  <c r="BW133" i="1" s="1"/>
  <c r="BP133" i="1"/>
  <c r="BQ133" i="1" s="1"/>
  <c r="BR133" i="1" s="1"/>
  <c r="BK133" i="1"/>
  <c r="BL133" i="1" s="1"/>
  <c r="BM133" i="1" s="1"/>
  <c r="BF133" i="1"/>
  <c r="BG133" i="1" s="1"/>
  <c r="BH133" i="1" s="1"/>
  <c r="BA133" i="1"/>
  <c r="BB133" i="1" s="1"/>
  <c r="BC133" i="1" s="1"/>
  <c r="AV133" i="1"/>
  <c r="AW133" i="1" s="1"/>
  <c r="AX133" i="1" s="1"/>
  <c r="AQ133" i="1"/>
  <c r="AR133" i="1" s="1"/>
  <c r="AS133" i="1" s="1"/>
  <c r="AL133" i="1"/>
  <c r="AM133" i="1" s="1"/>
  <c r="AN133" i="1" s="1"/>
  <c r="AG133" i="1"/>
  <c r="AH133" i="1" s="1"/>
  <c r="AI133" i="1" s="1"/>
  <c r="AD133" i="1"/>
  <c r="W133" i="1"/>
  <c r="X133" i="1" s="1"/>
  <c r="Y133" i="1" s="1"/>
  <c r="R133" i="1"/>
  <c r="S133" i="1" s="1"/>
  <c r="T133" i="1" s="1"/>
  <c r="O133" i="1"/>
  <c r="J133" i="1"/>
  <c r="PX132" i="1"/>
  <c r="PS132" i="1"/>
  <c r="PN132" i="1"/>
  <c r="PI132" i="1"/>
  <c r="PD132" i="1"/>
  <c r="OY132" i="1"/>
  <c r="OT132" i="1"/>
  <c r="OO132" i="1"/>
  <c r="OJ132" i="1"/>
  <c r="OE132" i="1"/>
  <c r="NZ132" i="1"/>
  <c r="NU132" i="1"/>
  <c r="NP132" i="1"/>
  <c r="NK132" i="1"/>
  <c r="NF132" i="1"/>
  <c r="NA132" i="1"/>
  <c r="MV132" i="1"/>
  <c r="MQ132" i="1"/>
  <c r="ML132" i="1"/>
  <c r="MG132" i="1"/>
  <c r="MB132" i="1"/>
  <c r="LW132" i="1"/>
  <c r="LR132" i="1"/>
  <c r="LM132" i="1"/>
  <c r="LH132" i="1"/>
  <c r="LC132" i="1"/>
  <c r="KX132" i="1"/>
  <c r="KS132" i="1"/>
  <c r="KN132" i="1"/>
  <c r="KI132" i="1"/>
  <c r="KD132" i="1"/>
  <c r="JY132" i="1"/>
  <c r="JT132" i="1"/>
  <c r="JO132" i="1"/>
  <c r="JJ132" i="1"/>
  <c r="JE132" i="1"/>
  <c r="IZ132" i="1"/>
  <c r="IU132" i="1"/>
  <c r="IN132" i="1"/>
  <c r="IO132" i="1" s="1"/>
  <c r="IP132" i="1" s="1"/>
  <c r="IK132" i="1"/>
  <c r="IF132" i="1"/>
  <c r="IA132" i="1"/>
  <c r="HV132" i="1"/>
  <c r="HQ132" i="1"/>
  <c r="HL132" i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H132" i="1"/>
  <c r="EI132" i="1" s="1"/>
  <c r="EJ132" i="1" s="1"/>
  <c r="EC132" i="1"/>
  <c r="ED132" i="1" s="1"/>
  <c r="EE132" i="1" s="1"/>
  <c r="DX132" i="1"/>
  <c r="DY132" i="1" s="1"/>
  <c r="DZ132" i="1" s="1"/>
  <c r="DS132" i="1"/>
  <c r="DT132" i="1" s="1"/>
  <c r="DU132" i="1" s="1"/>
  <c r="DN132" i="1"/>
  <c r="DO132" i="1" s="1"/>
  <c r="DP132" i="1" s="1"/>
  <c r="DI132" i="1"/>
  <c r="DJ132" i="1" s="1"/>
  <c r="DK132" i="1" s="1"/>
  <c r="DD132" i="1"/>
  <c r="DE132" i="1" s="1"/>
  <c r="DF132" i="1" s="1"/>
  <c r="CY132" i="1"/>
  <c r="CZ132" i="1" s="1"/>
  <c r="DA132" i="1" s="1"/>
  <c r="CT132" i="1"/>
  <c r="CU132" i="1" s="1"/>
  <c r="CV132" i="1" s="1"/>
  <c r="CO132" i="1"/>
  <c r="CP132" i="1" s="1"/>
  <c r="CQ132" i="1" s="1"/>
  <c r="CJ132" i="1"/>
  <c r="CK132" i="1" s="1"/>
  <c r="CL132" i="1" s="1"/>
  <c r="CE132" i="1"/>
  <c r="CF132" i="1" s="1"/>
  <c r="CG132" i="1" s="1"/>
  <c r="BZ132" i="1"/>
  <c r="CA132" i="1" s="1"/>
  <c r="CB132" i="1" s="1"/>
  <c r="BU132" i="1"/>
  <c r="BV132" i="1" s="1"/>
  <c r="BW132" i="1" s="1"/>
  <c r="BP132" i="1"/>
  <c r="BQ132" i="1" s="1"/>
  <c r="BR132" i="1" s="1"/>
  <c r="BK132" i="1"/>
  <c r="BL132" i="1" s="1"/>
  <c r="BM132" i="1" s="1"/>
  <c r="BF132" i="1"/>
  <c r="BG132" i="1" s="1"/>
  <c r="BH132" i="1" s="1"/>
  <c r="BA132" i="1"/>
  <c r="BB132" i="1" s="1"/>
  <c r="BC132" i="1" s="1"/>
  <c r="AV132" i="1"/>
  <c r="AW132" i="1" s="1"/>
  <c r="AX132" i="1" s="1"/>
  <c r="AQ132" i="1"/>
  <c r="AR132" i="1" s="1"/>
  <c r="AS132" i="1" s="1"/>
  <c r="AL132" i="1"/>
  <c r="AM132" i="1" s="1"/>
  <c r="AN132" i="1" s="1"/>
  <c r="AG132" i="1"/>
  <c r="AH132" i="1" s="1"/>
  <c r="AI132" i="1" s="1"/>
  <c r="AB132" i="1"/>
  <c r="AC132" i="1" s="1"/>
  <c r="AD132" i="1" s="1"/>
  <c r="W132" i="1"/>
  <c r="X132" i="1" s="1"/>
  <c r="Y132" i="1" s="1"/>
  <c r="T132" i="1"/>
  <c r="O132" i="1"/>
  <c r="J132" i="1"/>
  <c r="PX131" i="1"/>
  <c r="PS131" i="1"/>
  <c r="PN131" i="1"/>
  <c r="PI131" i="1"/>
  <c r="PD131" i="1"/>
  <c r="OY131" i="1"/>
  <c r="OT131" i="1"/>
  <c r="OO131" i="1"/>
  <c r="OJ131" i="1"/>
  <c r="OE131" i="1"/>
  <c r="NZ131" i="1"/>
  <c r="NU131" i="1"/>
  <c r="NP131" i="1"/>
  <c r="NK131" i="1"/>
  <c r="NF131" i="1"/>
  <c r="NA131" i="1"/>
  <c r="MV131" i="1"/>
  <c r="MQ131" i="1"/>
  <c r="ML131" i="1"/>
  <c r="MG131" i="1"/>
  <c r="MB131" i="1"/>
  <c r="LW131" i="1"/>
  <c r="LR131" i="1"/>
  <c r="LM131" i="1"/>
  <c r="LH131" i="1"/>
  <c r="LC131" i="1"/>
  <c r="KX131" i="1"/>
  <c r="KS131" i="1"/>
  <c r="KN131" i="1"/>
  <c r="KI131" i="1"/>
  <c r="KD131" i="1"/>
  <c r="JY131" i="1"/>
  <c r="JT131" i="1"/>
  <c r="JO131" i="1"/>
  <c r="JJ131" i="1"/>
  <c r="JE131" i="1"/>
  <c r="IZ131" i="1"/>
  <c r="IU131" i="1"/>
  <c r="IP131" i="1"/>
  <c r="IK131" i="1"/>
  <c r="IF131" i="1"/>
  <c r="IA131" i="1"/>
  <c r="HV131" i="1"/>
  <c r="HQ131" i="1"/>
  <c r="HL131" i="1"/>
  <c r="HG131" i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R131" i="1"/>
  <c r="ES131" i="1" s="1"/>
  <c r="ET131" i="1" s="1"/>
  <c r="EM131" i="1"/>
  <c r="EN131" i="1" s="1"/>
  <c r="EO131" i="1" s="1"/>
  <c r="EH131" i="1"/>
  <c r="EI131" i="1" s="1"/>
  <c r="EJ131" i="1" s="1"/>
  <c r="EC131" i="1"/>
  <c r="ED131" i="1" s="1"/>
  <c r="EE131" i="1" s="1"/>
  <c r="DX131" i="1"/>
  <c r="DY131" i="1" s="1"/>
  <c r="DZ131" i="1" s="1"/>
  <c r="DS131" i="1"/>
  <c r="DT131" i="1" s="1"/>
  <c r="DU131" i="1" s="1"/>
  <c r="DN131" i="1"/>
  <c r="DO131" i="1" s="1"/>
  <c r="DP131" i="1" s="1"/>
  <c r="DI131" i="1"/>
  <c r="DJ131" i="1" s="1"/>
  <c r="DK131" i="1" s="1"/>
  <c r="DD131" i="1"/>
  <c r="DE131" i="1" s="1"/>
  <c r="DF131" i="1" s="1"/>
  <c r="CY131" i="1"/>
  <c r="CZ131" i="1" s="1"/>
  <c r="DA131" i="1" s="1"/>
  <c r="CT131" i="1"/>
  <c r="CU131" i="1" s="1"/>
  <c r="CV131" i="1" s="1"/>
  <c r="CO131" i="1"/>
  <c r="CP131" i="1" s="1"/>
  <c r="CQ131" i="1" s="1"/>
  <c r="CJ131" i="1"/>
  <c r="CK131" i="1" s="1"/>
  <c r="CL131" i="1" s="1"/>
  <c r="CE131" i="1"/>
  <c r="CF131" i="1" s="1"/>
  <c r="CG131" i="1" s="1"/>
  <c r="BZ131" i="1"/>
  <c r="CA131" i="1" s="1"/>
  <c r="CB131" i="1" s="1"/>
  <c r="BU131" i="1"/>
  <c r="BV131" i="1" s="1"/>
  <c r="BW131" i="1" s="1"/>
  <c r="BP131" i="1"/>
  <c r="BQ131" i="1" s="1"/>
  <c r="BR131" i="1" s="1"/>
  <c r="BK131" i="1"/>
  <c r="BL131" i="1" s="1"/>
  <c r="BM131" i="1" s="1"/>
  <c r="BF131" i="1"/>
  <c r="BG131" i="1" s="1"/>
  <c r="BH131" i="1" s="1"/>
  <c r="BA131" i="1"/>
  <c r="BB131" i="1" s="1"/>
  <c r="BC131" i="1" s="1"/>
  <c r="AV131" i="1"/>
  <c r="AW131" i="1" s="1"/>
  <c r="AX131" i="1" s="1"/>
  <c r="AQ131" i="1"/>
  <c r="AR131" i="1" s="1"/>
  <c r="AS131" i="1" s="1"/>
  <c r="AL131" i="1"/>
  <c r="AM131" i="1" s="1"/>
  <c r="AN131" i="1" s="1"/>
  <c r="AG131" i="1"/>
  <c r="AH131" i="1" s="1"/>
  <c r="AI131" i="1" s="1"/>
  <c r="AD131" i="1"/>
  <c r="W131" i="1"/>
  <c r="X131" i="1" s="1"/>
  <c r="Y131" i="1" s="1"/>
  <c r="T131" i="1"/>
  <c r="O131" i="1"/>
  <c r="J131" i="1"/>
  <c r="PX130" i="1"/>
  <c r="PS130" i="1"/>
  <c r="PN130" i="1"/>
  <c r="PI130" i="1"/>
  <c r="PD130" i="1"/>
  <c r="OY130" i="1"/>
  <c r="OT130" i="1"/>
  <c r="OO130" i="1"/>
  <c r="OJ130" i="1"/>
  <c r="OE130" i="1"/>
  <c r="NZ130" i="1"/>
  <c r="NU130" i="1"/>
  <c r="NP130" i="1"/>
  <c r="NK130" i="1"/>
  <c r="NF130" i="1"/>
  <c r="NA130" i="1"/>
  <c r="MV130" i="1"/>
  <c r="MQ130" i="1"/>
  <c r="ML130" i="1"/>
  <c r="MG130" i="1"/>
  <c r="MB130" i="1"/>
  <c r="LW130" i="1"/>
  <c r="LR130" i="1"/>
  <c r="LM130" i="1"/>
  <c r="LF130" i="1"/>
  <c r="LG130" i="1" s="1"/>
  <c r="LH130" i="1" s="1"/>
  <c r="LC130" i="1"/>
  <c r="KX130" i="1"/>
  <c r="KQ130" i="1"/>
  <c r="KR130" i="1" s="1"/>
  <c r="KS130" i="1" s="1"/>
  <c r="KN130" i="1"/>
  <c r="KI130" i="1"/>
  <c r="KD130" i="1"/>
  <c r="JY130" i="1"/>
  <c r="JT130" i="1"/>
  <c r="JO130" i="1"/>
  <c r="JJ130" i="1"/>
  <c r="JE130" i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T130" i="1"/>
  <c r="HU130" i="1" s="1"/>
  <c r="HV130" i="1" s="1"/>
  <c r="HQ130" i="1"/>
  <c r="HL130" i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H130" i="1"/>
  <c r="EI130" i="1" s="1"/>
  <c r="EJ130" i="1" s="1"/>
  <c r="EC130" i="1"/>
  <c r="ED130" i="1" s="1"/>
  <c r="EE130" i="1" s="1"/>
  <c r="DX130" i="1"/>
  <c r="DY130" i="1" s="1"/>
  <c r="DZ130" i="1" s="1"/>
  <c r="DS130" i="1"/>
  <c r="DT130" i="1" s="1"/>
  <c r="DU130" i="1" s="1"/>
  <c r="DN130" i="1"/>
  <c r="DO130" i="1" s="1"/>
  <c r="DP130" i="1" s="1"/>
  <c r="DI130" i="1"/>
  <c r="DJ130" i="1" s="1"/>
  <c r="DK130" i="1" s="1"/>
  <c r="DD130" i="1"/>
  <c r="DE130" i="1" s="1"/>
  <c r="DF130" i="1" s="1"/>
  <c r="CY130" i="1"/>
  <c r="CZ130" i="1" s="1"/>
  <c r="DA130" i="1" s="1"/>
  <c r="CT130" i="1"/>
  <c r="CU130" i="1" s="1"/>
  <c r="CV130" i="1" s="1"/>
  <c r="CO130" i="1"/>
  <c r="CP130" i="1" s="1"/>
  <c r="CQ130" i="1" s="1"/>
  <c r="CJ130" i="1"/>
  <c r="CK130" i="1" s="1"/>
  <c r="CL130" i="1" s="1"/>
  <c r="CE130" i="1"/>
  <c r="CF130" i="1" s="1"/>
  <c r="CG130" i="1" s="1"/>
  <c r="BZ130" i="1"/>
  <c r="CA130" i="1" s="1"/>
  <c r="CB130" i="1" s="1"/>
  <c r="BU130" i="1"/>
  <c r="BV130" i="1" s="1"/>
  <c r="BW130" i="1" s="1"/>
  <c r="BP130" i="1"/>
  <c r="BQ130" i="1" s="1"/>
  <c r="BR130" i="1" s="1"/>
  <c r="BK130" i="1"/>
  <c r="BL130" i="1" s="1"/>
  <c r="BM130" i="1" s="1"/>
  <c r="BF130" i="1"/>
  <c r="BG130" i="1" s="1"/>
  <c r="BH130" i="1" s="1"/>
  <c r="BA130" i="1"/>
  <c r="BB130" i="1" s="1"/>
  <c r="BC130" i="1" s="1"/>
  <c r="AV130" i="1"/>
  <c r="AW130" i="1" s="1"/>
  <c r="AX130" i="1" s="1"/>
  <c r="AQ130" i="1"/>
  <c r="AR130" i="1" s="1"/>
  <c r="AS130" i="1" s="1"/>
  <c r="AL130" i="1"/>
  <c r="AM130" i="1" s="1"/>
  <c r="AN130" i="1" s="1"/>
  <c r="AG130" i="1"/>
  <c r="AH130" i="1" s="1"/>
  <c r="AI130" i="1" s="1"/>
  <c r="AB130" i="1"/>
  <c r="AC130" i="1" s="1"/>
  <c r="AD130" i="1" s="1"/>
  <c r="W130" i="1"/>
  <c r="X130" i="1" s="1"/>
  <c r="Y130" i="1" s="1"/>
  <c r="T130" i="1"/>
  <c r="O130" i="1"/>
  <c r="J130" i="1"/>
  <c r="PX129" i="1"/>
  <c r="PS129" i="1"/>
  <c r="PN129" i="1"/>
  <c r="PI129" i="1"/>
  <c r="PD129" i="1"/>
  <c r="OY129" i="1"/>
  <c r="OT129" i="1"/>
  <c r="OO129" i="1"/>
  <c r="OJ129" i="1"/>
  <c r="OE129" i="1"/>
  <c r="NZ129" i="1"/>
  <c r="NU129" i="1"/>
  <c r="NP129" i="1"/>
  <c r="NK129" i="1"/>
  <c r="NF129" i="1"/>
  <c r="NA129" i="1"/>
  <c r="MV129" i="1"/>
  <c r="MQ129" i="1"/>
  <c r="ML129" i="1"/>
  <c r="MG129" i="1"/>
  <c r="MB129" i="1"/>
  <c r="LW129" i="1"/>
  <c r="LR129" i="1"/>
  <c r="LM129" i="1"/>
  <c r="LH129" i="1"/>
  <c r="LC129" i="1"/>
  <c r="KX129" i="1"/>
  <c r="KS129" i="1"/>
  <c r="KN129" i="1"/>
  <c r="KI129" i="1"/>
  <c r="KD129" i="1"/>
  <c r="JY129" i="1"/>
  <c r="JT129" i="1"/>
  <c r="JO129" i="1"/>
  <c r="JJ129" i="1"/>
  <c r="JE129" i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T129" i="1"/>
  <c r="HU129" i="1" s="1"/>
  <c r="HV129" i="1" s="1"/>
  <c r="HQ129" i="1"/>
  <c r="HL129" i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H129" i="1"/>
  <c r="EI129" i="1" s="1"/>
  <c r="EJ129" i="1" s="1"/>
  <c r="EC129" i="1"/>
  <c r="ED129" i="1" s="1"/>
  <c r="EE129" i="1" s="1"/>
  <c r="DX129" i="1"/>
  <c r="DY129" i="1" s="1"/>
  <c r="DZ129" i="1" s="1"/>
  <c r="DS129" i="1"/>
  <c r="DT129" i="1" s="1"/>
  <c r="DU129" i="1" s="1"/>
  <c r="DN129" i="1"/>
  <c r="DO129" i="1" s="1"/>
  <c r="DP129" i="1" s="1"/>
  <c r="DI129" i="1"/>
  <c r="DJ129" i="1" s="1"/>
  <c r="DK129" i="1" s="1"/>
  <c r="DD129" i="1"/>
  <c r="DE129" i="1" s="1"/>
  <c r="DF129" i="1" s="1"/>
  <c r="CY129" i="1"/>
  <c r="CZ129" i="1" s="1"/>
  <c r="DA129" i="1" s="1"/>
  <c r="CT129" i="1"/>
  <c r="CU129" i="1" s="1"/>
  <c r="CV129" i="1" s="1"/>
  <c r="CO129" i="1"/>
  <c r="CP129" i="1" s="1"/>
  <c r="CQ129" i="1" s="1"/>
  <c r="CJ129" i="1"/>
  <c r="CK129" i="1" s="1"/>
  <c r="CL129" i="1" s="1"/>
  <c r="CE129" i="1"/>
  <c r="CF129" i="1" s="1"/>
  <c r="CG129" i="1" s="1"/>
  <c r="BZ129" i="1"/>
  <c r="CA129" i="1" s="1"/>
  <c r="CB129" i="1" s="1"/>
  <c r="BU129" i="1"/>
  <c r="BV129" i="1" s="1"/>
  <c r="BW129" i="1" s="1"/>
  <c r="BP129" i="1"/>
  <c r="BQ129" i="1" s="1"/>
  <c r="BR129" i="1" s="1"/>
  <c r="BK129" i="1"/>
  <c r="BL129" i="1" s="1"/>
  <c r="BM129" i="1" s="1"/>
  <c r="BF129" i="1"/>
  <c r="BG129" i="1" s="1"/>
  <c r="BH129" i="1" s="1"/>
  <c r="BA129" i="1"/>
  <c r="BB129" i="1" s="1"/>
  <c r="BC129" i="1" s="1"/>
  <c r="AV129" i="1"/>
  <c r="AW129" i="1" s="1"/>
  <c r="AX129" i="1" s="1"/>
  <c r="AQ129" i="1"/>
  <c r="AR129" i="1" s="1"/>
  <c r="AS129" i="1" s="1"/>
  <c r="AL129" i="1"/>
  <c r="AM129" i="1" s="1"/>
  <c r="AN129" i="1" s="1"/>
  <c r="AG129" i="1"/>
  <c r="AH129" i="1" s="1"/>
  <c r="AI129" i="1" s="1"/>
  <c r="AB129" i="1"/>
  <c r="AC129" i="1" s="1"/>
  <c r="AD129" i="1" s="1"/>
  <c r="W129" i="1"/>
  <c r="X129" i="1" s="1"/>
  <c r="Y129" i="1" s="1"/>
  <c r="T129" i="1"/>
  <c r="O129" i="1"/>
  <c r="J129" i="1"/>
  <c r="PX128" i="1"/>
  <c r="PS128" i="1"/>
  <c r="PN128" i="1"/>
  <c r="PI128" i="1"/>
  <c r="PD128" i="1"/>
  <c r="OY128" i="1"/>
  <c r="OT128" i="1"/>
  <c r="OO128" i="1"/>
  <c r="OJ128" i="1"/>
  <c r="OE128" i="1"/>
  <c r="NZ128" i="1"/>
  <c r="NU128" i="1"/>
  <c r="NP128" i="1"/>
  <c r="NK128" i="1"/>
  <c r="NF128" i="1"/>
  <c r="NA128" i="1"/>
  <c r="MV128" i="1"/>
  <c r="MQ128" i="1"/>
  <c r="ML128" i="1"/>
  <c r="MG128" i="1"/>
  <c r="MB128" i="1"/>
  <c r="LW128" i="1"/>
  <c r="LR128" i="1"/>
  <c r="LM128" i="1"/>
  <c r="LH128" i="1"/>
  <c r="LC128" i="1"/>
  <c r="KX128" i="1"/>
  <c r="KQ128" i="1"/>
  <c r="KR128" i="1" s="1"/>
  <c r="KS128" i="1" s="1"/>
  <c r="KN128" i="1"/>
  <c r="KI128" i="1"/>
  <c r="KB128" i="1"/>
  <c r="KC128" i="1" s="1"/>
  <c r="KD128" i="1" s="1"/>
  <c r="JY128" i="1"/>
  <c r="JT128" i="1"/>
  <c r="JO128" i="1"/>
  <c r="JJ128" i="1"/>
  <c r="JE128" i="1"/>
  <c r="IZ128" i="1"/>
  <c r="IS128" i="1"/>
  <c r="IT128" i="1" s="1"/>
  <c r="IU128" i="1" s="1"/>
  <c r="IP128" i="1"/>
  <c r="IK128" i="1"/>
  <c r="IF128" i="1"/>
  <c r="IA128" i="1"/>
  <c r="HV128" i="1"/>
  <c r="HQ128" i="1"/>
  <c r="HL128" i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H128" i="1"/>
  <c r="EI128" i="1" s="1"/>
  <c r="EJ128" i="1" s="1"/>
  <c r="EC128" i="1"/>
  <c r="ED128" i="1" s="1"/>
  <c r="EE128" i="1" s="1"/>
  <c r="DX128" i="1"/>
  <c r="DY128" i="1" s="1"/>
  <c r="DZ128" i="1" s="1"/>
  <c r="DS128" i="1"/>
  <c r="DT128" i="1" s="1"/>
  <c r="DU128" i="1" s="1"/>
  <c r="DN128" i="1"/>
  <c r="DO128" i="1" s="1"/>
  <c r="DP128" i="1" s="1"/>
  <c r="DI128" i="1"/>
  <c r="DJ128" i="1" s="1"/>
  <c r="DK128" i="1" s="1"/>
  <c r="DD128" i="1"/>
  <c r="DE128" i="1" s="1"/>
  <c r="DF128" i="1" s="1"/>
  <c r="CY128" i="1"/>
  <c r="CZ128" i="1" s="1"/>
  <c r="DA128" i="1" s="1"/>
  <c r="CT128" i="1"/>
  <c r="CU128" i="1" s="1"/>
  <c r="CV128" i="1" s="1"/>
  <c r="CO128" i="1"/>
  <c r="CP128" i="1" s="1"/>
  <c r="CQ128" i="1" s="1"/>
  <c r="CJ128" i="1"/>
  <c r="CK128" i="1" s="1"/>
  <c r="CL128" i="1" s="1"/>
  <c r="CE128" i="1"/>
  <c r="CF128" i="1" s="1"/>
  <c r="CG128" i="1" s="1"/>
  <c r="BZ128" i="1"/>
  <c r="CA128" i="1" s="1"/>
  <c r="CB128" i="1" s="1"/>
  <c r="BU128" i="1"/>
  <c r="BV128" i="1" s="1"/>
  <c r="BW128" i="1" s="1"/>
  <c r="BP128" i="1"/>
  <c r="BQ128" i="1" s="1"/>
  <c r="BR128" i="1" s="1"/>
  <c r="BK128" i="1"/>
  <c r="BL128" i="1" s="1"/>
  <c r="BM128" i="1" s="1"/>
  <c r="BF128" i="1"/>
  <c r="BG128" i="1" s="1"/>
  <c r="BH128" i="1" s="1"/>
  <c r="BA128" i="1"/>
  <c r="BB128" i="1" s="1"/>
  <c r="BC128" i="1" s="1"/>
  <c r="AV128" i="1"/>
  <c r="AW128" i="1" s="1"/>
  <c r="AX128" i="1" s="1"/>
  <c r="AQ128" i="1"/>
  <c r="AR128" i="1" s="1"/>
  <c r="AS128" i="1" s="1"/>
  <c r="AL128" i="1"/>
  <c r="AM128" i="1" s="1"/>
  <c r="AN128" i="1" s="1"/>
  <c r="AG128" i="1"/>
  <c r="AH128" i="1" s="1"/>
  <c r="AI128" i="1" s="1"/>
  <c r="AB128" i="1"/>
  <c r="AC128" i="1" s="1"/>
  <c r="AD128" i="1" s="1"/>
  <c r="W128" i="1"/>
  <c r="X128" i="1" s="1"/>
  <c r="Y128" i="1" s="1"/>
  <c r="T128" i="1"/>
  <c r="O128" i="1"/>
  <c r="J128" i="1"/>
  <c r="PX127" i="1"/>
  <c r="PS127" i="1"/>
  <c r="PN127" i="1"/>
  <c r="PI127" i="1"/>
  <c r="PD127" i="1"/>
  <c r="OY127" i="1"/>
  <c r="OT127" i="1"/>
  <c r="OO127" i="1"/>
  <c r="OJ127" i="1"/>
  <c r="OE127" i="1"/>
  <c r="NZ127" i="1"/>
  <c r="NU127" i="1"/>
  <c r="NP127" i="1"/>
  <c r="NK127" i="1"/>
  <c r="NF127" i="1"/>
  <c r="NA127" i="1"/>
  <c r="MV127" i="1"/>
  <c r="MQ127" i="1"/>
  <c r="ML127" i="1"/>
  <c r="MG127" i="1"/>
  <c r="MB127" i="1"/>
  <c r="LW127" i="1"/>
  <c r="LR127" i="1"/>
  <c r="LM127" i="1"/>
  <c r="LH127" i="1"/>
  <c r="LC127" i="1"/>
  <c r="KX127" i="1"/>
  <c r="KS127" i="1"/>
  <c r="KN127" i="1"/>
  <c r="KI127" i="1"/>
  <c r="KD127" i="1"/>
  <c r="JY127" i="1"/>
  <c r="JT127" i="1"/>
  <c r="JO127" i="1"/>
  <c r="JJ127" i="1"/>
  <c r="JE127" i="1"/>
  <c r="IZ127" i="1"/>
  <c r="IU127" i="1"/>
  <c r="IP127" i="1"/>
  <c r="IK127" i="1"/>
  <c r="IF127" i="1"/>
  <c r="IA127" i="1"/>
  <c r="HV127" i="1"/>
  <c r="HQ127" i="1"/>
  <c r="HL127" i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H127" i="1"/>
  <c r="EI127" i="1" s="1"/>
  <c r="EJ127" i="1" s="1"/>
  <c r="EC127" i="1"/>
  <c r="ED127" i="1" s="1"/>
  <c r="EE127" i="1" s="1"/>
  <c r="DX127" i="1"/>
  <c r="DY127" i="1" s="1"/>
  <c r="DZ127" i="1" s="1"/>
  <c r="DS127" i="1"/>
  <c r="DT127" i="1" s="1"/>
  <c r="DU127" i="1" s="1"/>
  <c r="DN127" i="1"/>
  <c r="DO127" i="1" s="1"/>
  <c r="DP127" i="1" s="1"/>
  <c r="DI127" i="1"/>
  <c r="DJ127" i="1" s="1"/>
  <c r="DK127" i="1" s="1"/>
  <c r="DD127" i="1"/>
  <c r="DE127" i="1" s="1"/>
  <c r="DF127" i="1" s="1"/>
  <c r="CY127" i="1"/>
  <c r="CZ127" i="1" s="1"/>
  <c r="DA127" i="1" s="1"/>
  <c r="CT127" i="1"/>
  <c r="CU127" i="1" s="1"/>
  <c r="CV127" i="1" s="1"/>
  <c r="CO127" i="1"/>
  <c r="CP127" i="1" s="1"/>
  <c r="CQ127" i="1" s="1"/>
  <c r="CJ127" i="1"/>
  <c r="CK127" i="1" s="1"/>
  <c r="CL127" i="1" s="1"/>
  <c r="CE127" i="1"/>
  <c r="CF127" i="1" s="1"/>
  <c r="CG127" i="1" s="1"/>
  <c r="BZ127" i="1"/>
  <c r="CA127" i="1" s="1"/>
  <c r="CB127" i="1" s="1"/>
  <c r="BU127" i="1"/>
  <c r="BV127" i="1" s="1"/>
  <c r="BW127" i="1" s="1"/>
  <c r="BP127" i="1"/>
  <c r="BQ127" i="1" s="1"/>
  <c r="BR127" i="1" s="1"/>
  <c r="BK127" i="1"/>
  <c r="BL127" i="1" s="1"/>
  <c r="BM127" i="1" s="1"/>
  <c r="BF127" i="1"/>
  <c r="BG127" i="1" s="1"/>
  <c r="BH127" i="1" s="1"/>
  <c r="BA127" i="1"/>
  <c r="BB127" i="1" s="1"/>
  <c r="BC127" i="1" s="1"/>
  <c r="AV127" i="1"/>
  <c r="AW127" i="1" s="1"/>
  <c r="AX127" i="1" s="1"/>
  <c r="AQ127" i="1"/>
  <c r="AR127" i="1" s="1"/>
  <c r="AS127" i="1" s="1"/>
  <c r="AL127" i="1"/>
  <c r="AM127" i="1" s="1"/>
  <c r="AN127" i="1" s="1"/>
  <c r="AG127" i="1"/>
  <c r="AH127" i="1" s="1"/>
  <c r="AI127" i="1" s="1"/>
  <c r="AB127" i="1"/>
  <c r="AC127" i="1" s="1"/>
  <c r="AD127" i="1" s="1"/>
  <c r="W127" i="1"/>
  <c r="X127" i="1" s="1"/>
  <c r="Y127" i="1" s="1"/>
  <c r="R127" i="1"/>
  <c r="S127" i="1" s="1"/>
  <c r="T127" i="1" s="1"/>
  <c r="O127" i="1"/>
  <c r="J127" i="1"/>
  <c r="PX126" i="1"/>
  <c r="PS126" i="1"/>
  <c r="PN126" i="1"/>
  <c r="PI126" i="1"/>
  <c r="PD126" i="1"/>
  <c r="OY126" i="1"/>
  <c r="OT126" i="1"/>
  <c r="OO126" i="1"/>
  <c r="OJ126" i="1"/>
  <c r="OE126" i="1"/>
  <c r="NZ126" i="1"/>
  <c r="NU126" i="1"/>
  <c r="NP126" i="1"/>
  <c r="NK126" i="1"/>
  <c r="NF126" i="1"/>
  <c r="NA126" i="1"/>
  <c r="MV126" i="1"/>
  <c r="MQ126" i="1"/>
  <c r="ML126" i="1"/>
  <c r="MG126" i="1"/>
  <c r="MB126" i="1"/>
  <c r="LW126" i="1"/>
  <c r="LR126" i="1"/>
  <c r="LM126" i="1"/>
  <c r="LH126" i="1"/>
  <c r="LC126" i="1"/>
  <c r="KV126" i="1"/>
  <c r="KW126" i="1" s="1"/>
  <c r="KX126" i="1" s="1"/>
  <c r="KS126" i="1"/>
  <c r="KN126" i="1"/>
  <c r="KI126" i="1"/>
  <c r="KD126" i="1"/>
  <c r="JY126" i="1"/>
  <c r="JT126" i="1"/>
  <c r="JO126" i="1"/>
  <c r="JJ126" i="1"/>
  <c r="JE126" i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T126" i="1"/>
  <c r="HU126" i="1" s="1"/>
  <c r="HV126" i="1" s="1"/>
  <c r="HQ126" i="1"/>
  <c r="HL126" i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H126" i="1"/>
  <c r="EI126" i="1" s="1"/>
  <c r="EJ126" i="1" s="1"/>
  <c r="EC126" i="1"/>
  <c r="ED126" i="1" s="1"/>
  <c r="EE126" i="1" s="1"/>
  <c r="DX126" i="1"/>
  <c r="DY126" i="1" s="1"/>
  <c r="DZ126" i="1" s="1"/>
  <c r="DS126" i="1"/>
  <c r="DT126" i="1" s="1"/>
  <c r="DU126" i="1" s="1"/>
  <c r="DN126" i="1"/>
  <c r="DO126" i="1" s="1"/>
  <c r="DP126" i="1" s="1"/>
  <c r="DI126" i="1"/>
  <c r="DJ126" i="1" s="1"/>
  <c r="DK126" i="1" s="1"/>
  <c r="DD126" i="1"/>
  <c r="DE126" i="1" s="1"/>
  <c r="DF126" i="1" s="1"/>
  <c r="CY126" i="1"/>
  <c r="CZ126" i="1" s="1"/>
  <c r="DA126" i="1" s="1"/>
  <c r="CT126" i="1"/>
  <c r="CU126" i="1" s="1"/>
  <c r="CV126" i="1" s="1"/>
  <c r="CO126" i="1"/>
  <c r="CP126" i="1" s="1"/>
  <c r="CQ126" i="1" s="1"/>
  <c r="CJ126" i="1"/>
  <c r="CK126" i="1" s="1"/>
  <c r="CL126" i="1" s="1"/>
  <c r="CE126" i="1"/>
  <c r="CF126" i="1" s="1"/>
  <c r="CG126" i="1" s="1"/>
  <c r="BZ126" i="1"/>
  <c r="CA126" i="1" s="1"/>
  <c r="CB126" i="1" s="1"/>
  <c r="BU126" i="1"/>
  <c r="BV126" i="1" s="1"/>
  <c r="BW126" i="1" s="1"/>
  <c r="BP126" i="1"/>
  <c r="BQ126" i="1" s="1"/>
  <c r="BR126" i="1" s="1"/>
  <c r="BK126" i="1"/>
  <c r="BL126" i="1" s="1"/>
  <c r="BM126" i="1" s="1"/>
  <c r="BF126" i="1"/>
  <c r="BG126" i="1" s="1"/>
  <c r="BH126" i="1" s="1"/>
  <c r="BA126" i="1"/>
  <c r="BB126" i="1" s="1"/>
  <c r="BC126" i="1" s="1"/>
  <c r="AV126" i="1"/>
  <c r="AW126" i="1" s="1"/>
  <c r="AX126" i="1" s="1"/>
  <c r="AQ126" i="1"/>
  <c r="AR126" i="1" s="1"/>
  <c r="AS126" i="1" s="1"/>
  <c r="AL126" i="1"/>
  <c r="AM126" i="1" s="1"/>
  <c r="AN126" i="1" s="1"/>
  <c r="AG126" i="1"/>
  <c r="AH126" i="1" s="1"/>
  <c r="AI126" i="1" s="1"/>
  <c r="AB126" i="1"/>
  <c r="AC126" i="1" s="1"/>
  <c r="AD126" i="1" s="1"/>
  <c r="W126" i="1"/>
  <c r="X126" i="1" s="1"/>
  <c r="Y126" i="1" s="1"/>
  <c r="T126" i="1"/>
  <c r="O126" i="1"/>
  <c r="J126" i="1"/>
  <c r="PX125" i="1"/>
  <c r="PS125" i="1"/>
  <c r="PN125" i="1"/>
  <c r="PI125" i="1"/>
  <c r="PD125" i="1"/>
  <c r="OY125" i="1"/>
  <c r="OT125" i="1"/>
  <c r="OO125" i="1"/>
  <c r="OJ125" i="1"/>
  <c r="OE125" i="1"/>
  <c r="NZ125" i="1"/>
  <c r="NU125" i="1"/>
  <c r="NP125" i="1"/>
  <c r="NK125" i="1"/>
  <c r="NF125" i="1"/>
  <c r="NA125" i="1"/>
  <c r="MV125" i="1"/>
  <c r="MQ125" i="1"/>
  <c r="ML125" i="1"/>
  <c r="MG125" i="1"/>
  <c r="MB125" i="1"/>
  <c r="LW125" i="1"/>
  <c r="LR125" i="1"/>
  <c r="LM125" i="1"/>
  <c r="LH125" i="1"/>
  <c r="LC125" i="1"/>
  <c r="KV125" i="1"/>
  <c r="KW125" i="1" s="1"/>
  <c r="KX125" i="1" s="1"/>
  <c r="KS125" i="1"/>
  <c r="KN125" i="1"/>
  <c r="KI125" i="1"/>
  <c r="KD125" i="1"/>
  <c r="JY125" i="1"/>
  <c r="JT125" i="1"/>
  <c r="JO125" i="1"/>
  <c r="JJ125" i="1"/>
  <c r="JE125" i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H125" i="1"/>
  <c r="EI125" i="1" s="1"/>
  <c r="EJ125" i="1" s="1"/>
  <c r="EC125" i="1"/>
  <c r="ED125" i="1" s="1"/>
  <c r="EE125" i="1" s="1"/>
  <c r="DX125" i="1"/>
  <c r="DY125" i="1" s="1"/>
  <c r="DZ125" i="1" s="1"/>
  <c r="DS125" i="1"/>
  <c r="DT125" i="1" s="1"/>
  <c r="DU125" i="1" s="1"/>
  <c r="DN125" i="1"/>
  <c r="DO125" i="1" s="1"/>
  <c r="DP125" i="1" s="1"/>
  <c r="DI125" i="1"/>
  <c r="DJ125" i="1" s="1"/>
  <c r="DK125" i="1" s="1"/>
  <c r="DD125" i="1"/>
  <c r="DE125" i="1" s="1"/>
  <c r="DF125" i="1" s="1"/>
  <c r="CY125" i="1"/>
  <c r="CZ125" i="1" s="1"/>
  <c r="DA125" i="1" s="1"/>
  <c r="CT125" i="1"/>
  <c r="CU125" i="1" s="1"/>
  <c r="CV125" i="1" s="1"/>
  <c r="CO125" i="1"/>
  <c r="CP125" i="1" s="1"/>
  <c r="CQ125" i="1" s="1"/>
  <c r="CJ125" i="1"/>
  <c r="CK125" i="1" s="1"/>
  <c r="CL125" i="1" s="1"/>
  <c r="CE125" i="1"/>
  <c r="CF125" i="1" s="1"/>
  <c r="CG125" i="1" s="1"/>
  <c r="BZ125" i="1"/>
  <c r="CA125" i="1" s="1"/>
  <c r="CB125" i="1" s="1"/>
  <c r="BU125" i="1"/>
  <c r="BV125" i="1" s="1"/>
  <c r="BW125" i="1" s="1"/>
  <c r="BP125" i="1"/>
  <c r="BQ125" i="1" s="1"/>
  <c r="BR125" i="1" s="1"/>
  <c r="BK125" i="1"/>
  <c r="BL125" i="1" s="1"/>
  <c r="BM125" i="1" s="1"/>
  <c r="BF125" i="1"/>
  <c r="BG125" i="1" s="1"/>
  <c r="BH125" i="1" s="1"/>
  <c r="BA125" i="1"/>
  <c r="BB125" i="1" s="1"/>
  <c r="BC125" i="1" s="1"/>
  <c r="AV125" i="1"/>
  <c r="AW125" i="1" s="1"/>
  <c r="AX125" i="1" s="1"/>
  <c r="AQ125" i="1"/>
  <c r="AR125" i="1" s="1"/>
  <c r="AS125" i="1" s="1"/>
  <c r="AL125" i="1"/>
  <c r="AM125" i="1" s="1"/>
  <c r="AN125" i="1" s="1"/>
  <c r="AG125" i="1"/>
  <c r="AH125" i="1" s="1"/>
  <c r="AI125" i="1" s="1"/>
  <c r="AB125" i="1"/>
  <c r="AC125" i="1" s="1"/>
  <c r="AD125" i="1" s="1"/>
  <c r="W125" i="1"/>
  <c r="X125" i="1" s="1"/>
  <c r="Y125" i="1" s="1"/>
  <c r="T125" i="1"/>
  <c r="O125" i="1"/>
  <c r="J125" i="1"/>
  <c r="PX124" i="1"/>
  <c r="PS124" i="1"/>
  <c r="PN124" i="1"/>
  <c r="PI124" i="1"/>
  <c r="PD124" i="1"/>
  <c r="OY124" i="1"/>
  <c r="OT124" i="1"/>
  <c r="OO124" i="1"/>
  <c r="OJ124" i="1"/>
  <c r="OE124" i="1"/>
  <c r="NZ124" i="1"/>
  <c r="NS124" i="1"/>
  <c r="NT124" i="1" s="1"/>
  <c r="NU124" i="1" s="1"/>
  <c r="NP124" i="1"/>
  <c r="NI124" i="1"/>
  <c r="NJ124" i="1" s="1"/>
  <c r="NK124" i="1" s="1"/>
  <c r="ND124" i="1"/>
  <c r="NE124" i="1" s="1"/>
  <c r="NF124" i="1" s="1"/>
  <c r="MY124" i="1"/>
  <c r="MZ124" i="1" s="1"/>
  <c r="NA124" i="1" s="1"/>
  <c r="MV124" i="1"/>
  <c r="MQ124" i="1"/>
  <c r="ML124" i="1"/>
  <c r="MG124" i="1"/>
  <c r="MB124" i="1"/>
  <c r="LW124" i="1"/>
  <c r="LR124" i="1"/>
  <c r="LM124" i="1"/>
  <c r="LH124" i="1"/>
  <c r="LC124" i="1"/>
  <c r="KX124" i="1"/>
  <c r="KQ124" i="1"/>
  <c r="KR124" i="1" s="1"/>
  <c r="KS124" i="1" s="1"/>
  <c r="KN124" i="1"/>
  <c r="KI124" i="1"/>
  <c r="KD124" i="1"/>
  <c r="JY124" i="1"/>
  <c r="JT124" i="1"/>
  <c r="JO124" i="1"/>
  <c r="JJ124" i="1"/>
  <c r="JE124" i="1"/>
  <c r="IZ124" i="1"/>
  <c r="IU124" i="1"/>
  <c r="IP124" i="1"/>
  <c r="IK124" i="1"/>
  <c r="IF124" i="1"/>
  <c r="IA124" i="1"/>
  <c r="HV124" i="1"/>
  <c r="HQ124" i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H124" i="1"/>
  <c r="EI124" i="1" s="1"/>
  <c r="EJ124" i="1" s="1"/>
  <c r="EC124" i="1"/>
  <c r="ED124" i="1" s="1"/>
  <c r="EE124" i="1" s="1"/>
  <c r="DX124" i="1"/>
  <c r="DY124" i="1" s="1"/>
  <c r="DZ124" i="1" s="1"/>
  <c r="DS124" i="1"/>
  <c r="DT124" i="1" s="1"/>
  <c r="DU124" i="1" s="1"/>
  <c r="DN124" i="1"/>
  <c r="DO124" i="1" s="1"/>
  <c r="DP124" i="1" s="1"/>
  <c r="DI124" i="1"/>
  <c r="DJ124" i="1" s="1"/>
  <c r="DK124" i="1" s="1"/>
  <c r="DD124" i="1"/>
  <c r="DE124" i="1" s="1"/>
  <c r="DF124" i="1" s="1"/>
  <c r="CY124" i="1"/>
  <c r="CZ124" i="1" s="1"/>
  <c r="DA124" i="1" s="1"/>
  <c r="CT124" i="1"/>
  <c r="CU124" i="1" s="1"/>
  <c r="CV124" i="1" s="1"/>
  <c r="CO124" i="1"/>
  <c r="CP124" i="1" s="1"/>
  <c r="CQ124" i="1" s="1"/>
  <c r="CJ124" i="1"/>
  <c r="CK124" i="1" s="1"/>
  <c r="CL124" i="1" s="1"/>
  <c r="CE124" i="1"/>
  <c r="CF124" i="1" s="1"/>
  <c r="CG124" i="1" s="1"/>
  <c r="BZ124" i="1"/>
  <c r="CA124" i="1" s="1"/>
  <c r="CB124" i="1" s="1"/>
  <c r="BU124" i="1"/>
  <c r="BV124" i="1" s="1"/>
  <c r="BW124" i="1" s="1"/>
  <c r="BP124" i="1"/>
  <c r="BQ124" i="1" s="1"/>
  <c r="BR124" i="1" s="1"/>
  <c r="BK124" i="1"/>
  <c r="BL124" i="1" s="1"/>
  <c r="BM124" i="1" s="1"/>
  <c r="BF124" i="1"/>
  <c r="BG124" i="1" s="1"/>
  <c r="BH124" i="1" s="1"/>
  <c r="BA124" i="1"/>
  <c r="BB124" i="1" s="1"/>
  <c r="BC124" i="1" s="1"/>
  <c r="AV124" i="1"/>
  <c r="AW124" i="1" s="1"/>
  <c r="AX124" i="1" s="1"/>
  <c r="AQ124" i="1"/>
  <c r="AR124" i="1" s="1"/>
  <c r="AS124" i="1" s="1"/>
  <c r="AL124" i="1"/>
  <c r="AM124" i="1" s="1"/>
  <c r="AN124" i="1" s="1"/>
  <c r="AG124" i="1"/>
  <c r="AH124" i="1" s="1"/>
  <c r="AI124" i="1" s="1"/>
  <c r="AB124" i="1"/>
  <c r="AC124" i="1" s="1"/>
  <c r="AD124" i="1" s="1"/>
  <c r="W124" i="1"/>
  <c r="X124" i="1" s="1"/>
  <c r="Y124" i="1" s="1"/>
  <c r="T124" i="1"/>
  <c r="O124" i="1"/>
  <c r="J124" i="1"/>
  <c r="PX123" i="1"/>
  <c r="PS123" i="1"/>
  <c r="PN123" i="1"/>
  <c r="PI123" i="1"/>
  <c r="PD123" i="1"/>
  <c r="OY123" i="1"/>
  <c r="OT123" i="1"/>
  <c r="OO123" i="1"/>
  <c r="OJ123" i="1"/>
  <c r="OE123" i="1"/>
  <c r="NZ123" i="1"/>
  <c r="NU123" i="1"/>
  <c r="NN123" i="1"/>
  <c r="NO123" i="1" s="1"/>
  <c r="NP123" i="1" s="1"/>
  <c r="NK123" i="1"/>
  <c r="ND123" i="1"/>
  <c r="NE123" i="1" s="1"/>
  <c r="NF123" i="1" s="1"/>
  <c r="MY123" i="1"/>
  <c r="MZ123" i="1" s="1"/>
  <c r="NA123" i="1" s="1"/>
  <c r="MV123" i="1"/>
  <c r="MQ123" i="1"/>
  <c r="ML123" i="1"/>
  <c r="MG123" i="1"/>
  <c r="LZ123" i="1"/>
  <c r="MA123" i="1" s="1"/>
  <c r="MB123" i="1" s="1"/>
  <c r="LU123" i="1"/>
  <c r="LV123" i="1" s="1"/>
  <c r="LW123" i="1" s="1"/>
  <c r="LR123" i="1"/>
  <c r="LM123" i="1"/>
  <c r="LH123" i="1"/>
  <c r="LA123" i="1"/>
  <c r="LB123" i="1" s="1"/>
  <c r="LC123" i="1" s="1"/>
  <c r="KV123" i="1"/>
  <c r="KW123" i="1" s="1"/>
  <c r="KX123" i="1" s="1"/>
  <c r="KS123" i="1"/>
  <c r="KN123" i="1"/>
  <c r="KG123" i="1"/>
  <c r="KH123" i="1" s="1"/>
  <c r="KI123" i="1" s="1"/>
  <c r="KB123" i="1"/>
  <c r="KC123" i="1" s="1"/>
  <c r="KD123" i="1" s="1"/>
  <c r="JY123" i="1"/>
  <c r="JT123" i="1"/>
  <c r="JO123" i="1"/>
  <c r="JJ123" i="1"/>
  <c r="JE123" i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T123" i="1"/>
  <c r="HU123" i="1" s="1"/>
  <c r="HV123" i="1" s="1"/>
  <c r="HQ123" i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H123" i="1"/>
  <c r="EI123" i="1" s="1"/>
  <c r="EJ123" i="1" s="1"/>
  <c r="EC123" i="1"/>
  <c r="ED123" i="1" s="1"/>
  <c r="EE123" i="1" s="1"/>
  <c r="DX123" i="1"/>
  <c r="DY123" i="1" s="1"/>
  <c r="DZ123" i="1" s="1"/>
  <c r="DS123" i="1"/>
  <c r="DT123" i="1" s="1"/>
  <c r="DU123" i="1" s="1"/>
  <c r="DN123" i="1"/>
  <c r="DO123" i="1" s="1"/>
  <c r="DP123" i="1" s="1"/>
  <c r="DI123" i="1"/>
  <c r="DJ123" i="1" s="1"/>
  <c r="DK123" i="1" s="1"/>
  <c r="DD123" i="1"/>
  <c r="DE123" i="1" s="1"/>
  <c r="DF123" i="1" s="1"/>
  <c r="CY123" i="1"/>
  <c r="CZ123" i="1" s="1"/>
  <c r="DA123" i="1" s="1"/>
  <c r="CT123" i="1"/>
  <c r="CU123" i="1" s="1"/>
  <c r="CV123" i="1" s="1"/>
  <c r="CO123" i="1"/>
  <c r="CP123" i="1" s="1"/>
  <c r="CQ123" i="1" s="1"/>
  <c r="CJ123" i="1"/>
  <c r="CK123" i="1" s="1"/>
  <c r="CL123" i="1" s="1"/>
  <c r="CE123" i="1"/>
  <c r="CF123" i="1" s="1"/>
  <c r="CG123" i="1" s="1"/>
  <c r="BZ123" i="1"/>
  <c r="CA123" i="1" s="1"/>
  <c r="CB123" i="1" s="1"/>
  <c r="BU123" i="1"/>
  <c r="BV123" i="1" s="1"/>
  <c r="BW123" i="1" s="1"/>
  <c r="BP123" i="1"/>
  <c r="BQ123" i="1" s="1"/>
  <c r="BR123" i="1" s="1"/>
  <c r="BK123" i="1"/>
  <c r="BL123" i="1" s="1"/>
  <c r="BM123" i="1" s="1"/>
  <c r="BF123" i="1"/>
  <c r="BG123" i="1" s="1"/>
  <c r="BH123" i="1" s="1"/>
  <c r="BA123" i="1"/>
  <c r="BB123" i="1" s="1"/>
  <c r="BC123" i="1" s="1"/>
  <c r="AV123" i="1"/>
  <c r="AW123" i="1" s="1"/>
  <c r="AX123" i="1" s="1"/>
  <c r="AQ123" i="1"/>
  <c r="AR123" i="1" s="1"/>
  <c r="AS123" i="1" s="1"/>
  <c r="AL123" i="1"/>
  <c r="AM123" i="1" s="1"/>
  <c r="AN123" i="1" s="1"/>
  <c r="AG123" i="1"/>
  <c r="AH123" i="1" s="1"/>
  <c r="AI123" i="1" s="1"/>
  <c r="AB123" i="1"/>
  <c r="AC123" i="1" s="1"/>
  <c r="AD123" i="1" s="1"/>
  <c r="W123" i="1"/>
  <c r="X123" i="1" s="1"/>
  <c r="Y123" i="1" s="1"/>
  <c r="T123" i="1"/>
  <c r="O123" i="1"/>
  <c r="J123" i="1"/>
  <c r="PX122" i="1"/>
  <c r="PS122" i="1"/>
  <c r="PN122" i="1"/>
  <c r="PI122" i="1"/>
  <c r="PD122" i="1"/>
  <c r="OY122" i="1"/>
  <c r="OT122" i="1"/>
  <c r="OO122" i="1"/>
  <c r="OJ122" i="1"/>
  <c r="OE122" i="1"/>
  <c r="NZ122" i="1"/>
  <c r="NU122" i="1"/>
  <c r="NP122" i="1"/>
  <c r="NK122" i="1"/>
  <c r="ND122" i="1"/>
  <c r="NE122" i="1" s="1"/>
  <c r="NF122" i="1" s="1"/>
  <c r="MY122" i="1"/>
  <c r="MZ122" i="1" s="1"/>
  <c r="NA122" i="1" s="1"/>
  <c r="MT122" i="1"/>
  <c r="MU122" i="1" s="1"/>
  <c r="MV122" i="1" s="1"/>
  <c r="MO122" i="1"/>
  <c r="MP122" i="1" s="1"/>
  <c r="MQ122" i="1" s="1"/>
  <c r="ML122" i="1"/>
  <c r="MG122" i="1"/>
  <c r="LZ122" i="1"/>
  <c r="MA122" i="1" s="1"/>
  <c r="MB122" i="1" s="1"/>
  <c r="LU122" i="1"/>
  <c r="LV122" i="1" s="1"/>
  <c r="LW122" i="1" s="1"/>
  <c r="LR122" i="1"/>
  <c r="LM122" i="1"/>
  <c r="LH122" i="1"/>
  <c r="LC122" i="1"/>
  <c r="KV122" i="1"/>
  <c r="KW122" i="1" s="1"/>
  <c r="KX122" i="1" s="1"/>
  <c r="KQ122" i="1"/>
  <c r="KR122" i="1" s="1"/>
  <c r="KS122" i="1" s="1"/>
  <c r="KN122" i="1"/>
  <c r="KI122" i="1"/>
  <c r="KD122" i="1"/>
  <c r="JY122" i="1"/>
  <c r="JT122" i="1"/>
  <c r="JO122" i="1"/>
  <c r="JJ122" i="1"/>
  <c r="JE122" i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H122" i="1"/>
  <c r="EI122" i="1" s="1"/>
  <c r="EJ122" i="1" s="1"/>
  <c r="EC122" i="1"/>
  <c r="ED122" i="1" s="1"/>
  <c r="EE122" i="1" s="1"/>
  <c r="DX122" i="1"/>
  <c r="DY122" i="1" s="1"/>
  <c r="DZ122" i="1" s="1"/>
  <c r="DS122" i="1"/>
  <c r="DT122" i="1" s="1"/>
  <c r="DU122" i="1" s="1"/>
  <c r="DN122" i="1"/>
  <c r="DO122" i="1" s="1"/>
  <c r="DP122" i="1" s="1"/>
  <c r="DI122" i="1"/>
  <c r="DJ122" i="1" s="1"/>
  <c r="DK122" i="1" s="1"/>
  <c r="DD122" i="1"/>
  <c r="DE122" i="1" s="1"/>
  <c r="DF122" i="1" s="1"/>
  <c r="CY122" i="1"/>
  <c r="CZ122" i="1" s="1"/>
  <c r="DA122" i="1" s="1"/>
  <c r="CT122" i="1"/>
  <c r="CU122" i="1" s="1"/>
  <c r="CV122" i="1" s="1"/>
  <c r="CO122" i="1"/>
  <c r="CP122" i="1" s="1"/>
  <c r="CQ122" i="1" s="1"/>
  <c r="CJ122" i="1"/>
  <c r="CK122" i="1" s="1"/>
  <c r="CL122" i="1" s="1"/>
  <c r="CE122" i="1"/>
  <c r="CF122" i="1" s="1"/>
  <c r="CG122" i="1" s="1"/>
  <c r="BZ122" i="1"/>
  <c r="CA122" i="1" s="1"/>
  <c r="CB122" i="1" s="1"/>
  <c r="BU122" i="1"/>
  <c r="BV122" i="1" s="1"/>
  <c r="BW122" i="1" s="1"/>
  <c r="BP122" i="1"/>
  <c r="BQ122" i="1" s="1"/>
  <c r="BR122" i="1" s="1"/>
  <c r="BK122" i="1"/>
  <c r="BL122" i="1" s="1"/>
  <c r="BM122" i="1" s="1"/>
  <c r="BF122" i="1"/>
  <c r="BG122" i="1" s="1"/>
  <c r="BH122" i="1" s="1"/>
  <c r="BA122" i="1"/>
  <c r="BB122" i="1" s="1"/>
  <c r="BC122" i="1" s="1"/>
  <c r="AV122" i="1"/>
  <c r="AW122" i="1" s="1"/>
  <c r="AX122" i="1" s="1"/>
  <c r="AQ122" i="1"/>
  <c r="AR122" i="1" s="1"/>
  <c r="AS122" i="1" s="1"/>
  <c r="AL122" i="1"/>
  <c r="AM122" i="1" s="1"/>
  <c r="AN122" i="1" s="1"/>
  <c r="AG122" i="1"/>
  <c r="AH122" i="1" s="1"/>
  <c r="AI122" i="1" s="1"/>
  <c r="AB122" i="1"/>
  <c r="AC122" i="1" s="1"/>
  <c r="AD122" i="1" s="1"/>
  <c r="W122" i="1"/>
  <c r="X122" i="1" s="1"/>
  <c r="Y122" i="1" s="1"/>
  <c r="T122" i="1"/>
  <c r="O122" i="1"/>
  <c r="J122" i="1"/>
  <c r="PX121" i="1"/>
  <c r="PS121" i="1"/>
  <c r="PL121" i="1"/>
  <c r="PM121" i="1" s="1"/>
  <c r="PN121" i="1" s="1"/>
  <c r="PI121" i="1"/>
  <c r="PD121" i="1"/>
  <c r="OW121" i="1"/>
  <c r="OX121" i="1" s="1"/>
  <c r="OY121" i="1" s="1"/>
  <c r="OT121" i="1"/>
  <c r="OO121" i="1"/>
  <c r="OH121" i="1"/>
  <c r="OI121" i="1" s="1"/>
  <c r="OJ121" i="1" s="1"/>
  <c r="OE121" i="1"/>
  <c r="NZ121" i="1"/>
  <c r="NU121" i="1"/>
  <c r="NP121" i="1"/>
  <c r="NI121" i="1"/>
  <c r="NJ121" i="1" s="1"/>
  <c r="NK121" i="1" s="1"/>
  <c r="NF121" i="1"/>
  <c r="NA121" i="1"/>
  <c r="MT121" i="1"/>
  <c r="MU121" i="1" s="1"/>
  <c r="MV121" i="1" s="1"/>
  <c r="MO121" i="1"/>
  <c r="MP121" i="1" s="1"/>
  <c r="MQ121" i="1" s="1"/>
  <c r="ML121" i="1"/>
  <c r="MG121" i="1"/>
  <c r="LZ121" i="1"/>
  <c r="MA121" i="1" s="1"/>
  <c r="MB121" i="1" s="1"/>
  <c r="LU121" i="1"/>
  <c r="LV121" i="1" s="1"/>
  <c r="LW121" i="1" s="1"/>
  <c r="LP121" i="1"/>
  <c r="LQ121" i="1" s="1"/>
  <c r="LR121" i="1" s="1"/>
  <c r="LM121" i="1"/>
  <c r="LH121" i="1"/>
  <c r="LA121" i="1"/>
  <c r="LB121" i="1" s="1"/>
  <c r="LC121" i="1" s="1"/>
  <c r="KX121" i="1"/>
  <c r="KS121" i="1"/>
  <c r="KN121" i="1"/>
  <c r="KI121" i="1"/>
  <c r="KD121" i="1"/>
  <c r="JY121" i="1"/>
  <c r="JT121" i="1"/>
  <c r="JO121" i="1"/>
  <c r="JJ121" i="1"/>
  <c r="JE121" i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T121" i="1"/>
  <c r="HU121" i="1" s="1"/>
  <c r="HV121" i="1" s="1"/>
  <c r="HQ121" i="1"/>
  <c r="HL121" i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B121" i="1"/>
  <c r="FC121" i="1" s="1"/>
  <c r="FD121" i="1" s="1"/>
  <c r="EW121" i="1"/>
  <c r="EX121" i="1" s="1"/>
  <c r="EY121" i="1" s="1"/>
  <c r="ER121" i="1"/>
  <c r="ES121" i="1" s="1"/>
  <c r="ET121" i="1" s="1"/>
  <c r="EM121" i="1"/>
  <c r="EN121" i="1" s="1"/>
  <c r="EO121" i="1" s="1"/>
  <c r="EH121" i="1"/>
  <c r="EI121" i="1" s="1"/>
  <c r="EJ121" i="1" s="1"/>
  <c r="EC121" i="1"/>
  <c r="ED121" i="1" s="1"/>
  <c r="EE121" i="1" s="1"/>
  <c r="DX121" i="1"/>
  <c r="DY121" i="1" s="1"/>
  <c r="DZ121" i="1" s="1"/>
  <c r="DS121" i="1"/>
  <c r="DT121" i="1" s="1"/>
  <c r="DU121" i="1" s="1"/>
  <c r="DN121" i="1"/>
  <c r="DO121" i="1" s="1"/>
  <c r="DP121" i="1" s="1"/>
  <c r="DI121" i="1"/>
  <c r="DJ121" i="1" s="1"/>
  <c r="DK121" i="1" s="1"/>
  <c r="DD121" i="1"/>
  <c r="DE121" i="1" s="1"/>
  <c r="DF121" i="1" s="1"/>
  <c r="CY121" i="1"/>
  <c r="CZ121" i="1" s="1"/>
  <c r="DA121" i="1" s="1"/>
  <c r="CT121" i="1"/>
  <c r="CU121" i="1" s="1"/>
  <c r="CV121" i="1" s="1"/>
  <c r="CO121" i="1"/>
  <c r="CP121" i="1" s="1"/>
  <c r="CQ121" i="1" s="1"/>
  <c r="CJ121" i="1"/>
  <c r="CK121" i="1" s="1"/>
  <c r="CL121" i="1" s="1"/>
  <c r="CE121" i="1"/>
  <c r="CF121" i="1" s="1"/>
  <c r="CG121" i="1" s="1"/>
  <c r="BZ121" i="1"/>
  <c r="CA121" i="1" s="1"/>
  <c r="CB121" i="1" s="1"/>
  <c r="BU121" i="1"/>
  <c r="BV121" i="1" s="1"/>
  <c r="BW121" i="1" s="1"/>
  <c r="BP121" i="1"/>
  <c r="BQ121" i="1" s="1"/>
  <c r="BR121" i="1" s="1"/>
  <c r="BK121" i="1"/>
  <c r="BL121" i="1" s="1"/>
  <c r="BM121" i="1" s="1"/>
  <c r="BF121" i="1"/>
  <c r="BG121" i="1" s="1"/>
  <c r="BH121" i="1" s="1"/>
  <c r="BA121" i="1"/>
  <c r="BB121" i="1" s="1"/>
  <c r="BC121" i="1" s="1"/>
  <c r="AV121" i="1"/>
  <c r="AW121" i="1" s="1"/>
  <c r="AX121" i="1" s="1"/>
  <c r="AQ121" i="1"/>
  <c r="AR121" i="1" s="1"/>
  <c r="AS121" i="1" s="1"/>
  <c r="AL121" i="1"/>
  <c r="AM121" i="1" s="1"/>
  <c r="AN121" i="1" s="1"/>
  <c r="AG121" i="1"/>
  <c r="AH121" i="1" s="1"/>
  <c r="AI121" i="1" s="1"/>
  <c r="AB121" i="1"/>
  <c r="AC121" i="1" s="1"/>
  <c r="AD121" i="1" s="1"/>
  <c r="W121" i="1"/>
  <c r="X121" i="1" s="1"/>
  <c r="Y121" i="1" s="1"/>
  <c r="T121" i="1"/>
  <c r="O121" i="1"/>
  <c r="J121" i="1"/>
  <c r="PV120" i="1"/>
  <c r="PW120" i="1" s="1"/>
  <c r="PX120" i="1" s="1"/>
  <c r="PS120" i="1"/>
  <c r="PN120" i="1"/>
  <c r="PI120" i="1"/>
  <c r="PD120" i="1"/>
  <c r="OY120" i="1"/>
  <c r="OT120" i="1"/>
  <c r="OO120" i="1"/>
  <c r="OJ120" i="1"/>
  <c r="OE120" i="1"/>
  <c r="NZ120" i="1"/>
  <c r="NU120" i="1"/>
  <c r="NP120" i="1"/>
  <c r="NK120" i="1"/>
  <c r="NF120" i="1"/>
  <c r="NA120" i="1"/>
  <c r="MV120" i="1"/>
  <c r="MQ120" i="1"/>
  <c r="ML120" i="1"/>
  <c r="MG120" i="1"/>
  <c r="MB120" i="1"/>
  <c r="LW120" i="1"/>
  <c r="LR120" i="1"/>
  <c r="LM120" i="1"/>
  <c r="LH120" i="1"/>
  <c r="LC120" i="1"/>
  <c r="KX120" i="1"/>
  <c r="KS120" i="1"/>
  <c r="KN120" i="1"/>
  <c r="KI120" i="1"/>
  <c r="KD120" i="1"/>
  <c r="JY120" i="1"/>
  <c r="JT120" i="1"/>
  <c r="JO120" i="1"/>
  <c r="JJ120" i="1"/>
  <c r="JE120" i="1"/>
  <c r="IZ120" i="1"/>
  <c r="IU120" i="1"/>
  <c r="IP120" i="1"/>
  <c r="IK120" i="1"/>
  <c r="IF120" i="1"/>
  <c r="IA120" i="1"/>
  <c r="HV120" i="1"/>
  <c r="HQ120" i="1"/>
  <c r="HL120" i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H120" i="1"/>
  <c r="EI120" i="1" s="1"/>
  <c r="EJ120" i="1" s="1"/>
  <c r="EC120" i="1"/>
  <c r="ED120" i="1" s="1"/>
  <c r="EE120" i="1" s="1"/>
  <c r="DX120" i="1"/>
  <c r="DY120" i="1" s="1"/>
  <c r="DZ120" i="1" s="1"/>
  <c r="DS120" i="1"/>
  <c r="DT120" i="1" s="1"/>
  <c r="DU120" i="1" s="1"/>
  <c r="DN120" i="1"/>
  <c r="DO120" i="1" s="1"/>
  <c r="DP120" i="1" s="1"/>
  <c r="DI120" i="1"/>
  <c r="DJ120" i="1" s="1"/>
  <c r="DK120" i="1" s="1"/>
  <c r="DD120" i="1"/>
  <c r="DE120" i="1" s="1"/>
  <c r="DF120" i="1" s="1"/>
  <c r="CY120" i="1"/>
  <c r="CZ120" i="1" s="1"/>
  <c r="DA120" i="1" s="1"/>
  <c r="CT120" i="1"/>
  <c r="CU120" i="1" s="1"/>
  <c r="CV120" i="1" s="1"/>
  <c r="CO120" i="1"/>
  <c r="CP120" i="1" s="1"/>
  <c r="CQ120" i="1" s="1"/>
  <c r="CJ120" i="1"/>
  <c r="CK120" i="1" s="1"/>
  <c r="CL120" i="1" s="1"/>
  <c r="CE120" i="1"/>
  <c r="CF120" i="1" s="1"/>
  <c r="CG120" i="1" s="1"/>
  <c r="BZ120" i="1"/>
  <c r="CA120" i="1" s="1"/>
  <c r="CB120" i="1" s="1"/>
  <c r="BU120" i="1"/>
  <c r="BV120" i="1" s="1"/>
  <c r="BW120" i="1" s="1"/>
  <c r="BP120" i="1"/>
  <c r="BQ120" i="1" s="1"/>
  <c r="BR120" i="1" s="1"/>
  <c r="BK120" i="1"/>
  <c r="BL120" i="1" s="1"/>
  <c r="BM120" i="1" s="1"/>
  <c r="BF120" i="1"/>
  <c r="BG120" i="1" s="1"/>
  <c r="BH120" i="1" s="1"/>
  <c r="BA120" i="1"/>
  <c r="BB120" i="1" s="1"/>
  <c r="BC120" i="1" s="1"/>
  <c r="AV120" i="1"/>
  <c r="AW120" i="1" s="1"/>
  <c r="AX120" i="1" s="1"/>
  <c r="AQ120" i="1"/>
  <c r="AR120" i="1" s="1"/>
  <c r="AS120" i="1" s="1"/>
  <c r="AL120" i="1"/>
  <c r="AM120" i="1" s="1"/>
  <c r="AN120" i="1" s="1"/>
  <c r="AG120" i="1"/>
  <c r="AH120" i="1" s="1"/>
  <c r="AI120" i="1" s="1"/>
  <c r="AD120" i="1"/>
  <c r="W120" i="1"/>
  <c r="X120" i="1" s="1"/>
  <c r="Y120" i="1" s="1"/>
  <c r="R120" i="1"/>
  <c r="S120" i="1" s="1"/>
  <c r="T120" i="1" s="1"/>
  <c r="O120" i="1"/>
  <c r="J120" i="1"/>
  <c r="PX119" i="1"/>
  <c r="PS119" i="1"/>
  <c r="PN119" i="1"/>
  <c r="PI119" i="1"/>
  <c r="PD119" i="1"/>
  <c r="OY119" i="1"/>
  <c r="OT119" i="1"/>
  <c r="OO119" i="1"/>
  <c r="OJ119" i="1"/>
  <c r="OE119" i="1"/>
  <c r="NZ119" i="1"/>
  <c r="NU119" i="1"/>
  <c r="NP119" i="1"/>
  <c r="NK119" i="1"/>
  <c r="NF119" i="1"/>
  <c r="NA119" i="1"/>
  <c r="MV119" i="1"/>
  <c r="MQ119" i="1"/>
  <c r="ML119" i="1"/>
  <c r="MG119" i="1"/>
  <c r="MB119" i="1"/>
  <c r="LW119" i="1"/>
  <c r="LR119" i="1"/>
  <c r="LM119" i="1"/>
  <c r="LH119" i="1"/>
  <c r="LC119" i="1"/>
  <c r="KX119" i="1"/>
  <c r="KS119" i="1"/>
  <c r="KN119" i="1"/>
  <c r="KI119" i="1"/>
  <c r="KD119" i="1"/>
  <c r="JY119" i="1"/>
  <c r="JT119" i="1"/>
  <c r="JO119" i="1"/>
  <c r="JJ119" i="1"/>
  <c r="JE119" i="1"/>
  <c r="IZ119" i="1"/>
  <c r="IU119" i="1"/>
  <c r="IP119" i="1"/>
  <c r="IK119" i="1"/>
  <c r="IF119" i="1"/>
  <c r="IA119" i="1"/>
  <c r="HV119" i="1"/>
  <c r="HQ119" i="1"/>
  <c r="HL119" i="1"/>
  <c r="HG119" i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H119" i="1"/>
  <c r="EI119" i="1" s="1"/>
  <c r="EJ119" i="1" s="1"/>
  <c r="EC119" i="1"/>
  <c r="ED119" i="1" s="1"/>
  <c r="EE119" i="1" s="1"/>
  <c r="DX119" i="1"/>
  <c r="DY119" i="1" s="1"/>
  <c r="DZ119" i="1" s="1"/>
  <c r="DS119" i="1"/>
  <c r="DT119" i="1" s="1"/>
  <c r="DU119" i="1" s="1"/>
  <c r="DN119" i="1"/>
  <c r="DO119" i="1" s="1"/>
  <c r="DP119" i="1" s="1"/>
  <c r="DI119" i="1"/>
  <c r="DJ119" i="1" s="1"/>
  <c r="DK119" i="1" s="1"/>
  <c r="DD119" i="1"/>
  <c r="DE119" i="1" s="1"/>
  <c r="DF119" i="1" s="1"/>
  <c r="CY119" i="1"/>
  <c r="CZ119" i="1" s="1"/>
  <c r="DA119" i="1" s="1"/>
  <c r="CT119" i="1"/>
  <c r="CU119" i="1" s="1"/>
  <c r="CV119" i="1" s="1"/>
  <c r="CO119" i="1"/>
  <c r="CP119" i="1" s="1"/>
  <c r="CQ119" i="1" s="1"/>
  <c r="CJ119" i="1"/>
  <c r="CK119" i="1" s="1"/>
  <c r="CL119" i="1" s="1"/>
  <c r="CE119" i="1"/>
  <c r="CF119" i="1" s="1"/>
  <c r="CG119" i="1" s="1"/>
  <c r="BZ119" i="1"/>
  <c r="CA119" i="1" s="1"/>
  <c r="CB119" i="1" s="1"/>
  <c r="BU119" i="1"/>
  <c r="BV119" i="1" s="1"/>
  <c r="BW119" i="1" s="1"/>
  <c r="BP119" i="1"/>
  <c r="BQ119" i="1" s="1"/>
  <c r="BR119" i="1" s="1"/>
  <c r="BK119" i="1"/>
  <c r="BL119" i="1" s="1"/>
  <c r="BM119" i="1" s="1"/>
  <c r="BF119" i="1"/>
  <c r="BG119" i="1" s="1"/>
  <c r="BH119" i="1" s="1"/>
  <c r="BA119" i="1"/>
  <c r="BB119" i="1" s="1"/>
  <c r="BC119" i="1" s="1"/>
  <c r="AV119" i="1"/>
  <c r="AW119" i="1" s="1"/>
  <c r="AX119" i="1" s="1"/>
  <c r="AQ119" i="1"/>
  <c r="AR119" i="1" s="1"/>
  <c r="AS119" i="1" s="1"/>
  <c r="AL119" i="1"/>
  <c r="AM119" i="1" s="1"/>
  <c r="AN119" i="1" s="1"/>
  <c r="AG119" i="1"/>
  <c r="AH119" i="1" s="1"/>
  <c r="AI119" i="1" s="1"/>
  <c r="AD119" i="1"/>
  <c r="W119" i="1"/>
  <c r="X119" i="1" s="1"/>
  <c r="Y119" i="1" s="1"/>
  <c r="T119" i="1"/>
  <c r="O119" i="1"/>
  <c r="H119" i="1"/>
  <c r="I119" i="1" s="1"/>
  <c r="J119" i="1" s="1"/>
  <c r="PX118" i="1"/>
  <c r="PS118" i="1"/>
  <c r="PN118" i="1"/>
  <c r="PI118" i="1"/>
  <c r="PD118" i="1"/>
  <c r="OY118" i="1"/>
  <c r="OT118" i="1"/>
  <c r="OO118" i="1"/>
  <c r="OJ118" i="1"/>
  <c r="OE118" i="1"/>
  <c r="NZ118" i="1"/>
  <c r="NU118" i="1"/>
  <c r="NP118" i="1"/>
  <c r="NK118" i="1"/>
  <c r="NF118" i="1"/>
  <c r="NA118" i="1"/>
  <c r="MV118" i="1"/>
  <c r="MQ118" i="1"/>
  <c r="ML118" i="1"/>
  <c r="MG118" i="1"/>
  <c r="MB118" i="1"/>
  <c r="LW118" i="1"/>
  <c r="LR118" i="1"/>
  <c r="LM118" i="1"/>
  <c r="LH118" i="1"/>
  <c r="LC118" i="1"/>
  <c r="KX118" i="1"/>
  <c r="KS118" i="1"/>
  <c r="KN118" i="1"/>
  <c r="KI118" i="1"/>
  <c r="KD118" i="1"/>
  <c r="JY118" i="1"/>
  <c r="JT118" i="1"/>
  <c r="JO118" i="1"/>
  <c r="JJ118" i="1"/>
  <c r="JE118" i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T118" i="1"/>
  <c r="HU118" i="1" s="1"/>
  <c r="HV118" i="1" s="1"/>
  <c r="HQ118" i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H118" i="1"/>
  <c r="EI118" i="1" s="1"/>
  <c r="EJ118" i="1" s="1"/>
  <c r="EC118" i="1"/>
  <c r="ED118" i="1" s="1"/>
  <c r="EE118" i="1" s="1"/>
  <c r="DX118" i="1"/>
  <c r="DY118" i="1" s="1"/>
  <c r="DZ118" i="1" s="1"/>
  <c r="DS118" i="1"/>
  <c r="DT118" i="1" s="1"/>
  <c r="DU118" i="1" s="1"/>
  <c r="DN118" i="1"/>
  <c r="DO118" i="1" s="1"/>
  <c r="DP118" i="1" s="1"/>
  <c r="DI118" i="1"/>
  <c r="DJ118" i="1" s="1"/>
  <c r="DK118" i="1" s="1"/>
  <c r="DD118" i="1"/>
  <c r="DE118" i="1" s="1"/>
  <c r="DF118" i="1" s="1"/>
  <c r="CY118" i="1"/>
  <c r="CZ118" i="1" s="1"/>
  <c r="DA118" i="1" s="1"/>
  <c r="CT118" i="1"/>
  <c r="CU118" i="1" s="1"/>
  <c r="CV118" i="1" s="1"/>
  <c r="CO118" i="1"/>
  <c r="CP118" i="1" s="1"/>
  <c r="CQ118" i="1" s="1"/>
  <c r="CJ118" i="1"/>
  <c r="CK118" i="1" s="1"/>
  <c r="CL118" i="1" s="1"/>
  <c r="CE118" i="1"/>
  <c r="CF118" i="1" s="1"/>
  <c r="CG118" i="1" s="1"/>
  <c r="BZ118" i="1"/>
  <c r="CA118" i="1" s="1"/>
  <c r="CB118" i="1" s="1"/>
  <c r="BU118" i="1"/>
  <c r="BV118" i="1" s="1"/>
  <c r="BW118" i="1" s="1"/>
  <c r="BP118" i="1"/>
  <c r="BQ118" i="1" s="1"/>
  <c r="BR118" i="1" s="1"/>
  <c r="BK118" i="1"/>
  <c r="BL118" i="1" s="1"/>
  <c r="BM118" i="1" s="1"/>
  <c r="BF118" i="1"/>
  <c r="BG118" i="1" s="1"/>
  <c r="BH118" i="1" s="1"/>
  <c r="BA118" i="1"/>
  <c r="BB118" i="1" s="1"/>
  <c r="BC118" i="1" s="1"/>
  <c r="AV118" i="1"/>
  <c r="AW118" i="1" s="1"/>
  <c r="AX118" i="1" s="1"/>
  <c r="AQ118" i="1"/>
  <c r="AR118" i="1" s="1"/>
  <c r="AS118" i="1" s="1"/>
  <c r="AL118" i="1"/>
  <c r="AM118" i="1" s="1"/>
  <c r="AN118" i="1" s="1"/>
  <c r="AG118" i="1"/>
  <c r="AH118" i="1" s="1"/>
  <c r="AI118" i="1" s="1"/>
  <c r="AB118" i="1"/>
  <c r="AC118" i="1" s="1"/>
  <c r="AD118" i="1" s="1"/>
  <c r="W118" i="1"/>
  <c r="X118" i="1" s="1"/>
  <c r="Y118" i="1" s="1"/>
  <c r="T118" i="1"/>
  <c r="O118" i="1"/>
  <c r="J118" i="1"/>
  <c r="PX117" i="1"/>
  <c r="PS117" i="1"/>
  <c r="PN117" i="1"/>
  <c r="PI117" i="1"/>
  <c r="PD117" i="1"/>
  <c r="OY117" i="1"/>
  <c r="OT117" i="1"/>
  <c r="OO117" i="1"/>
  <c r="OJ117" i="1"/>
  <c r="OE117" i="1"/>
  <c r="NZ117" i="1"/>
  <c r="NU117" i="1"/>
  <c r="NP117" i="1"/>
  <c r="NK117" i="1"/>
  <c r="NF117" i="1"/>
  <c r="NA117" i="1"/>
  <c r="MV117" i="1"/>
  <c r="MQ117" i="1"/>
  <c r="ML117" i="1"/>
  <c r="MG117" i="1"/>
  <c r="MB117" i="1"/>
  <c r="LW117" i="1"/>
  <c r="LR117" i="1"/>
  <c r="LM117" i="1"/>
  <c r="LH117" i="1"/>
  <c r="LA117" i="1"/>
  <c r="LB117" i="1" s="1"/>
  <c r="LC117" i="1" s="1"/>
  <c r="KX117" i="1"/>
  <c r="KS117" i="1"/>
  <c r="KN117" i="1"/>
  <c r="KG117" i="1"/>
  <c r="KH117" i="1" s="1"/>
  <c r="KI117" i="1" s="1"/>
  <c r="KD117" i="1"/>
  <c r="JY117" i="1"/>
  <c r="JT117" i="1"/>
  <c r="JO117" i="1"/>
  <c r="JJ117" i="1"/>
  <c r="JE117" i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T117" i="1"/>
  <c r="HU117" i="1" s="1"/>
  <c r="HV117" i="1" s="1"/>
  <c r="HQ117" i="1"/>
  <c r="HL117" i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H117" i="1"/>
  <c r="EI117" i="1" s="1"/>
  <c r="EJ117" i="1" s="1"/>
  <c r="EC117" i="1"/>
  <c r="ED117" i="1" s="1"/>
  <c r="EE117" i="1" s="1"/>
  <c r="DX117" i="1"/>
  <c r="DY117" i="1" s="1"/>
  <c r="DZ117" i="1" s="1"/>
  <c r="DS117" i="1"/>
  <c r="DT117" i="1" s="1"/>
  <c r="DU117" i="1" s="1"/>
  <c r="DN117" i="1"/>
  <c r="DO117" i="1" s="1"/>
  <c r="DP117" i="1" s="1"/>
  <c r="DI117" i="1"/>
  <c r="DJ117" i="1" s="1"/>
  <c r="DK117" i="1" s="1"/>
  <c r="DD117" i="1"/>
  <c r="DE117" i="1" s="1"/>
  <c r="DF117" i="1" s="1"/>
  <c r="CY117" i="1"/>
  <c r="CZ117" i="1" s="1"/>
  <c r="DA117" i="1" s="1"/>
  <c r="CT117" i="1"/>
  <c r="CU117" i="1" s="1"/>
  <c r="CV117" i="1" s="1"/>
  <c r="CO117" i="1"/>
  <c r="CP117" i="1" s="1"/>
  <c r="CQ117" i="1" s="1"/>
  <c r="CJ117" i="1"/>
  <c r="CK117" i="1" s="1"/>
  <c r="CL117" i="1" s="1"/>
  <c r="CE117" i="1"/>
  <c r="CF117" i="1" s="1"/>
  <c r="CG117" i="1" s="1"/>
  <c r="BZ117" i="1"/>
  <c r="CA117" i="1" s="1"/>
  <c r="CB117" i="1" s="1"/>
  <c r="BU117" i="1"/>
  <c r="BV117" i="1" s="1"/>
  <c r="BW117" i="1" s="1"/>
  <c r="BP117" i="1"/>
  <c r="BQ117" i="1" s="1"/>
  <c r="BR117" i="1" s="1"/>
  <c r="BK117" i="1"/>
  <c r="BL117" i="1" s="1"/>
  <c r="BM117" i="1" s="1"/>
  <c r="BF117" i="1"/>
  <c r="BG117" i="1" s="1"/>
  <c r="BH117" i="1" s="1"/>
  <c r="BA117" i="1"/>
  <c r="BB117" i="1" s="1"/>
  <c r="BC117" i="1" s="1"/>
  <c r="AV117" i="1"/>
  <c r="AW117" i="1" s="1"/>
  <c r="AX117" i="1" s="1"/>
  <c r="AQ117" i="1"/>
  <c r="AR117" i="1" s="1"/>
  <c r="AS117" i="1" s="1"/>
  <c r="AL117" i="1"/>
  <c r="AM117" i="1" s="1"/>
  <c r="AN117" i="1" s="1"/>
  <c r="AG117" i="1"/>
  <c r="AH117" i="1" s="1"/>
  <c r="AI117" i="1" s="1"/>
  <c r="AB117" i="1"/>
  <c r="AC117" i="1" s="1"/>
  <c r="AD117" i="1" s="1"/>
  <c r="W117" i="1"/>
  <c r="X117" i="1" s="1"/>
  <c r="Y117" i="1" s="1"/>
  <c r="T117" i="1"/>
  <c r="O117" i="1"/>
  <c r="J117" i="1"/>
  <c r="PX116" i="1"/>
  <c r="PS116" i="1"/>
  <c r="PN116" i="1"/>
  <c r="PI116" i="1"/>
  <c r="PD116" i="1"/>
  <c r="OY116" i="1"/>
  <c r="OT116" i="1"/>
  <c r="OO116" i="1"/>
  <c r="OJ116" i="1"/>
  <c r="OE116" i="1"/>
  <c r="NZ116" i="1"/>
  <c r="NU116" i="1"/>
  <c r="NP116" i="1"/>
  <c r="NK116" i="1"/>
  <c r="NF116" i="1"/>
  <c r="NA116" i="1"/>
  <c r="MV116" i="1"/>
  <c r="MQ116" i="1"/>
  <c r="ML116" i="1"/>
  <c r="MG116" i="1"/>
  <c r="MB116" i="1"/>
  <c r="LW116" i="1"/>
  <c r="LR116" i="1"/>
  <c r="LM116" i="1"/>
  <c r="LH116" i="1"/>
  <c r="LC116" i="1"/>
  <c r="KX116" i="1"/>
  <c r="KQ116" i="1"/>
  <c r="KR116" i="1" s="1"/>
  <c r="KS116" i="1" s="1"/>
  <c r="KN116" i="1"/>
  <c r="KG116" i="1"/>
  <c r="KH116" i="1" s="1"/>
  <c r="KI116" i="1" s="1"/>
  <c r="KD116" i="1"/>
  <c r="JY116" i="1"/>
  <c r="JT116" i="1"/>
  <c r="JO116" i="1"/>
  <c r="JJ116" i="1"/>
  <c r="JE116" i="1"/>
  <c r="IZ116" i="1"/>
  <c r="IU116" i="1"/>
  <c r="IP116" i="1"/>
  <c r="IK116" i="1"/>
  <c r="IF116" i="1"/>
  <c r="IA116" i="1"/>
  <c r="HV116" i="1"/>
  <c r="HQ116" i="1"/>
  <c r="HL116" i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H116" i="1"/>
  <c r="EI116" i="1" s="1"/>
  <c r="EJ116" i="1" s="1"/>
  <c r="EC116" i="1"/>
  <c r="ED116" i="1" s="1"/>
  <c r="EE116" i="1" s="1"/>
  <c r="DX116" i="1"/>
  <c r="DY116" i="1" s="1"/>
  <c r="DZ116" i="1" s="1"/>
  <c r="DS116" i="1"/>
  <c r="DT116" i="1" s="1"/>
  <c r="DU116" i="1" s="1"/>
  <c r="DN116" i="1"/>
  <c r="DO116" i="1" s="1"/>
  <c r="DP116" i="1" s="1"/>
  <c r="DI116" i="1"/>
  <c r="DJ116" i="1" s="1"/>
  <c r="DK116" i="1" s="1"/>
  <c r="DD116" i="1"/>
  <c r="DE116" i="1" s="1"/>
  <c r="DF116" i="1" s="1"/>
  <c r="CY116" i="1"/>
  <c r="CZ116" i="1" s="1"/>
  <c r="DA116" i="1" s="1"/>
  <c r="CT116" i="1"/>
  <c r="CU116" i="1" s="1"/>
  <c r="CV116" i="1" s="1"/>
  <c r="CO116" i="1"/>
  <c r="CP116" i="1" s="1"/>
  <c r="CQ116" i="1" s="1"/>
  <c r="CJ116" i="1"/>
  <c r="CK116" i="1" s="1"/>
  <c r="CL116" i="1" s="1"/>
  <c r="CE116" i="1"/>
  <c r="CF116" i="1" s="1"/>
  <c r="CG116" i="1" s="1"/>
  <c r="BZ116" i="1"/>
  <c r="CA116" i="1" s="1"/>
  <c r="CB116" i="1" s="1"/>
  <c r="BU116" i="1"/>
  <c r="BV116" i="1" s="1"/>
  <c r="BW116" i="1" s="1"/>
  <c r="BP116" i="1"/>
  <c r="BQ116" i="1" s="1"/>
  <c r="BR116" i="1" s="1"/>
  <c r="BK116" i="1"/>
  <c r="BL116" i="1" s="1"/>
  <c r="BM116" i="1" s="1"/>
  <c r="BF116" i="1"/>
  <c r="BG116" i="1" s="1"/>
  <c r="BH116" i="1" s="1"/>
  <c r="BA116" i="1"/>
  <c r="BB116" i="1" s="1"/>
  <c r="BC116" i="1" s="1"/>
  <c r="AV116" i="1"/>
  <c r="AW116" i="1" s="1"/>
  <c r="AX116" i="1" s="1"/>
  <c r="AQ116" i="1"/>
  <c r="AR116" i="1" s="1"/>
  <c r="AS116" i="1" s="1"/>
  <c r="AL116" i="1"/>
  <c r="AM116" i="1" s="1"/>
  <c r="AN116" i="1" s="1"/>
  <c r="AG116" i="1"/>
  <c r="AH116" i="1" s="1"/>
  <c r="AI116" i="1" s="1"/>
  <c r="AB116" i="1"/>
  <c r="AC116" i="1" s="1"/>
  <c r="AD116" i="1" s="1"/>
  <c r="W116" i="1"/>
  <c r="X116" i="1" s="1"/>
  <c r="Y116" i="1" s="1"/>
  <c r="T116" i="1"/>
  <c r="O116" i="1"/>
  <c r="J116" i="1"/>
  <c r="PV115" i="1"/>
  <c r="PW115" i="1" s="1"/>
  <c r="PX115" i="1" s="1"/>
  <c r="PS115" i="1"/>
  <c r="PN115" i="1"/>
  <c r="PI115" i="1"/>
  <c r="PD115" i="1"/>
  <c r="OY115" i="1"/>
  <c r="OT115" i="1"/>
  <c r="OO115" i="1"/>
  <c r="OJ115" i="1"/>
  <c r="OE115" i="1"/>
  <c r="NZ115" i="1"/>
  <c r="NU115" i="1"/>
  <c r="NP115" i="1"/>
  <c r="NK115" i="1"/>
  <c r="NF115" i="1"/>
  <c r="NA115" i="1"/>
  <c r="MV115" i="1"/>
  <c r="MQ115" i="1"/>
  <c r="ML115" i="1"/>
  <c r="MG115" i="1"/>
  <c r="MB115" i="1"/>
  <c r="LW115" i="1"/>
  <c r="LR115" i="1"/>
  <c r="LM115" i="1"/>
  <c r="LH115" i="1"/>
  <c r="LC115" i="1"/>
  <c r="KX115" i="1"/>
  <c r="KS115" i="1"/>
  <c r="KN115" i="1"/>
  <c r="KI115" i="1"/>
  <c r="KD115" i="1"/>
  <c r="JY115" i="1"/>
  <c r="JT115" i="1"/>
  <c r="JO115" i="1"/>
  <c r="JJ115" i="1"/>
  <c r="JE115" i="1"/>
  <c r="IZ115" i="1"/>
  <c r="IU115" i="1"/>
  <c r="IP115" i="1"/>
  <c r="IK115" i="1"/>
  <c r="IF115" i="1"/>
  <c r="IA115" i="1"/>
  <c r="HV115" i="1"/>
  <c r="HQ115" i="1"/>
  <c r="HL115" i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H115" i="1"/>
  <c r="EI115" i="1" s="1"/>
  <c r="EJ115" i="1" s="1"/>
  <c r="EC115" i="1"/>
  <c r="ED115" i="1" s="1"/>
  <c r="EE115" i="1" s="1"/>
  <c r="DX115" i="1"/>
  <c r="DY115" i="1" s="1"/>
  <c r="DZ115" i="1" s="1"/>
  <c r="DS115" i="1"/>
  <c r="DT115" i="1" s="1"/>
  <c r="DU115" i="1" s="1"/>
  <c r="DN115" i="1"/>
  <c r="DO115" i="1" s="1"/>
  <c r="DP115" i="1" s="1"/>
  <c r="DI115" i="1"/>
  <c r="DJ115" i="1" s="1"/>
  <c r="DK115" i="1" s="1"/>
  <c r="DD115" i="1"/>
  <c r="DE115" i="1" s="1"/>
  <c r="DF115" i="1" s="1"/>
  <c r="CY115" i="1"/>
  <c r="CZ115" i="1" s="1"/>
  <c r="DA115" i="1" s="1"/>
  <c r="CT115" i="1"/>
  <c r="CU115" i="1" s="1"/>
  <c r="CV115" i="1" s="1"/>
  <c r="CO115" i="1"/>
  <c r="CP115" i="1" s="1"/>
  <c r="CQ115" i="1" s="1"/>
  <c r="CJ115" i="1"/>
  <c r="CK115" i="1" s="1"/>
  <c r="CL115" i="1" s="1"/>
  <c r="CE115" i="1"/>
  <c r="CF115" i="1" s="1"/>
  <c r="CG115" i="1" s="1"/>
  <c r="BZ115" i="1"/>
  <c r="CA115" i="1" s="1"/>
  <c r="CB115" i="1" s="1"/>
  <c r="BU115" i="1"/>
  <c r="BV115" i="1" s="1"/>
  <c r="BW115" i="1" s="1"/>
  <c r="BP115" i="1"/>
  <c r="BQ115" i="1" s="1"/>
  <c r="BR115" i="1" s="1"/>
  <c r="BK115" i="1"/>
  <c r="BL115" i="1" s="1"/>
  <c r="BM115" i="1" s="1"/>
  <c r="BF115" i="1"/>
  <c r="BG115" i="1" s="1"/>
  <c r="BH115" i="1" s="1"/>
  <c r="BA115" i="1"/>
  <c r="BB115" i="1" s="1"/>
  <c r="BC115" i="1" s="1"/>
  <c r="AV115" i="1"/>
  <c r="AW115" i="1" s="1"/>
  <c r="AX115" i="1" s="1"/>
  <c r="AQ115" i="1"/>
  <c r="AR115" i="1" s="1"/>
  <c r="AS115" i="1" s="1"/>
  <c r="AL115" i="1"/>
  <c r="AM115" i="1" s="1"/>
  <c r="AN115" i="1" s="1"/>
  <c r="AG115" i="1"/>
  <c r="AH115" i="1" s="1"/>
  <c r="AI115" i="1" s="1"/>
  <c r="AB115" i="1"/>
  <c r="AC115" i="1" s="1"/>
  <c r="AD115" i="1" s="1"/>
  <c r="W115" i="1"/>
  <c r="X115" i="1" s="1"/>
  <c r="Y115" i="1" s="1"/>
  <c r="R115" i="1"/>
  <c r="S115" i="1" s="1"/>
  <c r="T115" i="1" s="1"/>
  <c r="O115" i="1"/>
  <c r="J115" i="1"/>
  <c r="PX114" i="1"/>
  <c r="PS114" i="1"/>
  <c r="PN114" i="1"/>
  <c r="PI114" i="1"/>
  <c r="PD114" i="1"/>
  <c r="OY114" i="1"/>
  <c r="OT114" i="1"/>
  <c r="OO114" i="1"/>
  <c r="OJ114" i="1"/>
  <c r="OE114" i="1"/>
  <c r="NZ114" i="1"/>
  <c r="NU114" i="1"/>
  <c r="NP114" i="1"/>
  <c r="NK114" i="1"/>
  <c r="NF114" i="1"/>
  <c r="NA114" i="1"/>
  <c r="MV114" i="1"/>
  <c r="MQ114" i="1"/>
  <c r="ML114" i="1"/>
  <c r="MG114" i="1"/>
  <c r="LZ114" i="1"/>
  <c r="MA114" i="1" s="1"/>
  <c r="MB114" i="1" s="1"/>
  <c r="LU114" i="1"/>
  <c r="LV114" i="1" s="1"/>
  <c r="LW114" i="1" s="1"/>
  <c r="LR114" i="1"/>
  <c r="LM114" i="1"/>
  <c r="LH114" i="1"/>
  <c r="LA114" i="1"/>
  <c r="LB114" i="1" s="1"/>
  <c r="LC114" i="1" s="1"/>
  <c r="KX114" i="1"/>
  <c r="KQ114" i="1"/>
  <c r="KR114" i="1" s="1"/>
  <c r="KS114" i="1" s="1"/>
  <c r="KN114" i="1"/>
  <c r="KG114" i="1"/>
  <c r="KH114" i="1" s="1"/>
  <c r="KI114" i="1" s="1"/>
  <c r="KD114" i="1"/>
  <c r="JY114" i="1"/>
  <c r="JT114" i="1"/>
  <c r="JO114" i="1"/>
  <c r="JJ114" i="1"/>
  <c r="JE114" i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H114" i="1"/>
  <c r="EI114" i="1" s="1"/>
  <c r="EJ114" i="1" s="1"/>
  <c r="EC114" i="1"/>
  <c r="ED114" i="1" s="1"/>
  <c r="EE114" i="1" s="1"/>
  <c r="DX114" i="1"/>
  <c r="DY114" i="1" s="1"/>
  <c r="DZ114" i="1" s="1"/>
  <c r="DS114" i="1"/>
  <c r="DT114" i="1" s="1"/>
  <c r="DU114" i="1" s="1"/>
  <c r="DN114" i="1"/>
  <c r="DO114" i="1" s="1"/>
  <c r="DP114" i="1" s="1"/>
  <c r="DI114" i="1"/>
  <c r="DJ114" i="1" s="1"/>
  <c r="DK114" i="1" s="1"/>
  <c r="DD114" i="1"/>
  <c r="DE114" i="1" s="1"/>
  <c r="DF114" i="1" s="1"/>
  <c r="CY114" i="1"/>
  <c r="CZ114" i="1" s="1"/>
  <c r="DA114" i="1" s="1"/>
  <c r="CT114" i="1"/>
  <c r="CU114" i="1" s="1"/>
  <c r="CV114" i="1" s="1"/>
  <c r="CO114" i="1"/>
  <c r="CP114" i="1" s="1"/>
  <c r="CQ114" i="1" s="1"/>
  <c r="CJ114" i="1"/>
  <c r="CK114" i="1" s="1"/>
  <c r="CL114" i="1" s="1"/>
  <c r="CE114" i="1"/>
  <c r="CF114" i="1" s="1"/>
  <c r="CG114" i="1" s="1"/>
  <c r="BZ114" i="1"/>
  <c r="CA114" i="1" s="1"/>
  <c r="CB114" i="1" s="1"/>
  <c r="BU114" i="1"/>
  <c r="BV114" i="1" s="1"/>
  <c r="BW114" i="1" s="1"/>
  <c r="BP114" i="1"/>
  <c r="BQ114" i="1" s="1"/>
  <c r="BR114" i="1" s="1"/>
  <c r="BK114" i="1"/>
  <c r="BL114" i="1" s="1"/>
  <c r="BM114" i="1" s="1"/>
  <c r="BF114" i="1"/>
  <c r="BG114" i="1" s="1"/>
  <c r="BH114" i="1" s="1"/>
  <c r="BA114" i="1"/>
  <c r="BB114" i="1" s="1"/>
  <c r="BC114" i="1" s="1"/>
  <c r="AV114" i="1"/>
  <c r="AW114" i="1" s="1"/>
  <c r="AX114" i="1" s="1"/>
  <c r="AQ114" i="1"/>
  <c r="AR114" i="1" s="1"/>
  <c r="AS114" i="1" s="1"/>
  <c r="AL114" i="1"/>
  <c r="AM114" i="1" s="1"/>
  <c r="AN114" i="1" s="1"/>
  <c r="AG114" i="1"/>
  <c r="AH114" i="1" s="1"/>
  <c r="AI114" i="1" s="1"/>
  <c r="AB114" i="1"/>
  <c r="AC114" i="1" s="1"/>
  <c r="AD114" i="1" s="1"/>
  <c r="W114" i="1"/>
  <c r="X114" i="1" s="1"/>
  <c r="Y114" i="1" s="1"/>
  <c r="T114" i="1"/>
  <c r="O114" i="1"/>
  <c r="J114" i="1"/>
  <c r="PX113" i="1"/>
  <c r="PS113" i="1"/>
  <c r="PN113" i="1"/>
  <c r="PI113" i="1"/>
  <c r="PD113" i="1"/>
  <c r="OY113" i="1"/>
  <c r="OT113" i="1"/>
  <c r="OO113" i="1"/>
  <c r="OJ113" i="1"/>
  <c r="OE113" i="1"/>
  <c r="NZ113" i="1"/>
  <c r="NU113" i="1"/>
  <c r="NP113" i="1"/>
  <c r="NK113" i="1"/>
  <c r="NF113" i="1"/>
  <c r="NA113" i="1"/>
  <c r="MV113" i="1"/>
  <c r="MQ113" i="1"/>
  <c r="ML113" i="1"/>
  <c r="MG113" i="1"/>
  <c r="MB113" i="1"/>
  <c r="LW113" i="1"/>
  <c r="LR113" i="1"/>
  <c r="LM113" i="1"/>
  <c r="LH113" i="1"/>
  <c r="LC113" i="1"/>
  <c r="KV113" i="1"/>
  <c r="KW113" i="1" s="1"/>
  <c r="KX113" i="1" s="1"/>
  <c r="KS113" i="1"/>
  <c r="KN113" i="1"/>
  <c r="KI113" i="1"/>
  <c r="KD113" i="1"/>
  <c r="JY113" i="1"/>
  <c r="JT113" i="1"/>
  <c r="JO113" i="1"/>
  <c r="JJ113" i="1"/>
  <c r="JE113" i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H113" i="1"/>
  <c r="EI113" i="1" s="1"/>
  <c r="EJ113" i="1" s="1"/>
  <c r="EC113" i="1"/>
  <c r="ED113" i="1" s="1"/>
  <c r="EE113" i="1" s="1"/>
  <c r="DX113" i="1"/>
  <c r="DY113" i="1" s="1"/>
  <c r="DZ113" i="1" s="1"/>
  <c r="DS113" i="1"/>
  <c r="DT113" i="1" s="1"/>
  <c r="DU113" i="1" s="1"/>
  <c r="DN113" i="1"/>
  <c r="DO113" i="1" s="1"/>
  <c r="DP113" i="1" s="1"/>
  <c r="DI113" i="1"/>
  <c r="DJ113" i="1" s="1"/>
  <c r="DK113" i="1" s="1"/>
  <c r="DD113" i="1"/>
  <c r="DE113" i="1" s="1"/>
  <c r="DF113" i="1" s="1"/>
  <c r="CY113" i="1"/>
  <c r="CZ113" i="1" s="1"/>
  <c r="DA113" i="1" s="1"/>
  <c r="CT113" i="1"/>
  <c r="CU113" i="1" s="1"/>
  <c r="CV113" i="1" s="1"/>
  <c r="CO113" i="1"/>
  <c r="CP113" i="1" s="1"/>
  <c r="CQ113" i="1" s="1"/>
  <c r="CJ113" i="1"/>
  <c r="CK113" i="1" s="1"/>
  <c r="CL113" i="1" s="1"/>
  <c r="CE113" i="1"/>
  <c r="CF113" i="1" s="1"/>
  <c r="CG113" i="1" s="1"/>
  <c r="BZ113" i="1"/>
  <c r="CA113" i="1" s="1"/>
  <c r="CB113" i="1" s="1"/>
  <c r="BU113" i="1"/>
  <c r="BV113" i="1" s="1"/>
  <c r="BW113" i="1" s="1"/>
  <c r="BP113" i="1"/>
  <c r="BQ113" i="1" s="1"/>
  <c r="BR113" i="1" s="1"/>
  <c r="BK113" i="1"/>
  <c r="BL113" i="1" s="1"/>
  <c r="BM113" i="1" s="1"/>
  <c r="BF113" i="1"/>
  <c r="BG113" i="1" s="1"/>
  <c r="BH113" i="1" s="1"/>
  <c r="BA113" i="1"/>
  <c r="BB113" i="1" s="1"/>
  <c r="BC113" i="1" s="1"/>
  <c r="AV113" i="1"/>
  <c r="AW113" i="1" s="1"/>
  <c r="AX113" i="1" s="1"/>
  <c r="AQ113" i="1"/>
  <c r="AR113" i="1" s="1"/>
  <c r="AS113" i="1" s="1"/>
  <c r="AL113" i="1"/>
  <c r="AM113" i="1" s="1"/>
  <c r="AN113" i="1" s="1"/>
  <c r="AG113" i="1"/>
  <c r="AH113" i="1" s="1"/>
  <c r="AI113" i="1" s="1"/>
  <c r="AB113" i="1"/>
  <c r="AC113" i="1" s="1"/>
  <c r="AD113" i="1" s="1"/>
  <c r="W113" i="1"/>
  <c r="X113" i="1" s="1"/>
  <c r="Y113" i="1" s="1"/>
  <c r="T113" i="1"/>
  <c r="O113" i="1"/>
  <c r="J113" i="1"/>
  <c r="PX112" i="1"/>
  <c r="PS112" i="1"/>
  <c r="PN112" i="1"/>
  <c r="PI112" i="1"/>
  <c r="PD112" i="1"/>
  <c r="OY112" i="1"/>
  <c r="OT112" i="1"/>
  <c r="OO112" i="1"/>
  <c r="OJ112" i="1"/>
  <c r="OC112" i="1"/>
  <c r="OD112" i="1" s="1"/>
  <c r="OE112" i="1" s="1"/>
  <c r="NX112" i="1"/>
  <c r="NY112" i="1" s="1"/>
  <c r="NZ112" i="1" s="1"/>
  <c r="NU112" i="1"/>
  <c r="NP112" i="1"/>
  <c r="NK112" i="1"/>
  <c r="NF112" i="1"/>
  <c r="NA112" i="1"/>
  <c r="MV112" i="1"/>
  <c r="MQ112" i="1"/>
  <c r="ML112" i="1"/>
  <c r="MG112" i="1"/>
  <c r="MB112" i="1"/>
  <c r="LW112" i="1"/>
  <c r="LR112" i="1"/>
  <c r="LM112" i="1"/>
  <c r="LH112" i="1"/>
  <c r="LC112" i="1"/>
  <c r="KX112" i="1"/>
  <c r="KS112" i="1"/>
  <c r="KN112" i="1"/>
  <c r="KI112" i="1"/>
  <c r="KD112" i="1"/>
  <c r="JY112" i="1"/>
  <c r="JT112" i="1"/>
  <c r="JO112" i="1"/>
  <c r="JJ112" i="1"/>
  <c r="JE112" i="1"/>
  <c r="IZ112" i="1"/>
  <c r="IU112" i="1"/>
  <c r="IP112" i="1"/>
  <c r="IK112" i="1"/>
  <c r="IF112" i="1"/>
  <c r="IA112" i="1"/>
  <c r="HV112" i="1"/>
  <c r="HQ112" i="1"/>
  <c r="HL112" i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H112" i="1"/>
  <c r="EI112" i="1" s="1"/>
  <c r="EJ112" i="1" s="1"/>
  <c r="EC112" i="1"/>
  <c r="ED112" i="1" s="1"/>
  <c r="EE112" i="1" s="1"/>
  <c r="DX112" i="1"/>
  <c r="DY112" i="1" s="1"/>
  <c r="DZ112" i="1" s="1"/>
  <c r="DS112" i="1"/>
  <c r="DT112" i="1" s="1"/>
  <c r="DU112" i="1" s="1"/>
  <c r="DN112" i="1"/>
  <c r="DO112" i="1" s="1"/>
  <c r="DP112" i="1" s="1"/>
  <c r="DI112" i="1"/>
  <c r="DJ112" i="1" s="1"/>
  <c r="DK112" i="1" s="1"/>
  <c r="DD112" i="1"/>
  <c r="DE112" i="1" s="1"/>
  <c r="DF112" i="1" s="1"/>
  <c r="CY112" i="1"/>
  <c r="CZ112" i="1" s="1"/>
  <c r="DA112" i="1" s="1"/>
  <c r="CT112" i="1"/>
  <c r="CU112" i="1" s="1"/>
  <c r="CV112" i="1" s="1"/>
  <c r="CO112" i="1"/>
  <c r="CP112" i="1" s="1"/>
  <c r="CQ112" i="1" s="1"/>
  <c r="CJ112" i="1"/>
  <c r="CK112" i="1" s="1"/>
  <c r="CL112" i="1" s="1"/>
  <c r="CE112" i="1"/>
  <c r="CF112" i="1" s="1"/>
  <c r="CG112" i="1" s="1"/>
  <c r="BZ112" i="1"/>
  <c r="CA112" i="1" s="1"/>
  <c r="CB112" i="1" s="1"/>
  <c r="BU112" i="1"/>
  <c r="BV112" i="1" s="1"/>
  <c r="BW112" i="1" s="1"/>
  <c r="BP112" i="1"/>
  <c r="BQ112" i="1" s="1"/>
  <c r="BR112" i="1" s="1"/>
  <c r="BK112" i="1"/>
  <c r="BL112" i="1" s="1"/>
  <c r="BM112" i="1" s="1"/>
  <c r="BF112" i="1"/>
  <c r="BG112" i="1" s="1"/>
  <c r="BH112" i="1" s="1"/>
  <c r="BA112" i="1"/>
  <c r="BB112" i="1" s="1"/>
  <c r="BC112" i="1" s="1"/>
  <c r="AV112" i="1"/>
  <c r="AW112" i="1" s="1"/>
  <c r="AX112" i="1" s="1"/>
  <c r="AQ112" i="1"/>
  <c r="AR112" i="1" s="1"/>
  <c r="AS112" i="1" s="1"/>
  <c r="AL112" i="1"/>
  <c r="AM112" i="1" s="1"/>
  <c r="AN112" i="1" s="1"/>
  <c r="AG112" i="1"/>
  <c r="AH112" i="1" s="1"/>
  <c r="AI112" i="1" s="1"/>
  <c r="AB112" i="1"/>
  <c r="AC112" i="1" s="1"/>
  <c r="AD112" i="1" s="1"/>
  <c r="W112" i="1"/>
  <c r="X112" i="1" s="1"/>
  <c r="Y112" i="1" s="1"/>
  <c r="R112" i="1"/>
  <c r="S112" i="1" s="1"/>
  <c r="T112" i="1" s="1"/>
  <c r="O112" i="1"/>
  <c r="J112" i="1"/>
  <c r="PX111" i="1"/>
  <c r="PS111" i="1"/>
  <c r="PN111" i="1"/>
  <c r="PI111" i="1"/>
  <c r="PD111" i="1"/>
  <c r="OY111" i="1"/>
  <c r="OT111" i="1"/>
  <c r="OO111" i="1"/>
  <c r="OJ111" i="1"/>
  <c r="OE111" i="1"/>
  <c r="NZ111" i="1"/>
  <c r="NU111" i="1"/>
  <c r="NP111" i="1"/>
  <c r="NK111" i="1"/>
  <c r="NF111" i="1"/>
  <c r="NA111" i="1"/>
  <c r="MT111" i="1"/>
  <c r="MU111" i="1" s="1"/>
  <c r="MV111" i="1" s="1"/>
  <c r="MO111" i="1"/>
  <c r="MP111" i="1" s="1"/>
  <c r="MQ111" i="1" s="1"/>
  <c r="ML111" i="1"/>
  <c r="MG111" i="1"/>
  <c r="MB111" i="1"/>
  <c r="LW111" i="1"/>
  <c r="LR111" i="1"/>
  <c r="LM111" i="1"/>
  <c r="LH111" i="1"/>
  <c r="LC111" i="1"/>
  <c r="KV111" i="1"/>
  <c r="KW111" i="1" s="1"/>
  <c r="KX111" i="1" s="1"/>
  <c r="KQ111" i="1"/>
  <c r="KR111" i="1" s="1"/>
  <c r="KS111" i="1" s="1"/>
  <c r="KN111" i="1"/>
  <c r="KI111" i="1"/>
  <c r="KD111" i="1"/>
  <c r="JY111" i="1"/>
  <c r="JT111" i="1"/>
  <c r="JO111" i="1"/>
  <c r="JJ111" i="1"/>
  <c r="JE111" i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H111" i="1"/>
  <c r="EI111" i="1" s="1"/>
  <c r="EJ111" i="1" s="1"/>
  <c r="EC111" i="1"/>
  <c r="ED111" i="1" s="1"/>
  <c r="EE111" i="1" s="1"/>
  <c r="DX111" i="1"/>
  <c r="DY111" i="1" s="1"/>
  <c r="DZ111" i="1" s="1"/>
  <c r="DS111" i="1"/>
  <c r="DT111" i="1" s="1"/>
  <c r="DU111" i="1" s="1"/>
  <c r="DN111" i="1"/>
  <c r="DO111" i="1" s="1"/>
  <c r="DP111" i="1" s="1"/>
  <c r="DI111" i="1"/>
  <c r="DJ111" i="1" s="1"/>
  <c r="DK111" i="1" s="1"/>
  <c r="DD111" i="1"/>
  <c r="DE111" i="1" s="1"/>
  <c r="DF111" i="1" s="1"/>
  <c r="CY111" i="1"/>
  <c r="CZ111" i="1" s="1"/>
  <c r="DA111" i="1" s="1"/>
  <c r="CT111" i="1"/>
  <c r="CU111" i="1" s="1"/>
  <c r="CV111" i="1" s="1"/>
  <c r="CO111" i="1"/>
  <c r="CP111" i="1" s="1"/>
  <c r="CQ111" i="1" s="1"/>
  <c r="CJ111" i="1"/>
  <c r="CK111" i="1" s="1"/>
  <c r="CL111" i="1" s="1"/>
  <c r="CE111" i="1"/>
  <c r="CF111" i="1" s="1"/>
  <c r="CG111" i="1" s="1"/>
  <c r="BZ111" i="1"/>
  <c r="CA111" i="1" s="1"/>
  <c r="CB111" i="1" s="1"/>
  <c r="BU111" i="1"/>
  <c r="BV111" i="1" s="1"/>
  <c r="BW111" i="1" s="1"/>
  <c r="BP111" i="1"/>
  <c r="BQ111" i="1" s="1"/>
  <c r="BR111" i="1" s="1"/>
  <c r="BK111" i="1"/>
  <c r="BL111" i="1" s="1"/>
  <c r="BM111" i="1" s="1"/>
  <c r="BF111" i="1"/>
  <c r="BG111" i="1" s="1"/>
  <c r="BH111" i="1" s="1"/>
  <c r="BA111" i="1"/>
  <c r="BB111" i="1" s="1"/>
  <c r="BC111" i="1" s="1"/>
  <c r="AV111" i="1"/>
  <c r="AW111" i="1" s="1"/>
  <c r="AX111" i="1" s="1"/>
  <c r="AQ111" i="1"/>
  <c r="AR111" i="1" s="1"/>
  <c r="AS111" i="1" s="1"/>
  <c r="AL111" i="1"/>
  <c r="AM111" i="1" s="1"/>
  <c r="AN111" i="1" s="1"/>
  <c r="AG111" i="1"/>
  <c r="AH111" i="1" s="1"/>
  <c r="AI111" i="1" s="1"/>
  <c r="AB111" i="1"/>
  <c r="AC111" i="1" s="1"/>
  <c r="AD111" i="1" s="1"/>
  <c r="W111" i="1"/>
  <c r="X111" i="1" s="1"/>
  <c r="Y111" i="1" s="1"/>
  <c r="T111" i="1"/>
  <c r="O111" i="1"/>
  <c r="J111" i="1"/>
  <c r="PX110" i="1"/>
  <c r="PS110" i="1"/>
  <c r="PN110" i="1"/>
  <c r="PI110" i="1"/>
  <c r="PD110" i="1"/>
  <c r="OY110" i="1"/>
  <c r="OT110" i="1"/>
  <c r="OO110" i="1"/>
  <c r="OJ110" i="1"/>
  <c r="OE110" i="1"/>
  <c r="NZ110" i="1"/>
  <c r="NU110" i="1"/>
  <c r="NP110" i="1"/>
  <c r="NK110" i="1"/>
  <c r="NF110" i="1"/>
  <c r="NA110" i="1"/>
  <c r="MV110" i="1"/>
  <c r="MQ110" i="1"/>
  <c r="ML110" i="1"/>
  <c r="MG110" i="1"/>
  <c r="MB110" i="1"/>
  <c r="LW110" i="1"/>
  <c r="LR110" i="1"/>
  <c r="LM110" i="1"/>
  <c r="LH110" i="1"/>
  <c r="LC110" i="1"/>
  <c r="KX110" i="1"/>
  <c r="KS110" i="1"/>
  <c r="KN110" i="1"/>
  <c r="KG110" i="1"/>
  <c r="KH110" i="1" s="1"/>
  <c r="KI110" i="1" s="1"/>
  <c r="KD110" i="1"/>
  <c r="JY110" i="1"/>
  <c r="JT110" i="1"/>
  <c r="JO110" i="1"/>
  <c r="JJ110" i="1"/>
  <c r="JE110" i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E110" i="1"/>
  <c r="HF110" i="1" s="1"/>
  <c r="HG110" i="1" s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H110" i="1"/>
  <c r="EI110" i="1" s="1"/>
  <c r="EJ110" i="1" s="1"/>
  <c r="EC110" i="1"/>
  <c r="ED110" i="1" s="1"/>
  <c r="EE110" i="1" s="1"/>
  <c r="DX110" i="1"/>
  <c r="DY110" i="1" s="1"/>
  <c r="DZ110" i="1" s="1"/>
  <c r="DS110" i="1"/>
  <c r="DT110" i="1" s="1"/>
  <c r="DU110" i="1" s="1"/>
  <c r="DN110" i="1"/>
  <c r="DO110" i="1" s="1"/>
  <c r="DP110" i="1" s="1"/>
  <c r="DI110" i="1"/>
  <c r="DJ110" i="1" s="1"/>
  <c r="DK110" i="1" s="1"/>
  <c r="DD110" i="1"/>
  <c r="DE110" i="1" s="1"/>
  <c r="DF110" i="1" s="1"/>
  <c r="CY110" i="1"/>
  <c r="CZ110" i="1" s="1"/>
  <c r="DA110" i="1" s="1"/>
  <c r="CT110" i="1"/>
  <c r="CU110" i="1" s="1"/>
  <c r="CV110" i="1" s="1"/>
  <c r="CO110" i="1"/>
  <c r="CP110" i="1" s="1"/>
  <c r="CQ110" i="1" s="1"/>
  <c r="CJ110" i="1"/>
  <c r="CK110" i="1" s="1"/>
  <c r="CL110" i="1" s="1"/>
  <c r="CE110" i="1"/>
  <c r="CF110" i="1" s="1"/>
  <c r="CG110" i="1" s="1"/>
  <c r="BZ110" i="1"/>
  <c r="CA110" i="1" s="1"/>
  <c r="CB110" i="1" s="1"/>
  <c r="BU110" i="1"/>
  <c r="BV110" i="1" s="1"/>
  <c r="BW110" i="1" s="1"/>
  <c r="BP110" i="1"/>
  <c r="BQ110" i="1" s="1"/>
  <c r="BR110" i="1" s="1"/>
  <c r="BK110" i="1"/>
  <c r="BL110" i="1" s="1"/>
  <c r="BM110" i="1" s="1"/>
  <c r="BF110" i="1"/>
  <c r="BG110" i="1" s="1"/>
  <c r="BH110" i="1" s="1"/>
  <c r="BA110" i="1"/>
  <c r="BB110" i="1" s="1"/>
  <c r="BC110" i="1" s="1"/>
  <c r="AV110" i="1"/>
  <c r="AW110" i="1" s="1"/>
  <c r="AX110" i="1" s="1"/>
  <c r="AQ110" i="1"/>
  <c r="AR110" i="1" s="1"/>
  <c r="AS110" i="1" s="1"/>
  <c r="AL110" i="1"/>
  <c r="AM110" i="1" s="1"/>
  <c r="AN110" i="1" s="1"/>
  <c r="AG110" i="1"/>
  <c r="AH110" i="1" s="1"/>
  <c r="AI110" i="1" s="1"/>
  <c r="AB110" i="1"/>
  <c r="AC110" i="1" s="1"/>
  <c r="AD110" i="1" s="1"/>
  <c r="W110" i="1"/>
  <c r="X110" i="1" s="1"/>
  <c r="Y110" i="1" s="1"/>
  <c r="T110" i="1"/>
  <c r="O110" i="1"/>
  <c r="J110" i="1"/>
  <c r="PV109" i="1"/>
  <c r="PW109" i="1" s="1"/>
  <c r="PX109" i="1" s="1"/>
  <c r="PS109" i="1"/>
  <c r="PN109" i="1"/>
  <c r="PI109" i="1"/>
  <c r="PD109" i="1"/>
  <c r="OY109" i="1"/>
  <c r="OT109" i="1"/>
  <c r="OO109" i="1"/>
  <c r="OJ109" i="1"/>
  <c r="OE109" i="1"/>
  <c r="NZ109" i="1"/>
  <c r="NU109" i="1"/>
  <c r="NP109" i="1"/>
  <c r="NK109" i="1"/>
  <c r="NF109" i="1"/>
  <c r="NA109" i="1"/>
  <c r="MV109" i="1"/>
  <c r="MQ109" i="1"/>
  <c r="ML109" i="1"/>
  <c r="MG109" i="1"/>
  <c r="MB109" i="1"/>
  <c r="LW109" i="1"/>
  <c r="LR109" i="1"/>
  <c r="LM109" i="1"/>
  <c r="LH109" i="1"/>
  <c r="LC109" i="1"/>
  <c r="KX109" i="1"/>
  <c r="KS109" i="1"/>
  <c r="KN109" i="1"/>
  <c r="KI109" i="1"/>
  <c r="KD109" i="1"/>
  <c r="JY109" i="1"/>
  <c r="JT109" i="1"/>
  <c r="JO109" i="1"/>
  <c r="JJ109" i="1"/>
  <c r="JE109" i="1"/>
  <c r="IZ109" i="1"/>
  <c r="IU109" i="1"/>
  <c r="IP109" i="1"/>
  <c r="IK109" i="1"/>
  <c r="IF109" i="1"/>
  <c r="IA109" i="1"/>
  <c r="HV109" i="1"/>
  <c r="HQ109" i="1"/>
  <c r="HL109" i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H109" i="1"/>
  <c r="EI109" i="1" s="1"/>
  <c r="EJ109" i="1" s="1"/>
  <c r="EC109" i="1"/>
  <c r="ED109" i="1" s="1"/>
  <c r="EE109" i="1" s="1"/>
  <c r="DX109" i="1"/>
  <c r="DY109" i="1" s="1"/>
  <c r="DZ109" i="1" s="1"/>
  <c r="DS109" i="1"/>
  <c r="DT109" i="1" s="1"/>
  <c r="DU109" i="1" s="1"/>
  <c r="DN109" i="1"/>
  <c r="DO109" i="1" s="1"/>
  <c r="DP109" i="1" s="1"/>
  <c r="DI109" i="1"/>
  <c r="DJ109" i="1" s="1"/>
  <c r="DK109" i="1" s="1"/>
  <c r="DD109" i="1"/>
  <c r="DE109" i="1" s="1"/>
  <c r="DF109" i="1" s="1"/>
  <c r="CY109" i="1"/>
  <c r="CZ109" i="1" s="1"/>
  <c r="DA109" i="1" s="1"/>
  <c r="CT109" i="1"/>
  <c r="CU109" i="1" s="1"/>
  <c r="CV109" i="1" s="1"/>
  <c r="CO109" i="1"/>
  <c r="CP109" i="1" s="1"/>
  <c r="CQ109" i="1" s="1"/>
  <c r="CJ109" i="1"/>
  <c r="CK109" i="1" s="1"/>
  <c r="CL109" i="1" s="1"/>
  <c r="CG109" i="1"/>
  <c r="BZ109" i="1"/>
  <c r="CA109" i="1" s="1"/>
  <c r="CB109" i="1" s="1"/>
  <c r="BU109" i="1"/>
  <c r="BV109" i="1" s="1"/>
  <c r="BW109" i="1" s="1"/>
  <c r="BP109" i="1"/>
  <c r="BQ109" i="1" s="1"/>
  <c r="BR109" i="1" s="1"/>
  <c r="BK109" i="1"/>
  <c r="BL109" i="1" s="1"/>
  <c r="BM109" i="1" s="1"/>
  <c r="BF109" i="1"/>
  <c r="BG109" i="1" s="1"/>
  <c r="BH109" i="1" s="1"/>
  <c r="BA109" i="1"/>
  <c r="BB109" i="1" s="1"/>
  <c r="BC109" i="1" s="1"/>
  <c r="AV109" i="1"/>
  <c r="AW109" i="1" s="1"/>
  <c r="AX109" i="1" s="1"/>
  <c r="AQ109" i="1"/>
  <c r="AR109" i="1" s="1"/>
  <c r="AS109" i="1" s="1"/>
  <c r="AL109" i="1"/>
  <c r="AM109" i="1" s="1"/>
  <c r="AN109" i="1" s="1"/>
  <c r="AG109" i="1"/>
  <c r="AH109" i="1" s="1"/>
  <c r="AI109" i="1" s="1"/>
  <c r="AD109" i="1"/>
  <c r="Y109" i="1"/>
  <c r="T109" i="1"/>
  <c r="O109" i="1"/>
  <c r="J109" i="1"/>
  <c r="PX108" i="1"/>
  <c r="PS108" i="1"/>
  <c r="PN108" i="1"/>
  <c r="PI108" i="1"/>
  <c r="PD108" i="1"/>
  <c r="OY108" i="1"/>
  <c r="OT108" i="1"/>
  <c r="OO108" i="1"/>
  <c r="OJ108" i="1"/>
  <c r="OE108" i="1"/>
  <c r="NZ108" i="1"/>
  <c r="NU108" i="1"/>
  <c r="NP108" i="1"/>
  <c r="NK108" i="1"/>
  <c r="NF108" i="1"/>
  <c r="NA108" i="1"/>
  <c r="MV108" i="1"/>
  <c r="MQ108" i="1"/>
  <c r="ML108" i="1"/>
  <c r="MG108" i="1"/>
  <c r="MB108" i="1"/>
  <c r="LW108" i="1"/>
  <c r="LR108" i="1"/>
  <c r="LM108" i="1"/>
  <c r="LH108" i="1"/>
  <c r="LC108" i="1"/>
  <c r="KX108" i="1"/>
  <c r="KS108" i="1"/>
  <c r="KN108" i="1"/>
  <c r="KI108" i="1"/>
  <c r="KB108" i="1"/>
  <c r="KC108" i="1" s="1"/>
  <c r="KD108" i="1" s="1"/>
  <c r="JY108" i="1"/>
  <c r="JT108" i="1"/>
  <c r="JO108" i="1"/>
  <c r="JJ108" i="1"/>
  <c r="JE108" i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T108" i="1"/>
  <c r="HU108" i="1" s="1"/>
  <c r="HV108" i="1" s="1"/>
  <c r="HQ108" i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A108" i="1"/>
  <c r="GB108" i="1" s="1"/>
  <c r="GC108" i="1" s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H108" i="1"/>
  <c r="EI108" i="1" s="1"/>
  <c r="EJ108" i="1" s="1"/>
  <c r="EC108" i="1"/>
  <c r="ED108" i="1" s="1"/>
  <c r="EE108" i="1" s="1"/>
  <c r="DX108" i="1"/>
  <c r="DY108" i="1" s="1"/>
  <c r="DZ108" i="1" s="1"/>
  <c r="DS108" i="1"/>
  <c r="DT108" i="1" s="1"/>
  <c r="DU108" i="1" s="1"/>
  <c r="DN108" i="1"/>
  <c r="DO108" i="1" s="1"/>
  <c r="DP108" i="1" s="1"/>
  <c r="DI108" i="1"/>
  <c r="DJ108" i="1" s="1"/>
  <c r="DK108" i="1" s="1"/>
  <c r="DD108" i="1"/>
  <c r="DE108" i="1" s="1"/>
  <c r="DF108" i="1" s="1"/>
  <c r="CY108" i="1"/>
  <c r="CZ108" i="1" s="1"/>
  <c r="DA108" i="1" s="1"/>
  <c r="CT108" i="1"/>
  <c r="CU108" i="1" s="1"/>
  <c r="CV108" i="1" s="1"/>
  <c r="CO108" i="1"/>
  <c r="CP108" i="1" s="1"/>
  <c r="CQ108" i="1" s="1"/>
  <c r="CJ108" i="1"/>
  <c r="CK108" i="1" s="1"/>
  <c r="CL108" i="1" s="1"/>
  <c r="CE108" i="1"/>
  <c r="CF108" i="1" s="1"/>
  <c r="CG108" i="1" s="1"/>
  <c r="BZ108" i="1"/>
  <c r="CA108" i="1" s="1"/>
  <c r="CB108" i="1" s="1"/>
  <c r="BU108" i="1"/>
  <c r="BV108" i="1" s="1"/>
  <c r="BW108" i="1" s="1"/>
  <c r="BP108" i="1"/>
  <c r="BQ108" i="1" s="1"/>
  <c r="BR108" i="1" s="1"/>
  <c r="BK108" i="1"/>
  <c r="BL108" i="1" s="1"/>
  <c r="BM108" i="1" s="1"/>
  <c r="BF108" i="1"/>
  <c r="BG108" i="1" s="1"/>
  <c r="BH108" i="1" s="1"/>
  <c r="BA108" i="1"/>
  <c r="BB108" i="1" s="1"/>
  <c r="BC108" i="1" s="1"/>
  <c r="AV108" i="1"/>
  <c r="AW108" i="1" s="1"/>
  <c r="AX108" i="1" s="1"/>
  <c r="AQ108" i="1"/>
  <c r="AR108" i="1" s="1"/>
  <c r="AS108" i="1" s="1"/>
  <c r="AL108" i="1"/>
  <c r="AM108" i="1" s="1"/>
  <c r="AN108" i="1" s="1"/>
  <c r="AG108" i="1"/>
  <c r="AH108" i="1" s="1"/>
  <c r="AI108" i="1" s="1"/>
  <c r="AB108" i="1"/>
  <c r="AC108" i="1" s="1"/>
  <c r="AD108" i="1" s="1"/>
  <c r="W108" i="1"/>
  <c r="X108" i="1" s="1"/>
  <c r="Y108" i="1" s="1"/>
  <c r="T108" i="1"/>
  <c r="O108" i="1"/>
  <c r="J108" i="1"/>
  <c r="PX107" i="1"/>
  <c r="PS107" i="1"/>
  <c r="PN107" i="1"/>
  <c r="PI107" i="1"/>
  <c r="PD107" i="1"/>
  <c r="OY107" i="1"/>
  <c r="OT107" i="1"/>
  <c r="OO107" i="1"/>
  <c r="OJ107" i="1"/>
  <c r="OE107" i="1"/>
  <c r="NZ107" i="1"/>
  <c r="NU107" i="1"/>
  <c r="NP107" i="1"/>
  <c r="NK107" i="1"/>
  <c r="NF107" i="1"/>
  <c r="NA107" i="1"/>
  <c r="MV107" i="1"/>
  <c r="MQ107" i="1"/>
  <c r="ML107" i="1"/>
  <c r="MG107" i="1"/>
  <c r="MB107" i="1"/>
  <c r="LW107" i="1"/>
  <c r="LR107" i="1"/>
  <c r="LM107" i="1"/>
  <c r="LH107" i="1"/>
  <c r="LC107" i="1"/>
  <c r="KX107" i="1"/>
  <c r="KS107" i="1"/>
  <c r="KN107" i="1"/>
  <c r="KG107" i="1"/>
  <c r="KH107" i="1" s="1"/>
  <c r="KI107" i="1" s="1"/>
  <c r="KD107" i="1"/>
  <c r="JY107" i="1"/>
  <c r="JT107" i="1"/>
  <c r="JO107" i="1"/>
  <c r="JJ107" i="1"/>
  <c r="JE107" i="1"/>
  <c r="IZ107" i="1"/>
  <c r="IU107" i="1"/>
  <c r="IP107" i="1"/>
  <c r="IK107" i="1"/>
  <c r="IF107" i="1"/>
  <c r="IA107" i="1"/>
  <c r="HV107" i="1"/>
  <c r="HQ107" i="1"/>
  <c r="HL107" i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H107" i="1"/>
  <c r="EI107" i="1" s="1"/>
  <c r="EJ107" i="1" s="1"/>
  <c r="EC107" i="1"/>
  <c r="ED107" i="1" s="1"/>
  <c r="EE107" i="1" s="1"/>
  <c r="DX107" i="1"/>
  <c r="DY107" i="1" s="1"/>
  <c r="DZ107" i="1" s="1"/>
  <c r="DS107" i="1"/>
  <c r="DT107" i="1" s="1"/>
  <c r="DU107" i="1" s="1"/>
  <c r="DN107" i="1"/>
  <c r="DO107" i="1" s="1"/>
  <c r="DP107" i="1" s="1"/>
  <c r="DI107" i="1"/>
  <c r="DJ107" i="1" s="1"/>
  <c r="DK107" i="1" s="1"/>
  <c r="DD107" i="1"/>
  <c r="DE107" i="1" s="1"/>
  <c r="DF107" i="1" s="1"/>
  <c r="CY107" i="1"/>
  <c r="CZ107" i="1" s="1"/>
  <c r="DA107" i="1" s="1"/>
  <c r="CT107" i="1"/>
  <c r="CU107" i="1" s="1"/>
  <c r="CV107" i="1" s="1"/>
  <c r="CO107" i="1"/>
  <c r="CP107" i="1" s="1"/>
  <c r="CQ107" i="1" s="1"/>
  <c r="CJ107" i="1"/>
  <c r="CK107" i="1" s="1"/>
  <c r="CL107" i="1" s="1"/>
  <c r="CE107" i="1"/>
  <c r="CF107" i="1" s="1"/>
  <c r="CG107" i="1" s="1"/>
  <c r="BZ107" i="1"/>
  <c r="CA107" i="1" s="1"/>
  <c r="CB107" i="1" s="1"/>
  <c r="BU107" i="1"/>
  <c r="BV107" i="1" s="1"/>
  <c r="BW107" i="1" s="1"/>
  <c r="BP107" i="1"/>
  <c r="BQ107" i="1" s="1"/>
  <c r="BR107" i="1" s="1"/>
  <c r="BK107" i="1"/>
  <c r="BL107" i="1" s="1"/>
  <c r="BM107" i="1" s="1"/>
  <c r="BF107" i="1"/>
  <c r="BG107" i="1" s="1"/>
  <c r="BH107" i="1" s="1"/>
  <c r="BA107" i="1"/>
  <c r="BB107" i="1" s="1"/>
  <c r="BC107" i="1" s="1"/>
  <c r="AV107" i="1"/>
  <c r="AW107" i="1" s="1"/>
  <c r="AX107" i="1" s="1"/>
  <c r="AQ107" i="1"/>
  <c r="AR107" i="1" s="1"/>
  <c r="AS107" i="1" s="1"/>
  <c r="AL107" i="1"/>
  <c r="AM107" i="1" s="1"/>
  <c r="AN107" i="1" s="1"/>
  <c r="AG107" i="1"/>
  <c r="AH107" i="1" s="1"/>
  <c r="AI107" i="1" s="1"/>
  <c r="AB107" i="1"/>
  <c r="AC107" i="1" s="1"/>
  <c r="AD107" i="1" s="1"/>
  <c r="W107" i="1"/>
  <c r="X107" i="1" s="1"/>
  <c r="Y107" i="1" s="1"/>
  <c r="T107" i="1"/>
  <c r="O107" i="1"/>
  <c r="J107" i="1"/>
  <c r="PX106" i="1"/>
  <c r="PS106" i="1"/>
  <c r="PN106" i="1"/>
  <c r="PI106" i="1"/>
  <c r="PD106" i="1"/>
  <c r="OY106" i="1"/>
  <c r="OT106" i="1"/>
  <c r="OO106" i="1"/>
  <c r="OJ106" i="1"/>
  <c r="OE106" i="1"/>
  <c r="NZ106" i="1"/>
  <c r="NU106" i="1"/>
  <c r="NP106" i="1"/>
  <c r="NK106" i="1"/>
  <c r="NF106" i="1"/>
  <c r="NA106" i="1"/>
  <c r="MV106" i="1"/>
  <c r="MQ106" i="1"/>
  <c r="ML106" i="1"/>
  <c r="MG106" i="1"/>
  <c r="MB106" i="1"/>
  <c r="LW106" i="1"/>
  <c r="LR106" i="1"/>
  <c r="LM106" i="1"/>
  <c r="LH106" i="1"/>
  <c r="LC106" i="1"/>
  <c r="KX106" i="1"/>
  <c r="KS106" i="1"/>
  <c r="KN106" i="1"/>
  <c r="KI106" i="1"/>
  <c r="KD106" i="1"/>
  <c r="JY106" i="1"/>
  <c r="JT106" i="1"/>
  <c r="JO106" i="1"/>
  <c r="JJ106" i="1"/>
  <c r="JE106" i="1"/>
  <c r="IZ106" i="1"/>
  <c r="IU106" i="1"/>
  <c r="IP106" i="1"/>
  <c r="IK106" i="1"/>
  <c r="IF106" i="1"/>
  <c r="IA106" i="1"/>
  <c r="HV106" i="1"/>
  <c r="HQ106" i="1"/>
  <c r="HJ106" i="1"/>
  <c r="HK106" i="1" s="1"/>
  <c r="HL106" i="1" s="1"/>
  <c r="HE106" i="1"/>
  <c r="HF106" i="1" s="1"/>
  <c r="HG106" i="1" s="1"/>
  <c r="GZ106" i="1"/>
  <c r="HA106" i="1" s="1"/>
  <c r="HB106" i="1" s="1"/>
  <c r="GU106" i="1"/>
  <c r="GV106" i="1" s="1"/>
  <c r="GW106" i="1" s="1"/>
  <c r="GR106" i="1"/>
  <c r="GP106" i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H106" i="1"/>
  <c r="EI106" i="1" s="1"/>
  <c r="EJ106" i="1" s="1"/>
  <c r="EC106" i="1"/>
  <c r="ED106" i="1" s="1"/>
  <c r="EE106" i="1" s="1"/>
  <c r="DX106" i="1"/>
  <c r="DY106" i="1" s="1"/>
  <c r="DZ106" i="1" s="1"/>
  <c r="DS106" i="1"/>
  <c r="DT106" i="1" s="1"/>
  <c r="DU106" i="1" s="1"/>
  <c r="DN106" i="1"/>
  <c r="DO106" i="1" s="1"/>
  <c r="DP106" i="1" s="1"/>
  <c r="DI106" i="1"/>
  <c r="DJ106" i="1" s="1"/>
  <c r="DK106" i="1" s="1"/>
  <c r="DD106" i="1"/>
  <c r="DE106" i="1" s="1"/>
  <c r="DF106" i="1" s="1"/>
  <c r="CY106" i="1"/>
  <c r="CZ106" i="1" s="1"/>
  <c r="DA106" i="1" s="1"/>
  <c r="CT106" i="1"/>
  <c r="CU106" i="1" s="1"/>
  <c r="CV106" i="1" s="1"/>
  <c r="CO106" i="1"/>
  <c r="CP106" i="1" s="1"/>
  <c r="CQ106" i="1" s="1"/>
  <c r="CJ106" i="1"/>
  <c r="CK106" i="1" s="1"/>
  <c r="CL106" i="1" s="1"/>
  <c r="CE106" i="1"/>
  <c r="CF106" i="1" s="1"/>
  <c r="CG106" i="1" s="1"/>
  <c r="BZ106" i="1"/>
  <c r="CA106" i="1" s="1"/>
  <c r="CB106" i="1" s="1"/>
  <c r="BU106" i="1"/>
  <c r="BV106" i="1" s="1"/>
  <c r="BW106" i="1" s="1"/>
  <c r="BP106" i="1"/>
  <c r="BQ106" i="1" s="1"/>
  <c r="BR106" i="1" s="1"/>
  <c r="BK106" i="1"/>
  <c r="BL106" i="1" s="1"/>
  <c r="BM106" i="1" s="1"/>
  <c r="BF106" i="1"/>
  <c r="BG106" i="1" s="1"/>
  <c r="BH106" i="1" s="1"/>
  <c r="BA106" i="1"/>
  <c r="BB106" i="1" s="1"/>
  <c r="BC106" i="1" s="1"/>
  <c r="AV106" i="1"/>
  <c r="AW106" i="1" s="1"/>
  <c r="AX106" i="1" s="1"/>
  <c r="AQ106" i="1"/>
  <c r="AR106" i="1" s="1"/>
  <c r="AS106" i="1" s="1"/>
  <c r="AL106" i="1"/>
  <c r="AM106" i="1" s="1"/>
  <c r="AN106" i="1" s="1"/>
  <c r="AG106" i="1"/>
  <c r="AH106" i="1" s="1"/>
  <c r="AI106" i="1" s="1"/>
  <c r="AD106" i="1"/>
  <c r="W106" i="1"/>
  <c r="X106" i="1" s="1"/>
  <c r="Y106" i="1" s="1"/>
  <c r="T106" i="1"/>
  <c r="O106" i="1"/>
  <c r="J106" i="1"/>
  <c r="PV105" i="1"/>
  <c r="PW105" i="1" s="1"/>
  <c r="PX105" i="1" s="1"/>
  <c r="PS105" i="1"/>
  <c r="PN105" i="1"/>
  <c r="PI105" i="1"/>
  <c r="PD105" i="1"/>
  <c r="OY105" i="1"/>
  <c r="OT105" i="1"/>
  <c r="OO105" i="1"/>
  <c r="OJ105" i="1"/>
  <c r="OE105" i="1"/>
  <c r="NZ105" i="1"/>
  <c r="NU105" i="1"/>
  <c r="NP105" i="1"/>
  <c r="NK105" i="1"/>
  <c r="NF105" i="1"/>
  <c r="NA105" i="1"/>
  <c r="MV105" i="1"/>
  <c r="MQ105" i="1"/>
  <c r="ML105" i="1"/>
  <c r="MG105" i="1"/>
  <c r="MB105" i="1"/>
  <c r="LW105" i="1"/>
  <c r="LR105" i="1"/>
  <c r="LM105" i="1"/>
  <c r="LH105" i="1"/>
  <c r="LC105" i="1"/>
  <c r="KX105" i="1"/>
  <c r="KS105" i="1"/>
  <c r="KN105" i="1"/>
  <c r="KI105" i="1"/>
  <c r="KD105" i="1"/>
  <c r="JY105" i="1"/>
  <c r="JT105" i="1"/>
  <c r="JO105" i="1"/>
  <c r="JJ105" i="1"/>
  <c r="JE105" i="1"/>
  <c r="IZ105" i="1"/>
  <c r="IU105" i="1"/>
  <c r="IP105" i="1"/>
  <c r="IK105" i="1"/>
  <c r="IF105" i="1"/>
  <c r="IA105" i="1"/>
  <c r="HV105" i="1"/>
  <c r="HQ105" i="1"/>
  <c r="HL105" i="1"/>
  <c r="HG105" i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H105" i="1"/>
  <c r="EI105" i="1" s="1"/>
  <c r="EJ105" i="1" s="1"/>
  <c r="EC105" i="1"/>
  <c r="ED105" i="1" s="1"/>
  <c r="EE105" i="1" s="1"/>
  <c r="DX105" i="1"/>
  <c r="DY105" i="1" s="1"/>
  <c r="DZ105" i="1" s="1"/>
  <c r="DS105" i="1"/>
  <c r="DT105" i="1" s="1"/>
  <c r="DU105" i="1" s="1"/>
  <c r="DN105" i="1"/>
  <c r="DO105" i="1" s="1"/>
  <c r="DP105" i="1" s="1"/>
  <c r="DI105" i="1"/>
  <c r="DJ105" i="1" s="1"/>
  <c r="DK105" i="1" s="1"/>
  <c r="DD105" i="1"/>
  <c r="DE105" i="1" s="1"/>
  <c r="DF105" i="1" s="1"/>
  <c r="CY105" i="1"/>
  <c r="CZ105" i="1" s="1"/>
  <c r="DA105" i="1" s="1"/>
  <c r="CT105" i="1"/>
  <c r="CU105" i="1" s="1"/>
  <c r="CV105" i="1" s="1"/>
  <c r="CO105" i="1"/>
  <c r="CP105" i="1" s="1"/>
  <c r="CQ105" i="1" s="1"/>
  <c r="CJ105" i="1"/>
  <c r="CK105" i="1" s="1"/>
  <c r="CL105" i="1" s="1"/>
  <c r="CE105" i="1"/>
  <c r="CF105" i="1" s="1"/>
  <c r="CG105" i="1" s="1"/>
  <c r="BZ105" i="1"/>
  <c r="CA105" i="1" s="1"/>
  <c r="CB105" i="1" s="1"/>
  <c r="BU105" i="1"/>
  <c r="BV105" i="1" s="1"/>
  <c r="BW105" i="1" s="1"/>
  <c r="BP105" i="1"/>
  <c r="BQ105" i="1" s="1"/>
  <c r="BR105" i="1" s="1"/>
  <c r="BK105" i="1"/>
  <c r="BL105" i="1" s="1"/>
  <c r="BM105" i="1" s="1"/>
  <c r="BF105" i="1"/>
  <c r="BG105" i="1" s="1"/>
  <c r="BH105" i="1" s="1"/>
  <c r="BA105" i="1"/>
  <c r="BB105" i="1" s="1"/>
  <c r="BC105" i="1" s="1"/>
  <c r="AV105" i="1"/>
  <c r="AW105" i="1" s="1"/>
  <c r="AX105" i="1" s="1"/>
  <c r="AQ105" i="1"/>
  <c r="AR105" i="1" s="1"/>
  <c r="AS105" i="1" s="1"/>
  <c r="AL105" i="1"/>
  <c r="AM105" i="1" s="1"/>
  <c r="AN105" i="1" s="1"/>
  <c r="AG105" i="1"/>
  <c r="AH105" i="1" s="1"/>
  <c r="AI105" i="1" s="1"/>
  <c r="AD105" i="1"/>
  <c r="W105" i="1"/>
  <c r="X105" i="1" s="1"/>
  <c r="Y105" i="1" s="1"/>
  <c r="T105" i="1"/>
  <c r="O105" i="1"/>
  <c r="J105" i="1"/>
  <c r="PX104" i="1"/>
  <c r="PS104" i="1"/>
  <c r="PN104" i="1"/>
  <c r="PI104" i="1"/>
  <c r="PD104" i="1"/>
  <c r="OY104" i="1"/>
  <c r="OT104" i="1"/>
  <c r="OO104" i="1"/>
  <c r="OJ104" i="1"/>
  <c r="OE104" i="1"/>
  <c r="NX104" i="1"/>
  <c r="NY104" i="1" s="1"/>
  <c r="NZ104" i="1" s="1"/>
  <c r="NU104" i="1"/>
  <c r="NP104" i="1"/>
  <c r="NK104" i="1"/>
  <c r="NF104" i="1"/>
  <c r="NA104" i="1"/>
  <c r="MV104" i="1"/>
  <c r="MQ104" i="1"/>
  <c r="ML104" i="1"/>
  <c r="MG104" i="1"/>
  <c r="MB104" i="1"/>
  <c r="LW104" i="1"/>
  <c r="LR104" i="1"/>
  <c r="LM104" i="1"/>
  <c r="LH104" i="1"/>
  <c r="LC104" i="1"/>
  <c r="KX104" i="1"/>
  <c r="KS104" i="1"/>
  <c r="KN104" i="1"/>
  <c r="KI104" i="1"/>
  <c r="KD104" i="1"/>
  <c r="JY104" i="1"/>
  <c r="JT104" i="1"/>
  <c r="JO104" i="1"/>
  <c r="JJ104" i="1"/>
  <c r="JE104" i="1"/>
  <c r="IZ104" i="1"/>
  <c r="IU104" i="1"/>
  <c r="IP104" i="1"/>
  <c r="IK104" i="1"/>
  <c r="IF104" i="1"/>
  <c r="IA104" i="1"/>
  <c r="HV104" i="1"/>
  <c r="HQ104" i="1"/>
  <c r="HL104" i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H104" i="1"/>
  <c r="EI104" i="1" s="1"/>
  <c r="EJ104" i="1" s="1"/>
  <c r="EC104" i="1"/>
  <c r="ED104" i="1" s="1"/>
  <c r="EE104" i="1" s="1"/>
  <c r="DX104" i="1"/>
  <c r="DY104" i="1" s="1"/>
  <c r="DZ104" i="1" s="1"/>
  <c r="DS104" i="1"/>
  <c r="DT104" i="1" s="1"/>
  <c r="DU104" i="1" s="1"/>
  <c r="DN104" i="1"/>
  <c r="DO104" i="1" s="1"/>
  <c r="DP104" i="1" s="1"/>
  <c r="DI104" i="1"/>
  <c r="DJ104" i="1" s="1"/>
  <c r="DK104" i="1" s="1"/>
  <c r="DD104" i="1"/>
  <c r="DE104" i="1" s="1"/>
  <c r="DF104" i="1" s="1"/>
  <c r="CY104" i="1"/>
  <c r="CZ104" i="1" s="1"/>
  <c r="DA104" i="1" s="1"/>
  <c r="CT104" i="1"/>
  <c r="CU104" i="1" s="1"/>
  <c r="CV104" i="1" s="1"/>
  <c r="CO104" i="1"/>
  <c r="CP104" i="1" s="1"/>
  <c r="CQ104" i="1" s="1"/>
  <c r="CJ104" i="1"/>
  <c r="CK104" i="1" s="1"/>
  <c r="CL104" i="1" s="1"/>
  <c r="CE104" i="1"/>
  <c r="CF104" i="1" s="1"/>
  <c r="CG104" i="1" s="1"/>
  <c r="BZ104" i="1"/>
  <c r="CA104" i="1" s="1"/>
  <c r="CB104" i="1" s="1"/>
  <c r="BU104" i="1"/>
  <c r="BV104" i="1" s="1"/>
  <c r="BW104" i="1" s="1"/>
  <c r="BP104" i="1"/>
  <c r="BQ104" i="1" s="1"/>
  <c r="BR104" i="1" s="1"/>
  <c r="BK104" i="1"/>
  <c r="BL104" i="1" s="1"/>
  <c r="BM104" i="1" s="1"/>
  <c r="BF104" i="1"/>
  <c r="BG104" i="1" s="1"/>
  <c r="BH104" i="1" s="1"/>
  <c r="BA104" i="1"/>
  <c r="BB104" i="1" s="1"/>
  <c r="BC104" i="1" s="1"/>
  <c r="AV104" i="1"/>
  <c r="AW104" i="1" s="1"/>
  <c r="AX104" i="1" s="1"/>
  <c r="AQ104" i="1"/>
  <c r="AR104" i="1" s="1"/>
  <c r="AS104" i="1" s="1"/>
  <c r="AL104" i="1"/>
  <c r="AM104" i="1" s="1"/>
  <c r="AN104" i="1" s="1"/>
  <c r="AG104" i="1"/>
  <c r="AH104" i="1" s="1"/>
  <c r="AI104" i="1" s="1"/>
  <c r="AD104" i="1"/>
  <c r="W104" i="1"/>
  <c r="X104" i="1" s="1"/>
  <c r="Y104" i="1" s="1"/>
  <c r="R104" i="1"/>
  <c r="S104" i="1" s="1"/>
  <c r="T104" i="1" s="1"/>
  <c r="O104" i="1"/>
  <c r="J104" i="1"/>
  <c r="PX103" i="1"/>
  <c r="PS103" i="1"/>
  <c r="PN103" i="1"/>
  <c r="PI103" i="1"/>
  <c r="PD103" i="1"/>
  <c r="OY103" i="1"/>
  <c r="OT103" i="1"/>
  <c r="OO103" i="1"/>
  <c r="OJ103" i="1"/>
  <c r="OE103" i="1"/>
  <c r="NZ103" i="1"/>
  <c r="NU103" i="1"/>
  <c r="NP103" i="1"/>
  <c r="NK103" i="1"/>
  <c r="NF103" i="1"/>
  <c r="NA103" i="1"/>
  <c r="MV103" i="1"/>
  <c r="MQ103" i="1"/>
  <c r="ML103" i="1"/>
  <c r="MG103" i="1"/>
  <c r="MB103" i="1"/>
  <c r="LW103" i="1"/>
  <c r="LR103" i="1"/>
  <c r="LM103" i="1"/>
  <c r="LH103" i="1"/>
  <c r="LA103" i="1"/>
  <c r="LB103" i="1" s="1"/>
  <c r="LC103" i="1" s="1"/>
  <c r="KX103" i="1"/>
  <c r="KS103" i="1"/>
  <c r="KL103" i="1"/>
  <c r="KM103" i="1" s="1"/>
  <c r="KN103" i="1" s="1"/>
  <c r="KI103" i="1"/>
  <c r="KD103" i="1"/>
  <c r="JY103" i="1"/>
  <c r="JT103" i="1"/>
  <c r="JO103" i="1"/>
  <c r="JJ103" i="1"/>
  <c r="JE103" i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T103" i="1"/>
  <c r="HU103" i="1" s="1"/>
  <c r="HV103" i="1" s="1"/>
  <c r="HQ103" i="1"/>
  <c r="HL103" i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H103" i="1"/>
  <c r="EI103" i="1" s="1"/>
  <c r="EJ103" i="1" s="1"/>
  <c r="EC103" i="1"/>
  <c r="ED103" i="1" s="1"/>
  <c r="EE103" i="1" s="1"/>
  <c r="DX103" i="1"/>
  <c r="DY103" i="1" s="1"/>
  <c r="DZ103" i="1" s="1"/>
  <c r="DS103" i="1"/>
  <c r="DT103" i="1" s="1"/>
  <c r="DU103" i="1" s="1"/>
  <c r="DN103" i="1"/>
  <c r="DO103" i="1" s="1"/>
  <c r="DP103" i="1" s="1"/>
  <c r="DI103" i="1"/>
  <c r="DJ103" i="1" s="1"/>
  <c r="DK103" i="1" s="1"/>
  <c r="DD103" i="1"/>
  <c r="DE103" i="1" s="1"/>
  <c r="DF103" i="1" s="1"/>
  <c r="CY103" i="1"/>
  <c r="CZ103" i="1" s="1"/>
  <c r="DA103" i="1" s="1"/>
  <c r="CT103" i="1"/>
  <c r="CU103" i="1" s="1"/>
  <c r="CV103" i="1" s="1"/>
  <c r="CO103" i="1"/>
  <c r="CP103" i="1" s="1"/>
  <c r="CQ103" i="1" s="1"/>
  <c r="CJ103" i="1"/>
  <c r="CK103" i="1" s="1"/>
  <c r="CL103" i="1" s="1"/>
  <c r="CE103" i="1"/>
  <c r="CF103" i="1" s="1"/>
  <c r="CG103" i="1" s="1"/>
  <c r="BZ103" i="1"/>
  <c r="CA103" i="1" s="1"/>
  <c r="CB103" i="1" s="1"/>
  <c r="BU103" i="1"/>
  <c r="BV103" i="1" s="1"/>
  <c r="BW103" i="1" s="1"/>
  <c r="BP103" i="1"/>
  <c r="BQ103" i="1" s="1"/>
  <c r="BR103" i="1" s="1"/>
  <c r="BK103" i="1"/>
  <c r="BL103" i="1" s="1"/>
  <c r="BM103" i="1" s="1"/>
  <c r="BF103" i="1"/>
  <c r="BG103" i="1" s="1"/>
  <c r="BH103" i="1" s="1"/>
  <c r="BA103" i="1"/>
  <c r="BB103" i="1" s="1"/>
  <c r="BC103" i="1" s="1"/>
  <c r="AV103" i="1"/>
  <c r="AW103" i="1" s="1"/>
  <c r="AX103" i="1" s="1"/>
  <c r="AQ103" i="1"/>
  <c r="AR103" i="1" s="1"/>
  <c r="AS103" i="1" s="1"/>
  <c r="AL103" i="1"/>
  <c r="AM103" i="1" s="1"/>
  <c r="AN103" i="1" s="1"/>
  <c r="AG103" i="1"/>
  <c r="AH103" i="1" s="1"/>
  <c r="AI103" i="1" s="1"/>
  <c r="AB103" i="1"/>
  <c r="AC103" i="1" s="1"/>
  <c r="AD103" i="1" s="1"/>
  <c r="W103" i="1"/>
  <c r="X103" i="1" s="1"/>
  <c r="Y103" i="1" s="1"/>
  <c r="R103" i="1"/>
  <c r="S103" i="1" s="1"/>
  <c r="T103" i="1" s="1"/>
  <c r="O103" i="1"/>
  <c r="J103" i="1"/>
  <c r="PX102" i="1"/>
  <c r="PS102" i="1"/>
  <c r="PN102" i="1"/>
  <c r="PI102" i="1"/>
  <c r="PD102" i="1"/>
  <c r="OY102" i="1"/>
  <c r="OT102" i="1"/>
  <c r="OO102" i="1"/>
  <c r="OJ102" i="1"/>
  <c r="OE102" i="1"/>
  <c r="NZ102" i="1"/>
  <c r="NU102" i="1"/>
  <c r="NP102" i="1"/>
  <c r="NK102" i="1"/>
  <c r="NF102" i="1"/>
  <c r="NA102" i="1"/>
  <c r="MV102" i="1"/>
  <c r="MQ102" i="1"/>
  <c r="ML102" i="1"/>
  <c r="MG102" i="1"/>
  <c r="MB102" i="1"/>
  <c r="LW102" i="1"/>
  <c r="LR102" i="1"/>
  <c r="LM102" i="1"/>
  <c r="LH102" i="1"/>
  <c r="LC102" i="1"/>
  <c r="KV102" i="1"/>
  <c r="KW102" i="1" s="1"/>
  <c r="KX102" i="1" s="1"/>
  <c r="KS102" i="1"/>
  <c r="KN102" i="1"/>
  <c r="KI102" i="1"/>
  <c r="KD102" i="1"/>
  <c r="JY102" i="1"/>
  <c r="JT102" i="1"/>
  <c r="JO102" i="1"/>
  <c r="JJ102" i="1"/>
  <c r="JE102" i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H102" i="1"/>
  <c r="EI102" i="1" s="1"/>
  <c r="EJ102" i="1" s="1"/>
  <c r="EC102" i="1"/>
  <c r="ED102" i="1" s="1"/>
  <c r="EE102" i="1" s="1"/>
  <c r="DX102" i="1"/>
  <c r="DY102" i="1" s="1"/>
  <c r="DZ102" i="1" s="1"/>
  <c r="DS102" i="1"/>
  <c r="DT102" i="1" s="1"/>
  <c r="DU102" i="1" s="1"/>
  <c r="DN102" i="1"/>
  <c r="DO102" i="1" s="1"/>
  <c r="DP102" i="1" s="1"/>
  <c r="DI102" i="1"/>
  <c r="DJ102" i="1" s="1"/>
  <c r="DK102" i="1" s="1"/>
  <c r="DD102" i="1"/>
  <c r="DE102" i="1" s="1"/>
  <c r="DF102" i="1" s="1"/>
  <c r="CY102" i="1"/>
  <c r="CZ102" i="1" s="1"/>
  <c r="DA102" i="1" s="1"/>
  <c r="CT102" i="1"/>
  <c r="CU102" i="1" s="1"/>
  <c r="CV102" i="1" s="1"/>
  <c r="CO102" i="1"/>
  <c r="CP102" i="1" s="1"/>
  <c r="CQ102" i="1" s="1"/>
  <c r="CJ102" i="1"/>
  <c r="CK102" i="1" s="1"/>
  <c r="CL102" i="1" s="1"/>
  <c r="CE102" i="1"/>
  <c r="CF102" i="1" s="1"/>
  <c r="CG102" i="1" s="1"/>
  <c r="BZ102" i="1"/>
  <c r="CA102" i="1" s="1"/>
  <c r="CB102" i="1" s="1"/>
  <c r="BU102" i="1"/>
  <c r="BV102" i="1" s="1"/>
  <c r="BW102" i="1" s="1"/>
  <c r="BP102" i="1"/>
  <c r="BQ102" i="1" s="1"/>
  <c r="BR102" i="1" s="1"/>
  <c r="BK102" i="1"/>
  <c r="BL102" i="1" s="1"/>
  <c r="BM102" i="1" s="1"/>
  <c r="BF102" i="1"/>
  <c r="BG102" i="1" s="1"/>
  <c r="BH102" i="1" s="1"/>
  <c r="BA102" i="1"/>
  <c r="BB102" i="1" s="1"/>
  <c r="BC102" i="1" s="1"/>
  <c r="AV102" i="1"/>
  <c r="AW102" i="1" s="1"/>
  <c r="AX102" i="1" s="1"/>
  <c r="AQ102" i="1"/>
  <c r="AR102" i="1" s="1"/>
  <c r="AS102" i="1" s="1"/>
  <c r="AL102" i="1"/>
  <c r="AM102" i="1" s="1"/>
  <c r="AN102" i="1" s="1"/>
  <c r="AG102" i="1"/>
  <c r="AH102" i="1" s="1"/>
  <c r="AI102" i="1" s="1"/>
  <c r="AB102" i="1"/>
  <c r="AC102" i="1" s="1"/>
  <c r="AD102" i="1" s="1"/>
  <c r="W102" i="1"/>
  <c r="X102" i="1" s="1"/>
  <c r="Y102" i="1" s="1"/>
  <c r="T102" i="1"/>
  <c r="O102" i="1"/>
  <c r="J102" i="1"/>
  <c r="PX101" i="1"/>
  <c r="PS101" i="1"/>
  <c r="PN101" i="1"/>
  <c r="PI101" i="1"/>
  <c r="PD101" i="1"/>
  <c r="OY101" i="1"/>
  <c r="OT101" i="1"/>
  <c r="OO101" i="1"/>
  <c r="OJ101" i="1"/>
  <c r="OE101" i="1"/>
  <c r="NZ101" i="1"/>
  <c r="NU101" i="1"/>
  <c r="NP101" i="1"/>
  <c r="NK101" i="1"/>
  <c r="NF101" i="1"/>
  <c r="NA101" i="1"/>
  <c r="MV101" i="1"/>
  <c r="MQ101" i="1"/>
  <c r="ML101" i="1"/>
  <c r="MG101" i="1"/>
  <c r="MB101" i="1"/>
  <c r="LW101" i="1"/>
  <c r="LR101" i="1"/>
  <c r="LM101" i="1"/>
  <c r="LH101" i="1"/>
  <c r="LA101" i="1"/>
  <c r="LB101" i="1" s="1"/>
  <c r="LC101" i="1" s="1"/>
  <c r="KX101" i="1"/>
  <c r="KS101" i="1"/>
  <c r="KN101" i="1"/>
  <c r="KI101" i="1"/>
  <c r="KD101" i="1"/>
  <c r="JY101" i="1"/>
  <c r="JT101" i="1"/>
  <c r="JO101" i="1"/>
  <c r="JJ101" i="1"/>
  <c r="JE101" i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T101" i="1"/>
  <c r="HU101" i="1" s="1"/>
  <c r="HV101" i="1" s="1"/>
  <c r="HQ101" i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H101" i="1"/>
  <c r="EI101" i="1" s="1"/>
  <c r="EJ101" i="1" s="1"/>
  <c r="EC101" i="1"/>
  <c r="ED101" i="1" s="1"/>
  <c r="EE101" i="1" s="1"/>
  <c r="DX101" i="1"/>
  <c r="DY101" i="1" s="1"/>
  <c r="DZ101" i="1" s="1"/>
  <c r="DS101" i="1"/>
  <c r="DT101" i="1" s="1"/>
  <c r="DU101" i="1" s="1"/>
  <c r="DN101" i="1"/>
  <c r="DO101" i="1" s="1"/>
  <c r="DP101" i="1" s="1"/>
  <c r="DI101" i="1"/>
  <c r="DJ101" i="1" s="1"/>
  <c r="DK101" i="1" s="1"/>
  <c r="DD101" i="1"/>
  <c r="DE101" i="1" s="1"/>
  <c r="DF101" i="1" s="1"/>
  <c r="CY101" i="1"/>
  <c r="CZ101" i="1" s="1"/>
  <c r="DA101" i="1" s="1"/>
  <c r="CT101" i="1"/>
  <c r="CU101" i="1" s="1"/>
  <c r="CV101" i="1" s="1"/>
  <c r="CO101" i="1"/>
  <c r="CP101" i="1" s="1"/>
  <c r="CQ101" i="1" s="1"/>
  <c r="CJ101" i="1"/>
  <c r="CK101" i="1" s="1"/>
  <c r="CL101" i="1" s="1"/>
  <c r="CE101" i="1"/>
  <c r="CF101" i="1" s="1"/>
  <c r="CG101" i="1" s="1"/>
  <c r="BZ101" i="1"/>
  <c r="CA101" i="1" s="1"/>
  <c r="CB101" i="1" s="1"/>
  <c r="BU101" i="1"/>
  <c r="BV101" i="1" s="1"/>
  <c r="BW101" i="1" s="1"/>
  <c r="BP101" i="1"/>
  <c r="BQ101" i="1" s="1"/>
  <c r="BR101" i="1" s="1"/>
  <c r="BK101" i="1"/>
  <c r="BL101" i="1" s="1"/>
  <c r="BM101" i="1" s="1"/>
  <c r="BF101" i="1"/>
  <c r="BG101" i="1" s="1"/>
  <c r="BH101" i="1" s="1"/>
  <c r="BA101" i="1"/>
  <c r="BB101" i="1" s="1"/>
  <c r="BC101" i="1" s="1"/>
  <c r="AV101" i="1"/>
  <c r="AW101" i="1" s="1"/>
  <c r="AX101" i="1" s="1"/>
  <c r="AQ101" i="1"/>
  <c r="AR101" i="1" s="1"/>
  <c r="AS101" i="1" s="1"/>
  <c r="AL101" i="1"/>
  <c r="AM101" i="1" s="1"/>
  <c r="AN101" i="1" s="1"/>
  <c r="AG101" i="1"/>
  <c r="AH101" i="1" s="1"/>
  <c r="AI101" i="1" s="1"/>
  <c r="AB101" i="1"/>
  <c r="AC101" i="1" s="1"/>
  <c r="AD101" i="1" s="1"/>
  <c r="W101" i="1"/>
  <c r="X101" i="1" s="1"/>
  <c r="Y101" i="1" s="1"/>
  <c r="T101" i="1"/>
  <c r="O101" i="1"/>
  <c r="J101" i="1"/>
  <c r="PX100" i="1"/>
  <c r="PS100" i="1"/>
  <c r="PN100" i="1"/>
  <c r="PI100" i="1"/>
  <c r="PD100" i="1"/>
  <c r="OY100" i="1"/>
  <c r="OT100" i="1"/>
  <c r="OO100" i="1"/>
  <c r="OJ100" i="1"/>
  <c r="OE100" i="1"/>
  <c r="NZ100" i="1"/>
  <c r="NU100" i="1"/>
  <c r="NP100" i="1"/>
  <c r="NK100" i="1"/>
  <c r="NF100" i="1"/>
  <c r="NA100" i="1"/>
  <c r="MV100" i="1"/>
  <c r="MQ100" i="1"/>
  <c r="ML100" i="1"/>
  <c r="MG100" i="1"/>
  <c r="MB100" i="1"/>
  <c r="LW100" i="1"/>
  <c r="LR100" i="1"/>
  <c r="LM100" i="1"/>
  <c r="LH100" i="1"/>
  <c r="LC100" i="1"/>
  <c r="KX100" i="1"/>
  <c r="KS100" i="1"/>
  <c r="KN100" i="1"/>
  <c r="KI100" i="1"/>
  <c r="KD100" i="1"/>
  <c r="JY100" i="1"/>
  <c r="JT100" i="1"/>
  <c r="JO100" i="1"/>
  <c r="JJ100" i="1"/>
  <c r="JE100" i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T100" i="1"/>
  <c r="HU100" i="1" s="1"/>
  <c r="HV100" i="1" s="1"/>
  <c r="HQ100" i="1"/>
  <c r="HL100" i="1"/>
  <c r="HE100" i="1"/>
  <c r="HF100" i="1" s="1"/>
  <c r="HG100" i="1" s="1"/>
  <c r="GZ100" i="1"/>
  <c r="HA100" i="1" s="1"/>
  <c r="HB100" i="1" s="1"/>
  <c r="GU100" i="1"/>
  <c r="GV100" i="1" s="1"/>
  <c r="GW100" i="1" s="1"/>
  <c r="GP100" i="1"/>
  <c r="GQ100" i="1" s="1"/>
  <c r="GR100" i="1" s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H100" i="1"/>
  <c r="EI100" i="1" s="1"/>
  <c r="EJ100" i="1" s="1"/>
  <c r="EC100" i="1"/>
  <c r="ED100" i="1" s="1"/>
  <c r="EE100" i="1" s="1"/>
  <c r="DX100" i="1"/>
  <c r="DY100" i="1" s="1"/>
  <c r="DZ100" i="1" s="1"/>
  <c r="DS100" i="1"/>
  <c r="DT100" i="1" s="1"/>
  <c r="DU100" i="1" s="1"/>
  <c r="DN100" i="1"/>
  <c r="DO100" i="1" s="1"/>
  <c r="DP100" i="1" s="1"/>
  <c r="DI100" i="1"/>
  <c r="DJ100" i="1" s="1"/>
  <c r="DK100" i="1" s="1"/>
  <c r="DD100" i="1"/>
  <c r="DE100" i="1" s="1"/>
  <c r="DF100" i="1" s="1"/>
  <c r="CY100" i="1"/>
  <c r="CZ100" i="1" s="1"/>
  <c r="DA100" i="1" s="1"/>
  <c r="CT100" i="1"/>
  <c r="CU100" i="1" s="1"/>
  <c r="CV100" i="1" s="1"/>
  <c r="CO100" i="1"/>
  <c r="CP100" i="1" s="1"/>
  <c r="CQ100" i="1" s="1"/>
  <c r="CJ100" i="1"/>
  <c r="CK100" i="1" s="1"/>
  <c r="CL100" i="1" s="1"/>
  <c r="CE100" i="1"/>
  <c r="CF100" i="1" s="1"/>
  <c r="CG100" i="1" s="1"/>
  <c r="BZ100" i="1"/>
  <c r="CA100" i="1" s="1"/>
  <c r="CB100" i="1" s="1"/>
  <c r="BU100" i="1"/>
  <c r="BV100" i="1" s="1"/>
  <c r="BW100" i="1" s="1"/>
  <c r="BP100" i="1"/>
  <c r="BQ100" i="1" s="1"/>
  <c r="BR100" i="1" s="1"/>
  <c r="BK100" i="1"/>
  <c r="BL100" i="1" s="1"/>
  <c r="BM100" i="1" s="1"/>
  <c r="BF100" i="1"/>
  <c r="BG100" i="1" s="1"/>
  <c r="BH100" i="1" s="1"/>
  <c r="BA100" i="1"/>
  <c r="BB100" i="1" s="1"/>
  <c r="BC100" i="1" s="1"/>
  <c r="AV100" i="1"/>
  <c r="AW100" i="1" s="1"/>
  <c r="AX100" i="1" s="1"/>
  <c r="AQ100" i="1"/>
  <c r="AR100" i="1" s="1"/>
  <c r="AS100" i="1" s="1"/>
  <c r="AL100" i="1"/>
  <c r="AM100" i="1" s="1"/>
  <c r="AN100" i="1" s="1"/>
  <c r="AG100" i="1"/>
  <c r="AH100" i="1" s="1"/>
  <c r="AI100" i="1" s="1"/>
  <c r="AB100" i="1"/>
  <c r="AC100" i="1" s="1"/>
  <c r="AD100" i="1" s="1"/>
  <c r="W100" i="1"/>
  <c r="X100" i="1" s="1"/>
  <c r="Y100" i="1" s="1"/>
  <c r="T100" i="1"/>
  <c r="O100" i="1"/>
  <c r="J100" i="1"/>
  <c r="PX99" i="1"/>
  <c r="PS99" i="1"/>
  <c r="PN99" i="1"/>
  <c r="PI99" i="1"/>
  <c r="PD99" i="1"/>
  <c r="OY99" i="1"/>
  <c r="OT99" i="1"/>
  <c r="OO99" i="1"/>
  <c r="OJ99" i="1"/>
  <c r="OE99" i="1"/>
  <c r="NZ99" i="1"/>
  <c r="NU99" i="1"/>
  <c r="NP99" i="1"/>
  <c r="NK99" i="1"/>
  <c r="NF99" i="1"/>
  <c r="NA99" i="1"/>
  <c r="MV99" i="1"/>
  <c r="MQ99" i="1"/>
  <c r="ML99" i="1"/>
  <c r="MG99" i="1"/>
  <c r="MB99" i="1"/>
  <c r="LW99" i="1"/>
  <c r="LR99" i="1"/>
  <c r="LM99" i="1"/>
  <c r="LH99" i="1"/>
  <c r="LC99" i="1"/>
  <c r="KX99" i="1"/>
  <c r="KQ99" i="1"/>
  <c r="KR99" i="1" s="1"/>
  <c r="KS99" i="1" s="1"/>
  <c r="KN99" i="1"/>
  <c r="KG99" i="1"/>
  <c r="KH99" i="1" s="1"/>
  <c r="KI99" i="1" s="1"/>
  <c r="KD99" i="1"/>
  <c r="JY99" i="1"/>
  <c r="JT99" i="1"/>
  <c r="JO99" i="1"/>
  <c r="JJ99" i="1"/>
  <c r="JE99" i="1"/>
  <c r="IZ99" i="1"/>
  <c r="IS99" i="1"/>
  <c r="IT99" i="1" s="1"/>
  <c r="IU99" i="1" s="1"/>
  <c r="IP99" i="1"/>
  <c r="IK99" i="1"/>
  <c r="IF99" i="1"/>
  <c r="IA99" i="1"/>
  <c r="HV99" i="1"/>
  <c r="HQ99" i="1"/>
  <c r="HL99" i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F99" i="1"/>
  <c r="GG99" i="1" s="1"/>
  <c r="GH99" i="1" s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H99" i="1"/>
  <c r="EI99" i="1" s="1"/>
  <c r="EJ99" i="1" s="1"/>
  <c r="EC99" i="1"/>
  <c r="ED99" i="1" s="1"/>
  <c r="EE99" i="1" s="1"/>
  <c r="DX99" i="1"/>
  <c r="DY99" i="1" s="1"/>
  <c r="DZ99" i="1" s="1"/>
  <c r="DS99" i="1"/>
  <c r="DT99" i="1" s="1"/>
  <c r="DU99" i="1" s="1"/>
  <c r="DN99" i="1"/>
  <c r="DO99" i="1" s="1"/>
  <c r="DP99" i="1" s="1"/>
  <c r="DI99" i="1"/>
  <c r="DJ99" i="1" s="1"/>
  <c r="DK99" i="1" s="1"/>
  <c r="DD99" i="1"/>
  <c r="DE99" i="1" s="1"/>
  <c r="DF99" i="1" s="1"/>
  <c r="CY99" i="1"/>
  <c r="CZ99" i="1" s="1"/>
  <c r="DA99" i="1" s="1"/>
  <c r="CT99" i="1"/>
  <c r="CU99" i="1" s="1"/>
  <c r="CV99" i="1" s="1"/>
  <c r="CO99" i="1"/>
  <c r="CP99" i="1" s="1"/>
  <c r="CQ99" i="1" s="1"/>
  <c r="CJ99" i="1"/>
  <c r="CK99" i="1" s="1"/>
  <c r="CL99" i="1" s="1"/>
  <c r="CE99" i="1"/>
  <c r="CF99" i="1" s="1"/>
  <c r="CG99" i="1" s="1"/>
  <c r="BZ99" i="1"/>
  <c r="CA99" i="1" s="1"/>
  <c r="CB99" i="1" s="1"/>
  <c r="BU99" i="1"/>
  <c r="BV99" i="1" s="1"/>
  <c r="BW99" i="1" s="1"/>
  <c r="BP99" i="1"/>
  <c r="BQ99" i="1" s="1"/>
  <c r="BR99" i="1" s="1"/>
  <c r="BK99" i="1"/>
  <c r="BL99" i="1" s="1"/>
  <c r="BM99" i="1" s="1"/>
  <c r="BF99" i="1"/>
  <c r="BG99" i="1" s="1"/>
  <c r="BH99" i="1" s="1"/>
  <c r="BA99" i="1"/>
  <c r="BB99" i="1" s="1"/>
  <c r="BC99" i="1" s="1"/>
  <c r="AV99" i="1"/>
  <c r="AW99" i="1" s="1"/>
  <c r="AX99" i="1" s="1"/>
  <c r="AQ99" i="1"/>
  <c r="AR99" i="1" s="1"/>
  <c r="AS99" i="1" s="1"/>
  <c r="AL99" i="1"/>
  <c r="AM99" i="1" s="1"/>
  <c r="AN99" i="1" s="1"/>
  <c r="AG99" i="1"/>
  <c r="AH99" i="1" s="1"/>
  <c r="AI99" i="1" s="1"/>
  <c r="AB99" i="1"/>
  <c r="AC99" i="1" s="1"/>
  <c r="AD99" i="1" s="1"/>
  <c r="W99" i="1"/>
  <c r="X99" i="1" s="1"/>
  <c r="Y99" i="1" s="1"/>
  <c r="T99" i="1"/>
  <c r="O99" i="1"/>
  <c r="J99" i="1"/>
  <c r="PX98" i="1"/>
  <c r="PS98" i="1"/>
  <c r="PN98" i="1"/>
  <c r="PI98" i="1"/>
  <c r="PD98" i="1"/>
  <c r="OY98" i="1"/>
  <c r="OT98" i="1"/>
  <c r="OO98" i="1"/>
  <c r="OJ98" i="1"/>
  <c r="OE98" i="1"/>
  <c r="NZ98" i="1"/>
  <c r="NU98" i="1"/>
  <c r="NP98" i="1"/>
  <c r="NK98" i="1"/>
  <c r="NF98" i="1"/>
  <c r="NA98" i="1"/>
  <c r="MV98" i="1"/>
  <c r="MQ98" i="1"/>
  <c r="ML98" i="1"/>
  <c r="MG98" i="1"/>
  <c r="MB98" i="1"/>
  <c r="LW98" i="1"/>
  <c r="LR98" i="1"/>
  <c r="LM98" i="1"/>
  <c r="LH98" i="1"/>
  <c r="LC98" i="1"/>
  <c r="KX98" i="1"/>
  <c r="KS98" i="1"/>
  <c r="KN98" i="1"/>
  <c r="KI98" i="1"/>
  <c r="KD98" i="1"/>
  <c r="JY98" i="1"/>
  <c r="JT98" i="1"/>
  <c r="JO98" i="1"/>
  <c r="JJ98" i="1"/>
  <c r="JE98" i="1"/>
  <c r="IZ98" i="1"/>
  <c r="IU98" i="1"/>
  <c r="IP98" i="1"/>
  <c r="IK98" i="1"/>
  <c r="IF98" i="1"/>
  <c r="IA98" i="1"/>
  <c r="HV98" i="1"/>
  <c r="HQ98" i="1"/>
  <c r="HL98" i="1"/>
  <c r="HG98" i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H98" i="1"/>
  <c r="EI98" i="1" s="1"/>
  <c r="EJ98" i="1" s="1"/>
  <c r="EC98" i="1"/>
  <c r="ED98" i="1" s="1"/>
  <c r="EE98" i="1" s="1"/>
  <c r="DX98" i="1"/>
  <c r="DY98" i="1" s="1"/>
  <c r="DZ98" i="1" s="1"/>
  <c r="DS98" i="1"/>
  <c r="DT98" i="1" s="1"/>
  <c r="DU98" i="1" s="1"/>
  <c r="DN98" i="1"/>
  <c r="DO98" i="1" s="1"/>
  <c r="DP98" i="1" s="1"/>
  <c r="DI98" i="1"/>
  <c r="DJ98" i="1" s="1"/>
  <c r="DK98" i="1" s="1"/>
  <c r="DD98" i="1"/>
  <c r="DE98" i="1" s="1"/>
  <c r="DF98" i="1" s="1"/>
  <c r="CY98" i="1"/>
  <c r="CZ98" i="1" s="1"/>
  <c r="DA98" i="1" s="1"/>
  <c r="CT98" i="1"/>
  <c r="CU98" i="1" s="1"/>
  <c r="CV98" i="1" s="1"/>
  <c r="CO98" i="1"/>
  <c r="CP98" i="1" s="1"/>
  <c r="CQ98" i="1" s="1"/>
  <c r="CJ98" i="1"/>
  <c r="CK98" i="1" s="1"/>
  <c r="CL98" i="1" s="1"/>
  <c r="CE98" i="1"/>
  <c r="CF98" i="1" s="1"/>
  <c r="CG98" i="1" s="1"/>
  <c r="BZ98" i="1"/>
  <c r="CA98" i="1" s="1"/>
  <c r="CB98" i="1" s="1"/>
  <c r="BU98" i="1"/>
  <c r="BV98" i="1" s="1"/>
  <c r="BW98" i="1" s="1"/>
  <c r="BP98" i="1"/>
  <c r="BQ98" i="1" s="1"/>
  <c r="BR98" i="1" s="1"/>
  <c r="BK98" i="1"/>
  <c r="BL98" i="1" s="1"/>
  <c r="BM98" i="1" s="1"/>
  <c r="BF98" i="1"/>
  <c r="BG98" i="1" s="1"/>
  <c r="BH98" i="1" s="1"/>
  <c r="BA98" i="1"/>
  <c r="BB98" i="1" s="1"/>
  <c r="BC98" i="1" s="1"/>
  <c r="AV98" i="1"/>
  <c r="AW98" i="1" s="1"/>
  <c r="AX98" i="1" s="1"/>
  <c r="AQ98" i="1"/>
  <c r="AR98" i="1" s="1"/>
  <c r="AS98" i="1" s="1"/>
  <c r="AL98" i="1"/>
  <c r="AM98" i="1" s="1"/>
  <c r="AN98" i="1" s="1"/>
  <c r="AG98" i="1"/>
  <c r="AH98" i="1" s="1"/>
  <c r="AI98" i="1" s="1"/>
  <c r="AD98" i="1"/>
  <c r="W98" i="1"/>
  <c r="X98" i="1" s="1"/>
  <c r="Y98" i="1" s="1"/>
  <c r="T98" i="1"/>
  <c r="O98" i="1"/>
  <c r="H98" i="1"/>
  <c r="I98" i="1" s="1"/>
  <c r="J98" i="1" s="1"/>
  <c r="PX97" i="1"/>
  <c r="PS97" i="1"/>
  <c r="PN97" i="1"/>
  <c r="PI97" i="1"/>
  <c r="PD97" i="1"/>
  <c r="OY97" i="1"/>
  <c r="OT97" i="1"/>
  <c r="OO97" i="1"/>
  <c r="OJ97" i="1"/>
  <c r="OE97" i="1"/>
  <c r="NZ97" i="1"/>
  <c r="NU97" i="1"/>
  <c r="NP97" i="1"/>
  <c r="NK97" i="1"/>
  <c r="NF97" i="1"/>
  <c r="NA97" i="1"/>
  <c r="MV97" i="1"/>
  <c r="MQ97" i="1"/>
  <c r="ML97" i="1"/>
  <c r="MG97" i="1"/>
  <c r="MB97" i="1"/>
  <c r="LW97" i="1"/>
  <c r="LR97" i="1"/>
  <c r="LM97" i="1"/>
  <c r="LH97" i="1"/>
  <c r="LC97" i="1"/>
  <c r="KX97" i="1"/>
  <c r="KQ97" i="1"/>
  <c r="KR97" i="1" s="1"/>
  <c r="KS97" i="1" s="1"/>
  <c r="KN97" i="1"/>
  <c r="KG97" i="1"/>
  <c r="KH97" i="1" s="1"/>
  <c r="KI97" i="1" s="1"/>
  <c r="KD97" i="1"/>
  <c r="JY97" i="1"/>
  <c r="JT97" i="1"/>
  <c r="JO97" i="1"/>
  <c r="JJ97" i="1"/>
  <c r="JE97" i="1"/>
  <c r="IZ97" i="1"/>
  <c r="IS97" i="1"/>
  <c r="IT97" i="1" s="1"/>
  <c r="IU97" i="1" s="1"/>
  <c r="IP97" i="1"/>
  <c r="IK97" i="1"/>
  <c r="IF97" i="1"/>
  <c r="IA97" i="1"/>
  <c r="HT97" i="1"/>
  <c r="HU97" i="1" s="1"/>
  <c r="HV97" i="1" s="1"/>
  <c r="HQ97" i="1"/>
  <c r="HL97" i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H97" i="1"/>
  <c r="EI97" i="1" s="1"/>
  <c r="EJ97" i="1" s="1"/>
  <c r="EC97" i="1"/>
  <c r="ED97" i="1" s="1"/>
  <c r="EE97" i="1" s="1"/>
  <c r="DX97" i="1"/>
  <c r="DY97" i="1" s="1"/>
  <c r="DZ97" i="1" s="1"/>
  <c r="DS97" i="1"/>
  <c r="DT97" i="1" s="1"/>
  <c r="DU97" i="1" s="1"/>
  <c r="DN97" i="1"/>
  <c r="DO97" i="1" s="1"/>
  <c r="DP97" i="1" s="1"/>
  <c r="DI97" i="1"/>
  <c r="DJ97" i="1" s="1"/>
  <c r="DK97" i="1" s="1"/>
  <c r="DD97" i="1"/>
  <c r="DE97" i="1" s="1"/>
  <c r="DF97" i="1" s="1"/>
  <c r="CY97" i="1"/>
  <c r="CZ97" i="1" s="1"/>
  <c r="DA97" i="1" s="1"/>
  <c r="CT97" i="1"/>
  <c r="CU97" i="1" s="1"/>
  <c r="CV97" i="1" s="1"/>
  <c r="CO97" i="1"/>
  <c r="CP97" i="1" s="1"/>
  <c r="CQ97" i="1" s="1"/>
  <c r="CJ97" i="1"/>
  <c r="CK97" i="1" s="1"/>
  <c r="CL97" i="1" s="1"/>
  <c r="CE97" i="1"/>
  <c r="CF97" i="1" s="1"/>
  <c r="CG97" i="1" s="1"/>
  <c r="BZ97" i="1"/>
  <c r="CA97" i="1" s="1"/>
  <c r="CB97" i="1" s="1"/>
  <c r="BU97" i="1"/>
  <c r="BV97" i="1" s="1"/>
  <c r="BW97" i="1" s="1"/>
  <c r="BP97" i="1"/>
  <c r="BQ97" i="1" s="1"/>
  <c r="BR97" i="1" s="1"/>
  <c r="BK97" i="1"/>
  <c r="BL97" i="1" s="1"/>
  <c r="BM97" i="1" s="1"/>
  <c r="BF97" i="1"/>
  <c r="BG97" i="1" s="1"/>
  <c r="BH97" i="1" s="1"/>
  <c r="BA97" i="1"/>
  <c r="BB97" i="1" s="1"/>
  <c r="BC97" i="1" s="1"/>
  <c r="AV97" i="1"/>
  <c r="AW97" i="1" s="1"/>
  <c r="AX97" i="1" s="1"/>
  <c r="AQ97" i="1"/>
  <c r="AR97" i="1" s="1"/>
  <c r="AS97" i="1" s="1"/>
  <c r="AL97" i="1"/>
  <c r="AM97" i="1" s="1"/>
  <c r="AN97" i="1" s="1"/>
  <c r="AG97" i="1"/>
  <c r="AH97" i="1" s="1"/>
  <c r="AI97" i="1" s="1"/>
  <c r="AB97" i="1"/>
  <c r="AC97" i="1" s="1"/>
  <c r="AD97" i="1" s="1"/>
  <c r="W97" i="1"/>
  <c r="X97" i="1" s="1"/>
  <c r="Y97" i="1" s="1"/>
  <c r="T97" i="1"/>
  <c r="O97" i="1"/>
  <c r="J97" i="1"/>
  <c r="PX96" i="1"/>
  <c r="PS96" i="1"/>
  <c r="PN96" i="1"/>
  <c r="PI96" i="1"/>
  <c r="PD96" i="1"/>
  <c r="OY96" i="1"/>
  <c r="OT96" i="1"/>
  <c r="OO96" i="1"/>
  <c r="OJ96" i="1"/>
  <c r="OE96" i="1"/>
  <c r="NZ96" i="1"/>
  <c r="NU96" i="1"/>
  <c r="NP96" i="1"/>
  <c r="NK96" i="1"/>
  <c r="NF96" i="1"/>
  <c r="NA96" i="1"/>
  <c r="MV96" i="1"/>
  <c r="MQ96" i="1"/>
  <c r="ML96" i="1"/>
  <c r="MG96" i="1"/>
  <c r="MB96" i="1"/>
  <c r="LW96" i="1"/>
  <c r="LR96" i="1"/>
  <c r="LM96" i="1"/>
  <c r="LH96" i="1"/>
  <c r="LA96" i="1"/>
  <c r="LB96" i="1" s="1"/>
  <c r="LC96" i="1" s="1"/>
  <c r="KX96" i="1"/>
  <c r="KS96" i="1"/>
  <c r="KN96" i="1"/>
  <c r="KI96" i="1"/>
  <c r="KD96" i="1"/>
  <c r="JY96" i="1"/>
  <c r="JT96" i="1"/>
  <c r="JO96" i="1"/>
  <c r="JJ96" i="1"/>
  <c r="JE96" i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T96" i="1"/>
  <c r="HU96" i="1" s="1"/>
  <c r="HV96" i="1" s="1"/>
  <c r="HQ96" i="1"/>
  <c r="HL96" i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H96" i="1"/>
  <c r="EI96" i="1" s="1"/>
  <c r="EJ96" i="1" s="1"/>
  <c r="EC96" i="1"/>
  <c r="ED96" i="1" s="1"/>
  <c r="EE96" i="1" s="1"/>
  <c r="DX96" i="1"/>
  <c r="DY96" i="1" s="1"/>
  <c r="DZ96" i="1" s="1"/>
  <c r="DS96" i="1"/>
  <c r="DT96" i="1" s="1"/>
  <c r="DU96" i="1" s="1"/>
  <c r="DN96" i="1"/>
  <c r="DO96" i="1" s="1"/>
  <c r="DP96" i="1" s="1"/>
  <c r="DI96" i="1"/>
  <c r="DJ96" i="1" s="1"/>
  <c r="DK96" i="1" s="1"/>
  <c r="DD96" i="1"/>
  <c r="DE96" i="1" s="1"/>
  <c r="DF96" i="1" s="1"/>
  <c r="CY96" i="1"/>
  <c r="CZ96" i="1" s="1"/>
  <c r="DA96" i="1" s="1"/>
  <c r="CT96" i="1"/>
  <c r="CU96" i="1" s="1"/>
  <c r="CV96" i="1" s="1"/>
  <c r="CO96" i="1"/>
  <c r="CP96" i="1" s="1"/>
  <c r="CQ96" i="1" s="1"/>
  <c r="CJ96" i="1"/>
  <c r="CK96" i="1" s="1"/>
  <c r="CL96" i="1" s="1"/>
  <c r="CE96" i="1"/>
  <c r="CF96" i="1" s="1"/>
  <c r="CG96" i="1" s="1"/>
  <c r="BZ96" i="1"/>
  <c r="CA96" i="1" s="1"/>
  <c r="CB96" i="1" s="1"/>
  <c r="BU96" i="1"/>
  <c r="BV96" i="1" s="1"/>
  <c r="BW96" i="1" s="1"/>
  <c r="BP96" i="1"/>
  <c r="BQ96" i="1" s="1"/>
  <c r="BR96" i="1" s="1"/>
  <c r="BK96" i="1"/>
  <c r="BL96" i="1" s="1"/>
  <c r="BM96" i="1" s="1"/>
  <c r="BF96" i="1"/>
  <c r="BG96" i="1" s="1"/>
  <c r="BH96" i="1" s="1"/>
  <c r="BA96" i="1"/>
  <c r="BB96" i="1" s="1"/>
  <c r="BC96" i="1" s="1"/>
  <c r="AV96" i="1"/>
  <c r="AW96" i="1" s="1"/>
  <c r="AX96" i="1" s="1"/>
  <c r="AQ96" i="1"/>
  <c r="AR96" i="1" s="1"/>
  <c r="AS96" i="1" s="1"/>
  <c r="AL96" i="1"/>
  <c r="AM96" i="1" s="1"/>
  <c r="AN96" i="1" s="1"/>
  <c r="AG96" i="1"/>
  <c r="AH96" i="1" s="1"/>
  <c r="AI96" i="1" s="1"/>
  <c r="AB96" i="1"/>
  <c r="AC96" i="1" s="1"/>
  <c r="AD96" i="1" s="1"/>
  <c r="W96" i="1"/>
  <c r="X96" i="1" s="1"/>
  <c r="Y96" i="1" s="1"/>
  <c r="T96" i="1"/>
  <c r="O96" i="1"/>
  <c r="J96" i="1"/>
  <c r="PX95" i="1"/>
  <c r="PS95" i="1"/>
  <c r="PN95" i="1"/>
  <c r="PI95" i="1"/>
  <c r="PD95" i="1"/>
  <c r="OY95" i="1"/>
  <c r="OT95" i="1"/>
  <c r="OO95" i="1"/>
  <c r="OJ95" i="1"/>
  <c r="OE95" i="1"/>
  <c r="NZ95" i="1"/>
  <c r="NU95" i="1"/>
  <c r="NP95" i="1"/>
  <c r="NK95" i="1"/>
  <c r="NF95" i="1"/>
  <c r="NA95" i="1"/>
  <c r="MV95" i="1"/>
  <c r="MQ95" i="1"/>
  <c r="ML95" i="1"/>
  <c r="MG95" i="1"/>
  <c r="MB95" i="1"/>
  <c r="LW95" i="1"/>
  <c r="LR95" i="1"/>
  <c r="LM95" i="1"/>
  <c r="LH95" i="1"/>
  <c r="LC95" i="1"/>
  <c r="KX95" i="1"/>
  <c r="KS95" i="1"/>
  <c r="KN95" i="1"/>
  <c r="KI95" i="1"/>
  <c r="KD95" i="1"/>
  <c r="JY95" i="1"/>
  <c r="JT95" i="1"/>
  <c r="JO95" i="1"/>
  <c r="JJ95" i="1"/>
  <c r="JE95" i="1"/>
  <c r="IZ95" i="1"/>
  <c r="IS95" i="1"/>
  <c r="IT95" i="1" s="1"/>
  <c r="IU95" i="1" s="1"/>
  <c r="IN95" i="1"/>
  <c r="IO95" i="1" s="1"/>
  <c r="IP95" i="1" s="1"/>
  <c r="IK95" i="1"/>
  <c r="ID95" i="1"/>
  <c r="IE95" i="1" s="1"/>
  <c r="IF95" i="1" s="1"/>
  <c r="HY95" i="1"/>
  <c r="HZ95" i="1" s="1"/>
  <c r="IA95" i="1" s="1"/>
  <c r="HV95" i="1"/>
  <c r="HQ95" i="1"/>
  <c r="HL95" i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M95" i="1"/>
  <c r="EN95" i="1" s="1"/>
  <c r="EO95" i="1" s="1"/>
  <c r="EH95" i="1"/>
  <c r="EI95" i="1" s="1"/>
  <c r="EJ95" i="1" s="1"/>
  <c r="EC95" i="1"/>
  <c r="ED95" i="1" s="1"/>
  <c r="EE95" i="1" s="1"/>
  <c r="DX95" i="1"/>
  <c r="DY95" i="1" s="1"/>
  <c r="DZ95" i="1" s="1"/>
  <c r="DS95" i="1"/>
  <c r="DT95" i="1" s="1"/>
  <c r="DU95" i="1" s="1"/>
  <c r="DN95" i="1"/>
  <c r="DO95" i="1" s="1"/>
  <c r="DP95" i="1" s="1"/>
  <c r="DI95" i="1"/>
  <c r="DJ95" i="1" s="1"/>
  <c r="DK95" i="1" s="1"/>
  <c r="DD95" i="1"/>
  <c r="DE95" i="1" s="1"/>
  <c r="DF95" i="1" s="1"/>
  <c r="CY95" i="1"/>
  <c r="CZ95" i="1" s="1"/>
  <c r="DA95" i="1" s="1"/>
  <c r="CT95" i="1"/>
  <c r="CU95" i="1" s="1"/>
  <c r="CV95" i="1" s="1"/>
  <c r="CO95" i="1"/>
  <c r="CP95" i="1" s="1"/>
  <c r="CQ95" i="1" s="1"/>
  <c r="CJ95" i="1"/>
  <c r="CK95" i="1" s="1"/>
  <c r="CL95" i="1" s="1"/>
  <c r="CE95" i="1"/>
  <c r="CF95" i="1" s="1"/>
  <c r="CG95" i="1" s="1"/>
  <c r="BZ95" i="1"/>
  <c r="CA95" i="1" s="1"/>
  <c r="CB95" i="1" s="1"/>
  <c r="BU95" i="1"/>
  <c r="BV95" i="1" s="1"/>
  <c r="BW95" i="1" s="1"/>
  <c r="BP95" i="1"/>
  <c r="BQ95" i="1" s="1"/>
  <c r="BR95" i="1" s="1"/>
  <c r="BK95" i="1"/>
  <c r="BL95" i="1" s="1"/>
  <c r="BM95" i="1" s="1"/>
  <c r="BF95" i="1"/>
  <c r="BG95" i="1" s="1"/>
  <c r="BH95" i="1" s="1"/>
  <c r="BA95" i="1"/>
  <c r="BB95" i="1" s="1"/>
  <c r="BC95" i="1" s="1"/>
  <c r="AV95" i="1"/>
  <c r="AW95" i="1" s="1"/>
  <c r="AX95" i="1" s="1"/>
  <c r="AQ95" i="1"/>
  <c r="AR95" i="1" s="1"/>
  <c r="AS95" i="1" s="1"/>
  <c r="AL95" i="1"/>
  <c r="AM95" i="1" s="1"/>
  <c r="AN95" i="1" s="1"/>
  <c r="AG95" i="1"/>
  <c r="AH95" i="1" s="1"/>
  <c r="AI95" i="1" s="1"/>
  <c r="AB95" i="1"/>
  <c r="AC95" i="1" s="1"/>
  <c r="AD95" i="1" s="1"/>
  <c r="W95" i="1"/>
  <c r="X95" i="1" s="1"/>
  <c r="Y95" i="1" s="1"/>
  <c r="T95" i="1"/>
  <c r="O95" i="1"/>
  <c r="J95" i="1"/>
  <c r="PX94" i="1"/>
  <c r="PS94" i="1"/>
  <c r="PN94" i="1"/>
  <c r="PI94" i="1"/>
  <c r="PD94" i="1"/>
  <c r="OY94" i="1"/>
  <c r="OT94" i="1"/>
  <c r="OO94" i="1"/>
  <c r="OJ94" i="1"/>
  <c r="OE94" i="1"/>
  <c r="NZ94" i="1"/>
  <c r="NU94" i="1"/>
  <c r="NP94" i="1"/>
  <c r="NK94" i="1"/>
  <c r="NF94" i="1"/>
  <c r="NA94" i="1"/>
  <c r="MV94" i="1"/>
  <c r="MQ94" i="1"/>
  <c r="ML94" i="1"/>
  <c r="MG94" i="1"/>
  <c r="MB94" i="1"/>
  <c r="LW94" i="1"/>
  <c r="LR94" i="1"/>
  <c r="LM94" i="1"/>
  <c r="LH94" i="1"/>
  <c r="LC94" i="1"/>
  <c r="KX94" i="1"/>
  <c r="KQ94" i="1"/>
  <c r="KR94" i="1" s="1"/>
  <c r="KS94" i="1" s="1"/>
  <c r="KN94" i="1"/>
  <c r="KI94" i="1"/>
  <c r="KD94" i="1"/>
  <c r="JY94" i="1"/>
  <c r="JT94" i="1"/>
  <c r="JO94" i="1"/>
  <c r="JJ94" i="1"/>
  <c r="JE94" i="1"/>
  <c r="IZ94" i="1"/>
  <c r="IU94" i="1"/>
  <c r="IP94" i="1"/>
  <c r="IK94" i="1"/>
  <c r="IF94" i="1"/>
  <c r="IA94" i="1"/>
  <c r="HV94" i="1"/>
  <c r="HQ94" i="1"/>
  <c r="HL94" i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H94" i="1"/>
  <c r="EI94" i="1" s="1"/>
  <c r="EJ94" i="1" s="1"/>
  <c r="EC94" i="1"/>
  <c r="ED94" i="1" s="1"/>
  <c r="EE94" i="1" s="1"/>
  <c r="DX94" i="1"/>
  <c r="DY94" i="1" s="1"/>
  <c r="DZ94" i="1" s="1"/>
  <c r="DS94" i="1"/>
  <c r="DT94" i="1" s="1"/>
  <c r="DU94" i="1" s="1"/>
  <c r="DN94" i="1"/>
  <c r="DO94" i="1" s="1"/>
  <c r="DP94" i="1" s="1"/>
  <c r="DI94" i="1"/>
  <c r="DJ94" i="1" s="1"/>
  <c r="DK94" i="1" s="1"/>
  <c r="DD94" i="1"/>
  <c r="DE94" i="1" s="1"/>
  <c r="DF94" i="1" s="1"/>
  <c r="CY94" i="1"/>
  <c r="CZ94" i="1" s="1"/>
  <c r="DA94" i="1" s="1"/>
  <c r="CT94" i="1"/>
  <c r="CU94" i="1" s="1"/>
  <c r="CV94" i="1" s="1"/>
  <c r="CO94" i="1"/>
  <c r="CP94" i="1" s="1"/>
  <c r="CQ94" i="1" s="1"/>
  <c r="CJ94" i="1"/>
  <c r="CK94" i="1" s="1"/>
  <c r="CL94" i="1" s="1"/>
  <c r="CE94" i="1"/>
  <c r="CF94" i="1" s="1"/>
  <c r="CG94" i="1" s="1"/>
  <c r="BZ94" i="1"/>
  <c r="CA94" i="1" s="1"/>
  <c r="CB94" i="1" s="1"/>
  <c r="BU94" i="1"/>
  <c r="BV94" i="1" s="1"/>
  <c r="BW94" i="1" s="1"/>
  <c r="BP94" i="1"/>
  <c r="BQ94" i="1" s="1"/>
  <c r="BR94" i="1" s="1"/>
  <c r="BK94" i="1"/>
  <c r="BL94" i="1" s="1"/>
  <c r="BM94" i="1" s="1"/>
  <c r="BF94" i="1"/>
  <c r="BG94" i="1" s="1"/>
  <c r="BH94" i="1" s="1"/>
  <c r="BA94" i="1"/>
  <c r="BB94" i="1" s="1"/>
  <c r="BC94" i="1" s="1"/>
  <c r="AV94" i="1"/>
  <c r="AW94" i="1" s="1"/>
  <c r="AX94" i="1" s="1"/>
  <c r="AQ94" i="1"/>
  <c r="AR94" i="1" s="1"/>
  <c r="AS94" i="1" s="1"/>
  <c r="AL94" i="1"/>
  <c r="AM94" i="1" s="1"/>
  <c r="AN94" i="1" s="1"/>
  <c r="AG94" i="1"/>
  <c r="AH94" i="1" s="1"/>
  <c r="AI94" i="1" s="1"/>
  <c r="AD94" i="1"/>
  <c r="W94" i="1"/>
  <c r="X94" i="1" s="1"/>
  <c r="Y94" i="1" s="1"/>
  <c r="R94" i="1"/>
  <c r="S94" i="1" s="1"/>
  <c r="T94" i="1" s="1"/>
  <c r="O94" i="1"/>
  <c r="J94" i="1"/>
  <c r="PX93" i="1"/>
  <c r="PS93" i="1"/>
  <c r="PN93" i="1"/>
  <c r="PI93" i="1"/>
  <c r="PD93" i="1"/>
  <c r="OY93" i="1"/>
  <c r="OT93" i="1"/>
  <c r="OO93" i="1"/>
  <c r="OJ93" i="1"/>
  <c r="OE93" i="1"/>
  <c r="NZ93" i="1"/>
  <c r="NU93" i="1"/>
  <c r="NP93" i="1"/>
  <c r="NK93" i="1"/>
  <c r="NF93" i="1"/>
  <c r="NA93" i="1"/>
  <c r="MV93" i="1"/>
  <c r="MQ93" i="1"/>
  <c r="ML93" i="1"/>
  <c r="MG93" i="1"/>
  <c r="MB93" i="1"/>
  <c r="LW93" i="1"/>
  <c r="LR93" i="1"/>
  <c r="LM93" i="1"/>
  <c r="LF93" i="1"/>
  <c r="LG93" i="1" s="1"/>
  <c r="LH93" i="1" s="1"/>
  <c r="LC93" i="1"/>
  <c r="KX93" i="1"/>
  <c r="KS93" i="1"/>
  <c r="KN93" i="1"/>
  <c r="KI93" i="1"/>
  <c r="KD93" i="1"/>
  <c r="JY93" i="1"/>
  <c r="JT93" i="1"/>
  <c r="JO93" i="1"/>
  <c r="JJ93" i="1"/>
  <c r="JE93" i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H93" i="1"/>
  <c r="EI93" i="1" s="1"/>
  <c r="EJ93" i="1" s="1"/>
  <c r="EC93" i="1"/>
  <c r="ED93" i="1" s="1"/>
  <c r="EE93" i="1" s="1"/>
  <c r="DX93" i="1"/>
  <c r="DY93" i="1" s="1"/>
  <c r="DZ93" i="1" s="1"/>
  <c r="DS93" i="1"/>
  <c r="DT93" i="1" s="1"/>
  <c r="DU93" i="1" s="1"/>
  <c r="DN93" i="1"/>
  <c r="DO93" i="1" s="1"/>
  <c r="DP93" i="1" s="1"/>
  <c r="DI93" i="1"/>
  <c r="DJ93" i="1" s="1"/>
  <c r="DK93" i="1" s="1"/>
  <c r="DD93" i="1"/>
  <c r="DE93" i="1" s="1"/>
  <c r="DF93" i="1" s="1"/>
  <c r="CY93" i="1"/>
  <c r="CZ93" i="1" s="1"/>
  <c r="DA93" i="1" s="1"/>
  <c r="CT93" i="1"/>
  <c r="CU93" i="1" s="1"/>
  <c r="CV93" i="1" s="1"/>
  <c r="CO93" i="1"/>
  <c r="CP93" i="1" s="1"/>
  <c r="CQ93" i="1" s="1"/>
  <c r="CJ93" i="1"/>
  <c r="CK93" i="1" s="1"/>
  <c r="CL93" i="1" s="1"/>
  <c r="CE93" i="1"/>
  <c r="CF93" i="1" s="1"/>
  <c r="CG93" i="1" s="1"/>
  <c r="BZ93" i="1"/>
  <c r="CA93" i="1" s="1"/>
  <c r="CB93" i="1" s="1"/>
  <c r="BU93" i="1"/>
  <c r="BV93" i="1" s="1"/>
  <c r="BW93" i="1" s="1"/>
  <c r="BP93" i="1"/>
  <c r="BQ93" i="1" s="1"/>
  <c r="BR93" i="1" s="1"/>
  <c r="BK93" i="1"/>
  <c r="BL93" i="1" s="1"/>
  <c r="BM93" i="1" s="1"/>
  <c r="BF93" i="1"/>
  <c r="BG93" i="1" s="1"/>
  <c r="BH93" i="1" s="1"/>
  <c r="BA93" i="1"/>
  <c r="BB93" i="1" s="1"/>
  <c r="BC93" i="1" s="1"/>
  <c r="AV93" i="1"/>
  <c r="AW93" i="1" s="1"/>
  <c r="AX93" i="1" s="1"/>
  <c r="AQ93" i="1"/>
  <c r="AR93" i="1" s="1"/>
  <c r="AS93" i="1" s="1"/>
  <c r="AL93" i="1"/>
  <c r="AM93" i="1" s="1"/>
  <c r="AN93" i="1" s="1"/>
  <c r="AG93" i="1"/>
  <c r="AH93" i="1" s="1"/>
  <c r="AI93" i="1" s="1"/>
  <c r="AB93" i="1"/>
  <c r="AC93" i="1" s="1"/>
  <c r="AD93" i="1" s="1"/>
  <c r="W93" i="1"/>
  <c r="X93" i="1" s="1"/>
  <c r="Y93" i="1" s="1"/>
  <c r="T93" i="1"/>
  <c r="O93" i="1"/>
  <c r="J93" i="1"/>
  <c r="PX92" i="1"/>
  <c r="PS92" i="1"/>
  <c r="PN92" i="1"/>
  <c r="PI92" i="1"/>
  <c r="PD92" i="1"/>
  <c r="OY92" i="1"/>
  <c r="OT92" i="1"/>
  <c r="OO92" i="1"/>
  <c r="OJ92" i="1"/>
  <c r="OE92" i="1"/>
  <c r="NZ92" i="1"/>
  <c r="NU92" i="1"/>
  <c r="NP92" i="1"/>
  <c r="NK92" i="1"/>
  <c r="NF92" i="1"/>
  <c r="NA92" i="1"/>
  <c r="MV92" i="1"/>
  <c r="MQ92" i="1"/>
  <c r="ML92" i="1"/>
  <c r="MG92" i="1"/>
  <c r="MB92" i="1"/>
  <c r="LW92" i="1"/>
  <c r="LR92" i="1"/>
  <c r="LM92" i="1"/>
  <c r="LH92" i="1"/>
  <c r="LC92" i="1"/>
  <c r="KX92" i="1"/>
  <c r="KS92" i="1"/>
  <c r="KN92" i="1"/>
  <c r="KI92" i="1"/>
  <c r="KD92" i="1"/>
  <c r="JY92" i="1"/>
  <c r="JT92" i="1"/>
  <c r="JO92" i="1"/>
  <c r="JJ92" i="1"/>
  <c r="JE92" i="1"/>
  <c r="IZ92" i="1"/>
  <c r="IU92" i="1"/>
  <c r="IP92" i="1"/>
  <c r="IK92" i="1"/>
  <c r="IF92" i="1"/>
  <c r="IA92" i="1"/>
  <c r="HV92" i="1"/>
  <c r="HQ92" i="1"/>
  <c r="HL92" i="1"/>
  <c r="HG92" i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H92" i="1"/>
  <c r="EI92" i="1" s="1"/>
  <c r="EJ92" i="1" s="1"/>
  <c r="EC92" i="1"/>
  <c r="ED92" i="1" s="1"/>
  <c r="EE92" i="1" s="1"/>
  <c r="DX92" i="1"/>
  <c r="DY92" i="1" s="1"/>
  <c r="DZ92" i="1" s="1"/>
  <c r="DS92" i="1"/>
  <c r="DT92" i="1" s="1"/>
  <c r="DU92" i="1" s="1"/>
  <c r="DN92" i="1"/>
  <c r="DO92" i="1" s="1"/>
  <c r="DP92" i="1" s="1"/>
  <c r="DI92" i="1"/>
  <c r="DJ92" i="1" s="1"/>
  <c r="DK92" i="1" s="1"/>
  <c r="DD92" i="1"/>
  <c r="DE92" i="1" s="1"/>
  <c r="DF92" i="1" s="1"/>
  <c r="CY92" i="1"/>
  <c r="CZ92" i="1" s="1"/>
  <c r="DA92" i="1" s="1"/>
  <c r="CT92" i="1"/>
  <c r="CU92" i="1" s="1"/>
  <c r="CV92" i="1" s="1"/>
  <c r="CO92" i="1"/>
  <c r="CP92" i="1" s="1"/>
  <c r="CQ92" i="1" s="1"/>
  <c r="CJ92" i="1"/>
  <c r="CK92" i="1" s="1"/>
  <c r="CL92" i="1" s="1"/>
  <c r="CE92" i="1"/>
  <c r="CF92" i="1" s="1"/>
  <c r="CG92" i="1" s="1"/>
  <c r="BZ92" i="1"/>
  <c r="CA92" i="1" s="1"/>
  <c r="CB92" i="1" s="1"/>
  <c r="BU92" i="1"/>
  <c r="BV92" i="1" s="1"/>
  <c r="BW92" i="1" s="1"/>
  <c r="BP92" i="1"/>
  <c r="BQ92" i="1" s="1"/>
  <c r="BR92" i="1" s="1"/>
  <c r="BK92" i="1"/>
  <c r="BL92" i="1" s="1"/>
  <c r="BM92" i="1" s="1"/>
  <c r="BF92" i="1"/>
  <c r="BG92" i="1" s="1"/>
  <c r="BH92" i="1" s="1"/>
  <c r="BA92" i="1"/>
  <c r="BB92" i="1" s="1"/>
  <c r="BC92" i="1" s="1"/>
  <c r="AV92" i="1"/>
  <c r="AW92" i="1" s="1"/>
  <c r="AX92" i="1" s="1"/>
  <c r="AQ92" i="1"/>
  <c r="AR92" i="1" s="1"/>
  <c r="AS92" i="1" s="1"/>
  <c r="AL92" i="1"/>
  <c r="AM92" i="1" s="1"/>
  <c r="AN92" i="1" s="1"/>
  <c r="AG92" i="1"/>
  <c r="AH92" i="1" s="1"/>
  <c r="AI92" i="1" s="1"/>
  <c r="AD92" i="1"/>
  <c r="W92" i="1"/>
  <c r="X92" i="1" s="1"/>
  <c r="Y92" i="1" s="1"/>
  <c r="T92" i="1"/>
  <c r="O92" i="1"/>
  <c r="H92" i="1"/>
  <c r="I92" i="1" s="1"/>
  <c r="J92" i="1" s="1"/>
  <c r="PX91" i="1"/>
  <c r="PS91" i="1"/>
  <c r="PN91" i="1"/>
  <c r="PI91" i="1"/>
  <c r="PD91" i="1"/>
  <c r="OY91" i="1"/>
  <c r="OT91" i="1"/>
  <c r="OO91" i="1"/>
  <c r="OJ91" i="1"/>
  <c r="OE91" i="1"/>
  <c r="NZ91" i="1"/>
  <c r="NU91" i="1"/>
  <c r="NP91" i="1"/>
  <c r="NK91" i="1"/>
  <c r="NF91" i="1"/>
  <c r="NA91" i="1"/>
  <c r="MV91" i="1"/>
  <c r="MQ91" i="1"/>
  <c r="ML91" i="1"/>
  <c r="MG91" i="1"/>
  <c r="MB91" i="1"/>
  <c r="LW91" i="1"/>
  <c r="LR91" i="1"/>
  <c r="LM91" i="1"/>
  <c r="LH91" i="1"/>
  <c r="LC91" i="1"/>
  <c r="KX91" i="1"/>
  <c r="KS91" i="1"/>
  <c r="KN91" i="1"/>
  <c r="KG91" i="1"/>
  <c r="KH91" i="1" s="1"/>
  <c r="KI91" i="1" s="1"/>
  <c r="KD91" i="1"/>
  <c r="JY91" i="1"/>
  <c r="JT91" i="1"/>
  <c r="JO91" i="1"/>
  <c r="JJ91" i="1"/>
  <c r="JE91" i="1"/>
  <c r="IZ91" i="1"/>
  <c r="IU91" i="1"/>
  <c r="IP91" i="1"/>
  <c r="IK91" i="1"/>
  <c r="IF91" i="1"/>
  <c r="IA91" i="1"/>
  <c r="HV91" i="1"/>
  <c r="HQ91" i="1"/>
  <c r="HL91" i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H91" i="1"/>
  <c r="EI91" i="1" s="1"/>
  <c r="EJ91" i="1" s="1"/>
  <c r="EC91" i="1"/>
  <c r="ED91" i="1" s="1"/>
  <c r="EE91" i="1" s="1"/>
  <c r="DX91" i="1"/>
  <c r="DY91" i="1" s="1"/>
  <c r="DZ91" i="1" s="1"/>
  <c r="DS91" i="1"/>
  <c r="DT91" i="1" s="1"/>
  <c r="DU91" i="1" s="1"/>
  <c r="DN91" i="1"/>
  <c r="DO91" i="1" s="1"/>
  <c r="DP91" i="1" s="1"/>
  <c r="DI91" i="1"/>
  <c r="DJ91" i="1" s="1"/>
  <c r="DK91" i="1" s="1"/>
  <c r="DD91" i="1"/>
  <c r="DE91" i="1" s="1"/>
  <c r="DF91" i="1" s="1"/>
  <c r="CY91" i="1"/>
  <c r="CZ91" i="1" s="1"/>
  <c r="DA91" i="1" s="1"/>
  <c r="CT91" i="1"/>
  <c r="CU91" i="1" s="1"/>
  <c r="CV91" i="1" s="1"/>
  <c r="CO91" i="1"/>
  <c r="CP91" i="1" s="1"/>
  <c r="CQ91" i="1" s="1"/>
  <c r="CJ91" i="1"/>
  <c r="CK91" i="1" s="1"/>
  <c r="CL91" i="1" s="1"/>
  <c r="CE91" i="1"/>
  <c r="CF91" i="1" s="1"/>
  <c r="CG91" i="1" s="1"/>
  <c r="BZ91" i="1"/>
  <c r="CA91" i="1" s="1"/>
  <c r="CB91" i="1" s="1"/>
  <c r="BU91" i="1"/>
  <c r="BV91" i="1" s="1"/>
  <c r="BW91" i="1" s="1"/>
  <c r="BP91" i="1"/>
  <c r="BQ91" i="1" s="1"/>
  <c r="BR91" i="1" s="1"/>
  <c r="BK91" i="1"/>
  <c r="BL91" i="1" s="1"/>
  <c r="BM91" i="1" s="1"/>
  <c r="BF91" i="1"/>
  <c r="BG91" i="1" s="1"/>
  <c r="BH91" i="1" s="1"/>
  <c r="BA91" i="1"/>
  <c r="BB91" i="1" s="1"/>
  <c r="BC91" i="1" s="1"/>
  <c r="AV91" i="1"/>
  <c r="AW91" i="1" s="1"/>
  <c r="AX91" i="1" s="1"/>
  <c r="AQ91" i="1"/>
  <c r="AR91" i="1" s="1"/>
  <c r="AS91" i="1" s="1"/>
  <c r="AL91" i="1"/>
  <c r="AM91" i="1" s="1"/>
  <c r="AN91" i="1" s="1"/>
  <c r="AG91" i="1"/>
  <c r="AH91" i="1" s="1"/>
  <c r="AI91" i="1" s="1"/>
  <c r="AB91" i="1"/>
  <c r="AC91" i="1" s="1"/>
  <c r="AD91" i="1" s="1"/>
  <c r="W91" i="1"/>
  <c r="X91" i="1" s="1"/>
  <c r="Y91" i="1" s="1"/>
  <c r="T91" i="1"/>
  <c r="O91" i="1"/>
  <c r="J91" i="1"/>
  <c r="PX90" i="1"/>
  <c r="PS90" i="1"/>
  <c r="PN90" i="1"/>
  <c r="PI90" i="1"/>
  <c r="PD90" i="1"/>
  <c r="OY90" i="1"/>
  <c r="OT90" i="1"/>
  <c r="OO90" i="1"/>
  <c r="OJ90" i="1"/>
  <c r="OE90" i="1"/>
  <c r="NZ90" i="1"/>
  <c r="NU90" i="1"/>
  <c r="NP90" i="1"/>
  <c r="NK90" i="1"/>
  <c r="NF90" i="1"/>
  <c r="NA90" i="1"/>
  <c r="MV90" i="1"/>
  <c r="MQ90" i="1"/>
  <c r="ML90" i="1"/>
  <c r="MG90" i="1"/>
  <c r="MB90" i="1"/>
  <c r="LW90" i="1"/>
  <c r="LR90" i="1"/>
  <c r="LM90" i="1"/>
  <c r="LH90" i="1"/>
  <c r="LA90" i="1"/>
  <c r="LB90" i="1" s="1"/>
  <c r="LC90" i="1" s="1"/>
  <c r="KV90" i="1"/>
  <c r="KW90" i="1" s="1"/>
  <c r="KX90" i="1" s="1"/>
  <c r="KS90" i="1"/>
  <c r="KN90" i="1"/>
  <c r="KI90" i="1"/>
  <c r="KD90" i="1"/>
  <c r="JY90" i="1"/>
  <c r="JT90" i="1"/>
  <c r="JO90" i="1"/>
  <c r="JJ90" i="1"/>
  <c r="JE90" i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T90" i="1"/>
  <c r="HU90" i="1" s="1"/>
  <c r="HV90" i="1" s="1"/>
  <c r="HQ90" i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H90" i="1"/>
  <c r="EI90" i="1" s="1"/>
  <c r="EJ90" i="1" s="1"/>
  <c r="EC90" i="1"/>
  <c r="ED90" i="1" s="1"/>
  <c r="EE90" i="1" s="1"/>
  <c r="DX90" i="1"/>
  <c r="DY90" i="1" s="1"/>
  <c r="DZ90" i="1" s="1"/>
  <c r="DS90" i="1"/>
  <c r="DT90" i="1" s="1"/>
  <c r="DU90" i="1" s="1"/>
  <c r="DN90" i="1"/>
  <c r="DO90" i="1" s="1"/>
  <c r="DP90" i="1" s="1"/>
  <c r="DI90" i="1"/>
  <c r="DJ90" i="1" s="1"/>
  <c r="DK90" i="1" s="1"/>
  <c r="DD90" i="1"/>
  <c r="DE90" i="1" s="1"/>
  <c r="DF90" i="1" s="1"/>
  <c r="CY90" i="1"/>
  <c r="CZ90" i="1" s="1"/>
  <c r="DA90" i="1" s="1"/>
  <c r="CT90" i="1"/>
  <c r="CU90" i="1" s="1"/>
  <c r="CV90" i="1" s="1"/>
  <c r="CO90" i="1"/>
  <c r="CP90" i="1" s="1"/>
  <c r="CQ90" i="1" s="1"/>
  <c r="CJ90" i="1"/>
  <c r="CK90" i="1" s="1"/>
  <c r="CL90" i="1" s="1"/>
  <c r="CE90" i="1"/>
  <c r="CF90" i="1" s="1"/>
  <c r="CG90" i="1" s="1"/>
  <c r="BZ90" i="1"/>
  <c r="CA90" i="1" s="1"/>
  <c r="CB90" i="1" s="1"/>
  <c r="BU90" i="1"/>
  <c r="BV90" i="1" s="1"/>
  <c r="BW90" i="1" s="1"/>
  <c r="BP90" i="1"/>
  <c r="BQ90" i="1" s="1"/>
  <c r="BR90" i="1" s="1"/>
  <c r="BK90" i="1"/>
  <c r="BL90" i="1" s="1"/>
  <c r="BM90" i="1" s="1"/>
  <c r="BF90" i="1"/>
  <c r="BG90" i="1" s="1"/>
  <c r="BH90" i="1" s="1"/>
  <c r="BA90" i="1"/>
  <c r="BB90" i="1" s="1"/>
  <c r="BC90" i="1" s="1"/>
  <c r="AV90" i="1"/>
  <c r="AW90" i="1" s="1"/>
  <c r="AX90" i="1" s="1"/>
  <c r="AQ90" i="1"/>
  <c r="AR90" i="1" s="1"/>
  <c r="AS90" i="1" s="1"/>
  <c r="AL90" i="1"/>
  <c r="AM90" i="1" s="1"/>
  <c r="AN90" i="1" s="1"/>
  <c r="AG90" i="1"/>
  <c r="AH90" i="1" s="1"/>
  <c r="AI90" i="1" s="1"/>
  <c r="AB90" i="1"/>
  <c r="AC90" i="1" s="1"/>
  <c r="AD90" i="1" s="1"/>
  <c r="W90" i="1"/>
  <c r="X90" i="1" s="1"/>
  <c r="Y90" i="1" s="1"/>
  <c r="T90" i="1"/>
  <c r="O90" i="1"/>
  <c r="J90" i="1"/>
  <c r="PX89" i="1"/>
  <c r="PS89" i="1"/>
  <c r="PN89" i="1"/>
  <c r="PI89" i="1"/>
  <c r="PD89" i="1"/>
  <c r="OY89" i="1"/>
  <c r="OT89" i="1"/>
  <c r="OO89" i="1"/>
  <c r="OJ89" i="1"/>
  <c r="OE89" i="1"/>
  <c r="NZ89" i="1"/>
  <c r="NU89" i="1"/>
  <c r="NP89" i="1"/>
  <c r="NK89" i="1"/>
  <c r="NF89" i="1"/>
  <c r="NA89" i="1"/>
  <c r="MT89" i="1"/>
  <c r="MU89" i="1" s="1"/>
  <c r="MV89" i="1" s="1"/>
  <c r="MO89" i="1"/>
  <c r="MP89" i="1" s="1"/>
  <c r="MQ89" i="1" s="1"/>
  <c r="ML89" i="1"/>
  <c r="MG89" i="1"/>
  <c r="LZ89" i="1"/>
  <c r="MA89" i="1" s="1"/>
  <c r="MB89" i="1" s="1"/>
  <c r="LU89" i="1"/>
  <c r="LV89" i="1" s="1"/>
  <c r="LW89" i="1" s="1"/>
  <c r="LR89" i="1"/>
  <c r="LM89" i="1"/>
  <c r="LH89" i="1"/>
  <c r="LA89" i="1"/>
  <c r="LB89" i="1" s="1"/>
  <c r="LC89" i="1" s="1"/>
  <c r="KX89" i="1"/>
  <c r="KQ89" i="1"/>
  <c r="KR89" i="1" s="1"/>
  <c r="KS89" i="1" s="1"/>
  <c r="KN89" i="1"/>
  <c r="KI89" i="1"/>
  <c r="KD89" i="1"/>
  <c r="JY89" i="1"/>
  <c r="JT89" i="1"/>
  <c r="JO89" i="1"/>
  <c r="JJ89" i="1"/>
  <c r="JE89" i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T89" i="1"/>
  <c r="HU89" i="1" s="1"/>
  <c r="HV89" i="1" s="1"/>
  <c r="HQ89" i="1"/>
  <c r="HL89" i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H89" i="1"/>
  <c r="EI89" i="1" s="1"/>
  <c r="EJ89" i="1" s="1"/>
  <c r="EC89" i="1"/>
  <c r="ED89" i="1" s="1"/>
  <c r="EE89" i="1" s="1"/>
  <c r="DX89" i="1"/>
  <c r="DY89" i="1" s="1"/>
  <c r="DZ89" i="1" s="1"/>
  <c r="DS89" i="1"/>
  <c r="DT89" i="1" s="1"/>
  <c r="DU89" i="1" s="1"/>
  <c r="DN89" i="1"/>
  <c r="DO89" i="1" s="1"/>
  <c r="DP89" i="1" s="1"/>
  <c r="DI89" i="1"/>
  <c r="DJ89" i="1" s="1"/>
  <c r="DK89" i="1" s="1"/>
  <c r="DD89" i="1"/>
  <c r="DE89" i="1" s="1"/>
  <c r="DF89" i="1" s="1"/>
  <c r="CY89" i="1"/>
  <c r="CZ89" i="1" s="1"/>
  <c r="DA89" i="1" s="1"/>
  <c r="CT89" i="1"/>
  <c r="CU89" i="1" s="1"/>
  <c r="CV89" i="1" s="1"/>
  <c r="CO89" i="1"/>
  <c r="CP89" i="1" s="1"/>
  <c r="CQ89" i="1" s="1"/>
  <c r="CJ89" i="1"/>
  <c r="CK89" i="1" s="1"/>
  <c r="CL89" i="1" s="1"/>
  <c r="CE89" i="1"/>
  <c r="CF89" i="1" s="1"/>
  <c r="CG89" i="1" s="1"/>
  <c r="BZ89" i="1"/>
  <c r="CA89" i="1" s="1"/>
  <c r="CB89" i="1" s="1"/>
  <c r="BU89" i="1"/>
  <c r="BV89" i="1" s="1"/>
  <c r="BW89" i="1" s="1"/>
  <c r="BP89" i="1"/>
  <c r="BQ89" i="1" s="1"/>
  <c r="BR89" i="1" s="1"/>
  <c r="BK89" i="1"/>
  <c r="BL89" i="1" s="1"/>
  <c r="BM89" i="1" s="1"/>
  <c r="BF89" i="1"/>
  <c r="BG89" i="1" s="1"/>
  <c r="BH89" i="1" s="1"/>
  <c r="BA89" i="1"/>
  <c r="BB89" i="1" s="1"/>
  <c r="BC89" i="1" s="1"/>
  <c r="AV89" i="1"/>
  <c r="AW89" i="1" s="1"/>
  <c r="AX89" i="1" s="1"/>
  <c r="AQ89" i="1"/>
  <c r="AR89" i="1" s="1"/>
  <c r="AS89" i="1" s="1"/>
  <c r="AL89" i="1"/>
  <c r="AM89" i="1" s="1"/>
  <c r="AN89" i="1" s="1"/>
  <c r="AG89" i="1"/>
  <c r="AH89" i="1" s="1"/>
  <c r="AI89" i="1" s="1"/>
  <c r="AB89" i="1"/>
  <c r="AC89" i="1" s="1"/>
  <c r="AD89" i="1" s="1"/>
  <c r="W89" i="1"/>
  <c r="X89" i="1" s="1"/>
  <c r="Y89" i="1" s="1"/>
  <c r="T89" i="1"/>
  <c r="O89" i="1"/>
  <c r="J89" i="1"/>
  <c r="PV88" i="1"/>
  <c r="PW88" i="1" s="1"/>
  <c r="PX88" i="1" s="1"/>
  <c r="PS88" i="1"/>
  <c r="PN88" i="1"/>
  <c r="PI88" i="1"/>
  <c r="PD88" i="1"/>
  <c r="OY88" i="1"/>
  <c r="OT88" i="1"/>
  <c r="OO88" i="1"/>
  <c r="OJ88" i="1"/>
  <c r="OE88" i="1"/>
  <c r="NZ88" i="1"/>
  <c r="NU88" i="1"/>
  <c r="NP88" i="1"/>
  <c r="NK88" i="1"/>
  <c r="NF88" i="1"/>
  <c r="NA88" i="1"/>
  <c r="MV88" i="1"/>
  <c r="MQ88" i="1"/>
  <c r="ML88" i="1"/>
  <c r="MG88" i="1"/>
  <c r="MB88" i="1"/>
  <c r="LW88" i="1"/>
  <c r="LR88" i="1"/>
  <c r="LM88" i="1"/>
  <c r="LH88" i="1"/>
  <c r="LC88" i="1"/>
  <c r="KX88" i="1"/>
  <c r="KS88" i="1"/>
  <c r="KN88" i="1"/>
  <c r="KI88" i="1"/>
  <c r="KD88" i="1"/>
  <c r="JY88" i="1"/>
  <c r="JT88" i="1"/>
  <c r="JO88" i="1"/>
  <c r="JJ88" i="1"/>
  <c r="JE88" i="1"/>
  <c r="IZ88" i="1"/>
  <c r="IU88" i="1"/>
  <c r="IP88" i="1"/>
  <c r="IK88" i="1"/>
  <c r="IF88" i="1"/>
  <c r="IA88" i="1"/>
  <c r="HV88" i="1"/>
  <c r="HQ88" i="1"/>
  <c r="HL88" i="1"/>
  <c r="HG88" i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H88" i="1"/>
  <c r="EI88" i="1" s="1"/>
  <c r="EJ88" i="1" s="1"/>
  <c r="EC88" i="1"/>
  <c r="ED88" i="1" s="1"/>
  <c r="EE88" i="1" s="1"/>
  <c r="DX88" i="1"/>
  <c r="DY88" i="1" s="1"/>
  <c r="DZ88" i="1" s="1"/>
  <c r="DS88" i="1"/>
  <c r="DT88" i="1" s="1"/>
  <c r="DU88" i="1" s="1"/>
  <c r="DN88" i="1"/>
  <c r="DO88" i="1" s="1"/>
  <c r="DP88" i="1" s="1"/>
  <c r="DI88" i="1"/>
  <c r="DJ88" i="1" s="1"/>
  <c r="DK88" i="1" s="1"/>
  <c r="DD88" i="1"/>
  <c r="DE88" i="1" s="1"/>
  <c r="DF88" i="1" s="1"/>
  <c r="CY88" i="1"/>
  <c r="CZ88" i="1" s="1"/>
  <c r="DA88" i="1" s="1"/>
  <c r="CT88" i="1"/>
  <c r="CU88" i="1" s="1"/>
  <c r="CV88" i="1" s="1"/>
  <c r="CO88" i="1"/>
  <c r="CP88" i="1" s="1"/>
  <c r="CQ88" i="1" s="1"/>
  <c r="CJ88" i="1"/>
  <c r="CK88" i="1" s="1"/>
  <c r="CL88" i="1" s="1"/>
  <c r="CE88" i="1"/>
  <c r="CF88" i="1" s="1"/>
  <c r="CG88" i="1" s="1"/>
  <c r="BZ88" i="1"/>
  <c r="CA88" i="1" s="1"/>
  <c r="CB88" i="1" s="1"/>
  <c r="BU88" i="1"/>
  <c r="BV88" i="1" s="1"/>
  <c r="BW88" i="1" s="1"/>
  <c r="BP88" i="1"/>
  <c r="BQ88" i="1" s="1"/>
  <c r="BR88" i="1" s="1"/>
  <c r="BK88" i="1"/>
  <c r="BL88" i="1" s="1"/>
  <c r="BM88" i="1" s="1"/>
  <c r="BF88" i="1"/>
  <c r="BG88" i="1" s="1"/>
  <c r="BH88" i="1" s="1"/>
  <c r="BA88" i="1"/>
  <c r="BB88" i="1" s="1"/>
  <c r="BC88" i="1" s="1"/>
  <c r="AV88" i="1"/>
  <c r="AW88" i="1" s="1"/>
  <c r="AX88" i="1" s="1"/>
  <c r="AQ88" i="1"/>
  <c r="AR88" i="1" s="1"/>
  <c r="AS88" i="1" s="1"/>
  <c r="AL88" i="1"/>
  <c r="AM88" i="1" s="1"/>
  <c r="AN88" i="1" s="1"/>
  <c r="AG88" i="1"/>
  <c r="AH88" i="1" s="1"/>
  <c r="AI88" i="1" s="1"/>
  <c r="AD88" i="1"/>
  <c r="W88" i="1"/>
  <c r="X88" i="1" s="1"/>
  <c r="Y88" i="1" s="1"/>
  <c r="T88" i="1"/>
  <c r="O88" i="1"/>
  <c r="J88" i="1"/>
  <c r="PX87" i="1"/>
  <c r="PS87" i="1"/>
  <c r="PN87" i="1"/>
  <c r="PI87" i="1"/>
  <c r="PD87" i="1"/>
  <c r="OY87" i="1"/>
  <c r="OT87" i="1"/>
  <c r="OO87" i="1"/>
  <c r="OJ87" i="1"/>
  <c r="OE87" i="1"/>
  <c r="NZ87" i="1"/>
  <c r="NU87" i="1"/>
  <c r="NP87" i="1"/>
  <c r="NK87" i="1"/>
  <c r="NF87" i="1"/>
  <c r="NA87" i="1"/>
  <c r="MV87" i="1"/>
  <c r="MQ87" i="1"/>
  <c r="ML87" i="1"/>
  <c r="MG87" i="1"/>
  <c r="MB87" i="1"/>
  <c r="LW87" i="1"/>
  <c r="LR87" i="1"/>
  <c r="LM87" i="1"/>
  <c r="LH87" i="1"/>
  <c r="LC87" i="1"/>
  <c r="KV87" i="1"/>
  <c r="KW87" i="1" s="1"/>
  <c r="KX87" i="1" s="1"/>
  <c r="KS87" i="1"/>
  <c r="KN87" i="1"/>
  <c r="KG87" i="1"/>
  <c r="KH87" i="1" s="1"/>
  <c r="KI87" i="1" s="1"/>
  <c r="KD87" i="1"/>
  <c r="JY87" i="1"/>
  <c r="JT87" i="1"/>
  <c r="JO87" i="1"/>
  <c r="JJ87" i="1"/>
  <c r="JE87" i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T87" i="1"/>
  <c r="HU87" i="1" s="1"/>
  <c r="HV87" i="1" s="1"/>
  <c r="HQ87" i="1"/>
  <c r="HL87" i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H87" i="1"/>
  <c r="EI87" i="1" s="1"/>
  <c r="EJ87" i="1" s="1"/>
  <c r="EC87" i="1"/>
  <c r="ED87" i="1" s="1"/>
  <c r="EE87" i="1" s="1"/>
  <c r="DX87" i="1"/>
  <c r="DY87" i="1" s="1"/>
  <c r="DZ87" i="1" s="1"/>
  <c r="DS87" i="1"/>
  <c r="DT87" i="1" s="1"/>
  <c r="DU87" i="1" s="1"/>
  <c r="DN87" i="1"/>
  <c r="DO87" i="1" s="1"/>
  <c r="DP87" i="1" s="1"/>
  <c r="DI87" i="1"/>
  <c r="DJ87" i="1" s="1"/>
  <c r="DK87" i="1" s="1"/>
  <c r="DD87" i="1"/>
  <c r="DE87" i="1" s="1"/>
  <c r="DF87" i="1" s="1"/>
  <c r="CY87" i="1"/>
  <c r="CZ87" i="1" s="1"/>
  <c r="DA87" i="1" s="1"/>
  <c r="CT87" i="1"/>
  <c r="CU87" i="1" s="1"/>
  <c r="CV87" i="1" s="1"/>
  <c r="CO87" i="1"/>
  <c r="CP87" i="1" s="1"/>
  <c r="CQ87" i="1" s="1"/>
  <c r="CJ87" i="1"/>
  <c r="CK87" i="1" s="1"/>
  <c r="CL87" i="1" s="1"/>
  <c r="CE87" i="1"/>
  <c r="CF87" i="1" s="1"/>
  <c r="CG87" i="1" s="1"/>
  <c r="BZ87" i="1"/>
  <c r="CA87" i="1" s="1"/>
  <c r="CB87" i="1" s="1"/>
  <c r="BU87" i="1"/>
  <c r="BV87" i="1" s="1"/>
  <c r="BW87" i="1" s="1"/>
  <c r="BP87" i="1"/>
  <c r="BQ87" i="1" s="1"/>
  <c r="BR87" i="1" s="1"/>
  <c r="BK87" i="1"/>
  <c r="BL87" i="1" s="1"/>
  <c r="BM87" i="1" s="1"/>
  <c r="BF87" i="1"/>
  <c r="BG87" i="1" s="1"/>
  <c r="BH87" i="1" s="1"/>
  <c r="BA87" i="1"/>
  <c r="BB87" i="1" s="1"/>
  <c r="BC87" i="1" s="1"/>
  <c r="AV87" i="1"/>
  <c r="AW87" i="1" s="1"/>
  <c r="AX87" i="1" s="1"/>
  <c r="AQ87" i="1"/>
  <c r="AR87" i="1" s="1"/>
  <c r="AS87" i="1" s="1"/>
  <c r="AL87" i="1"/>
  <c r="AM87" i="1" s="1"/>
  <c r="AN87" i="1" s="1"/>
  <c r="AG87" i="1"/>
  <c r="AH87" i="1" s="1"/>
  <c r="AI87" i="1" s="1"/>
  <c r="AB87" i="1"/>
  <c r="AC87" i="1" s="1"/>
  <c r="AD87" i="1" s="1"/>
  <c r="W87" i="1"/>
  <c r="X87" i="1" s="1"/>
  <c r="Y87" i="1" s="1"/>
  <c r="T87" i="1"/>
  <c r="O87" i="1"/>
  <c r="J87" i="1"/>
  <c r="PV86" i="1"/>
  <c r="PW86" i="1" s="1"/>
  <c r="PX86" i="1" s="1"/>
  <c r="PS86" i="1"/>
  <c r="PN86" i="1"/>
  <c r="PI86" i="1"/>
  <c r="PD86" i="1"/>
  <c r="OY86" i="1"/>
  <c r="OT86" i="1"/>
  <c r="OM86" i="1"/>
  <c r="ON86" i="1" s="1"/>
  <c r="OO86" i="1" s="1"/>
  <c r="OJ86" i="1"/>
  <c r="OE86" i="1"/>
  <c r="NZ86" i="1"/>
  <c r="NU86" i="1"/>
  <c r="NP86" i="1"/>
  <c r="NK86" i="1"/>
  <c r="NF86" i="1"/>
  <c r="NA86" i="1"/>
  <c r="MV86" i="1"/>
  <c r="MQ86" i="1"/>
  <c r="ML86" i="1"/>
  <c r="MG86" i="1"/>
  <c r="MB86" i="1"/>
  <c r="LW86" i="1"/>
  <c r="LR86" i="1"/>
  <c r="LM86" i="1"/>
  <c r="LH86" i="1"/>
  <c r="LC86" i="1"/>
  <c r="KX86" i="1"/>
  <c r="KS86" i="1"/>
  <c r="KN86" i="1"/>
  <c r="KI86" i="1"/>
  <c r="KD86" i="1"/>
  <c r="JY86" i="1"/>
  <c r="JT86" i="1"/>
  <c r="JO86" i="1"/>
  <c r="JJ86" i="1"/>
  <c r="JE86" i="1"/>
  <c r="IZ86" i="1"/>
  <c r="IU86" i="1"/>
  <c r="IP86" i="1"/>
  <c r="IK86" i="1"/>
  <c r="IF86" i="1"/>
  <c r="IA86" i="1"/>
  <c r="HV86" i="1"/>
  <c r="HQ86" i="1"/>
  <c r="HL86" i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H86" i="1"/>
  <c r="EI86" i="1" s="1"/>
  <c r="EJ86" i="1" s="1"/>
  <c r="EC86" i="1"/>
  <c r="ED86" i="1" s="1"/>
  <c r="EE86" i="1" s="1"/>
  <c r="DX86" i="1"/>
  <c r="DY86" i="1" s="1"/>
  <c r="DZ86" i="1" s="1"/>
  <c r="DS86" i="1"/>
  <c r="DT86" i="1" s="1"/>
  <c r="DU86" i="1" s="1"/>
  <c r="DN86" i="1"/>
  <c r="DO86" i="1" s="1"/>
  <c r="DP86" i="1" s="1"/>
  <c r="DI86" i="1"/>
  <c r="DJ86" i="1" s="1"/>
  <c r="DK86" i="1" s="1"/>
  <c r="DD86" i="1"/>
  <c r="DE86" i="1" s="1"/>
  <c r="DF86" i="1" s="1"/>
  <c r="CY86" i="1"/>
  <c r="CZ86" i="1" s="1"/>
  <c r="DA86" i="1" s="1"/>
  <c r="CT86" i="1"/>
  <c r="CU86" i="1" s="1"/>
  <c r="CV86" i="1" s="1"/>
  <c r="CO86" i="1"/>
  <c r="CP86" i="1" s="1"/>
  <c r="CQ86" i="1" s="1"/>
  <c r="CJ86" i="1"/>
  <c r="CK86" i="1" s="1"/>
  <c r="CL86" i="1" s="1"/>
  <c r="CE86" i="1"/>
  <c r="CF86" i="1" s="1"/>
  <c r="CG86" i="1" s="1"/>
  <c r="BZ86" i="1"/>
  <c r="CA86" i="1" s="1"/>
  <c r="CB86" i="1" s="1"/>
  <c r="BU86" i="1"/>
  <c r="BV86" i="1" s="1"/>
  <c r="BW86" i="1" s="1"/>
  <c r="BP86" i="1"/>
  <c r="BQ86" i="1" s="1"/>
  <c r="BR86" i="1" s="1"/>
  <c r="BK86" i="1"/>
  <c r="BL86" i="1" s="1"/>
  <c r="BM86" i="1" s="1"/>
  <c r="BF86" i="1"/>
  <c r="BG86" i="1" s="1"/>
  <c r="BH86" i="1" s="1"/>
  <c r="BA86" i="1"/>
  <c r="BB86" i="1" s="1"/>
  <c r="BC86" i="1" s="1"/>
  <c r="AV86" i="1"/>
  <c r="AW86" i="1" s="1"/>
  <c r="AX86" i="1" s="1"/>
  <c r="AQ86" i="1"/>
  <c r="AR86" i="1" s="1"/>
  <c r="AS86" i="1" s="1"/>
  <c r="AL86" i="1"/>
  <c r="AM86" i="1" s="1"/>
  <c r="AN86" i="1" s="1"/>
  <c r="AG86" i="1"/>
  <c r="AH86" i="1" s="1"/>
  <c r="AI86" i="1" s="1"/>
  <c r="AB86" i="1"/>
  <c r="AC86" i="1" s="1"/>
  <c r="AD86" i="1" s="1"/>
  <c r="W86" i="1"/>
  <c r="X86" i="1" s="1"/>
  <c r="Y86" i="1" s="1"/>
  <c r="T86" i="1"/>
  <c r="O86" i="1"/>
  <c r="J86" i="1"/>
  <c r="PX85" i="1"/>
  <c r="PQ85" i="1"/>
  <c r="PR85" i="1" s="1"/>
  <c r="PS85" i="1" s="1"/>
  <c r="PL85" i="1"/>
  <c r="PM85" i="1" s="1"/>
  <c r="PN85" i="1" s="1"/>
  <c r="PG85" i="1"/>
  <c r="PH85" i="1" s="1"/>
  <c r="PI85" i="1" s="1"/>
  <c r="PB85" i="1"/>
  <c r="PC85" i="1" s="1"/>
  <c r="PD85" i="1" s="1"/>
  <c r="OW85" i="1"/>
  <c r="OX85" i="1" s="1"/>
  <c r="OY85" i="1" s="1"/>
  <c r="OR85" i="1"/>
  <c r="OS85" i="1" s="1"/>
  <c r="OT85" i="1" s="1"/>
  <c r="OO85" i="1"/>
  <c r="OJ85" i="1"/>
  <c r="OE85" i="1"/>
  <c r="NZ85" i="1"/>
  <c r="NU85" i="1"/>
  <c r="NP85" i="1"/>
  <c r="NK85" i="1"/>
  <c r="NF85" i="1"/>
  <c r="NA85" i="1"/>
  <c r="MV85" i="1"/>
  <c r="MQ85" i="1"/>
  <c r="ML85" i="1"/>
  <c r="MG85" i="1"/>
  <c r="MB85" i="1"/>
  <c r="LW85" i="1"/>
  <c r="LR85" i="1"/>
  <c r="LM85" i="1"/>
  <c r="LH85" i="1"/>
  <c r="LA85" i="1"/>
  <c r="LB85" i="1" s="1"/>
  <c r="LC85" i="1" s="1"/>
  <c r="KX85" i="1"/>
  <c r="KS85" i="1"/>
  <c r="KN85" i="1"/>
  <c r="KI85" i="1"/>
  <c r="KD85" i="1"/>
  <c r="JY85" i="1"/>
  <c r="JT85" i="1"/>
  <c r="JO85" i="1"/>
  <c r="JJ85" i="1"/>
  <c r="JE85" i="1"/>
  <c r="IZ85" i="1"/>
  <c r="IU85" i="1"/>
  <c r="IP85" i="1"/>
  <c r="IK85" i="1"/>
  <c r="ID85" i="1"/>
  <c r="IE85" i="1" s="1"/>
  <c r="IF85" i="1" s="1"/>
  <c r="HY85" i="1"/>
  <c r="HZ85" i="1" s="1"/>
  <c r="IA85" i="1" s="1"/>
  <c r="HT85" i="1"/>
  <c r="HU85" i="1" s="1"/>
  <c r="HV85" i="1" s="1"/>
  <c r="HQ85" i="1"/>
  <c r="HL85" i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H85" i="1"/>
  <c r="EI85" i="1" s="1"/>
  <c r="EJ85" i="1" s="1"/>
  <c r="EC85" i="1"/>
  <c r="ED85" i="1" s="1"/>
  <c r="EE85" i="1" s="1"/>
  <c r="DX85" i="1"/>
  <c r="DY85" i="1" s="1"/>
  <c r="DZ85" i="1" s="1"/>
  <c r="DS85" i="1"/>
  <c r="DT85" i="1" s="1"/>
  <c r="DU85" i="1" s="1"/>
  <c r="DN85" i="1"/>
  <c r="DO85" i="1" s="1"/>
  <c r="DP85" i="1" s="1"/>
  <c r="DI85" i="1"/>
  <c r="DJ85" i="1" s="1"/>
  <c r="DK85" i="1" s="1"/>
  <c r="DD85" i="1"/>
  <c r="DE85" i="1" s="1"/>
  <c r="DF85" i="1" s="1"/>
  <c r="CY85" i="1"/>
  <c r="CZ85" i="1" s="1"/>
  <c r="DA85" i="1" s="1"/>
  <c r="CT85" i="1"/>
  <c r="CU85" i="1" s="1"/>
  <c r="CV85" i="1" s="1"/>
  <c r="CO85" i="1"/>
  <c r="CP85" i="1" s="1"/>
  <c r="CQ85" i="1" s="1"/>
  <c r="CJ85" i="1"/>
  <c r="CK85" i="1" s="1"/>
  <c r="CL85" i="1" s="1"/>
  <c r="CG85" i="1"/>
  <c r="BZ85" i="1"/>
  <c r="CA85" i="1" s="1"/>
  <c r="CB85" i="1" s="1"/>
  <c r="BU85" i="1"/>
  <c r="BV85" i="1" s="1"/>
  <c r="BW85" i="1" s="1"/>
  <c r="BP85" i="1"/>
  <c r="BQ85" i="1" s="1"/>
  <c r="BR85" i="1" s="1"/>
  <c r="BK85" i="1"/>
  <c r="BL85" i="1" s="1"/>
  <c r="BM85" i="1" s="1"/>
  <c r="BF85" i="1"/>
  <c r="BG85" i="1" s="1"/>
  <c r="BH85" i="1" s="1"/>
  <c r="BA85" i="1"/>
  <c r="BB85" i="1" s="1"/>
  <c r="BC85" i="1" s="1"/>
  <c r="AV85" i="1"/>
  <c r="AW85" i="1" s="1"/>
  <c r="AX85" i="1" s="1"/>
  <c r="AQ85" i="1"/>
  <c r="AR85" i="1" s="1"/>
  <c r="AS85" i="1" s="1"/>
  <c r="AL85" i="1"/>
  <c r="AM85" i="1" s="1"/>
  <c r="AN85" i="1" s="1"/>
  <c r="AG85" i="1"/>
  <c r="AH85" i="1" s="1"/>
  <c r="AI85" i="1" s="1"/>
  <c r="AD85" i="1"/>
  <c r="W85" i="1"/>
  <c r="X85" i="1" s="1"/>
  <c r="Y85" i="1" s="1"/>
  <c r="T85" i="1"/>
  <c r="O85" i="1"/>
  <c r="J85" i="1"/>
  <c r="PX84" i="1"/>
  <c r="PS84" i="1"/>
  <c r="PN84" i="1"/>
  <c r="PI84" i="1"/>
  <c r="PD84" i="1"/>
  <c r="OY84" i="1"/>
  <c r="OT84" i="1"/>
  <c r="OO84" i="1"/>
  <c r="OJ84" i="1"/>
  <c r="OE84" i="1"/>
  <c r="NZ84" i="1"/>
  <c r="NU84" i="1"/>
  <c r="NP84" i="1"/>
  <c r="NK84" i="1"/>
  <c r="NF84" i="1"/>
  <c r="NA84" i="1"/>
  <c r="MV84" i="1"/>
  <c r="MQ84" i="1"/>
  <c r="ML84" i="1"/>
  <c r="MG84" i="1"/>
  <c r="MB84" i="1"/>
  <c r="LW84" i="1"/>
  <c r="LR84" i="1"/>
  <c r="LM84" i="1"/>
  <c r="LH84" i="1"/>
  <c r="LC84" i="1"/>
  <c r="KX84" i="1"/>
  <c r="KS84" i="1"/>
  <c r="KN84" i="1"/>
  <c r="KI84" i="1"/>
  <c r="KD84" i="1"/>
  <c r="JY84" i="1"/>
  <c r="JT84" i="1"/>
  <c r="JO84" i="1"/>
  <c r="JJ84" i="1"/>
  <c r="JE84" i="1"/>
  <c r="IZ84" i="1"/>
  <c r="IU84" i="1"/>
  <c r="IP84" i="1"/>
  <c r="IK84" i="1"/>
  <c r="IF84" i="1"/>
  <c r="IA84" i="1"/>
  <c r="HV84" i="1"/>
  <c r="HQ84" i="1"/>
  <c r="HL84" i="1"/>
  <c r="HG84" i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H84" i="1"/>
  <c r="EI84" i="1" s="1"/>
  <c r="EJ84" i="1" s="1"/>
  <c r="EC84" i="1"/>
  <c r="ED84" i="1" s="1"/>
  <c r="EE84" i="1" s="1"/>
  <c r="DX84" i="1"/>
  <c r="DY84" i="1" s="1"/>
  <c r="DZ84" i="1" s="1"/>
  <c r="DS84" i="1"/>
  <c r="DT84" i="1" s="1"/>
  <c r="DU84" i="1" s="1"/>
  <c r="DN84" i="1"/>
  <c r="DO84" i="1" s="1"/>
  <c r="DP84" i="1" s="1"/>
  <c r="DI84" i="1"/>
  <c r="DJ84" i="1" s="1"/>
  <c r="DK84" i="1" s="1"/>
  <c r="DD84" i="1"/>
  <c r="DE84" i="1" s="1"/>
  <c r="DF84" i="1" s="1"/>
  <c r="CY84" i="1"/>
  <c r="CZ84" i="1" s="1"/>
  <c r="DA84" i="1" s="1"/>
  <c r="CT84" i="1"/>
  <c r="CU84" i="1" s="1"/>
  <c r="CV84" i="1" s="1"/>
  <c r="CO84" i="1"/>
  <c r="CP84" i="1" s="1"/>
  <c r="CQ84" i="1" s="1"/>
  <c r="CJ84" i="1"/>
  <c r="CK84" i="1" s="1"/>
  <c r="CL84" i="1" s="1"/>
  <c r="CE84" i="1"/>
  <c r="CF84" i="1" s="1"/>
  <c r="CG84" i="1" s="1"/>
  <c r="BZ84" i="1"/>
  <c r="CA84" i="1" s="1"/>
  <c r="CB84" i="1" s="1"/>
  <c r="BU84" i="1"/>
  <c r="BV84" i="1" s="1"/>
  <c r="BW84" i="1" s="1"/>
  <c r="BP84" i="1"/>
  <c r="BQ84" i="1" s="1"/>
  <c r="BR84" i="1" s="1"/>
  <c r="BK84" i="1"/>
  <c r="BL84" i="1" s="1"/>
  <c r="BM84" i="1" s="1"/>
  <c r="BF84" i="1"/>
  <c r="BG84" i="1" s="1"/>
  <c r="BH84" i="1" s="1"/>
  <c r="BA84" i="1"/>
  <c r="BB84" i="1" s="1"/>
  <c r="BC84" i="1" s="1"/>
  <c r="AV84" i="1"/>
  <c r="AW84" i="1" s="1"/>
  <c r="AX84" i="1" s="1"/>
  <c r="AQ84" i="1"/>
  <c r="AR84" i="1" s="1"/>
  <c r="AS84" i="1" s="1"/>
  <c r="AL84" i="1"/>
  <c r="AM84" i="1" s="1"/>
  <c r="AN84" i="1" s="1"/>
  <c r="AG84" i="1"/>
  <c r="AH84" i="1" s="1"/>
  <c r="AI84" i="1" s="1"/>
  <c r="AD84" i="1"/>
  <c r="W84" i="1"/>
  <c r="X84" i="1" s="1"/>
  <c r="Y84" i="1" s="1"/>
  <c r="T84" i="1"/>
  <c r="O84" i="1"/>
  <c r="H84" i="1"/>
  <c r="I84" i="1" s="1"/>
  <c r="J84" i="1" s="1"/>
  <c r="PV83" i="1"/>
  <c r="PW83" i="1" s="1"/>
  <c r="PX83" i="1" s="1"/>
  <c r="PS83" i="1"/>
  <c r="PN83" i="1"/>
  <c r="PI83" i="1"/>
  <c r="PD83" i="1"/>
  <c r="OY83" i="1"/>
  <c r="OT83" i="1"/>
  <c r="OO83" i="1"/>
  <c r="OJ83" i="1"/>
  <c r="OE83" i="1"/>
  <c r="NZ83" i="1"/>
  <c r="NU83" i="1"/>
  <c r="NP83" i="1"/>
  <c r="NK83" i="1"/>
  <c r="NF83" i="1"/>
  <c r="NA83" i="1"/>
  <c r="MV83" i="1"/>
  <c r="MQ83" i="1"/>
  <c r="ML83" i="1"/>
  <c r="MG83" i="1"/>
  <c r="MB83" i="1"/>
  <c r="LW83" i="1"/>
  <c r="LR83" i="1"/>
  <c r="LM83" i="1"/>
  <c r="LH83" i="1"/>
  <c r="LC83" i="1"/>
  <c r="KX83" i="1"/>
  <c r="KQ83" i="1"/>
  <c r="KR83" i="1" s="1"/>
  <c r="KS83" i="1" s="1"/>
  <c r="KL83" i="1"/>
  <c r="KM83" i="1" s="1"/>
  <c r="KN83" i="1" s="1"/>
  <c r="KI83" i="1"/>
  <c r="KD83" i="1"/>
  <c r="JY83" i="1"/>
  <c r="JT83" i="1"/>
  <c r="JO83" i="1"/>
  <c r="JJ83" i="1"/>
  <c r="JE83" i="1"/>
  <c r="IZ83" i="1"/>
  <c r="IU83" i="1"/>
  <c r="IP83" i="1"/>
  <c r="IK83" i="1"/>
  <c r="IF83" i="1"/>
  <c r="IA83" i="1"/>
  <c r="HV83" i="1"/>
  <c r="HQ83" i="1"/>
  <c r="HL83" i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H83" i="1"/>
  <c r="EI83" i="1" s="1"/>
  <c r="EJ83" i="1" s="1"/>
  <c r="EC83" i="1"/>
  <c r="ED83" i="1" s="1"/>
  <c r="EE83" i="1" s="1"/>
  <c r="DX83" i="1"/>
  <c r="DY83" i="1" s="1"/>
  <c r="DZ83" i="1" s="1"/>
  <c r="DS83" i="1"/>
  <c r="DT83" i="1" s="1"/>
  <c r="DU83" i="1" s="1"/>
  <c r="DN83" i="1"/>
  <c r="DO83" i="1" s="1"/>
  <c r="DP83" i="1" s="1"/>
  <c r="DI83" i="1"/>
  <c r="DJ83" i="1" s="1"/>
  <c r="DK83" i="1" s="1"/>
  <c r="DD83" i="1"/>
  <c r="DE83" i="1" s="1"/>
  <c r="DF83" i="1" s="1"/>
  <c r="CY83" i="1"/>
  <c r="CZ83" i="1" s="1"/>
  <c r="DA83" i="1" s="1"/>
  <c r="CT83" i="1"/>
  <c r="CU83" i="1" s="1"/>
  <c r="CV83" i="1" s="1"/>
  <c r="CO83" i="1"/>
  <c r="CP83" i="1" s="1"/>
  <c r="CQ83" i="1" s="1"/>
  <c r="CJ83" i="1"/>
  <c r="CK83" i="1" s="1"/>
  <c r="CL83" i="1" s="1"/>
  <c r="CE83" i="1"/>
  <c r="CF83" i="1" s="1"/>
  <c r="CG83" i="1" s="1"/>
  <c r="BZ83" i="1"/>
  <c r="CA83" i="1" s="1"/>
  <c r="CB83" i="1" s="1"/>
  <c r="BU83" i="1"/>
  <c r="BV83" i="1" s="1"/>
  <c r="BW83" i="1" s="1"/>
  <c r="BP83" i="1"/>
  <c r="BQ83" i="1" s="1"/>
  <c r="BR83" i="1" s="1"/>
  <c r="BK83" i="1"/>
  <c r="BL83" i="1" s="1"/>
  <c r="BM83" i="1" s="1"/>
  <c r="BF83" i="1"/>
  <c r="BG83" i="1" s="1"/>
  <c r="BH83" i="1" s="1"/>
  <c r="BA83" i="1"/>
  <c r="BB83" i="1" s="1"/>
  <c r="BC83" i="1" s="1"/>
  <c r="AV83" i="1"/>
  <c r="AW83" i="1" s="1"/>
  <c r="AX83" i="1" s="1"/>
  <c r="AQ83" i="1"/>
  <c r="AR83" i="1" s="1"/>
  <c r="AS83" i="1" s="1"/>
  <c r="AL83" i="1"/>
  <c r="AM83" i="1" s="1"/>
  <c r="AN83" i="1" s="1"/>
  <c r="AG83" i="1"/>
  <c r="AH83" i="1" s="1"/>
  <c r="AI83" i="1" s="1"/>
  <c r="AB83" i="1"/>
  <c r="AC83" i="1" s="1"/>
  <c r="AD83" i="1" s="1"/>
  <c r="W83" i="1"/>
  <c r="X83" i="1" s="1"/>
  <c r="Y83" i="1" s="1"/>
  <c r="R83" i="1"/>
  <c r="S83" i="1" s="1"/>
  <c r="T83" i="1" s="1"/>
  <c r="O83" i="1"/>
  <c r="J83" i="1"/>
  <c r="PX82" i="1"/>
  <c r="PS82" i="1"/>
  <c r="PN82" i="1"/>
  <c r="PI82" i="1"/>
  <c r="PD82" i="1"/>
  <c r="OY82" i="1"/>
  <c r="OT82" i="1"/>
  <c r="OO82" i="1"/>
  <c r="OJ82" i="1"/>
  <c r="OE82" i="1"/>
  <c r="NZ82" i="1"/>
  <c r="NU82" i="1"/>
  <c r="NP82" i="1"/>
  <c r="NK82" i="1"/>
  <c r="NF82" i="1"/>
  <c r="NA82" i="1"/>
  <c r="MV82" i="1"/>
  <c r="MQ82" i="1"/>
  <c r="ML82" i="1"/>
  <c r="MG82" i="1"/>
  <c r="MB82" i="1"/>
  <c r="LW82" i="1"/>
  <c r="LR82" i="1"/>
  <c r="LM82" i="1"/>
  <c r="LH82" i="1"/>
  <c r="LC82" i="1"/>
  <c r="KX82" i="1"/>
  <c r="KS82" i="1"/>
  <c r="KN82" i="1"/>
  <c r="KI82" i="1"/>
  <c r="KD82" i="1"/>
  <c r="JY82" i="1"/>
  <c r="JT82" i="1"/>
  <c r="JO82" i="1"/>
  <c r="JJ82" i="1"/>
  <c r="JE82" i="1"/>
  <c r="IZ82" i="1"/>
  <c r="IS82" i="1"/>
  <c r="IT82" i="1" s="1"/>
  <c r="IU82" i="1" s="1"/>
  <c r="IP82" i="1"/>
  <c r="IK82" i="1"/>
  <c r="IF82" i="1"/>
  <c r="HY82" i="1"/>
  <c r="HZ82" i="1" s="1"/>
  <c r="IA82" i="1" s="1"/>
  <c r="HV82" i="1"/>
  <c r="HQ82" i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H82" i="1"/>
  <c r="EI82" i="1" s="1"/>
  <c r="EJ82" i="1" s="1"/>
  <c r="EC82" i="1"/>
  <c r="ED82" i="1" s="1"/>
  <c r="EE82" i="1" s="1"/>
  <c r="DX82" i="1"/>
  <c r="DY82" i="1" s="1"/>
  <c r="DZ82" i="1" s="1"/>
  <c r="DS82" i="1"/>
  <c r="DT82" i="1" s="1"/>
  <c r="DU82" i="1" s="1"/>
  <c r="DN82" i="1"/>
  <c r="DO82" i="1" s="1"/>
  <c r="DP82" i="1" s="1"/>
  <c r="DI82" i="1"/>
  <c r="DJ82" i="1" s="1"/>
  <c r="DK82" i="1" s="1"/>
  <c r="DD82" i="1"/>
  <c r="DE82" i="1" s="1"/>
  <c r="DF82" i="1" s="1"/>
  <c r="CY82" i="1"/>
  <c r="CZ82" i="1" s="1"/>
  <c r="DA82" i="1" s="1"/>
  <c r="CT82" i="1"/>
  <c r="CU82" i="1" s="1"/>
  <c r="CV82" i="1" s="1"/>
  <c r="CO82" i="1"/>
  <c r="CP82" i="1" s="1"/>
  <c r="CQ82" i="1" s="1"/>
  <c r="CJ82" i="1"/>
  <c r="CK82" i="1" s="1"/>
  <c r="CL82" i="1" s="1"/>
  <c r="CE82" i="1"/>
  <c r="CF82" i="1" s="1"/>
  <c r="CG82" i="1" s="1"/>
  <c r="BZ82" i="1"/>
  <c r="CA82" i="1" s="1"/>
  <c r="CB82" i="1" s="1"/>
  <c r="BU82" i="1"/>
  <c r="BV82" i="1" s="1"/>
  <c r="BW82" i="1" s="1"/>
  <c r="BP82" i="1"/>
  <c r="BQ82" i="1" s="1"/>
  <c r="BR82" i="1" s="1"/>
  <c r="BK82" i="1"/>
  <c r="BL82" i="1" s="1"/>
  <c r="BM82" i="1" s="1"/>
  <c r="BF82" i="1"/>
  <c r="BG82" i="1" s="1"/>
  <c r="BH82" i="1" s="1"/>
  <c r="BA82" i="1"/>
  <c r="BB82" i="1" s="1"/>
  <c r="BC82" i="1" s="1"/>
  <c r="AV82" i="1"/>
  <c r="AW82" i="1" s="1"/>
  <c r="AX82" i="1" s="1"/>
  <c r="AQ82" i="1"/>
  <c r="AR82" i="1" s="1"/>
  <c r="AS82" i="1" s="1"/>
  <c r="AL82" i="1"/>
  <c r="AM82" i="1" s="1"/>
  <c r="AN82" i="1" s="1"/>
  <c r="AG82" i="1"/>
  <c r="AH82" i="1" s="1"/>
  <c r="AI82" i="1" s="1"/>
  <c r="AB82" i="1"/>
  <c r="AC82" i="1" s="1"/>
  <c r="AD82" i="1" s="1"/>
  <c r="W82" i="1"/>
  <c r="X82" i="1" s="1"/>
  <c r="Y82" i="1" s="1"/>
  <c r="T82" i="1"/>
  <c r="O82" i="1"/>
  <c r="J82" i="1"/>
  <c r="PX81" i="1"/>
  <c r="PS81" i="1"/>
  <c r="PN81" i="1"/>
  <c r="PI81" i="1"/>
  <c r="PD81" i="1"/>
  <c r="OY81" i="1"/>
  <c r="OT81" i="1"/>
  <c r="OO81" i="1"/>
  <c r="OJ81" i="1"/>
  <c r="OE81" i="1"/>
  <c r="NZ81" i="1"/>
  <c r="NU81" i="1"/>
  <c r="NP81" i="1"/>
  <c r="NK81" i="1"/>
  <c r="NF81" i="1"/>
  <c r="NA81" i="1"/>
  <c r="MV81" i="1"/>
  <c r="MQ81" i="1"/>
  <c r="ML81" i="1"/>
  <c r="MG81" i="1"/>
  <c r="MB81" i="1"/>
  <c r="LW81" i="1"/>
  <c r="LR81" i="1"/>
  <c r="LM81" i="1"/>
  <c r="LH81" i="1"/>
  <c r="LC81" i="1"/>
  <c r="KX81" i="1"/>
  <c r="KS81" i="1"/>
  <c r="KN81" i="1"/>
  <c r="KI81" i="1"/>
  <c r="KD81" i="1"/>
  <c r="JY81" i="1"/>
  <c r="JT81" i="1"/>
  <c r="JO81" i="1"/>
  <c r="JJ81" i="1"/>
  <c r="JE81" i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T81" i="1"/>
  <c r="HU81" i="1" s="1"/>
  <c r="HV81" i="1" s="1"/>
  <c r="HQ81" i="1"/>
  <c r="HL81" i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H81" i="1"/>
  <c r="EI81" i="1" s="1"/>
  <c r="EJ81" i="1" s="1"/>
  <c r="EC81" i="1"/>
  <c r="ED81" i="1" s="1"/>
  <c r="EE81" i="1" s="1"/>
  <c r="DX81" i="1"/>
  <c r="DY81" i="1" s="1"/>
  <c r="DZ81" i="1" s="1"/>
  <c r="DS81" i="1"/>
  <c r="DT81" i="1" s="1"/>
  <c r="DU81" i="1" s="1"/>
  <c r="DN81" i="1"/>
  <c r="DO81" i="1" s="1"/>
  <c r="DP81" i="1" s="1"/>
  <c r="DI81" i="1"/>
  <c r="DJ81" i="1" s="1"/>
  <c r="DK81" i="1" s="1"/>
  <c r="DD81" i="1"/>
  <c r="DE81" i="1" s="1"/>
  <c r="DF81" i="1" s="1"/>
  <c r="CY81" i="1"/>
  <c r="CZ81" i="1" s="1"/>
  <c r="DA81" i="1" s="1"/>
  <c r="CT81" i="1"/>
  <c r="CU81" i="1" s="1"/>
  <c r="CV81" i="1" s="1"/>
  <c r="CO81" i="1"/>
  <c r="CP81" i="1" s="1"/>
  <c r="CQ81" i="1" s="1"/>
  <c r="CJ81" i="1"/>
  <c r="CK81" i="1" s="1"/>
  <c r="CL81" i="1" s="1"/>
  <c r="CE81" i="1"/>
  <c r="CF81" i="1" s="1"/>
  <c r="CG81" i="1" s="1"/>
  <c r="BZ81" i="1"/>
  <c r="CA81" i="1" s="1"/>
  <c r="CB81" i="1" s="1"/>
  <c r="BU81" i="1"/>
  <c r="BV81" i="1" s="1"/>
  <c r="BW81" i="1" s="1"/>
  <c r="BP81" i="1"/>
  <c r="BQ81" i="1" s="1"/>
  <c r="BR81" i="1" s="1"/>
  <c r="BK81" i="1"/>
  <c r="BL81" i="1" s="1"/>
  <c r="BM81" i="1" s="1"/>
  <c r="BF81" i="1"/>
  <c r="BG81" i="1" s="1"/>
  <c r="BH81" i="1" s="1"/>
  <c r="BA81" i="1"/>
  <c r="BB81" i="1" s="1"/>
  <c r="BC81" i="1" s="1"/>
  <c r="AV81" i="1"/>
  <c r="AW81" i="1" s="1"/>
  <c r="AX81" i="1" s="1"/>
  <c r="AQ81" i="1"/>
  <c r="AR81" i="1" s="1"/>
  <c r="AS81" i="1" s="1"/>
  <c r="AL81" i="1"/>
  <c r="AM81" i="1" s="1"/>
  <c r="AN81" i="1" s="1"/>
  <c r="AG81" i="1"/>
  <c r="AH81" i="1" s="1"/>
  <c r="AI81" i="1" s="1"/>
  <c r="AB81" i="1"/>
  <c r="AC81" i="1" s="1"/>
  <c r="AD81" i="1" s="1"/>
  <c r="W81" i="1"/>
  <c r="X81" i="1" s="1"/>
  <c r="Y81" i="1" s="1"/>
  <c r="T81" i="1"/>
  <c r="O81" i="1"/>
  <c r="J81" i="1"/>
  <c r="PX80" i="1"/>
  <c r="PS80" i="1"/>
  <c r="PN80" i="1"/>
  <c r="PI80" i="1"/>
  <c r="PD80" i="1"/>
  <c r="OY80" i="1"/>
  <c r="OT80" i="1"/>
  <c r="OO80" i="1"/>
  <c r="OJ80" i="1"/>
  <c r="OE80" i="1"/>
  <c r="NZ80" i="1"/>
  <c r="NU80" i="1"/>
  <c r="NP80" i="1"/>
  <c r="NK80" i="1"/>
  <c r="NF80" i="1"/>
  <c r="NA80" i="1"/>
  <c r="MV80" i="1"/>
  <c r="MQ80" i="1"/>
  <c r="ML80" i="1"/>
  <c r="MG80" i="1"/>
  <c r="MB80" i="1"/>
  <c r="LW80" i="1"/>
  <c r="LR80" i="1"/>
  <c r="LM80" i="1"/>
  <c r="LF80" i="1"/>
  <c r="LG80" i="1" s="1"/>
  <c r="LH80" i="1" s="1"/>
  <c r="LC80" i="1"/>
  <c r="KX80" i="1"/>
  <c r="KQ80" i="1"/>
  <c r="KR80" i="1" s="1"/>
  <c r="KS80" i="1" s="1"/>
  <c r="KN80" i="1"/>
  <c r="KI80" i="1"/>
  <c r="KD80" i="1"/>
  <c r="JY80" i="1"/>
  <c r="JT80" i="1"/>
  <c r="JO80" i="1"/>
  <c r="JJ80" i="1"/>
  <c r="JE80" i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T80" i="1"/>
  <c r="HU80" i="1" s="1"/>
  <c r="HV80" i="1" s="1"/>
  <c r="HQ80" i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H80" i="1"/>
  <c r="EI80" i="1" s="1"/>
  <c r="EJ80" i="1" s="1"/>
  <c r="EC80" i="1"/>
  <c r="ED80" i="1" s="1"/>
  <c r="EE80" i="1" s="1"/>
  <c r="DX80" i="1"/>
  <c r="DY80" i="1" s="1"/>
  <c r="DZ80" i="1" s="1"/>
  <c r="DS80" i="1"/>
  <c r="DT80" i="1" s="1"/>
  <c r="DU80" i="1" s="1"/>
  <c r="DN80" i="1"/>
  <c r="DO80" i="1" s="1"/>
  <c r="DP80" i="1" s="1"/>
  <c r="DI80" i="1"/>
  <c r="DJ80" i="1" s="1"/>
  <c r="DK80" i="1" s="1"/>
  <c r="DD80" i="1"/>
  <c r="DE80" i="1" s="1"/>
  <c r="DF80" i="1" s="1"/>
  <c r="CY80" i="1"/>
  <c r="CZ80" i="1" s="1"/>
  <c r="DA80" i="1" s="1"/>
  <c r="CT80" i="1"/>
  <c r="CU80" i="1" s="1"/>
  <c r="CV80" i="1" s="1"/>
  <c r="CO80" i="1"/>
  <c r="CP80" i="1" s="1"/>
  <c r="CQ80" i="1" s="1"/>
  <c r="CJ80" i="1"/>
  <c r="CK80" i="1" s="1"/>
  <c r="CL80" i="1" s="1"/>
  <c r="CE80" i="1"/>
  <c r="CF80" i="1" s="1"/>
  <c r="CG80" i="1" s="1"/>
  <c r="BZ80" i="1"/>
  <c r="CA80" i="1" s="1"/>
  <c r="CB80" i="1" s="1"/>
  <c r="BU80" i="1"/>
  <c r="BV80" i="1" s="1"/>
  <c r="BW80" i="1" s="1"/>
  <c r="BP80" i="1"/>
  <c r="BQ80" i="1" s="1"/>
  <c r="BR80" i="1" s="1"/>
  <c r="BK80" i="1"/>
  <c r="BL80" i="1" s="1"/>
  <c r="BM80" i="1" s="1"/>
  <c r="BF80" i="1"/>
  <c r="BG80" i="1" s="1"/>
  <c r="BH80" i="1" s="1"/>
  <c r="BA80" i="1"/>
  <c r="BB80" i="1" s="1"/>
  <c r="BC80" i="1" s="1"/>
  <c r="AV80" i="1"/>
  <c r="AW80" i="1" s="1"/>
  <c r="AX80" i="1" s="1"/>
  <c r="AQ80" i="1"/>
  <c r="AR80" i="1" s="1"/>
  <c r="AS80" i="1" s="1"/>
  <c r="AL80" i="1"/>
  <c r="AM80" i="1" s="1"/>
  <c r="AN80" i="1" s="1"/>
  <c r="AG80" i="1"/>
  <c r="AH80" i="1" s="1"/>
  <c r="AI80" i="1" s="1"/>
  <c r="AB80" i="1"/>
  <c r="AC80" i="1" s="1"/>
  <c r="AD80" i="1" s="1"/>
  <c r="W80" i="1"/>
  <c r="X80" i="1" s="1"/>
  <c r="Y80" i="1" s="1"/>
  <c r="T80" i="1"/>
  <c r="O80" i="1"/>
  <c r="J80" i="1"/>
  <c r="PX79" i="1"/>
  <c r="PS79" i="1"/>
  <c r="PN79" i="1"/>
  <c r="PI79" i="1"/>
  <c r="PD79" i="1"/>
  <c r="OY79" i="1"/>
  <c r="OT79" i="1"/>
  <c r="OO79" i="1"/>
  <c r="OJ79" i="1"/>
  <c r="OE79" i="1"/>
  <c r="NZ79" i="1"/>
  <c r="NU79" i="1"/>
  <c r="NP79" i="1"/>
  <c r="NK79" i="1"/>
  <c r="NF79" i="1"/>
  <c r="NA79" i="1"/>
  <c r="MV79" i="1"/>
  <c r="MQ79" i="1"/>
  <c r="ML79" i="1"/>
  <c r="MG79" i="1"/>
  <c r="MB79" i="1"/>
  <c r="LW79" i="1"/>
  <c r="LR79" i="1"/>
  <c r="LM79" i="1"/>
  <c r="LH79" i="1"/>
  <c r="LC79" i="1"/>
  <c r="KX79" i="1"/>
  <c r="KS79" i="1"/>
  <c r="KN79" i="1"/>
  <c r="KI79" i="1"/>
  <c r="KD79" i="1"/>
  <c r="JY79" i="1"/>
  <c r="JT79" i="1"/>
  <c r="JO79" i="1"/>
  <c r="JJ79" i="1"/>
  <c r="JE79" i="1"/>
  <c r="IZ79" i="1"/>
  <c r="IU79" i="1"/>
  <c r="IP79" i="1"/>
  <c r="IK79" i="1"/>
  <c r="IF79" i="1"/>
  <c r="IA79" i="1"/>
  <c r="HV79" i="1"/>
  <c r="HQ79" i="1"/>
  <c r="HL79" i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H79" i="1"/>
  <c r="EI79" i="1" s="1"/>
  <c r="EJ79" i="1" s="1"/>
  <c r="EC79" i="1"/>
  <c r="ED79" i="1" s="1"/>
  <c r="EE79" i="1" s="1"/>
  <c r="DX79" i="1"/>
  <c r="DY79" i="1" s="1"/>
  <c r="DZ79" i="1" s="1"/>
  <c r="DS79" i="1"/>
  <c r="DT79" i="1" s="1"/>
  <c r="DU79" i="1" s="1"/>
  <c r="DN79" i="1"/>
  <c r="DO79" i="1" s="1"/>
  <c r="DP79" i="1" s="1"/>
  <c r="DI79" i="1"/>
  <c r="DJ79" i="1" s="1"/>
  <c r="DK79" i="1" s="1"/>
  <c r="DD79" i="1"/>
  <c r="DE79" i="1" s="1"/>
  <c r="DF79" i="1" s="1"/>
  <c r="CY79" i="1"/>
  <c r="CZ79" i="1" s="1"/>
  <c r="DA79" i="1" s="1"/>
  <c r="CT79" i="1"/>
  <c r="CU79" i="1" s="1"/>
  <c r="CV79" i="1" s="1"/>
  <c r="CO79" i="1"/>
  <c r="CP79" i="1" s="1"/>
  <c r="CQ79" i="1" s="1"/>
  <c r="CJ79" i="1"/>
  <c r="CK79" i="1" s="1"/>
  <c r="CL79" i="1" s="1"/>
  <c r="CE79" i="1"/>
  <c r="CF79" i="1" s="1"/>
  <c r="CG79" i="1" s="1"/>
  <c r="BZ79" i="1"/>
  <c r="CA79" i="1" s="1"/>
  <c r="CB79" i="1" s="1"/>
  <c r="BU79" i="1"/>
  <c r="BV79" i="1" s="1"/>
  <c r="BW79" i="1" s="1"/>
  <c r="BP79" i="1"/>
  <c r="BQ79" i="1" s="1"/>
  <c r="BR79" i="1" s="1"/>
  <c r="BK79" i="1"/>
  <c r="BL79" i="1" s="1"/>
  <c r="BM79" i="1" s="1"/>
  <c r="BF79" i="1"/>
  <c r="BG79" i="1" s="1"/>
  <c r="BH79" i="1" s="1"/>
  <c r="BA79" i="1"/>
  <c r="BB79" i="1" s="1"/>
  <c r="BC79" i="1" s="1"/>
  <c r="AV79" i="1"/>
  <c r="AW79" i="1" s="1"/>
  <c r="AX79" i="1" s="1"/>
  <c r="AQ79" i="1"/>
  <c r="AR79" i="1" s="1"/>
  <c r="AS79" i="1" s="1"/>
  <c r="AL79" i="1"/>
  <c r="AM79" i="1" s="1"/>
  <c r="AN79" i="1" s="1"/>
  <c r="AG79" i="1"/>
  <c r="AH79" i="1" s="1"/>
  <c r="AI79" i="1" s="1"/>
  <c r="AB79" i="1"/>
  <c r="AC79" i="1" s="1"/>
  <c r="AD79" i="1" s="1"/>
  <c r="W79" i="1"/>
  <c r="X79" i="1" s="1"/>
  <c r="Y79" i="1" s="1"/>
  <c r="T79" i="1"/>
  <c r="O79" i="1"/>
  <c r="J79" i="1"/>
  <c r="PX78" i="1"/>
  <c r="PS78" i="1"/>
  <c r="PN78" i="1"/>
  <c r="PI78" i="1"/>
  <c r="PD78" i="1"/>
  <c r="OY78" i="1"/>
  <c r="OT78" i="1"/>
  <c r="OO78" i="1"/>
  <c r="OJ78" i="1"/>
  <c r="OE78" i="1"/>
  <c r="NZ78" i="1"/>
  <c r="NU78" i="1"/>
  <c r="NP78" i="1"/>
  <c r="NK78" i="1"/>
  <c r="NF78" i="1"/>
  <c r="NA78" i="1"/>
  <c r="MV78" i="1"/>
  <c r="MQ78" i="1"/>
  <c r="ML78" i="1"/>
  <c r="MG78" i="1"/>
  <c r="MB78" i="1"/>
  <c r="LW78" i="1"/>
  <c r="LR78" i="1"/>
  <c r="LM78" i="1"/>
  <c r="LH78" i="1"/>
  <c r="LC78" i="1"/>
  <c r="KX78" i="1"/>
  <c r="KQ78" i="1"/>
  <c r="KR78" i="1" s="1"/>
  <c r="KS78" i="1" s="1"/>
  <c r="KN78" i="1"/>
  <c r="KI78" i="1"/>
  <c r="KD78" i="1"/>
  <c r="JY78" i="1"/>
  <c r="JT78" i="1"/>
  <c r="JO78" i="1"/>
  <c r="JJ78" i="1"/>
  <c r="JE78" i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T78" i="1"/>
  <c r="HU78" i="1" s="1"/>
  <c r="HV78" i="1" s="1"/>
  <c r="HQ78" i="1"/>
  <c r="HL78" i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H78" i="1"/>
  <c r="EI78" i="1" s="1"/>
  <c r="EJ78" i="1" s="1"/>
  <c r="EC78" i="1"/>
  <c r="ED78" i="1" s="1"/>
  <c r="EE78" i="1" s="1"/>
  <c r="DX78" i="1"/>
  <c r="DY78" i="1" s="1"/>
  <c r="DZ78" i="1" s="1"/>
  <c r="DS78" i="1"/>
  <c r="DT78" i="1" s="1"/>
  <c r="DU78" i="1" s="1"/>
  <c r="DN78" i="1"/>
  <c r="DO78" i="1" s="1"/>
  <c r="DP78" i="1" s="1"/>
  <c r="DI78" i="1"/>
  <c r="DJ78" i="1" s="1"/>
  <c r="DK78" i="1" s="1"/>
  <c r="DD78" i="1"/>
  <c r="DE78" i="1" s="1"/>
  <c r="DF78" i="1" s="1"/>
  <c r="CY78" i="1"/>
  <c r="CZ78" i="1" s="1"/>
  <c r="DA78" i="1" s="1"/>
  <c r="CT78" i="1"/>
  <c r="CU78" i="1" s="1"/>
  <c r="CV78" i="1" s="1"/>
  <c r="CO78" i="1"/>
  <c r="CP78" i="1" s="1"/>
  <c r="CQ78" i="1" s="1"/>
  <c r="CJ78" i="1"/>
  <c r="CK78" i="1" s="1"/>
  <c r="CL78" i="1" s="1"/>
  <c r="CE78" i="1"/>
  <c r="CF78" i="1" s="1"/>
  <c r="CG78" i="1" s="1"/>
  <c r="BZ78" i="1"/>
  <c r="CA78" i="1" s="1"/>
  <c r="CB78" i="1" s="1"/>
  <c r="BU78" i="1"/>
  <c r="BV78" i="1" s="1"/>
  <c r="BW78" i="1" s="1"/>
  <c r="BP78" i="1"/>
  <c r="BQ78" i="1" s="1"/>
  <c r="BR78" i="1" s="1"/>
  <c r="BK78" i="1"/>
  <c r="BL78" i="1" s="1"/>
  <c r="BM78" i="1" s="1"/>
  <c r="BF78" i="1"/>
  <c r="BG78" i="1" s="1"/>
  <c r="BH78" i="1" s="1"/>
  <c r="BA78" i="1"/>
  <c r="BB78" i="1" s="1"/>
  <c r="BC78" i="1" s="1"/>
  <c r="AV78" i="1"/>
  <c r="AW78" i="1" s="1"/>
  <c r="AX78" i="1" s="1"/>
  <c r="AQ78" i="1"/>
  <c r="AR78" i="1" s="1"/>
  <c r="AS78" i="1" s="1"/>
  <c r="AL78" i="1"/>
  <c r="AM78" i="1" s="1"/>
  <c r="AN78" i="1" s="1"/>
  <c r="AG78" i="1"/>
  <c r="AH78" i="1" s="1"/>
  <c r="AI78" i="1" s="1"/>
  <c r="AB78" i="1"/>
  <c r="AC78" i="1" s="1"/>
  <c r="AD78" i="1" s="1"/>
  <c r="W78" i="1"/>
  <c r="X78" i="1" s="1"/>
  <c r="Y78" i="1" s="1"/>
  <c r="R78" i="1"/>
  <c r="S78" i="1" s="1"/>
  <c r="T78" i="1" s="1"/>
  <c r="O78" i="1"/>
  <c r="J78" i="1"/>
  <c r="PX77" i="1"/>
  <c r="PS77" i="1"/>
  <c r="PN77" i="1"/>
  <c r="PI77" i="1"/>
  <c r="PD77" i="1"/>
  <c r="OY77" i="1"/>
  <c r="OT77" i="1"/>
  <c r="OO77" i="1"/>
  <c r="OJ77" i="1"/>
  <c r="OE77" i="1"/>
  <c r="NZ77" i="1"/>
  <c r="NU77" i="1"/>
  <c r="NP77" i="1"/>
  <c r="NK77" i="1"/>
  <c r="NF77" i="1"/>
  <c r="NA77" i="1"/>
  <c r="MV77" i="1"/>
  <c r="MQ77" i="1"/>
  <c r="ML77" i="1"/>
  <c r="MG77" i="1"/>
  <c r="MB77" i="1"/>
  <c r="LW77" i="1"/>
  <c r="LR77" i="1"/>
  <c r="LM77" i="1"/>
  <c r="LH77" i="1"/>
  <c r="LC77" i="1"/>
  <c r="KX77" i="1"/>
  <c r="KS77" i="1"/>
  <c r="KN77" i="1"/>
  <c r="KI77" i="1"/>
  <c r="KD77" i="1"/>
  <c r="JY77" i="1"/>
  <c r="JT77" i="1"/>
  <c r="JO77" i="1"/>
  <c r="JJ77" i="1"/>
  <c r="JE77" i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H77" i="1"/>
  <c r="EI77" i="1" s="1"/>
  <c r="EJ77" i="1" s="1"/>
  <c r="EC77" i="1"/>
  <c r="ED77" i="1" s="1"/>
  <c r="EE77" i="1" s="1"/>
  <c r="DX77" i="1"/>
  <c r="DY77" i="1" s="1"/>
  <c r="DZ77" i="1" s="1"/>
  <c r="DS77" i="1"/>
  <c r="DT77" i="1" s="1"/>
  <c r="DU77" i="1" s="1"/>
  <c r="DN77" i="1"/>
  <c r="DO77" i="1" s="1"/>
  <c r="DP77" i="1" s="1"/>
  <c r="DI77" i="1"/>
  <c r="DJ77" i="1" s="1"/>
  <c r="DK77" i="1" s="1"/>
  <c r="DD77" i="1"/>
  <c r="DE77" i="1" s="1"/>
  <c r="DF77" i="1" s="1"/>
  <c r="CY77" i="1"/>
  <c r="CZ77" i="1" s="1"/>
  <c r="DA77" i="1" s="1"/>
  <c r="CT77" i="1"/>
  <c r="CU77" i="1" s="1"/>
  <c r="CV77" i="1" s="1"/>
  <c r="CO77" i="1"/>
  <c r="CP77" i="1" s="1"/>
  <c r="CQ77" i="1" s="1"/>
  <c r="CJ77" i="1"/>
  <c r="CK77" i="1" s="1"/>
  <c r="CL77" i="1" s="1"/>
  <c r="CE77" i="1"/>
  <c r="CF77" i="1" s="1"/>
  <c r="CG77" i="1" s="1"/>
  <c r="BZ77" i="1"/>
  <c r="CA77" i="1" s="1"/>
  <c r="CB77" i="1" s="1"/>
  <c r="BU77" i="1"/>
  <c r="BV77" i="1" s="1"/>
  <c r="BW77" i="1" s="1"/>
  <c r="BP77" i="1"/>
  <c r="BQ77" i="1" s="1"/>
  <c r="BR77" i="1" s="1"/>
  <c r="BK77" i="1"/>
  <c r="BL77" i="1" s="1"/>
  <c r="BM77" i="1" s="1"/>
  <c r="BF77" i="1"/>
  <c r="BG77" i="1" s="1"/>
  <c r="BH77" i="1" s="1"/>
  <c r="BA77" i="1"/>
  <c r="BB77" i="1" s="1"/>
  <c r="BC77" i="1" s="1"/>
  <c r="AV77" i="1"/>
  <c r="AW77" i="1" s="1"/>
  <c r="AX77" i="1" s="1"/>
  <c r="AQ77" i="1"/>
  <c r="AR77" i="1" s="1"/>
  <c r="AS77" i="1" s="1"/>
  <c r="AL77" i="1"/>
  <c r="AM77" i="1" s="1"/>
  <c r="AN77" i="1" s="1"/>
  <c r="AG77" i="1"/>
  <c r="AH77" i="1" s="1"/>
  <c r="AI77" i="1" s="1"/>
  <c r="AB77" i="1"/>
  <c r="AC77" i="1" s="1"/>
  <c r="AD77" i="1" s="1"/>
  <c r="W77" i="1"/>
  <c r="X77" i="1" s="1"/>
  <c r="Y77" i="1" s="1"/>
  <c r="T77" i="1"/>
  <c r="O77" i="1"/>
  <c r="J77" i="1"/>
  <c r="PX76" i="1"/>
  <c r="PS76" i="1"/>
  <c r="PN76" i="1"/>
  <c r="PI76" i="1"/>
  <c r="PD76" i="1"/>
  <c r="OY76" i="1"/>
  <c r="OT76" i="1"/>
  <c r="OO76" i="1"/>
  <c r="OJ76" i="1"/>
  <c r="OE76" i="1"/>
  <c r="NZ76" i="1"/>
  <c r="NU76" i="1"/>
  <c r="NP76" i="1"/>
  <c r="NK76" i="1"/>
  <c r="NF76" i="1"/>
  <c r="NA76" i="1"/>
  <c r="MV76" i="1"/>
  <c r="MQ76" i="1"/>
  <c r="ML76" i="1"/>
  <c r="MG76" i="1"/>
  <c r="MB76" i="1"/>
  <c r="LW76" i="1"/>
  <c r="LR76" i="1"/>
  <c r="LM76" i="1"/>
  <c r="LH76" i="1"/>
  <c r="LC76" i="1"/>
  <c r="KV76" i="1"/>
  <c r="KW76" i="1" s="1"/>
  <c r="KX76" i="1" s="1"/>
  <c r="KQ76" i="1"/>
  <c r="KR76" i="1" s="1"/>
  <c r="KS76" i="1" s="1"/>
  <c r="KN76" i="1"/>
  <c r="KI76" i="1"/>
  <c r="KD76" i="1"/>
  <c r="JY76" i="1"/>
  <c r="JT76" i="1"/>
  <c r="JO76" i="1"/>
  <c r="JJ76" i="1"/>
  <c r="JE76" i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H76" i="1"/>
  <c r="EI76" i="1" s="1"/>
  <c r="EJ76" i="1" s="1"/>
  <c r="EC76" i="1"/>
  <c r="ED76" i="1" s="1"/>
  <c r="EE76" i="1" s="1"/>
  <c r="DX76" i="1"/>
  <c r="DY76" i="1" s="1"/>
  <c r="DZ76" i="1" s="1"/>
  <c r="DS76" i="1"/>
  <c r="DT76" i="1" s="1"/>
  <c r="DU76" i="1" s="1"/>
  <c r="DN76" i="1"/>
  <c r="DO76" i="1" s="1"/>
  <c r="DP76" i="1" s="1"/>
  <c r="DI76" i="1"/>
  <c r="DJ76" i="1" s="1"/>
  <c r="DK76" i="1" s="1"/>
  <c r="DD76" i="1"/>
  <c r="DE76" i="1" s="1"/>
  <c r="DF76" i="1" s="1"/>
  <c r="CY76" i="1"/>
  <c r="CZ76" i="1" s="1"/>
  <c r="DA76" i="1" s="1"/>
  <c r="CT76" i="1"/>
  <c r="CU76" i="1" s="1"/>
  <c r="CV76" i="1" s="1"/>
  <c r="CO76" i="1"/>
  <c r="CP76" i="1" s="1"/>
  <c r="CQ76" i="1" s="1"/>
  <c r="CJ76" i="1"/>
  <c r="CK76" i="1" s="1"/>
  <c r="CL76" i="1" s="1"/>
  <c r="CE76" i="1"/>
  <c r="CF76" i="1" s="1"/>
  <c r="CG76" i="1" s="1"/>
  <c r="BZ76" i="1"/>
  <c r="CA76" i="1" s="1"/>
  <c r="CB76" i="1" s="1"/>
  <c r="BU76" i="1"/>
  <c r="BV76" i="1" s="1"/>
  <c r="BW76" i="1" s="1"/>
  <c r="BP76" i="1"/>
  <c r="BQ76" i="1" s="1"/>
  <c r="BR76" i="1" s="1"/>
  <c r="BK76" i="1"/>
  <c r="BL76" i="1" s="1"/>
  <c r="BM76" i="1" s="1"/>
  <c r="BF76" i="1"/>
  <c r="BG76" i="1" s="1"/>
  <c r="BH76" i="1" s="1"/>
  <c r="BA76" i="1"/>
  <c r="BB76" i="1" s="1"/>
  <c r="BC76" i="1" s="1"/>
  <c r="AV76" i="1"/>
  <c r="AW76" i="1" s="1"/>
  <c r="AX76" i="1" s="1"/>
  <c r="AQ76" i="1"/>
  <c r="AR76" i="1" s="1"/>
  <c r="AS76" i="1" s="1"/>
  <c r="AL76" i="1"/>
  <c r="AM76" i="1" s="1"/>
  <c r="AN76" i="1" s="1"/>
  <c r="AG76" i="1"/>
  <c r="AH76" i="1" s="1"/>
  <c r="AI76" i="1" s="1"/>
  <c r="AB76" i="1"/>
  <c r="AC76" i="1" s="1"/>
  <c r="AD76" i="1" s="1"/>
  <c r="W76" i="1"/>
  <c r="X76" i="1" s="1"/>
  <c r="Y76" i="1" s="1"/>
  <c r="T76" i="1"/>
  <c r="O76" i="1"/>
  <c r="J76" i="1"/>
  <c r="PX75" i="1"/>
  <c r="PS75" i="1"/>
  <c r="PN75" i="1"/>
  <c r="PI75" i="1"/>
  <c r="PD75" i="1"/>
  <c r="OY75" i="1"/>
  <c r="OT75" i="1"/>
  <c r="OO75" i="1"/>
  <c r="OJ75" i="1"/>
  <c r="OE75" i="1"/>
  <c r="NZ75" i="1"/>
  <c r="NU75" i="1"/>
  <c r="NP75" i="1"/>
  <c r="NI75" i="1"/>
  <c r="NJ75" i="1" s="1"/>
  <c r="NK75" i="1" s="1"/>
  <c r="ND75" i="1"/>
  <c r="NE75" i="1" s="1"/>
  <c r="NF75" i="1" s="1"/>
  <c r="MY75" i="1"/>
  <c r="MZ75" i="1" s="1"/>
  <c r="NA75" i="1" s="1"/>
  <c r="MV75" i="1"/>
  <c r="MQ75" i="1"/>
  <c r="ML75" i="1"/>
  <c r="MG75" i="1"/>
  <c r="LZ75" i="1"/>
  <c r="MA75" i="1" s="1"/>
  <c r="MB75" i="1" s="1"/>
  <c r="LU75" i="1"/>
  <c r="LV75" i="1" s="1"/>
  <c r="LW75" i="1" s="1"/>
  <c r="LR75" i="1"/>
  <c r="LM75" i="1"/>
  <c r="LF75" i="1"/>
  <c r="LG75" i="1" s="1"/>
  <c r="LH75" i="1" s="1"/>
  <c r="LA75" i="1"/>
  <c r="LB75" i="1" s="1"/>
  <c r="LC75" i="1" s="1"/>
  <c r="KV75" i="1"/>
  <c r="KW75" i="1" s="1"/>
  <c r="KX75" i="1" s="1"/>
  <c r="KS75" i="1"/>
  <c r="KN75" i="1"/>
  <c r="KI75" i="1"/>
  <c r="KD75" i="1"/>
  <c r="JY75" i="1"/>
  <c r="JT75" i="1"/>
  <c r="JO75" i="1"/>
  <c r="JJ75" i="1"/>
  <c r="JE75" i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H75" i="1"/>
  <c r="EI75" i="1" s="1"/>
  <c r="EJ75" i="1" s="1"/>
  <c r="EC75" i="1"/>
  <c r="ED75" i="1" s="1"/>
  <c r="EE75" i="1" s="1"/>
  <c r="DX75" i="1"/>
  <c r="DY75" i="1" s="1"/>
  <c r="DZ75" i="1" s="1"/>
  <c r="DS75" i="1"/>
  <c r="DT75" i="1" s="1"/>
  <c r="DU75" i="1" s="1"/>
  <c r="DN75" i="1"/>
  <c r="DO75" i="1" s="1"/>
  <c r="DP75" i="1" s="1"/>
  <c r="DI75" i="1"/>
  <c r="DJ75" i="1" s="1"/>
  <c r="DK75" i="1" s="1"/>
  <c r="DD75" i="1"/>
  <c r="DE75" i="1" s="1"/>
  <c r="DF75" i="1" s="1"/>
  <c r="CY75" i="1"/>
  <c r="CZ75" i="1" s="1"/>
  <c r="DA75" i="1" s="1"/>
  <c r="CT75" i="1"/>
  <c r="CU75" i="1" s="1"/>
  <c r="CV75" i="1" s="1"/>
  <c r="CO75" i="1"/>
  <c r="CP75" i="1" s="1"/>
  <c r="CQ75" i="1" s="1"/>
  <c r="CJ75" i="1"/>
  <c r="CK75" i="1" s="1"/>
  <c r="CL75" i="1" s="1"/>
  <c r="CE75" i="1"/>
  <c r="CF75" i="1" s="1"/>
  <c r="CG75" i="1" s="1"/>
  <c r="BZ75" i="1"/>
  <c r="CA75" i="1" s="1"/>
  <c r="CB75" i="1" s="1"/>
  <c r="BU75" i="1"/>
  <c r="BV75" i="1" s="1"/>
  <c r="BW75" i="1" s="1"/>
  <c r="BP75" i="1"/>
  <c r="BQ75" i="1" s="1"/>
  <c r="BR75" i="1" s="1"/>
  <c r="BK75" i="1"/>
  <c r="BL75" i="1" s="1"/>
  <c r="BM75" i="1" s="1"/>
  <c r="BF75" i="1"/>
  <c r="BG75" i="1" s="1"/>
  <c r="BH75" i="1" s="1"/>
  <c r="BA75" i="1"/>
  <c r="BB75" i="1" s="1"/>
  <c r="BC75" i="1" s="1"/>
  <c r="AV75" i="1"/>
  <c r="AW75" i="1" s="1"/>
  <c r="AX75" i="1" s="1"/>
  <c r="AQ75" i="1"/>
  <c r="AR75" i="1" s="1"/>
  <c r="AS75" i="1" s="1"/>
  <c r="AL75" i="1"/>
  <c r="AM75" i="1" s="1"/>
  <c r="AN75" i="1" s="1"/>
  <c r="AG75" i="1"/>
  <c r="AH75" i="1" s="1"/>
  <c r="AI75" i="1" s="1"/>
  <c r="AB75" i="1"/>
  <c r="AC75" i="1" s="1"/>
  <c r="AD75" i="1" s="1"/>
  <c r="W75" i="1"/>
  <c r="X75" i="1" s="1"/>
  <c r="Y75" i="1" s="1"/>
  <c r="T75" i="1"/>
  <c r="O75" i="1"/>
  <c r="J75" i="1"/>
  <c r="PX74" i="1"/>
  <c r="PS74" i="1"/>
  <c r="PN74" i="1"/>
  <c r="PI74" i="1"/>
  <c r="PD74" i="1"/>
  <c r="OY74" i="1"/>
  <c r="OT74" i="1"/>
  <c r="OO74" i="1"/>
  <c r="OJ74" i="1"/>
  <c r="OE74" i="1"/>
  <c r="NZ74" i="1"/>
  <c r="NU74" i="1"/>
  <c r="NP74" i="1"/>
  <c r="NK74" i="1"/>
  <c r="NF74" i="1"/>
  <c r="NA74" i="1"/>
  <c r="MV74" i="1"/>
  <c r="MQ74" i="1"/>
  <c r="ML74" i="1"/>
  <c r="MG74" i="1"/>
  <c r="MB74" i="1"/>
  <c r="LW74" i="1"/>
  <c r="LR74" i="1"/>
  <c r="LM74" i="1"/>
  <c r="LH74" i="1"/>
  <c r="LA74" i="1"/>
  <c r="LB74" i="1" s="1"/>
  <c r="LC74" i="1" s="1"/>
  <c r="KV74" i="1"/>
  <c r="KW74" i="1" s="1"/>
  <c r="KX74" i="1" s="1"/>
  <c r="KQ74" i="1"/>
  <c r="KR74" i="1" s="1"/>
  <c r="KS74" i="1" s="1"/>
  <c r="KN74" i="1"/>
  <c r="KI74" i="1"/>
  <c r="KD74" i="1"/>
  <c r="JY74" i="1"/>
  <c r="JT74" i="1"/>
  <c r="JO74" i="1"/>
  <c r="JJ74" i="1"/>
  <c r="JE74" i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T74" i="1"/>
  <c r="HU74" i="1" s="1"/>
  <c r="HV74" i="1" s="1"/>
  <c r="HQ74" i="1"/>
  <c r="HL74" i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H74" i="1"/>
  <c r="EI74" i="1" s="1"/>
  <c r="EJ74" i="1" s="1"/>
  <c r="EC74" i="1"/>
  <c r="ED74" i="1" s="1"/>
  <c r="EE74" i="1" s="1"/>
  <c r="DX74" i="1"/>
  <c r="DY74" i="1" s="1"/>
  <c r="DZ74" i="1" s="1"/>
  <c r="DS74" i="1"/>
  <c r="DT74" i="1" s="1"/>
  <c r="DU74" i="1" s="1"/>
  <c r="DN74" i="1"/>
  <c r="DO74" i="1" s="1"/>
  <c r="DP74" i="1" s="1"/>
  <c r="DI74" i="1"/>
  <c r="DJ74" i="1" s="1"/>
  <c r="DK74" i="1" s="1"/>
  <c r="DD74" i="1"/>
  <c r="DE74" i="1" s="1"/>
  <c r="DF74" i="1" s="1"/>
  <c r="CY74" i="1"/>
  <c r="CZ74" i="1" s="1"/>
  <c r="DA74" i="1" s="1"/>
  <c r="CT74" i="1"/>
  <c r="CU74" i="1" s="1"/>
  <c r="CV74" i="1" s="1"/>
  <c r="CO74" i="1"/>
  <c r="CP74" i="1" s="1"/>
  <c r="CQ74" i="1" s="1"/>
  <c r="CJ74" i="1"/>
  <c r="CK74" i="1" s="1"/>
  <c r="CL74" i="1" s="1"/>
  <c r="CE74" i="1"/>
  <c r="CF74" i="1" s="1"/>
  <c r="CG74" i="1" s="1"/>
  <c r="BZ74" i="1"/>
  <c r="CA74" i="1" s="1"/>
  <c r="CB74" i="1" s="1"/>
  <c r="BU74" i="1"/>
  <c r="BV74" i="1" s="1"/>
  <c r="BW74" i="1" s="1"/>
  <c r="BP74" i="1"/>
  <c r="BQ74" i="1" s="1"/>
  <c r="BR74" i="1" s="1"/>
  <c r="BK74" i="1"/>
  <c r="BL74" i="1" s="1"/>
  <c r="BM74" i="1" s="1"/>
  <c r="BF74" i="1"/>
  <c r="BG74" i="1" s="1"/>
  <c r="BH74" i="1" s="1"/>
  <c r="BA74" i="1"/>
  <c r="BB74" i="1" s="1"/>
  <c r="BC74" i="1" s="1"/>
  <c r="AV74" i="1"/>
  <c r="AW74" i="1" s="1"/>
  <c r="AX74" i="1" s="1"/>
  <c r="AQ74" i="1"/>
  <c r="AR74" i="1" s="1"/>
  <c r="AS74" i="1" s="1"/>
  <c r="AL74" i="1"/>
  <c r="AM74" i="1" s="1"/>
  <c r="AN74" i="1" s="1"/>
  <c r="AG74" i="1"/>
  <c r="AH74" i="1" s="1"/>
  <c r="AI74" i="1" s="1"/>
  <c r="AB74" i="1"/>
  <c r="AC74" i="1" s="1"/>
  <c r="AD74" i="1" s="1"/>
  <c r="W74" i="1"/>
  <c r="X74" i="1" s="1"/>
  <c r="Y74" i="1" s="1"/>
  <c r="R74" i="1"/>
  <c r="S74" i="1" s="1"/>
  <c r="T74" i="1" s="1"/>
  <c r="O74" i="1"/>
  <c r="J74" i="1"/>
  <c r="PX73" i="1"/>
  <c r="PS73" i="1"/>
  <c r="PN73" i="1"/>
  <c r="PI73" i="1"/>
  <c r="PD73" i="1"/>
  <c r="OY73" i="1"/>
  <c r="OT73" i="1"/>
  <c r="OO73" i="1"/>
  <c r="OJ73" i="1"/>
  <c r="OE73" i="1"/>
  <c r="NZ73" i="1"/>
  <c r="NU73" i="1"/>
  <c r="NP73" i="1"/>
  <c r="NK73" i="1"/>
  <c r="NF73" i="1"/>
  <c r="NA73" i="1"/>
  <c r="MV73" i="1"/>
  <c r="MQ73" i="1"/>
  <c r="ML73" i="1"/>
  <c r="MG73" i="1"/>
  <c r="MB73" i="1"/>
  <c r="LW73" i="1"/>
  <c r="LR73" i="1"/>
  <c r="LM73" i="1"/>
  <c r="LH73" i="1"/>
  <c r="LC73" i="1"/>
  <c r="KX73" i="1"/>
  <c r="KS73" i="1"/>
  <c r="KN73" i="1"/>
  <c r="KI73" i="1"/>
  <c r="KD73" i="1"/>
  <c r="JY73" i="1"/>
  <c r="JT73" i="1"/>
  <c r="JO73" i="1"/>
  <c r="JJ73" i="1"/>
  <c r="JE73" i="1"/>
  <c r="IZ73" i="1"/>
  <c r="IU73" i="1"/>
  <c r="IP73" i="1"/>
  <c r="IK73" i="1"/>
  <c r="IF73" i="1"/>
  <c r="IA73" i="1"/>
  <c r="HV73" i="1"/>
  <c r="HQ73" i="1"/>
  <c r="HL73" i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H73" i="1"/>
  <c r="EI73" i="1" s="1"/>
  <c r="EJ73" i="1" s="1"/>
  <c r="EC73" i="1"/>
  <c r="ED73" i="1" s="1"/>
  <c r="EE73" i="1" s="1"/>
  <c r="DX73" i="1"/>
  <c r="DY73" i="1" s="1"/>
  <c r="DZ73" i="1" s="1"/>
  <c r="DS73" i="1"/>
  <c r="DT73" i="1" s="1"/>
  <c r="DU73" i="1" s="1"/>
  <c r="DN73" i="1"/>
  <c r="DO73" i="1" s="1"/>
  <c r="DP73" i="1" s="1"/>
  <c r="DI73" i="1"/>
  <c r="DJ73" i="1" s="1"/>
  <c r="DK73" i="1" s="1"/>
  <c r="DD73" i="1"/>
  <c r="DE73" i="1" s="1"/>
  <c r="DF73" i="1" s="1"/>
  <c r="CY73" i="1"/>
  <c r="CZ73" i="1" s="1"/>
  <c r="DA73" i="1" s="1"/>
  <c r="CT73" i="1"/>
  <c r="CU73" i="1" s="1"/>
  <c r="CV73" i="1" s="1"/>
  <c r="CO73" i="1"/>
  <c r="CP73" i="1" s="1"/>
  <c r="CQ73" i="1" s="1"/>
  <c r="CJ73" i="1"/>
  <c r="CK73" i="1" s="1"/>
  <c r="CL73" i="1" s="1"/>
  <c r="CE73" i="1"/>
  <c r="CF73" i="1" s="1"/>
  <c r="CG73" i="1" s="1"/>
  <c r="BZ73" i="1"/>
  <c r="CA73" i="1" s="1"/>
  <c r="CB73" i="1" s="1"/>
  <c r="BU73" i="1"/>
  <c r="BV73" i="1" s="1"/>
  <c r="BW73" i="1" s="1"/>
  <c r="BP73" i="1"/>
  <c r="BQ73" i="1" s="1"/>
  <c r="BR73" i="1" s="1"/>
  <c r="BK73" i="1"/>
  <c r="BL73" i="1" s="1"/>
  <c r="BM73" i="1" s="1"/>
  <c r="BF73" i="1"/>
  <c r="BG73" i="1" s="1"/>
  <c r="BH73" i="1" s="1"/>
  <c r="BA73" i="1"/>
  <c r="BB73" i="1" s="1"/>
  <c r="BC73" i="1" s="1"/>
  <c r="AV73" i="1"/>
  <c r="AW73" i="1" s="1"/>
  <c r="AX73" i="1" s="1"/>
  <c r="AQ73" i="1"/>
  <c r="AR73" i="1" s="1"/>
  <c r="AS73" i="1" s="1"/>
  <c r="AL73" i="1"/>
  <c r="AM73" i="1" s="1"/>
  <c r="AN73" i="1" s="1"/>
  <c r="AG73" i="1"/>
  <c r="AH73" i="1" s="1"/>
  <c r="AI73" i="1" s="1"/>
  <c r="AD73" i="1"/>
  <c r="W73" i="1"/>
  <c r="X73" i="1" s="1"/>
  <c r="Y73" i="1" s="1"/>
  <c r="R73" i="1"/>
  <c r="S73" i="1" s="1"/>
  <c r="T73" i="1" s="1"/>
  <c r="O73" i="1"/>
  <c r="J73" i="1"/>
  <c r="PX72" i="1"/>
  <c r="PS72" i="1"/>
  <c r="PN72" i="1"/>
  <c r="PI72" i="1"/>
  <c r="PD72" i="1"/>
  <c r="OY72" i="1"/>
  <c r="OT72" i="1"/>
  <c r="OO72" i="1"/>
  <c r="OJ72" i="1"/>
  <c r="OE72" i="1"/>
  <c r="NZ72" i="1"/>
  <c r="NU72" i="1"/>
  <c r="NP72" i="1"/>
  <c r="NK72" i="1"/>
  <c r="NF72" i="1"/>
  <c r="NA72" i="1"/>
  <c r="MV72" i="1"/>
  <c r="MQ72" i="1"/>
  <c r="ML72" i="1"/>
  <c r="MG72" i="1"/>
  <c r="LZ72" i="1"/>
  <c r="MA72" i="1" s="1"/>
  <c r="MB72" i="1" s="1"/>
  <c r="LU72" i="1"/>
  <c r="LV72" i="1" s="1"/>
  <c r="LW72" i="1" s="1"/>
  <c r="LR72" i="1"/>
  <c r="LM72" i="1"/>
  <c r="LH72" i="1"/>
  <c r="LC72" i="1"/>
  <c r="KX72" i="1"/>
  <c r="KS72" i="1"/>
  <c r="KN72" i="1"/>
  <c r="KI72" i="1"/>
  <c r="KD72" i="1"/>
  <c r="JY72" i="1"/>
  <c r="JT72" i="1"/>
  <c r="JO72" i="1"/>
  <c r="JJ72" i="1"/>
  <c r="JE72" i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T72" i="1"/>
  <c r="HU72" i="1" s="1"/>
  <c r="HV72" i="1" s="1"/>
  <c r="HQ72" i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H72" i="1"/>
  <c r="EI72" i="1" s="1"/>
  <c r="EJ72" i="1" s="1"/>
  <c r="EC72" i="1"/>
  <c r="ED72" i="1" s="1"/>
  <c r="EE72" i="1" s="1"/>
  <c r="DX72" i="1"/>
  <c r="DY72" i="1" s="1"/>
  <c r="DZ72" i="1" s="1"/>
  <c r="DS72" i="1"/>
  <c r="DT72" i="1" s="1"/>
  <c r="DU72" i="1" s="1"/>
  <c r="DN72" i="1"/>
  <c r="DO72" i="1" s="1"/>
  <c r="DP72" i="1" s="1"/>
  <c r="DI72" i="1"/>
  <c r="DJ72" i="1" s="1"/>
  <c r="DK72" i="1" s="1"/>
  <c r="DD72" i="1"/>
  <c r="DE72" i="1" s="1"/>
  <c r="DF72" i="1" s="1"/>
  <c r="CY72" i="1"/>
  <c r="CZ72" i="1" s="1"/>
  <c r="DA72" i="1" s="1"/>
  <c r="CT72" i="1"/>
  <c r="CU72" i="1" s="1"/>
  <c r="CV72" i="1" s="1"/>
  <c r="CO72" i="1"/>
  <c r="CP72" i="1" s="1"/>
  <c r="CQ72" i="1" s="1"/>
  <c r="CJ72" i="1"/>
  <c r="CK72" i="1" s="1"/>
  <c r="CL72" i="1" s="1"/>
  <c r="CE72" i="1"/>
  <c r="CF72" i="1" s="1"/>
  <c r="CG72" i="1" s="1"/>
  <c r="BZ72" i="1"/>
  <c r="CA72" i="1" s="1"/>
  <c r="CB72" i="1" s="1"/>
  <c r="BU72" i="1"/>
  <c r="BV72" i="1" s="1"/>
  <c r="BW72" i="1" s="1"/>
  <c r="BP72" i="1"/>
  <c r="BQ72" i="1" s="1"/>
  <c r="BR72" i="1" s="1"/>
  <c r="BK72" i="1"/>
  <c r="BL72" i="1" s="1"/>
  <c r="BM72" i="1" s="1"/>
  <c r="BF72" i="1"/>
  <c r="BG72" i="1" s="1"/>
  <c r="BH72" i="1" s="1"/>
  <c r="BA72" i="1"/>
  <c r="BB72" i="1" s="1"/>
  <c r="BC72" i="1" s="1"/>
  <c r="AV72" i="1"/>
  <c r="AW72" i="1" s="1"/>
  <c r="AX72" i="1" s="1"/>
  <c r="AQ72" i="1"/>
  <c r="AR72" i="1" s="1"/>
  <c r="AS72" i="1" s="1"/>
  <c r="AL72" i="1"/>
  <c r="AM72" i="1" s="1"/>
  <c r="AN72" i="1" s="1"/>
  <c r="AG72" i="1"/>
  <c r="AH72" i="1" s="1"/>
  <c r="AI72" i="1" s="1"/>
  <c r="AB72" i="1"/>
  <c r="AC72" i="1" s="1"/>
  <c r="AD72" i="1" s="1"/>
  <c r="W72" i="1"/>
  <c r="X72" i="1" s="1"/>
  <c r="Y72" i="1" s="1"/>
  <c r="T72" i="1"/>
  <c r="O72" i="1"/>
  <c r="J72" i="1"/>
  <c r="PX71" i="1"/>
  <c r="PS71" i="1"/>
  <c r="PN71" i="1"/>
  <c r="PI71" i="1"/>
  <c r="PD71" i="1"/>
  <c r="OY71" i="1"/>
  <c r="OT71" i="1"/>
  <c r="OO71" i="1"/>
  <c r="OJ71" i="1"/>
  <c r="OE71" i="1"/>
  <c r="NZ71" i="1"/>
  <c r="NU71" i="1"/>
  <c r="NP71" i="1"/>
  <c r="NK71" i="1"/>
  <c r="NF71" i="1"/>
  <c r="NA71" i="1"/>
  <c r="MV71" i="1"/>
  <c r="MQ71" i="1"/>
  <c r="ML71" i="1"/>
  <c r="MG71" i="1"/>
  <c r="MB71" i="1"/>
  <c r="LW71" i="1"/>
  <c r="LR71" i="1"/>
  <c r="LM71" i="1"/>
  <c r="LH71" i="1"/>
  <c r="LC71" i="1"/>
  <c r="KX71" i="1"/>
  <c r="KS71" i="1"/>
  <c r="KN71" i="1"/>
  <c r="KI71" i="1"/>
  <c r="KD71" i="1"/>
  <c r="JY71" i="1"/>
  <c r="JT71" i="1"/>
  <c r="JO71" i="1"/>
  <c r="JJ71" i="1"/>
  <c r="JE71" i="1"/>
  <c r="IZ71" i="1"/>
  <c r="IU71" i="1"/>
  <c r="IP71" i="1"/>
  <c r="IK71" i="1"/>
  <c r="IF71" i="1"/>
  <c r="IA71" i="1"/>
  <c r="HV71" i="1"/>
  <c r="HQ71" i="1"/>
  <c r="HL71" i="1"/>
  <c r="HG71" i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H71" i="1"/>
  <c r="EI71" i="1" s="1"/>
  <c r="EJ71" i="1" s="1"/>
  <c r="EC71" i="1"/>
  <c r="ED71" i="1" s="1"/>
  <c r="EE71" i="1" s="1"/>
  <c r="DX71" i="1"/>
  <c r="DY71" i="1" s="1"/>
  <c r="DZ71" i="1" s="1"/>
  <c r="DS71" i="1"/>
  <c r="DT71" i="1" s="1"/>
  <c r="DU71" i="1" s="1"/>
  <c r="DN71" i="1"/>
  <c r="DO71" i="1" s="1"/>
  <c r="DP71" i="1" s="1"/>
  <c r="DI71" i="1"/>
  <c r="DJ71" i="1" s="1"/>
  <c r="DK71" i="1" s="1"/>
  <c r="DD71" i="1"/>
  <c r="DE71" i="1" s="1"/>
  <c r="DF71" i="1" s="1"/>
  <c r="CY71" i="1"/>
  <c r="CZ71" i="1" s="1"/>
  <c r="DA71" i="1" s="1"/>
  <c r="CT71" i="1"/>
  <c r="CU71" i="1" s="1"/>
  <c r="CV71" i="1" s="1"/>
  <c r="CO71" i="1"/>
  <c r="CP71" i="1" s="1"/>
  <c r="CQ71" i="1" s="1"/>
  <c r="CJ71" i="1"/>
  <c r="CK71" i="1" s="1"/>
  <c r="CL71" i="1" s="1"/>
  <c r="CE71" i="1"/>
  <c r="CF71" i="1" s="1"/>
  <c r="CG71" i="1" s="1"/>
  <c r="BZ71" i="1"/>
  <c r="CA71" i="1" s="1"/>
  <c r="CB71" i="1" s="1"/>
  <c r="BU71" i="1"/>
  <c r="BV71" i="1" s="1"/>
  <c r="BW71" i="1" s="1"/>
  <c r="BP71" i="1"/>
  <c r="BQ71" i="1" s="1"/>
  <c r="BR71" i="1" s="1"/>
  <c r="BK71" i="1"/>
  <c r="BL71" i="1" s="1"/>
  <c r="BM71" i="1" s="1"/>
  <c r="BF71" i="1"/>
  <c r="BG71" i="1" s="1"/>
  <c r="BH71" i="1" s="1"/>
  <c r="BA71" i="1"/>
  <c r="BB71" i="1" s="1"/>
  <c r="BC71" i="1" s="1"/>
  <c r="AV71" i="1"/>
  <c r="AW71" i="1" s="1"/>
  <c r="AX71" i="1" s="1"/>
  <c r="AQ71" i="1"/>
  <c r="AR71" i="1" s="1"/>
  <c r="AS71" i="1" s="1"/>
  <c r="AL71" i="1"/>
  <c r="AM71" i="1" s="1"/>
  <c r="AN71" i="1" s="1"/>
  <c r="AG71" i="1"/>
  <c r="AH71" i="1" s="1"/>
  <c r="AI71" i="1" s="1"/>
  <c r="AD71" i="1"/>
  <c r="W71" i="1"/>
  <c r="X71" i="1" s="1"/>
  <c r="Y71" i="1" s="1"/>
  <c r="T71" i="1"/>
  <c r="O71" i="1"/>
  <c r="H71" i="1"/>
  <c r="I71" i="1" s="1"/>
  <c r="J71" i="1" s="1"/>
  <c r="PX70" i="1"/>
  <c r="PS70" i="1"/>
  <c r="PN70" i="1"/>
  <c r="PI70" i="1"/>
  <c r="PD70" i="1"/>
  <c r="OY70" i="1"/>
  <c r="OT70" i="1"/>
  <c r="OO70" i="1"/>
  <c r="OJ70" i="1"/>
  <c r="OE70" i="1"/>
  <c r="NZ70" i="1"/>
  <c r="NU70" i="1"/>
  <c r="NP70" i="1"/>
  <c r="NK70" i="1"/>
  <c r="NF70" i="1"/>
  <c r="NA70" i="1"/>
  <c r="MV70" i="1"/>
  <c r="MQ70" i="1"/>
  <c r="ML70" i="1"/>
  <c r="MG70" i="1"/>
  <c r="MB70" i="1"/>
  <c r="LW70" i="1"/>
  <c r="LR70" i="1"/>
  <c r="LM70" i="1"/>
  <c r="LH70" i="1"/>
  <c r="LC70" i="1"/>
  <c r="KX70" i="1"/>
  <c r="KS70" i="1"/>
  <c r="KN70" i="1"/>
  <c r="KI70" i="1"/>
  <c r="KD70" i="1"/>
  <c r="JY70" i="1"/>
  <c r="JT70" i="1"/>
  <c r="JO70" i="1"/>
  <c r="JJ70" i="1"/>
  <c r="JE70" i="1"/>
  <c r="IZ70" i="1"/>
  <c r="IU70" i="1"/>
  <c r="IP70" i="1"/>
  <c r="IK70" i="1"/>
  <c r="IF70" i="1"/>
  <c r="IA70" i="1"/>
  <c r="HV70" i="1"/>
  <c r="HQ70" i="1"/>
  <c r="HL70" i="1"/>
  <c r="HG70" i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H70" i="1"/>
  <c r="EI70" i="1" s="1"/>
  <c r="EJ70" i="1" s="1"/>
  <c r="EC70" i="1"/>
  <c r="ED70" i="1" s="1"/>
  <c r="EE70" i="1" s="1"/>
  <c r="DX70" i="1"/>
  <c r="DY70" i="1" s="1"/>
  <c r="DZ70" i="1" s="1"/>
  <c r="DS70" i="1"/>
  <c r="DT70" i="1" s="1"/>
  <c r="DU70" i="1" s="1"/>
  <c r="DN70" i="1"/>
  <c r="DO70" i="1" s="1"/>
  <c r="DP70" i="1" s="1"/>
  <c r="DI70" i="1"/>
  <c r="DJ70" i="1" s="1"/>
  <c r="DK70" i="1" s="1"/>
  <c r="DD70" i="1"/>
  <c r="DE70" i="1" s="1"/>
  <c r="DF70" i="1" s="1"/>
  <c r="CY70" i="1"/>
  <c r="CZ70" i="1" s="1"/>
  <c r="DA70" i="1" s="1"/>
  <c r="CT70" i="1"/>
  <c r="CU70" i="1" s="1"/>
  <c r="CV70" i="1" s="1"/>
  <c r="CO70" i="1"/>
  <c r="CP70" i="1" s="1"/>
  <c r="CQ70" i="1" s="1"/>
  <c r="CJ70" i="1"/>
  <c r="CK70" i="1" s="1"/>
  <c r="CL70" i="1" s="1"/>
  <c r="CE70" i="1"/>
  <c r="CF70" i="1" s="1"/>
  <c r="CG70" i="1" s="1"/>
  <c r="BZ70" i="1"/>
  <c r="CA70" i="1" s="1"/>
  <c r="CB70" i="1" s="1"/>
  <c r="BU70" i="1"/>
  <c r="BV70" i="1" s="1"/>
  <c r="BW70" i="1" s="1"/>
  <c r="BP70" i="1"/>
  <c r="BQ70" i="1" s="1"/>
  <c r="BR70" i="1" s="1"/>
  <c r="BK70" i="1"/>
  <c r="BL70" i="1" s="1"/>
  <c r="BM70" i="1" s="1"/>
  <c r="BF70" i="1"/>
  <c r="BG70" i="1" s="1"/>
  <c r="BH70" i="1" s="1"/>
  <c r="BA70" i="1"/>
  <c r="BB70" i="1" s="1"/>
  <c r="BC70" i="1" s="1"/>
  <c r="AV70" i="1"/>
  <c r="AW70" i="1" s="1"/>
  <c r="AX70" i="1" s="1"/>
  <c r="AQ70" i="1"/>
  <c r="AR70" i="1" s="1"/>
  <c r="AS70" i="1" s="1"/>
  <c r="AL70" i="1"/>
  <c r="AM70" i="1" s="1"/>
  <c r="AN70" i="1" s="1"/>
  <c r="AG70" i="1"/>
  <c r="AH70" i="1" s="1"/>
  <c r="AI70" i="1" s="1"/>
  <c r="AD70" i="1"/>
  <c r="W70" i="1"/>
  <c r="X70" i="1" s="1"/>
  <c r="Y70" i="1" s="1"/>
  <c r="T70" i="1"/>
  <c r="O70" i="1"/>
  <c r="H70" i="1"/>
  <c r="I70" i="1" s="1"/>
  <c r="J70" i="1" s="1"/>
  <c r="PX69" i="1"/>
  <c r="PS69" i="1"/>
  <c r="PN69" i="1"/>
  <c r="PI69" i="1"/>
  <c r="PD69" i="1"/>
  <c r="OY69" i="1"/>
  <c r="OT69" i="1"/>
  <c r="OO69" i="1"/>
  <c r="OJ69" i="1"/>
  <c r="OE69" i="1"/>
  <c r="NZ69" i="1"/>
  <c r="NU69" i="1"/>
  <c r="NP69" i="1"/>
  <c r="NK69" i="1"/>
  <c r="NF69" i="1"/>
  <c r="NA69" i="1"/>
  <c r="MV69" i="1"/>
  <c r="MQ69" i="1"/>
  <c r="ML69" i="1"/>
  <c r="MG69" i="1"/>
  <c r="MB69" i="1"/>
  <c r="LW69" i="1"/>
  <c r="LR69" i="1"/>
  <c r="LM69" i="1"/>
  <c r="LH69" i="1"/>
  <c r="LC69" i="1"/>
  <c r="KX69" i="1"/>
  <c r="KS69" i="1"/>
  <c r="KN69" i="1"/>
  <c r="KI69" i="1"/>
  <c r="KD69" i="1"/>
  <c r="JY69" i="1"/>
  <c r="JT69" i="1"/>
  <c r="JO69" i="1"/>
  <c r="JJ69" i="1"/>
  <c r="JE69" i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T69" i="1"/>
  <c r="HU69" i="1" s="1"/>
  <c r="HV69" i="1" s="1"/>
  <c r="HQ69" i="1"/>
  <c r="HL69" i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H69" i="1"/>
  <c r="EI69" i="1" s="1"/>
  <c r="EJ69" i="1" s="1"/>
  <c r="EC69" i="1"/>
  <c r="ED69" i="1" s="1"/>
  <c r="EE69" i="1" s="1"/>
  <c r="DX69" i="1"/>
  <c r="DY69" i="1" s="1"/>
  <c r="DZ69" i="1" s="1"/>
  <c r="DS69" i="1"/>
  <c r="DT69" i="1" s="1"/>
  <c r="DU69" i="1" s="1"/>
  <c r="DN69" i="1"/>
  <c r="DO69" i="1" s="1"/>
  <c r="DP69" i="1" s="1"/>
  <c r="DI69" i="1"/>
  <c r="DJ69" i="1" s="1"/>
  <c r="DK69" i="1" s="1"/>
  <c r="DD69" i="1"/>
  <c r="DE69" i="1" s="1"/>
  <c r="DF69" i="1" s="1"/>
  <c r="CY69" i="1"/>
  <c r="CZ69" i="1" s="1"/>
  <c r="DA69" i="1" s="1"/>
  <c r="CT69" i="1"/>
  <c r="CU69" i="1" s="1"/>
  <c r="CV69" i="1" s="1"/>
  <c r="CO69" i="1"/>
  <c r="CP69" i="1" s="1"/>
  <c r="CQ69" i="1" s="1"/>
  <c r="CJ69" i="1"/>
  <c r="CK69" i="1" s="1"/>
  <c r="CL69" i="1" s="1"/>
  <c r="CE69" i="1"/>
  <c r="CF69" i="1" s="1"/>
  <c r="CG69" i="1" s="1"/>
  <c r="BZ69" i="1"/>
  <c r="CA69" i="1" s="1"/>
  <c r="CB69" i="1" s="1"/>
  <c r="BU69" i="1"/>
  <c r="BV69" i="1" s="1"/>
  <c r="BW69" i="1" s="1"/>
  <c r="BP69" i="1"/>
  <c r="BQ69" i="1" s="1"/>
  <c r="BR69" i="1" s="1"/>
  <c r="BK69" i="1"/>
  <c r="BL69" i="1" s="1"/>
  <c r="BM69" i="1" s="1"/>
  <c r="BF69" i="1"/>
  <c r="BG69" i="1" s="1"/>
  <c r="BH69" i="1" s="1"/>
  <c r="BA69" i="1"/>
  <c r="BB69" i="1" s="1"/>
  <c r="BC69" i="1" s="1"/>
  <c r="AV69" i="1"/>
  <c r="AW69" i="1" s="1"/>
  <c r="AX69" i="1" s="1"/>
  <c r="AQ69" i="1"/>
  <c r="AR69" i="1" s="1"/>
  <c r="AS69" i="1" s="1"/>
  <c r="AL69" i="1"/>
  <c r="AM69" i="1" s="1"/>
  <c r="AN69" i="1" s="1"/>
  <c r="AG69" i="1"/>
  <c r="AH69" i="1" s="1"/>
  <c r="AI69" i="1" s="1"/>
  <c r="AB69" i="1"/>
  <c r="AC69" i="1" s="1"/>
  <c r="AD69" i="1" s="1"/>
  <c r="W69" i="1"/>
  <c r="X69" i="1" s="1"/>
  <c r="Y69" i="1" s="1"/>
  <c r="T69" i="1"/>
  <c r="O69" i="1"/>
  <c r="J69" i="1"/>
  <c r="PX68" i="1"/>
  <c r="PS68" i="1"/>
  <c r="PN68" i="1"/>
  <c r="PI68" i="1"/>
  <c r="PD68" i="1"/>
  <c r="OY68" i="1"/>
  <c r="OT68" i="1"/>
  <c r="OO68" i="1"/>
  <c r="OJ68" i="1"/>
  <c r="OE68" i="1"/>
  <c r="NZ68" i="1"/>
  <c r="NU68" i="1"/>
  <c r="NP68" i="1"/>
  <c r="NK68" i="1"/>
  <c r="NF68" i="1"/>
  <c r="NA68" i="1"/>
  <c r="MV68" i="1"/>
  <c r="MQ68" i="1"/>
  <c r="ML68" i="1"/>
  <c r="MG68" i="1"/>
  <c r="MB68" i="1"/>
  <c r="LW68" i="1"/>
  <c r="LR68" i="1"/>
  <c r="LM68" i="1"/>
  <c r="LH68" i="1"/>
  <c r="LC68" i="1"/>
  <c r="KX68" i="1"/>
  <c r="KS68" i="1"/>
  <c r="KN68" i="1"/>
  <c r="KI68" i="1"/>
  <c r="KD68" i="1"/>
  <c r="JY68" i="1"/>
  <c r="JT68" i="1"/>
  <c r="JO68" i="1"/>
  <c r="JJ68" i="1"/>
  <c r="JE68" i="1"/>
  <c r="IZ68" i="1"/>
  <c r="IU68" i="1"/>
  <c r="IP68" i="1"/>
  <c r="IK68" i="1"/>
  <c r="IF68" i="1"/>
  <c r="IA68" i="1"/>
  <c r="HV68" i="1"/>
  <c r="HQ68" i="1"/>
  <c r="HL68" i="1"/>
  <c r="HG68" i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H68" i="1"/>
  <c r="EI68" i="1" s="1"/>
  <c r="EJ68" i="1" s="1"/>
  <c r="EC68" i="1"/>
  <c r="ED68" i="1" s="1"/>
  <c r="EE68" i="1" s="1"/>
  <c r="DX68" i="1"/>
  <c r="DY68" i="1" s="1"/>
  <c r="DZ68" i="1" s="1"/>
  <c r="DS68" i="1"/>
  <c r="DT68" i="1" s="1"/>
  <c r="DU68" i="1" s="1"/>
  <c r="DN68" i="1"/>
  <c r="DO68" i="1" s="1"/>
  <c r="DP68" i="1" s="1"/>
  <c r="DI68" i="1"/>
  <c r="DJ68" i="1" s="1"/>
  <c r="DK68" i="1" s="1"/>
  <c r="DD68" i="1"/>
  <c r="DE68" i="1" s="1"/>
  <c r="DF68" i="1" s="1"/>
  <c r="CY68" i="1"/>
  <c r="CZ68" i="1" s="1"/>
  <c r="DA68" i="1" s="1"/>
  <c r="CT68" i="1"/>
  <c r="CU68" i="1" s="1"/>
  <c r="CV68" i="1" s="1"/>
  <c r="CO68" i="1"/>
  <c r="CP68" i="1" s="1"/>
  <c r="CQ68" i="1" s="1"/>
  <c r="CJ68" i="1"/>
  <c r="CK68" i="1" s="1"/>
  <c r="CL68" i="1" s="1"/>
  <c r="CE68" i="1"/>
  <c r="CF68" i="1" s="1"/>
  <c r="CG68" i="1" s="1"/>
  <c r="BZ68" i="1"/>
  <c r="CA68" i="1" s="1"/>
  <c r="CB68" i="1" s="1"/>
  <c r="BU68" i="1"/>
  <c r="BV68" i="1" s="1"/>
  <c r="BW68" i="1" s="1"/>
  <c r="BP68" i="1"/>
  <c r="BQ68" i="1" s="1"/>
  <c r="BR68" i="1" s="1"/>
  <c r="BK68" i="1"/>
  <c r="BL68" i="1" s="1"/>
  <c r="BM68" i="1" s="1"/>
  <c r="BF68" i="1"/>
  <c r="BG68" i="1" s="1"/>
  <c r="BH68" i="1" s="1"/>
  <c r="BA68" i="1"/>
  <c r="BB68" i="1" s="1"/>
  <c r="BC68" i="1" s="1"/>
  <c r="AV68" i="1"/>
  <c r="AW68" i="1" s="1"/>
  <c r="AX68" i="1" s="1"/>
  <c r="AQ68" i="1"/>
  <c r="AR68" i="1" s="1"/>
  <c r="AS68" i="1" s="1"/>
  <c r="AL68" i="1"/>
  <c r="AM68" i="1" s="1"/>
  <c r="AN68" i="1" s="1"/>
  <c r="AG68" i="1"/>
  <c r="AH68" i="1" s="1"/>
  <c r="AI68" i="1" s="1"/>
  <c r="AD68" i="1"/>
  <c r="W68" i="1"/>
  <c r="X68" i="1" s="1"/>
  <c r="Y68" i="1" s="1"/>
  <c r="T68" i="1"/>
  <c r="O68" i="1"/>
  <c r="H68" i="1"/>
  <c r="I68" i="1" s="1"/>
  <c r="J68" i="1" s="1"/>
  <c r="PX67" i="1"/>
  <c r="PS67" i="1"/>
  <c r="PN67" i="1"/>
  <c r="PI67" i="1"/>
  <c r="PD67" i="1"/>
  <c r="OY67" i="1"/>
  <c r="OT67" i="1"/>
  <c r="OO67" i="1"/>
  <c r="OJ67" i="1"/>
  <c r="OE67" i="1"/>
  <c r="NZ67" i="1"/>
  <c r="NU67" i="1"/>
  <c r="NP67" i="1"/>
  <c r="NK67" i="1"/>
  <c r="NF67" i="1"/>
  <c r="NA67" i="1"/>
  <c r="MV67" i="1"/>
  <c r="MQ67" i="1"/>
  <c r="ML67" i="1"/>
  <c r="MG67" i="1"/>
  <c r="MB67" i="1"/>
  <c r="LW67" i="1"/>
  <c r="LR67" i="1"/>
  <c r="LM67" i="1"/>
  <c r="LH67" i="1"/>
  <c r="LC67" i="1"/>
  <c r="KX67" i="1"/>
  <c r="KS67" i="1"/>
  <c r="KN67" i="1"/>
  <c r="KI67" i="1"/>
  <c r="KD67" i="1"/>
  <c r="JY67" i="1"/>
  <c r="JT67" i="1"/>
  <c r="JO67" i="1"/>
  <c r="JJ67" i="1"/>
  <c r="JE67" i="1"/>
  <c r="IZ67" i="1"/>
  <c r="IU67" i="1"/>
  <c r="IP67" i="1"/>
  <c r="IK67" i="1"/>
  <c r="IF67" i="1"/>
  <c r="IA67" i="1"/>
  <c r="HV67" i="1"/>
  <c r="HQ67" i="1"/>
  <c r="HL67" i="1"/>
  <c r="HG67" i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H67" i="1"/>
  <c r="EI67" i="1" s="1"/>
  <c r="EJ67" i="1" s="1"/>
  <c r="EC67" i="1"/>
  <c r="ED67" i="1" s="1"/>
  <c r="EE67" i="1" s="1"/>
  <c r="DX67" i="1"/>
  <c r="DY67" i="1" s="1"/>
  <c r="DZ67" i="1" s="1"/>
  <c r="DS67" i="1"/>
  <c r="DT67" i="1" s="1"/>
  <c r="DU67" i="1" s="1"/>
  <c r="DN67" i="1"/>
  <c r="DO67" i="1" s="1"/>
  <c r="DP67" i="1" s="1"/>
  <c r="DI67" i="1"/>
  <c r="DJ67" i="1" s="1"/>
  <c r="DK67" i="1" s="1"/>
  <c r="DD67" i="1"/>
  <c r="DE67" i="1" s="1"/>
  <c r="DF67" i="1" s="1"/>
  <c r="CY67" i="1"/>
  <c r="CZ67" i="1" s="1"/>
  <c r="DA67" i="1" s="1"/>
  <c r="CT67" i="1"/>
  <c r="CU67" i="1" s="1"/>
  <c r="CV67" i="1" s="1"/>
  <c r="CO67" i="1"/>
  <c r="CP67" i="1" s="1"/>
  <c r="CQ67" i="1" s="1"/>
  <c r="CJ67" i="1"/>
  <c r="CK67" i="1" s="1"/>
  <c r="CL67" i="1" s="1"/>
  <c r="CE67" i="1"/>
  <c r="CF67" i="1" s="1"/>
  <c r="CG67" i="1" s="1"/>
  <c r="BZ67" i="1"/>
  <c r="CA67" i="1" s="1"/>
  <c r="CB67" i="1" s="1"/>
  <c r="BU67" i="1"/>
  <c r="BV67" i="1" s="1"/>
  <c r="BW67" i="1" s="1"/>
  <c r="BP67" i="1"/>
  <c r="BQ67" i="1" s="1"/>
  <c r="BR67" i="1" s="1"/>
  <c r="BK67" i="1"/>
  <c r="BL67" i="1" s="1"/>
  <c r="BM67" i="1" s="1"/>
  <c r="BF67" i="1"/>
  <c r="BG67" i="1" s="1"/>
  <c r="BH67" i="1" s="1"/>
  <c r="BA67" i="1"/>
  <c r="BB67" i="1" s="1"/>
  <c r="BC67" i="1" s="1"/>
  <c r="AV67" i="1"/>
  <c r="AW67" i="1" s="1"/>
  <c r="AX67" i="1" s="1"/>
  <c r="AQ67" i="1"/>
  <c r="AR67" i="1" s="1"/>
  <c r="AS67" i="1" s="1"/>
  <c r="AL67" i="1"/>
  <c r="AM67" i="1" s="1"/>
  <c r="AN67" i="1" s="1"/>
  <c r="AG67" i="1"/>
  <c r="AH67" i="1" s="1"/>
  <c r="AI67" i="1" s="1"/>
  <c r="AD67" i="1"/>
  <c r="W67" i="1"/>
  <c r="X67" i="1" s="1"/>
  <c r="Y67" i="1" s="1"/>
  <c r="T67" i="1"/>
  <c r="O67" i="1"/>
  <c r="H67" i="1"/>
  <c r="I67" i="1" s="1"/>
  <c r="J67" i="1" s="1"/>
  <c r="PX66" i="1"/>
  <c r="PS66" i="1"/>
  <c r="PN66" i="1"/>
  <c r="PI66" i="1"/>
  <c r="PD66" i="1"/>
  <c r="OY66" i="1"/>
  <c r="OT66" i="1"/>
  <c r="OO66" i="1"/>
  <c r="OJ66" i="1"/>
  <c r="OE66" i="1"/>
  <c r="NZ66" i="1"/>
  <c r="NU66" i="1"/>
  <c r="NP66" i="1"/>
  <c r="NK66" i="1"/>
  <c r="NF66" i="1"/>
  <c r="NA66" i="1"/>
  <c r="MV66" i="1"/>
  <c r="MQ66" i="1"/>
  <c r="ML66" i="1"/>
  <c r="MG66" i="1"/>
  <c r="MB66" i="1"/>
  <c r="LW66" i="1"/>
  <c r="LR66" i="1"/>
  <c r="LM66" i="1"/>
  <c r="LH66" i="1"/>
  <c r="LC66" i="1"/>
  <c r="KV66" i="1"/>
  <c r="KW66" i="1" s="1"/>
  <c r="KX66" i="1" s="1"/>
  <c r="KS66" i="1"/>
  <c r="KN66" i="1"/>
  <c r="KI66" i="1"/>
  <c r="KD66" i="1"/>
  <c r="JY66" i="1"/>
  <c r="JT66" i="1"/>
  <c r="JO66" i="1"/>
  <c r="JJ66" i="1"/>
  <c r="JE66" i="1"/>
  <c r="IZ66" i="1"/>
  <c r="IU66" i="1"/>
  <c r="IP66" i="1"/>
  <c r="IK66" i="1"/>
  <c r="IF66" i="1"/>
  <c r="IA66" i="1"/>
  <c r="HV66" i="1"/>
  <c r="HQ66" i="1"/>
  <c r="HL66" i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H66" i="1"/>
  <c r="EI66" i="1" s="1"/>
  <c r="EJ66" i="1" s="1"/>
  <c r="EC66" i="1"/>
  <c r="ED66" i="1" s="1"/>
  <c r="EE66" i="1" s="1"/>
  <c r="DX66" i="1"/>
  <c r="DY66" i="1" s="1"/>
  <c r="DZ66" i="1" s="1"/>
  <c r="DS66" i="1"/>
  <c r="DT66" i="1" s="1"/>
  <c r="DU66" i="1" s="1"/>
  <c r="DN66" i="1"/>
  <c r="DO66" i="1" s="1"/>
  <c r="DP66" i="1" s="1"/>
  <c r="DI66" i="1"/>
  <c r="DJ66" i="1" s="1"/>
  <c r="DK66" i="1" s="1"/>
  <c r="DD66" i="1"/>
  <c r="DE66" i="1" s="1"/>
  <c r="DF66" i="1" s="1"/>
  <c r="CY66" i="1"/>
  <c r="CZ66" i="1" s="1"/>
  <c r="DA66" i="1" s="1"/>
  <c r="CT66" i="1"/>
  <c r="CU66" i="1" s="1"/>
  <c r="CV66" i="1" s="1"/>
  <c r="CO66" i="1"/>
  <c r="CP66" i="1" s="1"/>
  <c r="CQ66" i="1" s="1"/>
  <c r="CJ66" i="1"/>
  <c r="CK66" i="1" s="1"/>
  <c r="CL66" i="1" s="1"/>
  <c r="CE66" i="1"/>
  <c r="CF66" i="1" s="1"/>
  <c r="CG66" i="1" s="1"/>
  <c r="BZ66" i="1"/>
  <c r="CA66" i="1" s="1"/>
  <c r="CB66" i="1" s="1"/>
  <c r="BU66" i="1"/>
  <c r="BV66" i="1" s="1"/>
  <c r="BW66" i="1" s="1"/>
  <c r="BP66" i="1"/>
  <c r="BQ66" i="1" s="1"/>
  <c r="BR66" i="1" s="1"/>
  <c r="BK66" i="1"/>
  <c r="BL66" i="1" s="1"/>
  <c r="BM66" i="1" s="1"/>
  <c r="BF66" i="1"/>
  <c r="BG66" i="1" s="1"/>
  <c r="BH66" i="1" s="1"/>
  <c r="BA66" i="1"/>
  <c r="BB66" i="1" s="1"/>
  <c r="BC66" i="1" s="1"/>
  <c r="AV66" i="1"/>
  <c r="AW66" i="1" s="1"/>
  <c r="AX66" i="1" s="1"/>
  <c r="AQ66" i="1"/>
  <c r="AR66" i="1" s="1"/>
  <c r="AS66" i="1" s="1"/>
  <c r="AL66" i="1"/>
  <c r="AM66" i="1" s="1"/>
  <c r="AN66" i="1" s="1"/>
  <c r="AG66" i="1"/>
  <c r="AH66" i="1" s="1"/>
  <c r="AI66" i="1" s="1"/>
  <c r="AB66" i="1"/>
  <c r="AC66" i="1" s="1"/>
  <c r="AD66" i="1" s="1"/>
  <c r="W66" i="1"/>
  <c r="X66" i="1" s="1"/>
  <c r="Y66" i="1" s="1"/>
  <c r="R66" i="1"/>
  <c r="S66" i="1" s="1"/>
  <c r="T66" i="1" s="1"/>
  <c r="O66" i="1"/>
  <c r="J66" i="1"/>
  <c r="PX65" i="1"/>
  <c r="PS65" i="1"/>
  <c r="PN65" i="1"/>
  <c r="PI65" i="1"/>
  <c r="PD65" i="1"/>
  <c r="OY65" i="1"/>
  <c r="OT65" i="1"/>
  <c r="OO65" i="1"/>
  <c r="OJ65" i="1"/>
  <c r="OE65" i="1"/>
  <c r="NZ65" i="1"/>
  <c r="NU65" i="1"/>
  <c r="NP65" i="1"/>
  <c r="NK65" i="1"/>
  <c r="NF65" i="1"/>
  <c r="NA65" i="1"/>
  <c r="MT65" i="1"/>
  <c r="MU65" i="1" s="1"/>
  <c r="MV65" i="1" s="1"/>
  <c r="MO65" i="1"/>
  <c r="MP65" i="1" s="1"/>
  <c r="MQ65" i="1" s="1"/>
  <c r="ML65" i="1"/>
  <c r="MG65" i="1"/>
  <c r="MB65" i="1"/>
  <c r="LW65" i="1"/>
  <c r="LR65" i="1"/>
  <c r="LM65" i="1"/>
  <c r="LF65" i="1"/>
  <c r="LG65" i="1" s="1"/>
  <c r="LH65" i="1" s="1"/>
  <c r="LA65" i="1"/>
  <c r="LB65" i="1" s="1"/>
  <c r="LC65" i="1" s="1"/>
  <c r="KX65" i="1"/>
  <c r="KQ65" i="1"/>
  <c r="KR65" i="1" s="1"/>
  <c r="KS65" i="1" s="1"/>
  <c r="KN65" i="1"/>
  <c r="KI65" i="1"/>
  <c r="KD65" i="1"/>
  <c r="JY65" i="1"/>
  <c r="JT65" i="1"/>
  <c r="JO65" i="1"/>
  <c r="JJ65" i="1"/>
  <c r="JE65" i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H65" i="1"/>
  <c r="EI65" i="1" s="1"/>
  <c r="EJ65" i="1" s="1"/>
  <c r="EC65" i="1"/>
  <c r="ED65" i="1" s="1"/>
  <c r="EE65" i="1" s="1"/>
  <c r="DX65" i="1"/>
  <c r="DY65" i="1" s="1"/>
  <c r="DZ65" i="1" s="1"/>
  <c r="DS65" i="1"/>
  <c r="DT65" i="1" s="1"/>
  <c r="DU65" i="1" s="1"/>
  <c r="DN65" i="1"/>
  <c r="DO65" i="1" s="1"/>
  <c r="DP65" i="1" s="1"/>
  <c r="DI65" i="1"/>
  <c r="DJ65" i="1" s="1"/>
  <c r="DK65" i="1" s="1"/>
  <c r="DD65" i="1"/>
  <c r="DE65" i="1" s="1"/>
  <c r="DF65" i="1" s="1"/>
  <c r="CY65" i="1"/>
  <c r="CZ65" i="1" s="1"/>
  <c r="DA65" i="1" s="1"/>
  <c r="CT65" i="1"/>
  <c r="CU65" i="1" s="1"/>
  <c r="CV65" i="1" s="1"/>
  <c r="CO65" i="1"/>
  <c r="CP65" i="1" s="1"/>
  <c r="CQ65" i="1" s="1"/>
  <c r="CJ65" i="1"/>
  <c r="CK65" i="1" s="1"/>
  <c r="CL65" i="1" s="1"/>
  <c r="CE65" i="1"/>
  <c r="CF65" i="1" s="1"/>
  <c r="CG65" i="1" s="1"/>
  <c r="BZ65" i="1"/>
  <c r="CA65" i="1" s="1"/>
  <c r="CB65" i="1" s="1"/>
  <c r="BU65" i="1"/>
  <c r="BV65" i="1" s="1"/>
  <c r="BW65" i="1" s="1"/>
  <c r="BP65" i="1"/>
  <c r="BQ65" i="1" s="1"/>
  <c r="BR65" i="1" s="1"/>
  <c r="BK65" i="1"/>
  <c r="BL65" i="1" s="1"/>
  <c r="BM65" i="1" s="1"/>
  <c r="BF65" i="1"/>
  <c r="BG65" i="1" s="1"/>
  <c r="BH65" i="1" s="1"/>
  <c r="BA65" i="1"/>
  <c r="BB65" i="1" s="1"/>
  <c r="BC65" i="1" s="1"/>
  <c r="AV65" i="1"/>
  <c r="AW65" i="1" s="1"/>
  <c r="AX65" i="1" s="1"/>
  <c r="AQ65" i="1"/>
  <c r="AR65" i="1" s="1"/>
  <c r="AS65" i="1" s="1"/>
  <c r="AL65" i="1"/>
  <c r="AM65" i="1" s="1"/>
  <c r="AN65" i="1" s="1"/>
  <c r="AG65" i="1"/>
  <c r="AH65" i="1" s="1"/>
  <c r="AI65" i="1" s="1"/>
  <c r="AB65" i="1"/>
  <c r="AC65" i="1" s="1"/>
  <c r="AD65" i="1" s="1"/>
  <c r="W65" i="1"/>
  <c r="X65" i="1" s="1"/>
  <c r="Y65" i="1" s="1"/>
  <c r="R65" i="1"/>
  <c r="S65" i="1" s="1"/>
  <c r="T65" i="1" s="1"/>
  <c r="O65" i="1"/>
  <c r="J65" i="1"/>
  <c r="PX64" i="1"/>
  <c r="PS64" i="1"/>
  <c r="PN64" i="1"/>
  <c r="PI64" i="1"/>
  <c r="PD64" i="1"/>
  <c r="OY64" i="1"/>
  <c r="OT64" i="1"/>
  <c r="OO64" i="1"/>
  <c r="OJ64" i="1"/>
  <c r="OE64" i="1"/>
  <c r="NZ64" i="1"/>
  <c r="NU64" i="1"/>
  <c r="NP64" i="1"/>
  <c r="NK64" i="1"/>
  <c r="NF64" i="1"/>
  <c r="NA64" i="1"/>
  <c r="MV64" i="1"/>
  <c r="MQ64" i="1"/>
  <c r="ML64" i="1"/>
  <c r="MG64" i="1"/>
  <c r="MB64" i="1"/>
  <c r="LW64" i="1"/>
  <c r="LR64" i="1"/>
  <c r="LM64" i="1"/>
  <c r="LH64" i="1"/>
  <c r="LC64" i="1"/>
  <c r="KV64" i="1"/>
  <c r="KW64" i="1" s="1"/>
  <c r="KX64" i="1" s="1"/>
  <c r="KS64" i="1"/>
  <c r="KN64" i="1"/>
  <c r="KG64" i="1"/>
  <c r="KH64" i="1" s="1"/>
  <c r="KI64" i="1" s="1"/>
  <c r="KD64" i="1"/>
  <c r="JY64" i="1"/>
  <c r="JT64" i="1"/>
  <c r="JO64" i="1"/>
  <c r="JJ64" i="1"/>
  <c r="JE64" i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H64" i="1"/>
  <c r="EI64" i="1" s="1"/>
  <c r="EJ64" i="1" s="1"/>
  <c r="EC64" i="1"/>
  <c r="ED64" i="1" s="1"/>
  <c r="EE64" i="1" s="1"/>
  <c r="DX64" i="1"/>
  <c r="DY64" i="1" s="1"/>
  <c r="DZ64" i="1" s="1"/>
  <c r="DS64" i="1"/>
  <c r="DT64" i="1" s="1"/>
  <c r="DU64" i="1" s="1"/>
  <c r="DN64" i="1"/>
  <c r="DO64" i="1" s="1"/>
  <c r="DP64" i="1" s="1"/>
  <c r="DI64" i="1"/>
  <c r="DJ64" i="1" s="1"/>
  <c r="DK64" i="1" s="1"/>
  <c r="DD64" i="1"/>
  <c r="DE64" i="1" s="1"/>
  <c r="DF64" i="1" s="1"/>
  <c r="CY64" i="1"/>
  <c r="CZ64" i="1" s="1"/>
  <c r="DA64" i="1" s="1"/>
  <c r="CT64" i="1"/>
  <c r="CU64" i="1" s="1"/>
  <c r="CV64" i="1" s="1"/>
  <c r="CO64" i="1"/>
  <c r="CP64" i="1" s="1"/>
  <c r="CQ64" i="1" s="1"/>
  <c r="CJ64" i="1"/>
  <c r="CK64" i="1" s="1"/>
  <c r="CL64" i="1" s="1"/>
  <c r="CE64" i="1"/>
  <c r="CF64" i="1" s="1"/>
  <c r="CG64" i="1" s="1"/>
  <c r="BZ64" i="1"/>
  <c r="CA64" i="1" s="1"/>
  <c r="CB64" i="1" s="1"/>
  <c r="BU64" i="1"/>
  <c r="BV64" i="1" s="1"/>
  <c r="BW64" i="1" s="1"/>
  <c r="BP64" i="1"/>
  <c r="BQ64" i="1" s="1"/>
  <c r="BR64" i="1" s="1"/>
  <c r="BK64" i="1"/>
  <c r="BL64" i="1" s="1"/>
  <c r="BM64" i="1" s="1"/>
  <c r="BF64" i="1"/>
  <c r="BG64" i="1" s="1"/>
  <c r="BH64" i="1" s="1"/>
  <c r="BA64" i="1"/>
  <c r="BB64" i="1" s="1"/>
  <c r="BC64" i="1" s="1"/>
  <c r="AV64" i="1"/>
  <c r="AW64" i="1" s="1"/>
  <c r="AX64" i="1" s="1"/>
  <c r="AQ64" i="1"/>
  <c r="AR64" i="1" s="1"/>
  <c r="AS64" i="1" s="1"/>
  <c r="AL64" i="1"/>
  <c r="AM64" i="1" s="1"/>
  <c r="AN64" i="1" s="1"/>
  <c r="AG64" i="1"/>
  <c r="AH64" i="1" s="1"/>
  <c r="AI64" i="1" s="1"/>
  <c r="AB64" i="1"/>
  <c r="AC64" i="1" s="1"/>
  <c r="AD64" i="1" s="1"/>
  <c r="W64" i="1"/>
  <c r="X64" i="1" s="1"/>
  <c r="Y64" i="1" s="1"/>
  <c r="T64" i="1"/>
  <c r="O64" i="1"/>
  <c r="J64" i="1"/>
  <c r="PX63" i="1"/>
  <c r="PS63" i="1"/>
  <c r="PN63" i="1"/>
  <c r="PI63" i="1"/>
  <c r="PD63" i="1"/>
  <c r="OY63" i="1"/>
  <c r="OT63" i="1"/>
  <c r="OO63" i="1"/>
  <c r="OJ63" i="1"/>
  <c r="OE63" i="1"/>
  <c r="NZ63" i="1"/>
  <c r="NU63" i="1"/>
  <c r="NP63" i="1"/>
  <c r="NK63" i="1"/>
  <c r="NF63" i="1"/>
  <c r="NA63" i="1"/>
  <c r="MV63" i="1"/>
  <c r="MQ63" i="1"/>
  <c r="ML63" i="1"/>
  <c r="MG63" i="1"/>
  <c r="MB63" i="1"/>
  <c r="LW63" i="1"/>
  <c r="LR63" i="1"/>
  <c r="LM63" i="1"/>
  <c r="LH63" i="1"/>
  <c r="LC63" i="1"/>
  <c r="KV63" i="1"/>
  <c r="KW63" i="1" s="1"/>
  <c r="KX63" i="1" s="1"/>
  <c r="KS63" i="1"/>
  <c r="KN63" i="1"/>
  <c r="KG63" i="1"/>
  <c r="KH63" i="1" s="1"/>
  <c r="KI63" i="1" s="1"/>
  <c r="KD63" i="1"/>
  <c r="JY63" i="1"/>
  <c r="JT63" i="1"/>
  <c r="JO63" i="1"/>
  <c r="JJ63" i="1"/>
  <c r="JE63" i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V63" i="1"/>
  <c r="FW63" i="1" s="1"/>
  <c r="FX63" i="1" s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M63" i="1"/>
  <c r="EN63" i="1" s="1"/>
  <c r="EO63" i="1" s="1"/>
  <c r="EH63" i="1"/>
  <c r="EI63" i="1" s="1"/>
  <c r="EJ63" i="1" s="1"/>
  <c r="EC63" i="1"/>
  <c r="ED63" i="1" s="1"/>
  <c r="EE63" i="1" s="1"/>
  <c r="DX63" i="1"/>
  <c r="DY63" i="1" s="1"/>
  <c r="DZ63" i="1" s="1"/>
  <c r="DS63" i="1"/>
  <c r="DT63" i="1" s="1"/>
  <c r="DU63" i="1" s="1"/>
  <c r="DN63" i="1"/>
  <c r="DO63" i="1" s="1"/>
  <c r="DP63" i="1" s="1"/>
  <c r="DI63" i="1"/>
  <c r="DJ63" i="1" s="1"/>
  <c r="DK63" i="1" s="1"/>
  <c r="DD63" i="1"/>
  <c r="DE63" i="1" s="1"/>
  <c r="DF63" i="1" s="1"/>
  <c r="CY63" i="1"/>
  <c r="CZ63" i="1" s="1"/>
  <c r="DA63" i="1" s="1"/>
  <c r="CT63" i="1"/>
  <c r="CU63" i="1" s="1"/>
  <c r="CV63" i="1" s="1"/>
  <c r="CO63" i="1"/>
  <c r="CP63" i="1" s="1"/>
  <c r="CQ63" i="1" s="1"/>
  <c r="CJ63" i="1"/>
  <c r="CK63" i="1" s="1"/>
  <c r="CL63" i="1" s="1"/>
  <c r="CE63" i="1"/>
  <c r="CF63" i="1" s="1"/>
  <c r="CG63" i="1" s="1"/>
  <c r="BZ63" i="1"/>
  <c r="CA63" i="1" s="1"/>
  <c r="CB63" i="1" s="1"/>
  <c r="BU63" i="1"/>
  <c r="BV63" i="1" s="1"/>
  <c r="BW63" i="1" s="1"/>
  <c r="BP63" i="1"/>
  <c r="BQ63" i="1" s="1"/>
  <c r="BR63" i="1" s="1"/>
  <c r="BK63" i="1"/>
  <c r="BL63" i="1" s="1"/>
  <c r="BM63" i="1" s="1"/>
  <c r="BF63" i="1"/>
  <c r="BG63" i="1" s="1"/>
  <c r="BH63" i="1" s="1"/>
  <c r="BA63" i="1"/>
  <c r="BB63" i="1" s="1"/>
  <c r="BC63" i="1" s="1"/>
  <c r="AV63" i="1"/>
  <c r="AW63" i="1" s="1"/>
  <c r="AX63" i="1" s="1"/>
  <c r="AQ63" i="1"/>
  <c r="AR63" i="1" s="1"/>
  <c r="AS63" i="1" s="1"/>
  <c r="AL63" i="1"/>
  <c r="AM63" i="1" s="1"/>
  <c r="AN63" i="1" s="1"/>
  <c r="AG63" i="1"/>
  <c r="AH63" i="1" s="1"/>
  <c r="AI63" i="1" s="1"/>
  <c r="AB63" i="1"/>
  <c r="AC63" i="1" s="1"/>
  <c r="AD63" i="1" s="1"/>
  <c r="W63" i="1"/>
  <c r="X63" i="1" s="1"/>
  <c r="Y63" i="1" s="1"/>
  <c r="T63" i="1"/>
  <c r="O63" i="1"/>
  <c r="J63" i="1"/>
  <c r="PX62" i="1"/>
  <c r="PS62" i="1"/>
  <c r="PN62" i="1"/>
  <c r="PI62" i="1"/>
  <c r="PD62" i="1"/>
  <c r="OY62" i="1"/>
  <c r="OT62" i="1"/>
  <c r="OO62" i="1"/>
  <c r="OJ62" i="1"/>
  <c r="OE62" i="1"/>
  <c r="NZ62" i="1"/>
  <c r="NU62" i="1"/>
  <c r="NP62" i="1"/>
  <c r="NK62" i="1"/>
  <c r="NF62" i="1"/>
  <c r="NA62" i="1"/>
  <c r="MV62" i="1"/>
  <c r="MQ62" i="1"/>
  <c r="ML62" i="1"/>
  <c r="MG62" i="1"/>
  <c r="MB62" i="1"/>
  <c r="LW62" i="1"/>
  <c r="LR62" i="1"/>
  <c r="LM62" i="1"/>
  <c r="LH62" i="1"/>
  <c r="LC62" i="1"/>
  <c r="KX62" i="1"/>
  <c r="KS62" i="1"/>
  <c r="KL62" i="1"/>
  <c r="KM62" i="1" s="1"/>
  <c r="KN62" i="1" s="1"/>
  <c r="KI62" i="1"/>
  <c r="KD62" i="1"/>
  <c r="JY62" i="1"/>
  <c r="JT62" i="1"/>
  <c r="JO62" i="1"/>
  <c r="JJ62" i="1"/>
  <c r="JE62" i="1"/>
  <c r="IX62" i="1"/>
  <c r="IY62" i="1" s="1"/>
  <c r="IZ62" i="1" s="1"/>
  <c r="IS62" i="1"/>
  <c r="IT62" i="1" s="1"/>
  <c r="IU62" i="1" s="1"/>
  <c r="IN62" i="1"/>
  <c r="IO62" i="1" s="1"/>
  <c r="IP62" i="1" s="1"/>
  <c r="IK62" i="1"/>
  <c r="ID62" i="1"/>
  <c r="IE62" i="1" s="1"/>
  <c r="IF62" i="1" s="1"/>
  <c r="HY62" i="1"/>
  <c r="HZ62" i="1" s="1"/>
  <c r="IA62" i="1" s="1"/>
  <c r="HV62" i="1"/>
  <c r="HQ62" i="1"/>
  <c r="HL62" i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Q62" i="1"/>
  <c r="FR62" i="1" s="1"/>
  <c r="FS62" i="1" s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H62" i="1"/>
  <c r="EI62" i="1" s="1"/>
  <c r="EJ62" i="1" s="1"/>
  <c r="EC62" i="1"/>
  <c r="ED62" i="1" s="1"/>
  <c r="EE62" i="1" s="1"/>
  <c r="DX62" i="1"/>
  <c r="DY62" i="1" s="1"/>
  <c r="DZ62" i="1" s="1"/>
  <c r="DS62" i="1"/>
  <c r="DT62" i="1" s="1"/>
  <c r="DU62" i="1" s="1"/>
  <c r="DN62" i="1"/>
  <c r="DO62" i="1" s="1"/>
  <c r="DP62" i="1" s="1"/>
  <c r="DI62" i="1"/>
  <c r="DJ62" i="1" s="1"/>
  <c r="DK62" i="1" s="1"/>
  <c r="DD62" i="1"/>
  <c r="DE62" i="1" s="1"/>
  <c r="DF62" i="1" s="1"/>
  <c r="CY62" i="1"/>
  <c r="CZ62" i="1" s="1"/>
  <c r="DA62" i="1" s="1"/>
  <c r="CT62" i="1"/>
  <c r="CU62" i="1" s="1"/>
  <c r="CV62" i="1" s="1"/>
  <c r="CO62" i="1"/>
  <c r="CP62" i="1" s="1"/>
  <c r="CQ62" i="1" s="1"/>
  <c r="CJ62" i="1"/>
  <c r="CK62" i="1" s="1"/>
  <c r="CL62" i="1" s="1"/>
  <c r="CE62" i="1"/>
  <c r="CF62" i="1" s="1"/>
  <c r="CG62" i="1" s="1"/>
  <c r="BZ62" i="1"/>
  <c r="CA62" i="1" s="1"/>
  <c r="CB62" i="1" s="1"/>
  <c r="BU62" i="1"/>
  <c r="BV62" i="1" s="1"/>
  <c r="BW62" i="1" s="1"/>
  <c r="BP62" i="1"/>
  <c r="BQ62" i="1" s="1"/>
  <c r="BR62" i="1" s="1"/>
  <c r="BK62" i="1"/>
  <c r="BL62" i="1" s="1"/>
  <c r="BM62" i="1" s="1"/>
  <c r="BF62" i="1"/>
  <c r="BG62" i="1" s="1"/>
  <c r="BH62" i="1" s="1"/>
  <c r="BA62" i="1"/>
  <c r="BB62" i="1" s="1"/>
  <c r="BC62" i="1" s="1"/>
  <c r="AV62" i="1"/>
  <c r="AW62" i="1" s="1"/>
  <c r="AX62" i="1" s="1"/>
  <c r="AQ62" i="1"/>
  <c r="AR62" i="1" s="1"/>
  <c r="AS62" i="1" s="1"/>
  <c r="AL62" i="1"/>
  <c r="AM62" i="1" s="1"/>
  <c r="AN62" i="1" s="1"/>
  <c r="AG62" i="1"/>
  <c r="AH62" i="1" s="1"/>
  <c r="AI62" i="1" s="1"/>
  <c r="AB62" i="1"/>
  <c r="AC62" i="1" s="1"/>
  <c r="AD62" i="1" s="1"/>
  <c r="W62" i="1"/>
  <c r="X62" i="1" s="1"/>
  <c r="Y62" i="1" s="1"/>
  <c r="R62" i="1"/>
  <c r="S62" i="1" s="1"/>
  <c r="T62" i="1" s="1"/>
  <c r="O62" i="1"/>
  <c r="J62" i="1"/>
  <c r="PX61" i="1"/>
  <c r="PS61" i="1"/>
  <c r="PN61" i="1"/>
  <c r="PI61" i="1"/>
  <c r="PD61" i="1"/>
  <c r="OY61" i="1"/>
  <c r="OT61" i="1"/>
  <c r="OO61" i="1"/>
  <c r="OJ61" i="1"/>
  <c r="OE61" i="1"/>
  <c r="NZ61" i="1"/>
  <c r="NU61" i="1"/>
  <c r="NP61" i="1"/>
  <c r="NK61" i="1"/>
  <c r="NF61" i="1"/>
  <c r="NA61" i="1"/>
  <c r="MV61" i="1"/>
  <c r="MQ61" i="1"/>
  <c r="ML61" i="1"/>
  <c r="MG61" i="1"/>
  <c r="MB61" i="1"/>
  <c r="LW61" i="1"/>
  <c r="LR61" i="1"/>
  <c r="LM61" i="1"/>
  <c r="LH61" i="1"/>
  <c r="LC61" i="1"/>
  <c r="KX61" i="1"/>
  <c r="KS61" i="1"/>
  <c r="KN61" i="1"/>
  <c r="KI61" i="1"/>
  <c r="KD61" i="1"/>
  <c r="JY61" i="1"/>
  <c r="JT61" i="1"/>
  <c r="JO61" i="1"/>
  <c r="JJ61" i="1"/>
  <c r="JE61" i="1"/>
  <c r="IZ61" i="1"/>
  <c r="IU61" i="1"/>
  <c r="IP61" i="1"/>
  <c r="IK61" i="1"/>
  <c r="IF61" i="1"/>
  <c r="IA61" i="1"/>
  <c r="HV61" i="1"/>
  <c r="HQ61" i="1"/>
  <c r="HL61" i="1"/>
  <c r="HG61" i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H61" i="1"/>
  <c r="EI61" i="1" s="1"/>
  <c r="EJ61" i="1" s="1"/>
  <c r="EC61" i="1"/>
  <c r="ED61" i="1" s="1"/>
  <c r="EE61" i="1" s="1"/>
  <c r="DX61" i="1"/>
  <c r="DY61" i="1" s="1"/>
  <c r="DZ61" i="1" s="1"/>
  <c r="DS61" i="1"/>
  <c r="DT61" i="1" s="1"/>
  <c r="DU61" i="1" s="1"/>
  <c r="DN61" i="1"/>
  <c r="DO61" i="1" s="1"/>
  <c r="DP61" i="1" s="1"/>
  <c r="DI61" i="1"/>
  <c r="DJ61" i="1" s="1"/>
  <c r="DK61" i="1" s="1"/>
  <c r="DD61" i="1"/>
  <c r="DE61" i="1" s="1"/>
  <c r="DF61" i="1" s="1"/>
  <c r="CY61" i="1"/>
  <c r="CZ61" i="1" s="1"/>
  <c r="DA61" i="1" s="1"/>
  <c r="CT61" i="1"/>
  <c r="CU61" i="1" s="1"/>
  <c r="CV61" i="1" s="1"/>
  <c r="CO61" i="1"/>
  <c r="CP61" i="1" s="1"/>
  <c r="CQ61" i="1" s="1"/>
  <c r="CJ61" i="1"/>
  <c r="CK61" i="1" s="1"/>
  <c r="CL61" i="1" s="1"/>
  <c r="CE61" i="1"/>
  <c r="CF61" i="1" s="1"/>
  <c r="CG61" i="1" s="1"/>
  <c r="BZ61" i="1"/>
  <c r="CA61" i="1" s="1"/>
  <c r="CB61" i="1" s="1"/>
  <c r="BU61" i="1"/>
  <c r="BV61" i="1" s="1"/>
  <c r="BW61" i="1" s="1"/>
  <c r="BP61" i="1"/>
  <c r="BQ61" i="1" s="1"/>
  <c r="BR61" i="1" s="1"/>
  <c r="BK61" i="1"/>
  <c r="BL61" i="1" s="1"/>
  <c r="BM61" i="1" s="1"/>
  <c r="BF61" i="1"/>
  <c r="BG61" i="1" s="1"/>
  <c r="BH61" i="1" s="1"/>
  <c r="BA61" i="1"/>
  <c r="BB61" i="1" s="1"/>
  <c r="BC61" i="1" s="1"/>
  <c r="AV61" i="1"/>
  <c r="AW61" i="1" s="1"/>
  <c r="AX61" i="1" s="1"/>
  <c r="AQ61" i="1"/>
  <c r="AR61" i="1" s="1"/>
  <c r="AS61" i="1" s="1"/>
  <c r="AL61" i="1"/>
  <c r="AM61" i="1" s="1"/>
  <c r="AN61" i="1" s="1"/>
  <c r="AG61" i="1"/>
  <c r="AH61" i="1" s="1"/>
  <c r="AI61" i="1" s="1"/>
  <c r="AD61" i="1"/>
  <c r="W61" i="1"/>
  <c r="X61" i="1" s="1"/>
  <c r="Y61" i="1" s="1"/>
  <c r="T61" i="1"/>
  <c r="O61" i="1"/>
  <c r="H61" i="1"/>
  <c r="I61" i="1" s="1"/>
  <c r="J61" i="1" s="1"/>
  <c r="PX60" i="1"/>
  <c r="PS60" i="1"/>
  <c r="PN60" i="1"/>
  <c r="PI60" i="1"/>
  <c r="PD60" i="1"/>
  <c r="OY60" i="1"/>
  <c r="OT60" i="1"/>
  <c r="OO60" i="1"/>
  <c r="OJ60" i="1"/>
  <c r="OE60" i="1"/>
  <c r="NZ60" i="1"/>
  <c r="NU60" i="1"/>
  <c r="NN60" i="1"/>
  <c r="NO60" i="1" s="1"/>
  <c r="NP60" i="1" s="1"/>
  <c r="NI60" i="1"/>
  <c r="NJ60" i="1" s="1"/>
  <c r="NK60" i="1" s="1"/>
  <c r="NF60" i="1"/>
  <c r="NA60" i="1"/>
  <c r="MV60" i="1"/>
  <c r="MQ60" i="1"/>
  <c r="ML60" i="1"/>
  <c r="ME60" i="1"/>
  <c r="MF60" i="1" s="1"/>
  <c r="MG60" i="1" s="1"/>
  <c r="MB60" i="1"/>
  <c r="LW60" i="1"/>
  <c r="LR60" i="1"/>
  <c r="LK60" i="1"/>
  <c r="LL60" i="1" s="1"/>
  <c r="LM60" i="1" s="1"/>
  <c r="LH60" i="1"/>
  <c r="LA60" i="1"/>
  <c r="LB60" i="1" s="1"/>
  <c r="LC60" i="1" s="1"/>
  <c r="KV60" i="1"/>
  <c r="KW60" i="1" s="1"/>
  <c r="KX60" i="1" s="1"/>
  <c r="KS60" i="1"/>
  <c r="KL60" i="1"/>
  <c r="KM60" i="1" s="1"/>
  <c r="KN60" i="1" s="1"/>
  <c r="KG60" i="1"/>
  <c r="KH60" i="1" s="1"/>
  <c r="KI60" i="1" s="1"/>
  <c r="KD60" i="1"/>
  <c r="JY60" i="1"/>
  <c r="JT60" i="1"/>
  <c r="JO60" i="1"/>
  <c r="JJ60" i="1"/>
  <c r="JE60" i="1"/>
  <c r="IZ60" i="1"/>
  <c r="IU60" i="1"/>
  <c r="IP60" i="1"/>
  <c r="IK60" i="1"/>
  <c r="IF60" i="1"/>
  <c r="IA60" i="1"/>
  <c r="HV60" i="1"/>
  <c r="HQ60" i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H60" i="1"/>
  <c r="EI60" i="1" s="1"/>
  <c r="EJ60" i="1" s="1"/>
  <c r="EC60" i="1"/>
  <c r="ED60" i="1" s="1"/>
  <c r="EE60" i="1" s="1"/>
  <c r="DX60" i="1"/>
  <c r="DY60" i="1" s="1"/>
  <c r="DZ60" i="1" s="1"/>
  <c r="DS60" i="1"/>
  <c r="DT60" i="1" s="1"/>
  <c r="DU60" i="1" s="1"/>
  <c r="DN60" i="1"/>
  <c r="DO60" i="1" s="1"/>
  <c r="DP60" i="1" s="1"/>
  <c r="DI60" i="1"/>
  <c r="DJ60" i="1" s="1"/>
  <c r="DK60" i="1" s="1"/>
  <c r="DD60" i="1"/>
  <c r="DE60" i="1" s="1"/>
  <c r="DF60" i="1" s="1"/>
  <c r="CY60" i="1"/>
  <c r="CZ60" i="1" s="1"/>
  <c r="DA60" i="1" s="1"/>
  <c r="CT60" i="1"/>
  <c r="CU60" i="1" s="1"/>
  <c r="CV60" i="1" s="1"/>
  <c r="CO60" i="1"/>
  <c r="CP60" i="1" s="1"/>
  <c r="CQ60" i="1" s="1"/>
  <c r="CJ60" i="1"/>
  <c r="CK60" i="1" s="1"/>
  <c r="CL60" i="1" s="1"/>
  <c r="CE60" i="1"/>
  <c r="CF60" i="1" s="1"/>
  <c r="CG60" i="1" s="1"/>
  <c r="BZ60" i="1"/>
  <c r="CA60" i="1" s="1"/>
  <c r="CB60" i="1" s="1"/>
  <c r="BU60" i="1"/>
  <c r="BV60" i="1" s="1"/>
  <c r="BW60" i="1" s="1"/>
  <c r="BP60" i="1"/>
  <c r="BQ60" i="1" s="1"/>
  <c r="BR60" i="1" s="1"/>
  <c r="BK60" i="1"/>
  <c r="BL60" i="1" s="1"/>
  <c r="BM60" i="1" s="1"/>
  <c r="BF60" i="1"/>
  <c r="BG60" i="1" s="1"/>
  <c r="BH60" i="1" s="1"/>
  <c r="BA60" i="1"/>
  <c r="BB60" i="1" s="1"/>
  <c r="BC60" i="1" s="1"/>
  <c r="AV60" i="1"/>
  <c r="AW60" i="1" s="1"/>
  <c r="AX60" i="1" s="1"/>
  <c r="AQ60" i="1"/>
  <c r="AR60" i="1" s="1"/>
  <c r="AS60" i="1" s="1"/>
  <c r="AL60" i="1"/>
  <c r="AM60" i="1" s="1"/>
  <c r="AN60" i="1" s="1"/>
  <c r="AG60" i="1"/>
  <c r="AH60" i="1" s="1"/>
  <c r="AI60" i="1" s="1"/>
  <c r="AB60" i="1"/>
  <c r="AC60" i="1" s="1"/>
  <c r="AD60" i="1" s="1"/>
  <c r="W60" i="1"/>
  <c r="X60" i="1" s="1"/>
  <c r="Y60" i="1" s="1"/>
  <c r="T60" i="1"/>
  <c r="O60" i="1"/>
  <c r="J60" i="1"/>
  <c r="PX59" i="1"/>
  <c r="PS59" i="1"/>
  <c r="PN59" i="1"/>
  <c r="PI59" i="1"/>
  <c r="PD59" i="1"/>
  <c r="OY59" i="1"/>
  <c r="OT59" i="1"/>
  <c r="OO59" i="1"/>
  <c r="OJ59" i="1"/>
  <c r="OE59" i="1"/>
  <c r="NZ59" i="1"/>
  <c r="NU59" i="1"/>
  <c r="NP59" i="1"/>
  <c r="NK59" i="1"/>
  <c r="NF59" i="1"/>
  <c r="NA59" i="1"/>
  <c r="MT59" i="1"/>
  <c r="MU59" i="1" s="1"/>
  <c r="MV59" i="1" s="1"/>
  <c r="MO59" i="1"/>
  <c r="MP59" i="1" s="1"/>
  <c r="MQ59" i="1" s="1"/>
  <c r="ML59" i="1"/>
  <c r="MG59" i="1"/>
  <c r="MB59" i="1"/>
  <c r="LW59" i="1"/>
  <c r="LR59" i="1"/>
  <c r="LM59" i="1"/>
  <c r="LH59" i="1"/>
  <c r="LC59" i="1"/>
  <c r="KX59" i="1"/>
  <c r="KQ59" i="1"/>
  <c r="KR59" i="1" s="1"/>
  <c r="KS59" i="1" s="1"/>
  <c r="KN59" i="1"/>
  <c r="KI59" i="1"/>
  <c r="KD59" i="1"/>
  <c r="JY59" i="1"/>
  <c r="JT59" i="1"/>
  <c r="JO59" i="1"/>
  <c r="JJ59" i="1"/>
  <c r="JE59" i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T59" i="1"/>
  <c r="HU59" i="1" s="1"/>
  <c r="HV59" i="1" s="1"/>
  <c r="HQ59" i="1"/>
  <c r="HL59" i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H59" i="1"/>
  <c r="EI59" i="1" s="1"/>
  <c r="EJ59" i="1" s="1"/>
  <c r="EC59" i="1"/>
  <c r="ED59" i="1" s="1"/>
  <c r="EE59" i="1" s="1"/>
  <c r="DX59" i="1"/>
  <c r="DY59" i="1" s="1"/>
  <c r="DZ59" i="1" s="1"/>
  <c r="DS59" i="1"/>
  <c r="DT59" i="1" s="1"/>
  <c r="DU59" i="1" s="1"/>
  <c r="DN59" i="1"/>
  <c r="DO59" i="1" s="1"/>
  <c r="DP59" i="1" s="1"/>
  <c r="DI59" i="1"/>
  <c r="DJ59" i="1" s="1"/>
  <c r="DK59" i="1" s="1"/>
  <c r="DD59" i="1"/>
  <c r="DE59" i="1" s="1"/>
  <c r="DF59" i="1" s="1"/>
  <c r="CY59" i="1"/>
  <c r="CZ59" i="1" s="1"/>
  <c r="DA59" i="1" s="1"/>
  <c r="CT59" i="1"/>
  <c r="CU59" i="1" s="1"/>
  <c r="CV59" i="1" s="1"/>
  <c r="CO59" i="1"/>
  <c r="CP59" i="1" s="1"/>
  <c r="CQ59" i="1" s="1"/>
  <c r="CJ59" i="1"/>
  <c r="CK59" i="1" s="1"/>
  <c r="CL59" i="1" s="1"/>
  <c r="CE59" i="1"/>
  <c r="CF59" i="1" s="1"/>
  <c r="CG59" i="1" s="1"/>
  <c r="BZ59" i="1"/>
  <c r="CA59" i="1" s="1"/>
  <c r="CB59" i="1" s="1"/>
  <c r="BU59" i="1"/>
  <c r="BV59" i="1" s="1"/>
  <c r="BW59" i="1" s="1"/>
  <c r="BP59" i="1"/>
  <c r="BQ59" i="1" s="1"/>
  <c r="BR59" i="1" s="1"/>
  <c r="BK59" i="1"/>
  <c r="BL59" i="1" s="1"/>
  <c r="BM59" i="1" s="1"/>
  <c r="BF59" i="1"/>
  <c r="BG59" i="1" s="1"/>
  <c r="BH59" i="1" s="1"/>
  <c r="BA59" i="1"/>
  <c r="BB59" i="1" s="1"/>
  <c r="BC59" i="1" s="1"/>
  <c r="AV59" i="1"/>
  <c r="AW59" i="1" s="1"/>
  <c r="AX59" i="1" s="1"/>
  <c r="AQ59" i="1"/>
  <c r="AR59" i="1" s="1"/>
  <c r="AS59" i="1" s="1"/>
  <c r="AL59" i="1"/>
  <c r="AM59" i="1" s="1"/>
  <c r="AN59" i="1" s="1"/>
  <c r="AG59" i="1"/>
  <c r="AH59" i="1" s="1"/>
  <c r="AI59" i="1" s="1"/>
  <c r="AB59" i="1"/>
  <c r="AC59" i="1" s="1"/>
  <c r="AD59" i="1" s="1"/>
  <c r="W59" i="1"/>
  <c r="X59" i="1" s="1"/>
  <c r="Y59" i="1" s="1"/>
  <c r="T59" i="1"/>
  <c r="O59" i="1"/>
  <c r="J59" i="1"/>
  <c r="PX58" i="1"/>
  <c r="PS58" i="1"/>
  <c r="PN58" i="1"/>
  <c r="PI58" i="1"/>
  <c r="PD58" i="1"/>
  <c r="OY58" i="1"/>
  <c r="OT58" i="1"/>
  <c r="OO58" i="1"/>
  <c r="OJ58" i="1"/>
  <c r="OE58" i="1"/>
  <c r="NZ58" i="1"/>
  <c r="NS58" i="1"/>
  <c r="NT58" i="1" s="1"/>
  <c r="NU58" i="1" s="1"/>
  <c r="NP58" i="1"/>
  <c r="NK58" i="1"/>
  <c r="NF58" i="1"/>
  <c r="NA58" i="1"/>
  <c r="MV58" i="1"/>
  <c r="MQ58" i="1"/>
  <c r="ML58" i="1"/>
  <c r="MG58" i="1"/>
  <c r="LZ58" i="1"/>
  <c r="MA58" i="1" s="1"/>
  <c r="MB58" i="1" s="1"/>
  <c r="LU58" i="1"/>
  <c r="LV58" i="1" s="1"/>
  <c r="LW58" i="1" s="1"/>
  <c r="LR58" i="1"/>
  <c r="LM58" i="1"/>
  <c r="LH58" i="1"/>
  <c r="LC58" i="1"/>
  <c r="KX58" i="1"/>
  <c r="KS58" i="1"/>
  <c r="KN58" i="1"/>
  <c r="KI58" i="1"/>
  <c r="KB58" i="1"/>
  <c r="KC58" i="1" s="1"/>
  <c r="KD58" i="1" s="1"/>
  <c r="JY58" i="1"/>
  <c r="JT58" i="1"/>
  <c r="JO58" i="1"/>
  <c r="JJ58" i="1"/>
  <c r="JE58" i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H58" i="1"/>
  <c r="EI58" i="1" s="1"/>
  <c r="EJ58" i="1" s="1"/>
  <c r="EC58" i="1"/>
  <c r="ED58" i="1" s="1"/>
  <c r="EE58" i="1" s="1"/>
  <c r="DX58" i="1"/>
  <c r="DY58" i="1" s="1"/>
  <c r="DZ58" i="1" s="1"/>
  <c r="DS58" i="1"/>
  <c r="DT58" i="1" s="1"/>
  <c r="DU58" i="1" s="1"/>
  <c r="DN58" i="1"/>
  <c r="DO58" i="1" s="1"/>
  <c r="DP58" i="1" s="1"/>
  <c r="DI58" i="1"/>
  <c r="DJ58" i="1" s="1"/>
  <c r="DK58" i="1" s="1"/>
  <c r="DD58" i="1"/>
  <c r="DE58" i="1" s="1"/>
  <c r="DF58" i="1" s="1"/>
  <c r="CY58" i="1"/>
  <c r="CZ58" i="1" s="1"/>
  <c r="DA58" i="1" s="1"/>
  <c r="CT58" i="1"/>
  <c r="CU58" i="1" s="1"/>
  <c r="CV58" i="1" s="1"/>
  <c r="CO58" i="1"/>
  <c r="CP58" i="1" s="1"/>
  <c r="CQ58" i="1" s="1"/>
  <c r="CJ58" i="1"/>
  <c r="CK58" i="1" s="1"/>
  <c r="CL58" i="1" s="1"/>
  <c r="CE58" i="1"/>
  <c r="CF58" i="1" s="1"/>
  <c r="CG58" i="1" s="1"/>
  <c r="BZ58" i="1"/>
  <c r="CA58" i="1" s="1"/>
  <c r="CB58" i="1" s="1"/>
  <c r="BU58" i="1"/>
  <c r="BV58" i="1" s="1"/>
  <c r="BW58" i="1" s="1"/>
  <c r="BP58" i="1"/>
  <c r="BQ58" i="1" s="1"/>
  <c r="BR58" i="1" s="1"/>
  <c r="BK58" i="1"/>
  <c r="BL58" i="1" s="1"/>
  <c r="BM58" i="1" s="1"/>
  <c r="BF58" i="1"/>
  <c r="BG58" i="1" s="1"/>
  <c r="BH58" i="1" s="1"/>
  <c r="BA58" i="1"/>
  <c r="BB58" i="1" s="1"/>
  <c r="BC58" i="1" s="1"/>
  <c r="AV58" i="1"/>
  <c r="AW58" i="1" s="1"/>
  <c r="AX58" i="1" s="1"/>
  <c r="AQ58" i="1"/>
  <c r="AR58" i="1" s="1"/>
  <c r="AS58" i="1" s="1"/>
  <c r="AL58" i="1"/>
  <c r="AM58" i="1" s="1"/>
  <c r="AN58" i="1" s="1"/>
  <c r="AG58" i="1"/>
  <c r="AH58" i="1" s="1"/>
  <c r="AI58" i="1" s="1"/>
  <c r="AB58" i="1"/>
  <c r="AC58" i="1" s="1"/>
  <c r="AD58" i="1" s="1"/>
  <c r="W58" i="1"/>
  <c r="X58" i="1" s="1"/>
  <c r="Y58" i="1" s="1"/>
  <c r="T58" i="1"/>
  <c r="O58" i="1"/>
  <c r="J58" i="1"/>
  <c r="PX57" i="1"/>
  <c r="PS57" i="1"/>
  <c r="PN57" i="1"/>
  <c r="PI57" i="1"/>
  <c r="PD57" i="1"/>
  <c r="OY57" i="1"/>
  <c r="OT57" i="1"/>
  <c r="OO57" i="1"/>
  <c r="OJ57" i="1"/>
  <c r="OE57" i="1"/>
  <c r="NZ57" i="1"/>
  <c r="NU57" i="1"/>
  <c r="NP57" i="1"/>
  <c r="NK57" i="1"/>
  <c r="NF57" i="1"/>
  <c r="NA57" i="1"/>
  <c r="MV57" i="1"/>
  <c r="MQ57" i="1"/>
  <c r="ML57" i="1"/>
  <c r="MG57" i="1"/>
  <c r="LZ57" i="1"/>
  <c r="MA57" i="1" s="1"/>
  <c r="MB57" i="1" s="1"/>
  <c r="LU57" i="1"/>
  <c r="LV57" i="1" s="1"/>
  <c r="LW57" i="1" s="1"/>
  <c r="LR57" i="1"/>
  <c r="LM57" i="1"/>
  <c r="LF57" i="1"/>
  <c r="LG57" i="1" s="1"/>
  <c r="LH57" i="1" s="1"/>
  <c r="LA57" i="1"/>
  <c r="LB57" i="1" s="1"/>
  <c r="LC57" i="1" s="1"/>
  <c r="KX57" i="1"/>
  <c r="KQ57" i="1"/>
  <c r="KR57" i="1" s="1"/>
  <c r="KS57" i="1" s="1"/>
  <c r="KN57" i="1"/>
  <c r="KI57" i="1"/>
  <c r="KD57" i="1"/>
  <c r="JY57" i="1"/>
  <c r="JT57" i="1"/>
  <c r="JO57" i="1"/>
  <c r="JJ57" i="1"/>
  <c r="JE57" i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H57" i="1"/>
  <c r="EI57" i="1" s="1"/>
  <c r="EJ57" i="1" s="1"/>
  <c r="EC57" i="1"/>
  <c r="ED57" i="1" s="1"/>
  <c r="EE57" i="1" s="1"/>
  <c r="DX57" i="1"/>
  <c r="DY57" i="1" s="1"/>
  <c r="DZ57" i="1" s="1"/>
  <c r="DS57" i="1"/>
  <c r="DT57" i="1" s="1"/>
  <c r="DU57" i="1" s="1"/>
  <c r="DN57" i="1"/>
  <c r="DO57" i="1" s="1"/>
  <c r="DP57" i="1" s="1"/>
  <c r="DI57" i="1"/>
  <c r="DJ57" i="1" s="1"/>
  <c r="DK57" i="1" s="1"/>
  <c r="DD57" i="1"/>
  <c r="DE57" i="1" s="1"/>
  <c r="DF57" i="1" s="1"/>
  <c r="CY57" i="1"/>
  <c r="CZ57" i="1" s="1"/>
  <c r="DA57" i="1" s="1"/>
  <c r="CT57" i="1"/>
  <c r="CU57" i="1" s="1"/>
  <c r="CV57" i="1" s="1"/>
  <c r="CO57" i="1"/>
  <c r="CP57" i="1" s="1"/>
  <c r="CQ57" i="1" s="1"/>
  <c r="CJ57" i="1"/>
  <c r="CK57" i="1" s="1"/>
  <c r="CL57" i="1" s="1"/>
  <c r="CE57" i="1"/>
  <c r="CF57" i="1" s="1"/>
  <c r="CG57" i="1" s="1"/>
  <c r="BZ57" i="1"/>
  <c r="CA57" i="1" s="1"/>
  <c r="CB57" i="1" s="1"/>
  <c r="BU57" i="1"/>
  <c r="BV57" i="1" s="1"/>
  <c r="BW57" i="1" s="1"/>
  <c r="BP57" i="1"/>
  <c r="BQ57" i="1" s="1"/>
  <c r="BR57" i="1" s="1"/>
  <c r="BK57" i="1"/>
  <c r="BL57" i="1" s="1"/>
  <c r="BM57" i="1" s="1"/>
  <c r="BF57" i="1"/>
  <c r="BG57" i="1" s="1"/>
  <c r="BH57" i="1" s="1"/>
  <c r="BA57" i="1"/>
  <c r="BB57" i="1" s="1"/>
  <c r="BC57" i="1" s="1"/>
  <c r="AV57" i="1"/>
  <c r="AW57" i="1" s="1"/>
  <c r="AX57" i="1" s="1"/>
  <c r="AQ57" i="1"/>
  <c r="AR57" i="1" s="1"/>
  <c r="AS57" i="1" s="1"/>
  <c r="AL57" i="1"/>
  <c r="AM57" i="1" s="1"/>
  <c r="AN57" i="1" s="1"/>
  <c r="AG57" i="1"/>
  <c r="AH57" i="1" s="1"/>
  <c r="AI57" i="1" s="1"/>
  <c r="AB57" i="1"/>
  <c r="AC57" i="1" s="1"/>
  <c r="AD57" i="1" s="1"/>
  <c r="W57" i="1"/>
  <c r="X57" i="1" s="1"/>
  <c r="Y57" i="1" s="1"/>
  <c r="T57" i="1"/>
  <c r="O57" i="1"/>
  <c r="J57" i="1"/>
  <c r="PX56" i="1"/>
  <c r="PS56" i="1"/>
  <c r="PN56" i="1"/>
  <c r="PI56" i="1"/>
  <c r="PD56" i="1"/>
  <c r="OY56" i="1"/>
  <c r="OT56" i="1"/>
  <c r="OO56" i="1"/>
  <c r="OJ56" i="1"/>
  <c r="OE56" i="1"/>
  <c r="NZ56" i="1"/>
  <c r="NU56" i="1"/>
  <c r="NP56" i="1"/>
  <c r="NK56" i="1"/>
  <c r="NF56" i="1"/>
  <c r="NA56" i="1"/>
  <c r="MV56" i="1"/>
  <c r="MQ56" i="1"/>
  <c r="ML56" i="1"/>
  <c r="MG56" i="1"/>
  <c r="MB56" i="1"/>
  <c r="LW56" i="1"/>
  <c r="LR56" i="1"/>
  <c r="LM56" i="1"/>
  <c r="LH56" i="1"/>
  <c r="LC56" i="1"/>
  <c r="KX56" i="1"/>
  <c r="KS56" i="1"/>
  <c r="KN56" i="1"/>
  <c r="KI56" i="1"/>
  <c r="KD56" i="1"/>
  <c r="JY56" i="1"/>
  <c r="JT56" i="1"/>
  <c r="JO56" i="1"/>
  <c r="JJ56" i="1"/>
  <c r="JE56" i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H56" i="1"/>
  <c r="EI56" i="1" s="1"/>
  <c r="EJ56" i="1" s="1"/>
  <c r="EC56" i="1"/>
  <c r="ED56" i="1" s="1"/>
  <c r="EE56" i="1" s="1"/>
  <c r="DX56" i="1"/>
  <c r="DY56" i="1" s="1"/>
  <c r="DZ56" i="1" s="1"/>
  <c r="DS56" i="1"/>
  <c r="DT56" i="1" s="1"/>
  <c r="DU56" i="1" s="1"/>
  <c r="DN56" i="1"/>
  <c r="DO56" i="1" s="1"/>
  <c r="DP56" i="1" s="1"/>
  <c r="DI56" i="1"/>
  <c r="DJ56" i="1" s="1"/>
  <c r="DK56" i="1" s="1"/>
  <c r="DD56" i="1"/>
  <c r="DE56" i="1" s="1"/>
  <c r="DF56" i="1" s="1"/>
  <c r="CY56" i="1"/>
  <c r="CZ56" i="1" s="1"/>
  <c r="DA56" i="1" s="1"/>
  <c r="CT56" i="1"/>
  <c r="CU56" i="1" s="1"/>
  <c r="CV56" i="1" s="1"/>
  <c r="CO56" i="1"/>
  <c r="CP56" i="1" s="1"/>
  <c r="CQ56" i="1" s="1"/>
  <c r="CJ56" i="1"/>
  <c r="CK56" i="1" s="1"/>
  <c r="CL56" i="1" s="1"/>
  <c r="CE56" i="1"/>
  <c r="CF56" i="1" s="1"/>
  <c r="CG56" i="1" s="1"/>
  <c r="BZ56" i="1"/>
  <c r="CA56" i="1" s="1"/>
  <c r="CB56" i="1" s="1"/>
  <c r="BU56" i="1"/>
  <c r="BV56" i="1" s="1"/>
  <c r="BW56" i="1" s="1"/>
  <c r="BP56" i="1"/>
  <c r="BQ56" i="1" s="1"/>
  <c r="BR56" i="1" s="1"/>
  <c r="BK56" i="1"/>
  <c r="BL56" i="1" s="1"/>
  <c r="BM56" i="1" s="1"/>
  <c r="BF56" i="1"/>
  <c r="BG56" i="1" s="1"/>
  <c r="BH56" i="1" s="1"/>
  <c r="BA56" i="1"/>
  <c r="BB56" i="1" s="1"/>
  <c r="BC56" i="1" s="1"/>
  <c r="AV56" i="1"/>
  <c r="AW56" i="1" s="1"/>
  <c r="AX56" i="1" s="1"/>
  <c r="AQ56" i="1"/>
  <c r="AR56" i="1" s="1"/>
  <c r="AS56" i="1" s="1"/>
  <c r="AL56" i="1"/>
  <c r="AM56" i="1" s="1"/>
  <c r="AN56" i="1" s="1"/>
  <c r="AG56" i="1"/>
  <c r="AH56" i="1" s="1"/>
  <c r="AI56" i="1" s="1"/>
  <c r="AB56" i="1"/>
  <c r="AC56" i="1" s="1"/>
  <c r="AD56" i="1" s="1"/>
  <c r="W56" i="1"/>
  <c r="X56" i="1" s="1"/>
  <c r="Y56" i="1" s="1"/>
  <c r="R56" i="1"/>
  <c r="S56" i="1" s="1"/>
  <c r="T56" i="1" s="1"/>
  <c r="O56" i="1"/>
  <c r="J56" i="1"/>
  <c r="PX55" i="1"/>
  <c r="PS55" i="1"/>
  <c r="PN55" i="1"/>
  <c r="PI55" i="1"/>
  <c r="PD55" i="1"/>
  <c r="OY55" i="1"/>
  <c r="OT55" i="1"/>
  <c r="OO55" i="1"/>
  <c r="OJ55" i="1"/>
  <c r="OE55" i="1"/>
  <c r="NZ55" i="1"/>
  <c r="NU55" i="1"/>
  <c r="NP55" i="1"/>
  <c r="NK55" i="1"/>
  <c r="NF55" i="1"/>
  <c r="NA55" i="1"/>
  <c r="MV55" i="1"/>
  <c r="MQ55" i="1"/>
  <c r="ML55" i="1"/>
  <c r="MG55" i="1"/>
  <c r="MB55" i="1"/>
  <c r="LW55" i="1"/>
  <c r="LR55" i="1"/>
  <c r="LM55" i="1"/>
  <c r="LH55" i="1"/>
  <c r="LC55" i="1"/>
  <c r="KX55" i="1"/>
  <c r="KS55" i="1"/>
  <c r="KN55" i="1"/>
  <c r="KI55" i="1"/>
  <c r="KD55" i="1"/>
  <c r="JY55" i="1"/>
  <c r="JT55" i="1"/>
  <c r="JO55" i="1"/>
  <c r="JJ55" i="1"/>
  <c r="JE55" i="1"/>
  <c r="IZ55" i="1"/>
  <c r="IU55" i="1"/>
  <c r="IP55" i="1"/>
  <c r="IK55" i="1"/>
  <c r="IF55" i="1"/>
  <c r="IA55" i="1"/>
  <c r="HV55" i="1"/>
  <c r="HQ55" i="1"/>
  <c r="HL55" i="1"/>
  <c r="HG55" i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H55" i="1"/>
  <c r="EI55" i="1" s="1"/>
  <c r="EJ55" i="1" s="1"/>
  <c r="EC55" i="1"/>
  <c r="ED55" i="1" s="1"/>
  <c r="EE55" i="1" s="1"/>
  <c r="DX55" i="1"/>
  <c r="DY55" i="1" s="1"/>
  <c r="DZ55" i="1" s="1"/>
  <c r="DS55" i="1"/>
  <c r="DT55" i="1" s="1"/>
  <c r="DU55" i="1" s="1"/>
  <c r="DN55" i="1"/>
  <c r="DO55" i="1" s="1"/>
  <c r="DP55" i="1" s="1"/>
  <c r="DI55" i="1"/>
  <c r="DJ55" i="1" s="1"/>
  <c r="DK55" i="1" s="1"/>
  <c r="DD55" i="1"/>
  <c r="DE55" i="1" s="1"/>
  <c r="DF55" i="1" s="1"/>
  <c r="CY55" i="1"/>
  <c r="CZ55" i="1" s="1"/>
  <c r="DA55" i="1" s="1"/>
  <c r="CT55" i="1"/>
  <c r="CU55" i="1" s="1"/>
  <c r="CV55" i="1" s="1"/>
  <c r="CO55" i="1"/>
  <c r="CP55" i="1" s="1"/>
  <c r="CQ55" i="1" s="1"/>
  <c r="CJ55" i="1"/>
  <c r="CK55" i="1" s="1"/>
  <c r="CL55" i="1" s="1"/>
  <c r="CE55" i="1"/>
  <c r="CF55" i="1" s="1"/>
  <c r="CG55" i="1" s="1"/>
  <c r="BZ55" i="1"/>
  <c r="CA55" i="1" s="1"/>
  <c r="CB55" i="1" s="1"/>
  <c r="BU55" i="1"/>
  <c r="BV55" i="1" s="1"/>
  <c r="BW55" i="1" s="1"/>
  <c r="BP55" i="1"/>
  <c r="BQ55" i="1" s="1"/>
  <c r="BR55" i="1" s="1"/>
  <c r="BK55" i="1"/>
  <c r="BL55" i="1" s="1"/>
  <c r="BM55" i="1" s="1"/>
  <c r="BF55" i="1"/>
  <c r="BG55" i="1" s="1"/>
  <c r="BH55" i="1" s="1"/>
  <c r="BA55" i="1"/>
  <c r="BB55" i="1" s="1"/>
  <c r="BC55" i="1" s="1"/>
  <c r="AV55" i="1"/>
  <c r="AW55" i="1" s="1"/>
  <c r="AX55" i="1" s="1"/>
  <c r="AQ55" i="1"/>
  <c r="AR55" i="1" s="1"/>
  <c r="AS55" i="1" s="1"/>
  <c r="AL55" i="1"/>
  <c r="AM55" i="1" s="1"/>
  <c r="AN55" i="1" s="1"/>
  <c r="AG55" i="1"/>
  <c r="AH55" i="1" s="1"/>
  <c r="AI55" i="1" s="1"/>
  <c r="AD55" i="1"/>
  <c r="W55" i="1"/>
  <c r="X55" i="1" s="1"/>
  <c r="Y55" i="1" s="1"/>
  <c r="T55" i="1"/>
  <c r="O55" i="1"/>
  <c r="H55" i="1"/>
  <c r="I55" i="1" s="1"/>
  <c r="J55" i="1" s="1"/>
  <c r="PX54" i="1"/>
  <c r="PS54" i="1"/>
  <c r="PN54" i="1"/>
  <c r="PI54" i="1"/>
  <c r="PD54" i="1"/>
  <c r="OY54" i="1"/>
  <c r="OT54" i="1"/>
  <c r="OO54" i="1"/>
  <c r="OJ54" i="1"/>
  <c r="OE54" i="1"/>
  <c r="NZ54" i="1"/>
  <c r="NU54" i="1"/>
  <c r="NP54" i="1"/>
  <c r="NK54" i="1"/>
  <c r="NF54" i="1"/>
  <c r="NA54" i="1"/>
  <c r="MV54" i="1"/>
  <c r="MQ54" i="1"/>
  <c r="ML54" i="1"/>
  <c r="ME54" i="1"/>
  <c r="MF54" i="1" s="1"/>
  <c r="MG54" i="1" s="1"/>
  <c r="MB54" i="1"/>
  <c r="LW54" i="1"/>
  <c r="LR54" i="1"/>
  <c r="LM54" i="1"/>
  <c r="LH54" i="1"/>
  <c r="LC54" i="1"/>
  <c r="KX54" i="1"/>
  <c r="KS54" i="1"/>
  <c r="KL54" i="1"/>
  <c r="KM54" i="1" s="1"/>
  <c r="KN54" i="1" s="1"/>
  <c r="KI54" i="1"/>
  <c r="KD54" i="1"/>
  <c r="JY54" i="1"/>
  <c r="JT54" i="1"/>
  <c r="JO54" i="1"/>
  <c r="JJ54" i="1"/>
  <c r="JE54" i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T54" i="1"/>
  <c r="HU54" i="1" s="1"/>
  <c r="HV54" i="1" s="1"/>
  <c r="HQ54" i="1"/>
  <c r="HL54" i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H54" i="1"/>
  <c r="EI54" i="1" s="1"/>
  <c r="EJ54" i="1" s="1"/>
  <c r="EC54" i="1"/>
  <c r="ED54" i="1" s="1"/>
  <c r="EE54" i="1" s="1"/>
  <c r="DX54" i="1"/>
  <c r="DY54" i="1" s="1"/>
  <c r="DZ54" i="1" s="1"/>
  <c r="DS54" i="1"/>
  <c r="DT54" i="1" s="1"/>
  <c r="DU54" i="1" s="1"/>
  <c r="DN54" i="1"/>
  <c r="DO54" i="1" s="1"/>
  <c r="DP54" i="1" s="1"/>
  <c r="DI54" i="1"/>
  <c r="DJ54" i="1" s="1"/>
  <c r="DK54" i="1" s="1"/>
  <c r="DD54" i="1"/>
  <c r="DE54" i="1" s="1"/>
  <c r="DF54" i="1" s="1"/>
  <c r="CY54" i="1"/>
  <c r="CZ54" i="1" s="1"/>
  <c r="DA54" i="1" s="1"/>
  <c r="CT54" i="1"/>
  <c r="CU54" i="1" s="1"/>
  <c r="CV54" i="1" s="1"/>
  <c r="CO54" i="1"/>
  <c r="CP54" i="1" s="1"/>
  <c r="CQ54" i="1" s="1"/>
  <c r="CJ54" i="1"/>
  <c r="CK54" i="1" s="1"/>
  <c r="CL54" i="1" s="1"/>
  <c r="CE54" i="1"/>
  <c r="CF54" i="1" s="1"/>
  <c r="CG54" i="1" s="1"/>
  <c r="BZ54" i="1"/>
  <c r="CA54" i="1" s="1"/>
  <c r="CB54" i="1" s="1"/>
  <c r="BU54" i="1"/>
  <c r="BV54" i="1" s="1"/>
  <c r="BW54" i="1" s="1"/>
  <c r="BP54" i="1"/>
  <c r="BQ54" i="1" s="1"/>
  <c r="BR54" i="1" s="1"/>
  <c r="BK54" i="1"/>
  <c r="BL54" i="1" s="1"/>
  <c r="BM54" i="1" s="1"/>
  <c r="BF54" i="1"/>
  <c r="BG54" i="1" s="1"/>
  <c r="BH54" i="1" s="1"/>
  <c r="BA54" i="1"/>
  <c r="BB54" i="1" s="1"/>
  <c r="BC54" i="1" s="1"/>
  <c r="AV54" i="1"/>
  <c r="AW54" i="1" s="1"/>
  <c r="AX54" i="1" s="1"/>
  <c r="AQ54" i="1"/>
  <c r="AR54" i="1" s="1"/>
  <c r="AS54" i="1" s="1"/>
  <c r="AL54" i="1"/>
  <c r="AM54" i="1" s="1"/>
  <c r="AN54" i="1" s="1"/>
  <c r="AG54" i="1"/>
  <c r="AH54" i="1" s="1"/>
  <c r="AI54" i="1" s="1"/>
  <c r="AB54" i="1"/>
  <c r="AC54" i="1" s="1"/>
  <c r="AD54" i="1" s="1"/>
  <c r="W54" i="1"/>
  <c r="X54" i="1" s="1"/>
  <c r="Y54" i="1" s="1"/>
  <c r="T54" i="1"/>
  <c r="O54" i="1"/>
  <c r="J54" i="1"/>
  <c r="PX53" i="1"/>
  <c r="PS53" i="1"/>
  <c r="PN53" i="1"/>
  <c r="PI53" i="1"/>
  <c r="PD53" i="1"/>
  <c r="OY53" i="1"/>
  <c r="OT53" i="1"/>
  <c r="OO53" i="1"/>
  <c r="OJ53" i="1"/>
  <c r="OE53" i="1"/>
  <c r="NZ53" i="1"/>
  <c r="NU53" i="1"/>
  <c r="NP53" i="1"/>
  <c r="NK53" i="1"/>
  <c r="NF53" i="1"/>
  <c r="NA53" i="1"/>
  <c r="MV53" i="1"/>
  <c r="MQ53" i="1"/>
  <c r="ML53" i="1"/>
  <c r="MG53" i="1"/>
  <c r="MB53" i="1"/>
  <c r="LW53" i="1"/>
  <c r="LR53" i="1"/>
  <c r="LM53" i="1"/>
  <c r="LH53" i="1"/>
  <c r="LC53" i="1"/>
  <c r="KX53" i="1"/>
  <c r="KS53" i="1"/>
  <c r="KN53" i="1"/>
  <c r="KI53" i="1"/>
  <c r="KD53" i="1"/>
  <c r="JY53" i="1"/>
  <c r="JT53" i="1"/>
  <c r="JO53" i="1"/>
  <c r="JJ53" i="1"/>
  <c r="JE53" i="1"/>
  <c r="IZ53" i="1"/>
  <c r="IU53" i="1"/>
  <c r="IP53" i="1"/>
  <c r="IK53" i="1"/>
  <c r="IF53" i="1"/>
  <c r="IA53" i="1"/>
  <c r="HV53" i="1"/>
  <c r="HQ53" i="1"/>
  <c r="HL53" i="1"/>
  <c r="HG53" i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H53" i="1"/>
  <c r="EI53" i="1" s="1"/>
  <c r="EJ53" i="1" s="1"/>
  <c r="EC53" i="1"/>
  <c r="ED53" i="1" s="1"/>
  <c r="EE53" i="1" s="1"/>
  <c r="DX53" i="1"/>
  <c r="DY53" i="1" s="1"/>
  <c r="DZ53" i="1" s="1"/>
  <c r="DS53" i="1"/>
  <c r="DT53" i="1" s="1"/>
  <c r="DU53" i="1" s="1"/>
  <c r="DN53" i="1"/>
  <c r="DO53" i="1" s="1"/>
  <c r="DP53" i="1" s="1"/>
  <c r="DI53" i="1"/>
  <c r="DJ53" i="1" s="1"/>
  <c r="DK53" i="1" s="1"/>
  <c r="DD53" i="1"/>
  <c r="DE53" i="1" s="1"/>
  <c r="DF53" i="1" s="1"/>
  <c r="CY53" i="1"/>
  <c r="CZ53" i="1" s="1"/>
  <c r="DA53" i="1" s="1"/>
  <c r="CT53" i="1"/>
  <c r="CU53" i="1" s="1"/>
  <c r="CV53" i="1" s="1"/>
  <c r="CO53" i="1"/>
  <c r="CP53" i="1" s="1"/>
  <c r="CQ53" i="1" s="1"/>
  <c r="CJ53" i="1"/>
  <c r="CK53" i="1" s="1"/>
  <c r="CL53" i="1" s="1"/>
  <c r="CE53" i="1"/>
  <c r="CF53" i="1" s="1"/>
  <c r="CG53" i="1" s="1"/>
  <c r="BZ53" i="1"/>
  <c r="CA53" i="1" s="1"/>
  <c r="CB53" i="1" s="1"/>
  <c r="BU53" i="1"/>
  <c r="BV53" i="1" s="1"/>
  <c r="BW53" i="1" s="1"/>
  <c r="BP53" i="1"/>
  <c r="BQ53" i="1" s="1"/>
  <c r="BR53" i="1" s="1"/>
  <c r="BK53" i="1"/>
  <c r="BL53" i="1" s="1"/>
  <c r="BM53" i="1" s="1"/>
  <c r="BF53" i="1"/>
  <c r="BG53" i="1" s="1"/>
  <c r="BH53" i="1" s="1"/>
  <c r="BA53" i="1"/>
  <c r="BB53" i="1" s="1"/>
  <c r="BC53" i="1" s="1"/>
  <c r="AV53" i="1"/>
  <c r="AW53" i="1" s="1"/>
  <c r="AX53" i="1" s="1"/>
  <c r="AQ53" i="1"/>
  <c r="AR53" i="1" s="1"/>
  <c r="AS53" i="1" s="1"/>
  <c r="AL53" i="1"/>
  <c r="AM53" i="1" s="1"/>
  <c r="AN53" i="1" s="1"/>
  <c r="AG53" i="1"/>
  <c r="AH53" i="1" s="1"/>
  <c r="AI53" i="1" s="1"/>
  <c r="AD53" i="1"/>
  <c r="W53" i="1"/>
  <c r="X53" i="1" s="1"/>
  <c r="Y53" i="1" s="1"/>
  <c r="T53" i="1"/>
  <c r="O53" i="1"/>
  <c r="H53" i="1"/>
  <c r="I53" i="1" s="1"/>
  <c r="J53" i="1" s="1"/>
  <c r="PX52" i="1"/>
  <c r="PS52" i="1"/>
  <c r="PN52" i="1"/>
  <c r="PI52" i="1"/>
  <c r="PD52" i="1"/>
  <c r="OY52" i="1"/>
  <c r="OT52" i="1"/>
  <c r="OO52" i="1"/>
  <c r="OJ52" i="1"/>
  <c r="OE52" i="1"/>
  <c r="NZ52" i="1"/>
  <c r="NU52" i="1"/>
  <c r="NP52" i="1"/>
  <c r="NK52" i="1"/>
  <c r="NF52" i="1"/>
  <c r="NA52" i="1"/>
  <c r="MV52" i="1"/>
  <c r="MQ52" i="1"/>
  <c r="ML52" i="1"/>
  <c r="MG52" i="1"/>
  <c r="MB52" i="1"/>
  <c r="LW52" i="1"/>
  <c r="LR52" i="1"/>
  <c r="LM52" i="1"/>
  <c r="LH52" i="1"/>
  <c r="LC52" i="1"/>
  <c r="KX52" i="1"/>
  <c r="KS52" i="1"/>
  <c r="KN52" i="1"/>
  <c r="KI52" i="1"/>
  <c r="KD52" i="1"/>
  <c r="JY52" i="1"/>
  <c r="JT52" i="1"/>
  <c r="JO52" i="1"/>
  <c r="JJ52" i="1"/>
  <c r="JE52" i="1"/>
  <c r="IZ52" i="1"/>
  <c r="IU52" i="1"/>
  <c r="IP52" i="1"/>
  <c r="IK52" i="1"/>
  <c r="IF52" i="1"/>
  <c r="IA52" i="1"/>
  <c r="HV52" i="1"/>
  <c r="HQ52" i="1"/>
  <c r="HL52" i="1"/>
  <c r="HG52" i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H52" i="1"/>
  <c r="EI52" i="1" s="1"/>
  <c r="EJ52" i="1" s="1"/>
  <c r="EC52" i="1"/>
  <c r="ED52" i="1" s="1"/>
  <c r="EE52" i="1" s="1"/>
  <c r="DX52" i="1"/>
  <c r="DY52" i="1" s="1"/>
  <c r="DZ52" i="1" s="1"/>
  <c r="DS52" i="1"/>
  <c r="DT52" i="1" s="1"/>
  <c r="DU52" i="1" s="1"/>
  <c r="DN52" i="1"/>
  <c r="DO52" i="1" s="1"/>
  <c r="DP52" i="1" s="1"/>
  <c r="DI52" i="1"/>
  <c r="DJ52" i="1" s="1"/>
  <c r="DK52" i="1" s="1"/>
  <c r="DD52" i="1"/>
  <c r="DE52" i="1" s="1"/>
  <c r="DF52" i="1" s="1"/>
  <c r="CY52" i="1"/>
  <c r="CZ52" i="1" s="1"/>
  <c r="DA52" i="1" s="1"/>
  <c r="CT52" i="1"/>
  <c r="CU52" i="1" s="1"/>
  <c r="CV52" i="1" s="1"/>
  <c r="CO52" i="1"/>
  <c r="CP52" i="1" s="1"/>
  <c r="CQ52" i="1" s="1"/>
  <c r="CJ52" i="1"/>
  <c r="CK52" i="1" s="1"/>
  <c r="CL52" i="1" s="1"/>
  <c r="CE52" i="1"/>
  <c r="CF52" i="1" s="1"/>
  <c r="CG52" i="1" s="1"/>
  <c r="BZ52" i="1"/>
  <c r="CA52" i="1" s="1"/>
  <c r="CB52" i="1" s="1"/>
  <c r="BU52" i="1"/>
  <c r="BV52" i="1" s="1"/>
  <c r="BW52" i="1" s="1"/>
  <c r="BP52" i="1"/>
  <c r="BQ52" i="1" s="1"/>
  <c r="BR52" i="1" s="1"/>
  <c r="BK52" i="1"/>
  <c r="BL52" i="1" s="1"/>
  <c r="BM52" i="1" s="1"/>
  <c r="BF52" i="1"/>
  <c r="BG52" i="1" s="1"/>
  <c r="BH52" i="1" s="1"/>
  <c r="BA52" i="1"/>
  <c r="BB52" i="1" s="1"/>
  <c r="BC52" i="1" s="1"/>
  <c r="AV52" i="1"/>
  <c r="AW52" i="1" s="1"/>
  <c r="AX52" i="1" s="1"/>
  <c r="AQ52" i="1"/>
  <c r="AR52" i="1" s="1"/>
  <c r="AS52" i="1" s="1"/>
  <c r="AL52" i="1"/>
  <c r="AM52" i="1" s="1"/>
  <c r="AN52" i="1" s="1"/>
  <c r="AG52" i="1"/>
  <c r="AH52" i="1" s="1"/>
  <c r="AI52" i="1" s="1"/>
  <c r="AD52" i="1"/>
  <c r="W52" i="1"/>
  <c r="X52" i="1" s="1"/>
  <c r="Y52" i="1" s="1"/>
  <c r="T52" i="1"/>
  <c r="O52" i="1"/>
  <c r="H52" i="1"/>
  <c r="I52" i="1" s="1"/>
  <c r="J52" i="1" s="1"/>
  <c r="PX51" i="1"/>
  <c r="PS51" i="1"/>
  <c r="PN51" i="1"/>
  <c r="PI51" i="1"/>
  <c r="PD51" i="1"/>
  <c r="OY51" i="1"/>
  <c r="OT51" i="1"/>
  <c r="OO51" i="1"/>
  <c r="OJ51" i="1"/>
  <c r="OC51" i="1"/>
  <c r="OD51" i="1" s="1"/>
  <c r="OE51" i="1" s="1"/>
  <c r="NX51" i="1"/>
  <c r="NY51" i="1" s="1"/>
  <c r="NZ51" i="1" s="1"/>
  <c r="NU51" i="1"/>
  <c r="NP51" i="1"/>
  <c r="NK51" i="1"/>
  <c r="NF51" i="1"/>
  <c r="NA51" i="1"/>
  <c r="MV51" i="1"/>
  <c r="MQ51" i="1"/>
  <c r="ML51" i="1"/>
  <c r="MG51" i="1"/>
  <c r="MB51" i="1"/>
  <c r="LW51" i="1"/>
  <c r="LR51" i="1"/>
  <c r="LM51" i="1"/>
  <c r="LH51" i="1"/>
  <c r="LA51" i="1"/>
  <c r="LB51" i="1" s="1"/>
  <c r="LC51" i="1" s="1"/>
  <c r="KV51" i="1"/>
  <c r="KW51" i="1" s="1"/>
  <c r="KX51" i="1" s="1"/>
  <c r="KS51" i="1"/>
  <c r="KN51" i="1"/>
  <c r="KI51" i="1"/>
  <c r="KD51" i="1"/>
  <c r="JY51" i="1"/>
  <c r="JT51" i="1"/>
  <c r="JO51" i="1"/>
  <c r="JJ51" i="1"/>
  <c r="JE51" i="1"/>
  <c r="IZ51" i="1"/>
  <c r="IU51" i="1"/>
  <c r="IP51" i="1"/>
  <c r="IK51" i="1"/>
  <c r="IF51" i="1"/>
  <c r="IA51" i="1"/>
  <c r="HV51" i="1"/>
  <c r="HQ51" i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H51" i="1"/>
  <c r="EI51" i="1" s="1"/>
  <c r="EJ51" i="1" s="1"/>
  <c r="EC51" i="1"/>
  <c r="ED51" i="1" s="1"/>
  <c r="EE51" i="1" s="1"/>
  <c r="DX51" i="1"/>
  <c r="DY51" i="1" s="1"/>
  <c r="DZ51" i="1" s="1"/>
  <c r="DS51" i="1"/>
  <c r="DT51" i="1" s="1"/>
  <c r="DU51" i="1" s="1"/>
  <c r="DN51" i="1"/>
  <c r="DO51" i="1" s="1"/>
  <c r="DP51" i="1" s="1"/>
  <c r="DI51" i="1"/>
  <c r="DJ51" i="1" s="1"/>
  <c r="DK51" i="1" s="1"/>
  <c r="DD51" i="1"/>
  <c r="DE51" i="1" s="1"/>
  <c r="DF51" i="1" s="1"/>
  <c r="CY51" i="1"/>
  <c r="CZ51" i="1" s="1"/>
  <c r="DA51" i="1" s="1"/>
  <c r="CT51" i="1"/>
  <c r="CU51" i="1" s="1"/>
  <c r="CV51" i="1" s="1"/>
  <c r="CO51" i="1"/>
  <c r="CP51" i="1" s="1"/>
  <c r="CQ51" i="1" s="1"/>
  <c r="CJ51" i="1"/>
  <c r="CK51" i="1" s="1"/>
  <c r="CL51" i="1" s="1"/>
  <c r="CE51" i="1"/>
  <c r="CF51" i="1" s="1"/>
  <c r="CG51" i="1" s="1"/>
  <c r="BZ51" i="1"/>
  <c r="CA51" i="1" s="1"/>
  <c r="CB51" i="1" s="1"/>
  <c r="BU51" i="1"/>
  <c r="BV51" i="1" s="1"/>
  <c r="BW51" i="1" s="1"/>
  <c r="BP51" i="1"/>
  <c r="BQ51" i="1" s="1"/>
  <c r="BR51" i="1" s="1"/>
  <c r="BK51" i="1"/>
  <c r="BL51" i="1" s="1"/>
  <c r="BM51" i="1" s="1"/>
  <c r="BF51" i="1"/>
  <c r="BG51" i="1" s="1"/>
  <c r="BH51" i="1" s="1"/>
  <c r="BA51" i="1"/>
  <c r="BB51" i="1" s="1"/>
  <c r="BC51" i="1" s="1"/>
  <c r="AV51" i="1"/>
  <c r="AW51" i="1" s="1"/>
  <c r="AX51" i="1" s="1"/>
  <c r="AQ51" i="1"/>
  <c r="AR51" i="1" s="1"/>
  <c r="AS51" i="1" s="1"/>
  <c r="AL51" i="1"/>
  <c r="AM51" i="1" s="1"/>
  <c r="AN51" i="1" s="1"/>
  <c r="AG51" i="1"/>
  <c r="AH51" i="1" s="1"/>
  <c r="AI51" i="1" s="1"/>
  <c r="AB51" i="1"/>
  <c r="AC51" i="1" s="1"/>
  <c r="AD51" i="1" s="1"/>
  <c r="W51" i="1"/>
  <c r="X51" i="1" s="1"/>
  <c r="Y51" i="1" s="1"/>
  <c r="R51" i="1"/>
  <c r="S51" i="1" s="1"/>
  <c r="T51" i="1" s="1"/>
  <c r="O51" i="1"/>
  <c r="J51" i="1"/>
  <c r="PX50" i="1"/>
  <c r="PS50" i="1"/>
  <c r="PN50" i="1"/>
  <c r="PI50" i="1"/>
  <c r="PD50" i="1"/>
  <c r="OY50" i="1"/>
  <c r="OT50" i="1"/>
  <c r="OO50" i="1"/>
  <c r="OJ50" i="1"/>
  <c r="OE50" i="1"/>
  <c r="NZ50" i="1"/>
  <c r="NU50" i="1"/>
  <c r="NP50" i="1"/>
  <c r="NK50" i="1"/>
  <c r="NF50" i="1"/>
  <c r="NA50" i="1"/>
  <c r="MV50" i="1"/>
  <c r="MQ50" i="1"/>
  <c r="ML50" i="1"/>
  <c r="MG50" i="1"/>
  <c r="MB50" i="1"/>
  <c r="LW50" i="1"/>
  <c r="LR50" i="1"/>
  <c r="LM50" i="1"/>
  <c r="LH50" i="1"/>
  <c r="LC50" i="1"/>
  <c r="KV50" i="1"/>
  <c r="KW50" i="1" s="1"/>
  <c r="KX50" i="1" s="1"/>
  <c r="KS50" i="1"/>
  <c r="KN50" i="1"/>
  <c r="KI50" i="1"/>
  <c r="KD50" i="1"/>
  <c r="JY50" i="1"/>
  <c r="JT50" i="1"/>
  <c r="JO50" i="1"/>
  <c r="JJ50" i="1"/>
  <c r="JE50" i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T50" i="1"/>
  <c r="HU50" i="1" s="1"/>
  <c r="HV50" i="1" s="1"/>
  <c r="HQ50" i="1"/>
  <c r="HL50" i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H50" i="1"/>
  <c r="EI50" i="1" s="1"/>
  <c r="EJ50" i="1" s="1"/>
  <c r="EC50" i="1"/>
  <c r="ED50" i="1" s="1"/>
  <c r="EE50" i="1" s="1"/>
  <c r="DX50" i="1"/>
  <c r="DY50" i="1" s="1"/>
  <c r="DZ50" i="1" s="1"/>
  <c r="DS50" i="1"/>
  <c r="DT50" i="1" s="1"/>
  <c r="DU50" i="1" s="1"/>
  <c r="DN50" i="1"/>
  <c r="DO50" i="1" s="1"/>
  <c r="DP50" i="1" s="1"/>
  <c r="DI50" i="1"/>
  <c r="DJ50" i="1" s="1"/>
  <c r="DK50" i="1" s="1"/>
  <c r="DD50" i="1"/>
  <c r="DE50" i="1" s="1"/>
  <c r="DF50" i="1" s="1"/>
  <c r="CY50" i="1"/>
  <c r="CZ50" i="1" s="1"/>
  <c r="DA50" i="1" s="1"/>
  <c r="CT50" i="1"/>
  <c r="CU50" i="1" s="1"/>
  <c r="CV50" i="1" s="1"/>
  <c r="CO50" i="1"/>
  <c r="CP50" i="1" s="1"/>
  <c r="CQ50" i="1" s="1"/>
  <c r="CJ50" i="1"/>
  <c r="CK50" i="1" s="1"/>
  <c r="CL50" i="1" s="1"/>
  <c r="CE50" i="1"/>
  <c r="CF50" i="1" s="1"/>
  <c r="CG50" i="1" s="1"/>
  <c r="BZ50" i="1"/>
  <c r="CA50" i="1" s="1"/>
  <c r="CB50" i="1" s="1"/>
  <c r="BU50" i="1"/>
  <c r="BV50" i="1" s="1"/>
  <c r="BW50" i="1" s="1"/>
  <c r="BP50" i="1"/>
  <c r="BQ50" i="1" s="1"/>
  <c r="BR50" i="1" s="1"/>
  <c r="BK50" i="1"/>
  <c r="BL50" i="1" s="1"/>
  <c r="BM50" i="1" s="1"/>
  <c r="BF50" i="1"/>
  <c r="BG50" i="1" s="1"/>
  <c r="BH50" i="1" s="1"/>
  <c r="BA50" i="1"/>
  <c r="BB50" i="1" s="1"/>
  <c r="BC50" i="1" s="1"/>
  <c r="AV50" i="1"/>
  <c r="AW50" i="1" s="1"/>
  <c r="AX50" i="1" s="1"/>
  <c r="AQ50" i="1"/>
  <c r="AR50" i="1" s="1"/>
  <c r="AS50" i="1" s="1"/>
  <c r="AL50" i="1"/>
  <c r="AM50" i="1" s="1"/>
  <c r="AN50" i="1" s="1"/>
  <c r="AG50" i="1"/>
  <c r="AH50" i="1" s="1"/>
  <c r="AI50" i="1" s="1"/>
  <c r="AB50" i="1"/>
  <c r="AC50" i="1" s="1"/>
  <c r="AD50" i="1" s="1"/>
  <c r="W50" i="1"/>
  <c r="X50" i="1" s="1"/>
  <c r="Y50" i="1" s="1"/>
  <c r="T50" i="1"/>
  <c r="O50" i="1"/>
  <c r="J50" i="1"/>
  <c r="PX49" i="1"/>
  <c r="PS49" i="1"/>
  <c r="PN49" i="1"/>
  <c r="PI49" i="1"/>
  <c r="PD49" i="1"/>
  <c r="OY49" i="1"/>
  <c r="OT49" i="1"/>
  <c r="OO49" i="1"/>
  <c r="OJ49" i="1"/>
  <c r="OE49" i="1"/>
  <c r="NZ49" i="1"/>
  <c r="NU49" i="1"/>
  <c r="NP49" i="1"/>
  <c r="NK49" i="1"/>
  <c r="NF49" i="1"/>
  <c r="NA49" i="1"/>
  <c r="MV49" i="1"/>
  <c r="MQ49" i="1"/>
  <c r="ML49" i="1"/>
  <c r="MG49" i="1"/>
  <c r="MB49" i="1"/>
  <c r="LW49" i="1"/>
  <c r="LR49" i="1"/>
  <c r="LM49" i="1"/>
  <c r="LH49" i="1"/>
  <c r="LC49" i="1"/>
  <c r="KX49" i="1"/>
  <c r="KS49" i="1"/>
  <c r="KN49" i="1"/>
  <c r="KI49" i="1"/>
  <c r="KD49" i="1"/>
  <c r="JY49" i="1"/>
  <c r="JT49" i="1"/>
  <c r="JO49" i="1"/>
  <c r="JJ49" i="1"/>
  <c r="JE49" i="1"/>
  <c r="IX49" i="1"/>
  <c r="IY49" i="1" s="1"/>
  <c r="IZ49" i="1" s="1"/>
  <c r="IS49" i="1"/>
  <c r="IT49" i="1" s="1"/>
  <c r="IU49" i="1" s="1"/>
  <c r="IN49" i="1"/>
  <c r="IO49" i="1" s="1"/>
  <c r="IP49" i="1" s="1"/>
  <c r="IK49" i="1"/>
  <c r="IF49" i="1"/>
  <c r="IA49" i="1"/>
  <c r="HV49" i="1"/>
  <c r="HQ49" i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H49" i="1"/>
  <c r="EI49" i="1" s="1"/>
  <c r="EJ49" i="1" s="1"/>
  <c r="EC49" i="1"/>
  <c r="ED49" i="1" s="1"/>
  <c r="EE49" i="1" s="1"/>
  <c r="DX49" i="1"/>
  <c r="DY49" i="1" s="1"/>
  <c r="DZ49" i="1" s="1"/>
  <c r="DS49" i="1"/>
  <c r="DT49" i="1" s="1"/>
  <c r="DU49" i="1" s="1"/>
  <c r="DN49" i="1"/>
  <c r="DO49" i="1" s="1"/>
  <c r="DP49" i="1" s="1"/>
  <c r="DI49" i="1"/>
  <c r="DJ49" i="1" s="1"/>
  <c r="DK49" i="1" s="1"/>
  <c r="DD49" i="1"/>
  <c r="DE49" i="1" s="1"/>
  <c r="DF49" i="1" s="1"/>
  <c r="CY49" i="1"/>
  <c r="CZ49" i="1" s="1"/>
  <c r="DA49" i="1" s="1"/>
  <c r="CT49" i="1"/>
  <c r="CU49" i="1" s="1"/>
  <c r="CV49" i="1" s="1"/>
  <c r="CO49" i="1"/>
  <c r="CP49" i="1" s="1"/>
  <c r="CQ49" i="1" s="1"/>
  <c r="CJ49" i="1"/>
  <c r="CK49" i="1" s="1"/>
  <c r="CL49" i="1" s="1"/>
  <c r="CE49" i="1"/>
  <c r="CF49" i="1" s="1"/>
  <c r="CG49" i="1" s="1"/>
  <c r="BZ49" i="1"/>
  <c r="CA49" i="1" s="1"/>
  <c r="CB49" i="1" s="1"/>
  <c r="BU49" i="1"/>
  <c r="BV49" i="1" s="1"/>
  <c r="BW49" i="1" s="1"/>
  <c r="BP49" i="1"/>
  <c r="BQ49" i="1" s="1"/>
  <c r="BR49" i="1" s="1"/>
  <c r="BK49" i="1"/>
  <c r="BL49" i="1" s="1"/>
  <c r="BM49" i="1" s="1"/>
  <c r="BF49" i="1"/>
  <c r="BG49" i="1" s="1"/>
  <c r="BH49" i="1" s="1"/>
  <c r="BA49" i="1"/>
  <c r="BB49" i="1" s="1"/>
  <c r="BC49" i="1" s="1"/>
  <c r="AV49" i="1"/>
  <c r="AW49" i="1" s="1"/>
  <c r="AX49" i="1" s="1"/>
  <c r="AQ49" i="1"/>
  <c r="AR49" i="1" s="1"/>
  <c r="AS49" i="1" s="1"/>
  <c r="AL49" i="1"/>
  <c r="AM49" i="1" s="1"/>
  <c r="AN49" i="1" s="1"/>
  <c r="AG49" i="1"/>
  <c r="AH49" i="1" s="1"/>
  <c r="AI49" i="1" s="1"/>
  <c r="AB49" i="1"/>
  <c r="AC49" i="1" s="1"/>
  <c r="AD49" i="1" s="1"/>
  <c r="W49" i="1"/>
  <c r="X49" i="1" s="1"/>
  <c r="Y49" i="1" s="1"/>
  <c r="T49" i="1"/>
  <c r="O49" i="1"/>
  <c r="J49" i="1"/>
  <c r="PX48" i="1"/>
  <c r="PS48" i="1"/>
  <c r="PN48" i="1"/>
  <c r="PI48" i="1"/>
  <c r="PD48" i="1"/>
  <c r="OY48" i="1"/>
  <c r="OT48" i="1"/>
  <c r="OO48" i="1"/>
  <c r="OJ48" i="1"/>
  <c r="OE48" i="1"/>
  <c r="NZ48" i="1"/>
  <c r="NS48" i="1"/>
  <c r="NT48" i="1" s="1"/>
  <c r="NU48" i="1" s="1"/>
  <c r="NP48" i="1"/>
  <c r="NK48" i="1"/>
  <c r="NF48" i="1"/>
  <c r="NA48" i="1"/>
  <c r="MV48" i="1"/>
  <c r="MQ48" i="1"/>
  <c r="ML48" i="1"/>
  <c r="MG48" i="1"/>
  <c r="MB48" i="1"/>
  <c r="LW48" i="1"/>
  <c r="LR48" i="1"/>
  <c r="LM48" i="1"/>
  <c r="LH48" i="1"/>
  <c r="LA48" i="1"/>
  <c r="LB48" i="1" s="1"/>
  <c r="LC48" i="1" s="1"/>
  <c r="KV48" i="1"/>
  <c r="KW48" i="1" s="1"/>
  <c r="KX48" i="1" s="1"/>
  <c r="KS48" i="1"/>
  <c r="KN48" i="1"/>
  <c r="KG48" i="1"/>
  <c r="KH48" i="1" s="1"/>
  <c r="KI48" i="1" s="1"/>
  <c r="KD48" i="1"/>
  <c r="JY48" i="1"/>
  <c r="JT48" i="1"/>
  <c r="JO48" i="1"/>
  <c r="JJ48" i="1"/>
  <c r="JE48" i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T48" i="1"/>
  <c r="HU48" i="1" s="1"/>
  <c r="HV48" i="1" s="1"/>
  <c r="HQ48" i="1"/>
  <c r="HL48" i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H48" i="1"/>
  <c r="EI48" i="1" s="1"/>
  <c r="EJ48" i="1" s="1"/>
  <c r="EC48" i="1"/>
  <c r="ED48" i="1" s="1"/>
  <c r="EE48" i="1" s="1"/>
  <c r="DX48" i="1"/>
  <c r="DY48" i="1" s="1"/>
  <c r="DZ48" i="1" s="1"/>
  <c r="DS48" i="1"/>
  <c r="DT48" i="1" s="1"/>
  <c r="DU48" i="1" s="1"/>
  <c r="DN48" i="1"/>
  <c r="DO48" i="1" s="1"/>
  <c r="DP48" i="1" s="1"/>
  <c r="DI48" i="1"/>
  <c r="DJ48" i="1" s="1"/>
  <c r="DK48" i="1" s="1"/>
  <c r="DD48" i="1"/>
  <c r="DE48" i="1" s="1"/>
  <c r="DF48" i="1" s="1"/>
  <c r="CY48" i="1"/>
  <c r="CZ48" i="1" s="1"/>
  <c r="DA48" i="1" s="1"/>
  <c r="CT48" i="1"/>
  <c r="CU48" i="1" s="1"/>
  <c r="CV48" i="1" s="1"/>
  <c r="CO48" i="1"/>
  <c r="CP48" i="1" s="1"/>
  <c r="CQ48" i="1" s="1"/>
  <c r="CJ48" i="1"/>
  <c r="CK48" i="1" s="1"/>
  <c r="CL48" i="1" s="1"/>
  <c r="CE48" i="1"/>
  <c r="CF48" i="1" s="1"/>
  <c r="CG48" i="1" s="1"/>
  <c r="BZ48" i="1"/>
  <c r="CA48" i="1" s="1"/>
  <c r="CB48" i="1" s="1"/>
  <c r="BU48" i="1"/>
  <c r="BV48" i="1" s="1"/>
  <c r="BW48" i="1" s="1"/>
  <c r="BP48" i="1"/>
  <c r="BQ48" i="1" s="1"/>
  <c r="BR48" i="1" s="1"/>
  <c r="BK48" i="1"/>
  <c r="BL48" i="1" s="1"/>
  <c r="BM48" i="1" s="1"/>
  <c r="BF48" i="1"/>
  <c r="BG48" i="1" s="1"/>
  <c r="BH48" i="1" s="1"/>
  <c r="BA48" i="1"/>
  <c r="BB48" i="1" s="1"/>
  <c r="BC48" i="1" s="1"/>
  <c r="AV48" i="1"/>
  <c r="AW48" i="1" s="1"/>
  <c r="AX48" i="1" s="1"/>
  <c r="AQ48" i="1"/>
  <c r="AR48" i="1" s="1"/>
  <c r="AS48" i="1" s="1"/>
  <c r="AL48" i="1"/>
  <c r="AM48" i="1" s="1"/>
  <c r="AN48" i="1" s="1"/>
  <c r="AG48" i="1"/>
  <c r="AH48" i="1" s="1"/>
  <c r="AI48" i="1" s="1"/>
  <c r="AB48" i="1"/>
  <c r="AC48" i="1" s="1"/>
  <c r="AD48" i="1" s="1"/>
  <c r="W48" i="1"/>
  <c r="X48" i="1" s="1"/>
  <c r="Y48" i="1" s="1"/>
  <c r="T48" i="1"/>
  <c r="O48" i="1"/>
  <c r="J48" i="1"/>
  <c r="PX47" i="1"/>
  <c r="PS47" i="1"/>
  <c r="PN47" i="1"/>
  <c r="PI47" i="1"/>
  <c r="PD47" i="1"/>
  <c r="OY47" i="1"/>
  <c r="OT47" i="1"/>
  <c r="OO47" i="1"/>
  <c r="OJ47" i="1"/>
  <c r="OE47" i="1"/>
  <c r="NZ47" i="1"/>
  <c r="NU47" i="1"/>
  <c r="NP47" i="1"/>
  <c r="NK47" i="1"/>
  <c r="NF47" i="1"/>
  <c r="NA47" i="1"/>
  <c r="MV47" i="1"/>
  <c r="MQ47" i="1"/>
  <c r="ML47" i="1"/>
  <c r="MG47" i="1"/>
  <c r="MB47" i="1"/>
  <c r="LW47" i="1"/>
  <c r="LR47" i="1"/>
  <c r="LM47" i="1"/>
  <c r="LH47" i="1"/>
  <c r="LC47" i="1"/>
  <c r="KX47" i="1"/>
  <c r="KS47" i="1"/>
  <c r="KN47" i="1"/>
  <c r="KI47" i="1"/>
  <c r="KD47" i="1"/>
  <c r="JY47" i="1"/>
  <c r="JT47" i="1"/>
  <c r="JO47" i="1"/>
  <c r="JJ47" i="1"/>
  <c r="JE47" i="1"/>
  <c r="IZ47" i="1"/>
  <c r="IU47" i="1"/>
  <c r="IP47" i="1"/>
  <c r="IK47" i="1"/>
  <c r="IF47" i="1"/>
  <c r="IA47" i="1"/>
  <c r="HV47" i="1"/>
  <c r="HQ47" i="1"/>
  <c r="HL47" i="1"/>
  <c r="HG47" i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H47" i="1"/>
  <c r="EI47" i="1" s="1"/>
  <c r="EJ47" i="1" s="1"/>
  <c r="EC47" i="1"/>
  <c r="ED47" i="1" s="1"/>
  <c r="EE47" i="1" s="1"/>
  <c r="DX47" i="1"/>
  <c r="DY47" i="1" s="1"/>
  <c r="DZ47" i="1" s="1"/>
  <c r="DS47" i="1"/>
  <c r="DT47" i="1" s="1"/>
  <c r="DU47" i="1" s="1"/>
  <c r="DN47" i="1"/>
  <c r="DO47" i="1" s="1"/>
  <c r="DP47" i="1" s="1"/>
  <c r="DI47" i="1"/>
  <c r="DJ47" i="1" s="1"/>
  <c r="DK47" i="1" s="1"/>
  <c r="DD47" i="1"/>
  <c r="DE47" i="1" s="1"/>
  <c r="DF47" i="1" s="1"/>
  <c r="CY47" i="1"/>
  <c r="CZ47" i="1" s="1"/>
  <c r="DA47" i="1" s="1"/>
  <c r="CT47" i="1"/>
  <c r="CU47" i="1" s="1"/>
  <c r="CV47" i="1" s="1"/>
  <c r="CO47" i="1"/>
  <c r="CP47" i="1" s="1"/>
  <c r="CQ47" i="1" s="1"/>
  <c r="CJ47" i="1"/>
  <c r="CK47" i="1" s="1"/>
  <c r="CL47" i="1" s="1"/>
  <c r="CE47" i="1"/>
  <c r="CF47" i="1" s="1"/>
  <c r="CG47" i="1" s="1"/>
  <c r="BZ47" i="1"/>
  <c r="CA47" i="1" s="1"/>
  <c r="CB47" i="1" s="1"/>
  <c r="BU47" i="1"/>
  <c r="BV47" i="1" s="1"/>
  <c r="BW47" i="1" s="1"/>
  <c r="BP47" i="1"/>
  <c r="BQ47" i="1" s="1"/>
  <c r="BR47" i="1" s="1"/>
  <c r="BK47" i="1"/>
  <c r="BL47" i="1" s="1"/>
  <c r="BM47" i="1" s="1"/>
  <c r="BF47" i="1"/>
  <c r="BG47" i="1" s="1"/>
  <c r="BH47" i="1" s="1"/>
  <c r="BA47" i="1"/>
  <c r="BB47" i="1" s="1"/>
  <c r="BC47" i="1" s="1"/>
  <c r="AV47" i="1"/>
  <c r="AW47" i="1" s="1"/>
  <c r="AX47" i="1" s="1"/>
  <c r="AQ47" i="1"/>
  <c r="AR47" i="1" s="1"/>
  <c r="AS47" i="1" s="1"/>
  <c r="AL47" i="1"/>
  <c r="AM47" i="1" s="1"/>
  <c r="AN47" i="1" s="1"/>
  <c r="AG47" i="1"/>
  <c r="AH47" i="1" s="1"/>
  <c r="AI47" i="1" s="1"/>
  <c r="AD47" i="1"/>
  <c r="W47" i="1"/>
  <c r="X47" i="1" s="1"/>
  <c r="Y47" i="1" s="1"/>
  <c r="T47" i="1"/>
  <c r="O47" i="1"/>
  <c r="H47" i="1"/>
  <c r="I47" i="1" s="1"/>
  <c r="J47" i="1" s="1"/>
  <c r="PX46" i="1"/>
  <c r="PS46" i="1"/>
  <c r="PN46" i="1"/>
  <c r="PI46" i="1"/>
  <c r="PD46" i="1"/>
  <c r="OY46" i="1"/>
  <c r="OT46" i="1"/>
  <c r="OO46" i="1"/>
  <c r="OJ46" i="1"/>
  <c r="OE46" i="1"/>
  <c r="NZ46" i="1"/>
  <c r="NU46" i="1"/>
  <c r="NP46" i="1"/>
  <c r="NK46" i="1"/>
  <c r="NF46" i="1"/>
  <c r="NA46" i="1"/>
  <c r="MV46" i="1"/>
  <c r="MQ46" i="1"/>
  <c r="ML46" i="1"/>
  <c r="MG46" i="1"/>
  <c r="MB46" i="1"/>
  <c r="LW46" i="1"/>
  <c r="LR46" i="1"/>
  <c r="LK46" i="1"/>
  <c r="LL46" i="1" s="1"/>
  <c r="LM46" i="1" s="1"/>
  <c r="LH46" i="1"/>
  <c r="LC46" i="1"/>
  <c r="KV46" i="1"/>
  <c r="KW46" i="1" s="1"/>
  <c r="KX46" i="1" s="1"/>
  <c r="KS46" i="1"/>
  <c r="KN46" i="1"/>
  <c r="KI46" i="1"/>
  <c r="KD46" i="1"/>
  <c r="JY46" i="1"/>
  <c r="JT46" i="1"/>
  <c r="JO46" i="1"/>
  <c r="JJ46" i="1"/>
  <c r="JE46" i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H46" i="1"/>
  <c r="EI46" i="1" s="1"/>
  <c r="EJ46" i="1" s="1"/>
  <c r="EC46" i="1"/>
  <c r="ED46" i="1" s="1"/>
  <c r="EE46" i="1" s="1"/>
  <c r="DX46" i="1"/>
  <c r="DY46" i="1" s="1"/>
  <c r="DZ46" i="1" s="1"/>
  <c r="DS46" i="1"/>
  <c r="DT46" i="1" s="1"/>
  <c r="DU46" i="1" s="1"/>
  <c r="DN46" i="1"/>
  <c r="DO46" i="1" s="1"/>
  <c r="DP46" i="1" s="1"/>
  <c r="DI46" i="1"/>
  <c r="DJ46" i="1" s="1"/>
  <c r="DK46" i="1" s="1"/>
  <c r="DD46" i="1"/>
  <c r="DE46" i="1" s="1"/>
  <c r="DF46" i="1" s="1"/>
  <c r="CY46" i="1"/>
  <c r="CZ46" i="1" s="1"/>
  <c r="DA46" i="1" s="1"/>
  <c r="CT46" i="1"/>
  <c r="CU46" i="1" s="1"/>
  <c r="CV46" i="1" s="1"/>
  <c r="CO46" i="1"/>
  <c r="CP46" i="1" s="1"/>
  <c r="CQ46" i="1" s="1"/>
  <c r="CJ46" i="1"/>
  <c r="CK46" i="1" s="1"/>
  <c r="CL46" i="1" s="1"/>
  <c r="CE46" i="1"/>
  <c r="CF46" i="1" s="1"/>
  <c r="CG46" i="1" s="1"/>
  <c r="BZ46" i="1"/>
  <c r="CA46" i="1" s="1"/>
  <c r="CB46" i="1" s="1"/>
  <c r="BU46" i="1"/>
  <c r="BV46" i="1" s="1"/>
  <c r="BW46" i="1" s="1"/>
  <c r="BP46" i="1"/>
  <c r="BQ46" i="1" s="1"/>
  <c r="BR46" i="1" s="1"/>
  <c r="BK46" i="1"/>
  <c r="BL46" i="1" s="1"/>
  <c r="BM46" i="1" s="1"/>
  <c r="BF46" i="1"/>
  <c r="BG46" i="1" s="1"/>
  <c r="BH46" i="1" s="1"/>
  <c r="BA46" i="1"/>
  <c r="BB46" i="1" s="1"/>
  <c r="BC46" i="1" s="1"/>
  <c r="AV46" i="1"/>
  <c r="AW46" i="1" s="1"/>
  <c r="AX46" i="1" s="1"/>
  <c r="AQ46" i="1"/>
  <c r="AR46" i="1" s="1"/>
  <c r="AS46" i="1" s="1"/>
  <c r="AL46" i="1"/>
  <c r="AM46" i="1" s="1"/>
  <c r="AN46" i="1" s="1"/>
  <c r="AG46" i="1"/>
  <c r="AH46" i="1" s="1"/>
  <c r="AI46" i="1" s="1"/>
  <c r="AB46" i="1"/>
  <c r="AC46" i="1" s="1"/>
  <c r="AD46" i="1" s="1"/>
  <c r="W46" i="1"/>
  <c r="X46" i="1" s="1"/>
  <c r="Y46" i="1" s="1"/>
  <c r="T46" i="1"/>
  <c r="O46" i="1"/>
  <c r="J46" i="1"/>
  <c r="PX45" i="1"/>
  <c r="PS45" i="1"/>
  <c r="PN45" i="1"/>
  <c r="PI45" i="1"/>
  <c r="PD45" i="1"/>
  <c r="OY45" i="1"/>
  <c r="OT45" i="1"/>
  <c r="OO45" i="1"/>
  <c r="OJ45" i="1"/>
  <c r="OE45" i="1"/>
  <c r="NZ45" i="1"/>
  <c r="NU45" i="1"/>
  <c r="NP45" i="1"/>
  <c r="NK45" i="1"/>
  <c r="NF45" i="1"/>
  <c r="NA45" i="1"/>
  <c r="MV45" i="1"/>
  <c r="MQ45" i="1"/>
  <c r="ML45" i="1"/>
  <c r="MG45" i="1"/>
  <c r="MB45" i="1"/>
  <c r="LW45" i="1"/>
  <c r="LR45" i="1"/>
  <c r="LM45" i="1"/>
  <c r="LH45" i="1"/>
  <c r="LC45" i="1"/>
  <c r="KX45" i="1"/>
  <c r="KQ45" i="1"/>
  <c r="KR45" i="1" s="1"/>
  <c r="KS45" i="1" s="1"/>
  <c r="KN45" i="1"/>
  <c r="KG45" i="1"/>
  <c r="KH45" i="1" s="1"/>
  <c r="KI45" i="1" s="1"/>
  <c r="KD45" i="1"/>
  <c r="JY45" i="1"/>
  <c r="JT45" i="1"/>
  <c r="JO45" i="1"/>
  <c r="JJ45" i="1"/>
  <c r="JE45" i="1"/>
  <c r="IZ45" i="1"/>
  <c r="IU45" i="1"/>
  <c r="IP45" i="1"/>
  <c r="IK45" i="1"/>
  <c r="IF45" i="1"/>
  <c r="IA45" i="1"/>
  <c r="HV45" i="1"/>
  <c r="HQ45" i="1"/>
  <c r="HL45" i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H45" i="1"/>
  <c r="EI45" i="1" s="1"/>
  <c r="EJ45" i="1" s="1"/>
  <c r="EC45" i="1"/>
  <c r="ED45" i="1" s="1"/>
  <c r="EE45" i="1" s="1"/>
  <c r="DX45" i="1"/>
  <c r="DY45" i="1" s="1"/>
  <c r="DZ45" i="1" s="1"/>
  <c r="DS45" i="1"/>
  <c r="DT45" i="1" s="1"/>
  <c r="DU45" i="1" s="1"/>
  <c r="DN45" i="1"/>
  <c r="DO45" i="1" s="1"/>
  <c r="DP45" i="1" s="1"/>
  <c r="DI45" i="1"/>
  <c r="DJ45" i="1" s="1"/>
  <c r="DK45" i="1" s="1"/>
  <c r="DD45" i="1"/>
  <c r="DE45" i="1" s="1"/>
  <c r="DF45" i="1" s="1"/>
  <c r="CY45" i="1"/>
  <c r="CZ45" i="1" s="1"/>
  <c r="DA45" i="1" s="1"/>
  <c r="CT45" i="1"/>
  <c r="CU45" i="1" s="1"/>
  <c r="CV45" i="1" s="1"/>
  <c r="CO45" i="1"/>
  <c r="CP45" i="1" s="1"/>
  <c r="CQ45" i="1" s="1"/>
  <c r="CJ45" i="1"/>
  <c r="CK45" i="1" s="1"/>
  <c r="CL45" i="1" s="1"/>
  <c r="CE45" i="1"/>
  <c r="CF45" i="1" s="1"/>
  <c r="CG45" i="1" s="1"/>
  <c r="BZ45" i="1"/>
  <c r="CA45" i="1" s="1"/>
  <c r="CB45" i="1" s="1"/>
  <c r="BU45" i="1"/>
  <c r="BV45" i="1" s="1"/>
  <c r="BW45" i="1" s="1"/>
  <c r="BP45" i="1"/>
  <c r="BQ45" i="1" s="1"/>
  <c r="BR45" i="1" s="1"/>
  <c r="BK45" i="1"/>
  <c r="BL45" i="1" s="1"/>
  <c r="BM45" i="1" s="1"/>
  <c r="BF45" i="1"/>
  <c r="BG45" i="1" s="1"/>
  <c r="BH45" i="1" s="1"/>
  <c r="BA45" i="1"/>
  <c r="BB45" i="1" s="1"/>
  <c r="BC45" i="1" s="1"/>
  <c r="AV45" i="1"/>
  <c r="AW45" i="1" s="1"/>
  <c r="AX45" i="1" s="1"/>
  <c r="AQ45" i="1"/>
  <c r="AR45" i="1" s="1"/>
  <c r="AS45" i="1" s="1"/>
  <c r="AL45" i="1"/>
  <c r="AM45" i="1" s="1"/>
  <c r="AN45" i="1" s="1"/>
  <c r="AG45" i="1"/>
  <c r="AH45" i="1" s="1"/>
  <c r="AI45" i="1" s="1"/>
  <c r="AB45" i="1"/>
  <c r="AC45" i="1" s="1"/>
  <c r="AD45" i="1" s="1"/>
  <c r="W45" i="1"/>
  <c r="X45" i="1" s="1"/>
  <c r="Y45" i="1" s="1"/>
  <c r="T45" i="1"/>
  <c r="O45" i="1"/>
  <c r="J45" i="1"/>
  <c r="PX44" i="1"/>
  <c r="PS44" i="1"/>
  <c r="PN44" i="1"/>
  <c r="PI44" i="1"/>
  <c r="PD44" i="1"/>
  <c r="OY44" i="1"/>
  <c r="OT44" i="1"/>
  <c r="OO44" i="1"/>
  <c r="OJ44" i="1"/>
  <c r="OE44" i="1"/>
  <c r="NZ44" i="1"/>
  <c r="NU44" i="1"/>
  <c r="NP44" i="1"/>
  <c r="NK44" i="1"/>
  <c r="NF44" i="1"/>
  <c r="NA44" i="1"/>
  <c r="MV44" i="1"/>
  <c r="MQ44" i="1"/>
  <c r="ML44" i="1"/>
  <c r="MG44" i="1"/>
  <c r="MB44" i="1"/>
  <c r="LW44" i="1"/>
  <c r="LR44" i="1"/>
  <c r="LM44" i="1"/>
  <c r="LH44" i="1"/>
  <c r="LC44" i="1"/>
  <c r="KX44" i="1"/>
  <c r="KS44" i="1"/>
  <c r="KN44" i="1"/>
  <c r="KI44" i="1"/>
  <c r="KD44" i="1"/>
  <c r="JY44" i="1"/>
  <c r="JT44" i="1"/>
  <c r="JO44" i="1"/>
  <c r="JJ44" i="1"/>
  <c r="JE44" i="1"/>
  <c r="IZ44" i="1"/>
  <c r="IU44" i="1"/>
  <c r="IP44" i="1"/>
  <c r="IK44" i="1"/>
  <c r="IF44" i="1"/>
  <c r="IA44" i="1"/>
  <c r="HV44" i="1"/>
  <c r="HQ44" i="1"/>
  <c r="HL44" i="1"/>
  <c r="HG44" i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H44" i="1"/>
  <c r="EI44" i="1" s="1"/>
  <c r="EJ44" i="1" s="1"/>
  <c r="EC44" i="1"/>
  <c r="ED44" i="1" s="1"/>
  <c r="EE44" i="1" s="1"/>
  <c r="DX44" i="1"/>
  <c r="DY44" i="1" s="1"/>
  <c r="DZ44" i="1" s="1"/>
  <c r="DS44" i="1"/>
  <c r="DT44" i="1" s="1"/>
  <c r="DU44" i="1" s="1"/>
  <c r="DN44" i="1"/>
  <c r="DO44" i="1" s="1"/>
  <c r="DP44" i="1" s="1"/>
  <c r="DI44" i="1"/>
  <c r="DJ44" i="1" s="1"/>
  <c r="DK44" i="1" s="1"/>
  <c r="DD44" i="1"/>
  <c r="DE44" i="1" s="1"/>
  <c r="DF44" i="1" s="1"/>
  <c r="CY44" i="1"/>
  <c r="CZ44" i="1" s="1"/>
  <c r="DA44" i="1" s="1"/>
  <c r="CT44" i="1"/>
  <c r="CU44" i="1" s="1"/>
  <c r="CV44" i="1" s="1"/>
  <c r="CO44" i="1"/>
  <c r="CP44" i="1" s="1"/>
  <c r="CQ44" i="1" s="1"/>
  <c r="CJ44" i="1"/>
  <c r="CK44" i="1" s="1"/>
  <c r="CL44" i="1" s="1"/>
  <c r="CE44" i="1"/>
  <c r="CF44" i="1" s="1"/>
  <c r="CG44" i="1" s="1"/>
  <c r="BZ44" i="1"/>
  <c r="CA44" i="1" s="1"/>
  <c r="CB44" i="1" s="1"/>
  <c r="BU44" i="1"/>
  <c r="BV44" i="1" s="1"/>
  <c r="BW44" i="1" s="1"/>
  <c r="BP44" i="1"/>
  <c r="BQ44" i="1" s="1"/>
  <c r="BR44" i="1" s="1"/>
  <c r="BK44" i="1"/>
  <c r="BL44" i="1" s="1"/>
  <c r="BM44" i="1" s="1"/>
  <c r="BF44" i="1"/>
  <c r="BG44" i="1" s="1"/>
  <c r="BH44" i="1" s="1"/>
  <c r="BA44" i="1"/>
  <c r="BB44" i="1" s="1"/>
  <c r="BC44" i="1" s="1"/>
  <c r="AV44" i="1"/>
  <c r="AW44" i="1" s="1"/>
  <c r="AX44" i="1" s="1"/>
  <c r="AQ44" i="1"/>
  <c r="AR44" i="1" s="1"/>
  <c r="AS44" i="1" s="1"/>
  <c r="AL44" i="1"/>
  <c r="AM44" i="1" s="1"/>
  <c r="AN44" i="1" s="1"/>
  <c r="AG44" i="1"/>
  <c r="AH44" i="1" s="1"/>
  <c r="AI44" i="1" s="1"/>
  <c r="AD44" i="1"/>
  <c r="W44" i="1"/>
  <c r="X44" i="1" s="1"/>
  <c r="Y44" i="1" s="1"/>
  <c r="T44" i="1"/>
  <c r="O44" i="1"/>
  <c r="H44" i="1"/>
  <c r="I44" i="1" s="1"/>
  <c r="J44" i="1" s="1"/>
  <c r="PX43" i="1"/>
  <c r="PS43" i="1"/>
  <c r="PN43" i="1"/>
  <c r="PI43" i="1"/>
  <c r="PD43" i="1"/>
  <c r="OY43" i="1"/>
  <c r="OT43" i="1"/>
  <c r="OO43" i="1"/>
  <c r="OJ43" i="1"/>
  <c r="OE43" i="1"/>
  <c r="NZ43" i="1"/>
  <c r="NU43" i="1"/>
  <c r="NP43" i="1"/>
  <c r="NK43" i="1"/>
  <c r="NF43" i="1"/>
  <c r="NA43" i="1"/>
  <c r="MV43" i="1"/>
  <c r="MQ43" i="1"/>
  <c r="ML43" i="1"/>
  <c r="ME43" i="1"/>
  <c r="MF43" i="1" s="1"/>
  <c r="MG43" i="1" s="1"/>
  <c r="LZ43" i="1"/>
  <c r="MA43" i="1" s="1"/>
  <c r="MB43" i="1" s="1"/>
  <c r="LU43" i="1"/>
  <c r="LV43" i="1" s="1"/>
  <c r="LW43" i="1" s="1"/>
  <c r="LP43" i="1"/>
  <c r="LQ43" i="1" s="1"/>
  <c r="LR43" i="1" s="1"/>
  <c r="LK43" i="1"/>
  <c r="LL43" i="1" s="1"/>
  <c r="LM43" i="1" s="1"/>
  <c r="LH43" i="1"/>
  <c r="LA43" i="1"/>
  <c r="LB43" i="1" s="1"/>
  <c r="LC43" i="1" s="1"/>
  <c r="KV43" i="1"/>
  <c r="KW43" i="1" s="1"/>
  <c r="KX43" i="1" s="1"/>
  <c r="KS43" i="1"/>
  <c r="KL43" i="1"/>
  <c r="KM43" i="1" s="1"/>
  <c r="KN43" i="1" s="1"/>
  <c r="KI43" i="1"/>
  <c r="KD43" i="1"/>
  <c r="JY43" i="1"/>
  <c r="JT43" i="1"/>
  <c r="JO43" i="1"/>
  <c r="JJ43" i="1"/>
  <c r="JE43" i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T43" i="1"/>
  <c r="HU43" i="1" s="1"/>
  <c r="HV43" i="1" s="1"/>
  <c r="HQ43" i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H43" i="1"/>
  <c r="EI43" i="1" s="1"/>
  <c r="EJ43" i="1" s="1"/>
  <c r="EC43" i="1"/>
  <c r="ED43" i="1" s="1"/>
  <c r="EE43" i="1" s="1"/>
  <c r="DX43" i="1"/>
  <c r="DY43" i="1" s="1"/>
  <c r="DZ43" i="1" s="1"/>
  <c r="DS43" i="1"/>
  <c r="DT43" i="1" s="1"/>
  <c r="DU43" i="1" s="1"/>
  <c r="DN43" i="1"/>
  <c r="DO43" i="1" s="1"/>
  <c r="DP43" i="1" s="1"/>
  <c r="DI43" i="1"/>
  <c r="DJ43" i="1" s="1"/>
  <c r="DK43" i="1" s="1"/>
  <c r="DD43" i="1"/>
  <c r="DE43" i="1" s="1"/>
  <c r="DF43" i="1" s="1"/>
  <c r="CY43" i="1"/>
  <c r="CZ43" i="1" s="1"/>
  <c r="DA43" i="1" s="1"/>
  <c r="CT43" i="1"/>
  <c r="CU43" i="1" s="1"/>
  <c r="CV43" i="1" s="1"/>
  <c r="CO43" i="1"/>
  <c r="CP43" i="1" s="1"/>
  <c r="CQ43" i="1" s="1"/>
  <c r="CJ43" i="1"/>
  <c r="CK43" i="1" s="1"/>
  <c r="CL43" i="1" s="1"/>
  <c r="CE43" i="1"/>
  <c r="CF43" i="1" s="1"/>
  <c r="CG43" i="1" s="1"/>
  <c r="BZ43" i="1"/>
  <c r="CA43" i="1" s="1"/>
  <c r="CB43" i="1" s="1"/>
  <c r="BU43" i="1"/>
  <c r="BV43" i="1" s="1"/>
  <c r="BW43" i="1" s="1"/>
  <c r="BP43" i="1"/>
  <c r="BQ43" i="1" s="1"/>
  <c r="BR43" i="1" s="1"/>
  <c r="BK43" i="1"/>
  <c r="BL43" i="1" s="1"/>
  <c r="BM43" i="1" s="1"/>
  <c r="BF43" i="1"/>
  <c r="BG43" i="1" s="1"/>
  <c r="BH43" i="1" s="1"/>
  <c r="BA43" i="1"/>
  <c r="BB43" i="1" s="1"/>
  <c r="BC43" i="1" s="1"/>
  <c r="AV43" i="1"/>
  <c r="AW43" i="1" s="1"/>
  <c r="AX43" i="1" s="1"/>
  <c r="AQ43" i="1"/>
  <c r="AR43" i="1" s="1"/>
  <c r="AS43" i="1" s="1"/>
  <c r="AL43" i="1"/>
  <c r="AM43" i="1" s="1"/>
  <c r="AN43" i="1" s="1"/>
  <c r="AG43" i="1"/>
  <c r="AH43" i="1" s="1"/>
  <c r="AI43" i="1" s="1"/>
  <c r="AB43" i="1"/>
  <c r="AC43" i="1" s="1"/>
  <c r="AD43" i="1" s="1"/>
  <c r="W43" i="1"/>
  <c r="X43" i="1" s="1"/>
  <c r="Y43" i="1" s="1"/>
  <c r="T43" i="1"/>
  <c r="O43" i="1"/>
  <c r="J43" i="1"/>
  <c r="PX42" i="1"/>
  <c r="PS42" i="1"/>
  <c r="PN42" i="1"/>
  <c r="PI42" i="1"/>
  <c r="PD42" i="1"/>
  <c r="OY42" i="1"/>
  <c r="OT42" i="1"/>
  <c r="OO42" i="1"/>
  <c r="OJ42" i="1"/>
  <c r="OE42" i="1"/>
  <c r="NZ42" i="1"/>
  <c r="NU42" i="1"/>
  <c r="NP42" i="1"/>
  <c r="NK42" i="1"/>
  <c r="NF42" i="1"/>
  <c r="NA42" i="1"/>
  <c r="MV42" i="1"/>
  <c r="MQ42" i="1"/>
  <c r="ML42" i="1"/>
  <c r="MG42" i="1"/>
  <c r="MB42" i="1"/>
  <c r="LW42" i="1"/>
  <c r="LR42" i="1"/>
  <c r="LM42" i="1"/>
  <c r="LH42" i="1"/>
  <c r="LA42" i="1"/>
  <c r="LB42" i="1" s="1"/>
  <c r="LC42" i="1" s="1"/>
  <c r="KX42" i="1"/>
  <c r="KS42" i="1"/>
  <c r="KN42" i="1"/>
  <c r="KI42" i="1"/>
  <c r="KD42" i="1"/>
  <c r="JY42" i="1"/>
  <c r="JT42" i="1"/>
  <c r="JO42" i="1"/>
  <c r="JJ42" i="1"/>
  <c r="JE42" i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H42" i="1"/>
  <c r="EI42" i="1" s="1"/>
  <c r="EJ42" i="1" s="1"/>
  <c r="EC42" i="1"/>
  <c r="ED42" i="1" s="1"/>
  <c r="EE42" i="1" s="1"/>
  <c r="DX42" i="1"/>
  <c r="DY42" i="1" s="1"/>
  <c r="DZ42" i="1" s="1"/>
  <c r="DS42" i="1"/>
  <c r="DT42" i="1" s="1"/>
  <c r="DU42" i="1" s="1"/>
  <c r="DN42" i="1"/>
  <c r="DO42" i="1" s="1"/>
  <c r="DP42" i="1" s="1"/>
  <c r="DI42" i="1"/>
  <c r="DJ42" i="1" s="1"/>
  <c r="DK42" i="1" s="1"/>
  <c r="DD42" i="1"/>
  <c r="DE42" i="1" s="1"/>
  <c r="DF42" i="1" s="1"/>
  <c r="CY42" i="1"/>
  <c r="CZ42" i="1" s="1"/>
  <c r="DA42" i="1" s="1"/>
  <c r="CT42" i="1"/>
  <c r="CU42" i="1" s="1"/>
  <c r="CV42" i="1" s="1"/>
  <c r="CO42" i="1"/>
  <c r="CP42" i="1" s="1"/>
  <c r="CQ42" i="1" s="1"/>
  <c r="CJ42" i="1"/>
  <c r="CK42" i="1" s="1"/>
  <c r="CL42" i="1" s="1"/>
  <c r="CE42" i="1"/>
  <c r="CF42" i="1" s="1"/>
  <c r="CG42" i="1" s="1"/>
  <c r="BZ42" i="1"/>
  <c r="CA42" i="1" s="1"/>
  <c r="CB42" i="1" s="1"/>
  <c r="BU42" i="1"/>
  <c r="BV42" i="1" s="1"/>
  <c r="BW42" i="1" s="1"/>
  <c r="BP42" i="1"/>
  <c r="BQ42" i="1" s="1"/>
  <c r="BR42" i="1" s="1"/>
  <c r="BK42" i="1"/>
  <c r="BL42" i="1" s="1"/>
  <c r="BM42" i="1" s="1"/>
  <c r="BF42" i="1"/>
  <c r="BG42" i="1" s="1"/>
  <c r="BH42" i="1" s="1"/>
  <c r="BA42" i="1"/>
  <c r="BB42" i="1" s="1"/>
  <c r="BC42" i="1" s="1"/>
  <c r="AV42" i="1"/>
  <c r="AW42" i="1" s="1"/>
  <c r="AX42" i="1" s="1"/>
  <c r="AQ42" i="1"/>
  <c r="AR42" i="1" s="1"/>
  <c r="AS42" i="1" s="1"/>
  <c r="AL42" i="1"/>
  <c r="AM42" i="1" s="1"/>
  <c r="AN42" i="1" s="1"/>
  <c r="AG42" i="1"/>
  <c r="AH42" i="1" s="1"/>
  <c r="AI42" i="1" s="1"/>
  <c r="AB42" i="1"/>
  <c r="AC42" i="1" s="1"/>
  <c r="AD42" i="1" s="1"/>
  <c r="W42" i="1"/>
  <c r="X42" i="1" s="1"/>
  <c r="Y42" i="1" s="1"/>
  <c r="T42" i="1"/>
  <c r="O42" i="1"/>
  <c r="J42" i="1"/>
  <c r="PX41" i="1"/>
  <c r="PS41" i="1"/>
  <c r="PN41" i="1"/>
  <c r="PI41" i="1"/>
  <c r="PD41" i="1"/>
  <c r="OY41" i="1"/>
  <c r="OT41" i="1"/>
  <c r="OO41" i="1"/>
  <c r="OJ41" i="1"/>
  <c r="OE41" i="1"/>
  <c r="NZ41" i="1"/>
  <c r="NU41" i="1"/>
  <c r="NP41" i="1"/>
  <c r="NK41" i="1"/>
  <c r="NF41" i="1"/>
  <c r="NA41" i="1"/>
  <c r="MV41" i="1"/>
  <c r="MQ41" i="1"/>
  <c r="ML41" i="1"/>
  <c r="MG41" i="1"/>
  <c r="LZ41" i="1"/>
  <c r="MA41" i="1" s="1"/>
  <c r="MB41" i="1" s="1"/>
  <c r="LU41" i="1"/>
  <c r="LV41" i="1" s="1"/>
  <c r="LW41" i="1" s="1"/>
  <c r="LR41" i="1"/>
  <c r="LM41" i="1"/>
  <c r="LH41" i="1"/>
  <c r="LC41" i="1"/>
  <c r="KV41" i="1"/>
  <c r="KW41" i="1" s="1"/>
  <c r="KX41" i="1" s="1"/>
  <c r="KS41" i="1"/>
  <c r="KN41" i="1"/>
  <c r="KI41" i="1"/>
  <c r="KD41" i="1"/>
  <c r="JY41" i="1"/>
  <c r="JT41" i="1"/>
  <c r="JO41" i="1"/>
  <c r="JJ41" i="1"/>
  <c r="JE41" i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T41" i="1"/>
  <c r="HU41" i="1" s="1"/>
  <c r="HV41" i="1" s="1"/>
  <c r="HQ41" i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H41" i="1"/>
  <c r="EI41" i="1" s="1"/>
  <c r="EJ41" i="1" s="1"/>
  <c r="EC41" i="1"/>
  <c r="ED41" i="1" s="1"/>
  <c r="EE41" i="1" s="1"/>
  <c r="DX41" i="1"/>
  <c r="DY41" i="1" s="1"/>
  <c r="DZ41" i="1" s="1"/>
  <c r="DS41" i="1"/>
  <c r="DT41" i="1" s="1"/>
  <c r="DU41" i="1" s="1"/>
  <c r="DN41" i="1"/>
  <c r="DO41" i="1" s="1"/>
  <c r="DP41" i="1" s="1"/>
  <c r="DI41" i="1"/>
  <c r="DJ41" i="1" s="1"/>
  <c r="DK41" i="1" s="1"/>
  <c r="DD41" i="1"/>
  <c r="DE41" i="1" s="1"/>
  <c r="DF41" i="1" s="1"/>
  <c r="CY41" i="1"/>
  <c r="CZ41" i="1" s="1"/>
  <c r="DA41" i="1" s="1"/>
  <c r="CT41" i="1"/>
  <c r="CU41" i="1" s="1"/>
  <c r="CV41" i="1" s="1"/>
  <c r="CO41" i="1"/>
  <c r="CP41" i="1" s="1"/>
  <c r="CQ41" i="1" s="1"/>
  <c r="CJ41" i="1"/>
  <c r="CK41" i="1" s="1"/>
  <c r="CL41" i="1" s="1"/>
  <c r="CE41" i="1"/>
  <c r="CF41" i="1" s="1"/>
  <c r="CG41" i="1" s="1"/>
  <c r="BZ41" i="1"/>
  <c r="CA41" i="1" s="1"/>
  <c r="CB41" i="1" s="1"/>
  <c r="BU41" i="1"/>
  <c r="BV41" i="1" s="1"/>
  <c r="BW41" i="1" s="1"/>
  <c r="BP41" i="1"/>
  <c r="BQ41" i="1" s="1"/>
  <c r="BR41" i="1" s="1"/>
  <c r="BK41" i="1"/>
  <c r="BL41" i="1" s="1"/>
  <c r="BM41" i="1" s="1"/>
  <c r="BF41" i="1"/>
  <c r="BG41" i="1" s="1"/>
  <c r="BH41" i="1" s="1"/>
  <c r="BA41" i="1"/>
  <c r="BB41" i="1" s="1"/>
  <c r="BC41" i="1" s="1"/>
  <c r="AV41" i="1"/>
  <c r="AW41" i="1" s="1"/>
  <c r="AX41" i="1" s="1"/>
  <c r="AQ41" i="1"/>
  <c r="AR41" i="1" s="1"/>
  <c r="AS41" i="1" s="1"/>
  <c r="AL41" i="1"/>
  <c r="AM41" i="1" s="1"/>
  <c r="AN41" i="1" s="1"/>
  <c r="AG41" i="1"/>
  <c r="AH41" i="1" s="1"/>
  <c r="AI41" i="1" s="1"/>
  <c r="AB41" i="1"/>
  <c r="AC41" i="1" s="1"/>
  <c r="AD41" i="1" s="1"/>
  <c r="W41" i="1"/>
  <c r="X41" i="1" s="1"/>
  <c r="Y41" i="1" s="1"/>
  <c r="T41" i="1"/>
  <c r="O41" i="1"/>
  <c r="J41" i="1"/>
  <c r="PX40" i="1"/>
  <c r="PS40" i="1"/>
  <c r="PN40" i="1"/>
  <c r="PI40" i="1"/>
  <c r="PD40" i="1"/>
  <c r="OY40" i="1"/>
  <c r="OT40" i="1"/>
  <c r="OO40" i="1"/>
  <c r="OJ40" i="1"/>
  <c r="OE40" i="1"/>
  <c r="NZ40" i="1"/>
  <c r="NU40" i="1"/>
  <c r="NP40" i="1"/>
  <c r="NK40" i="1"/>
  <c r="NF40" i="1"/>
  <c r="NA40" i="1"/>
  <c r="MV40" i="1"/>
  <c r="MQ40" i="1"/>
  <c r="ML40" i="1"/>
  <c r="MG40" i="1"/>
  <c r="MB40" i="1"/>
  <c r="LW40" i="1"/>
  <c r="LR40" i="1"/>
  <c r="LM40" i="1"/>
  <c r="LH40" i="1"/>
  <c r="LA40" i="1"/>
  <c r="LB40" i="1" s="1"/>
  <c r="LC40" i="1" s="1"/>
  <c r="KV40" i="1"/>
  <c r="KW40" i="1" s="1"/>
  <c r="KX40" i="1" s="1"/>
  <c r="KS40" i="1"/>
  <c r="KN40" i="1"/>
  <c r="KI40" i="1"/>
  <c r="KD40" i="1"/>
  <c r="JY40" i="1"/>
  <c r="JT40" i="1"/>
  <c r="JO40" i="1"/>
  <c r="JJ40" i="1"/>
  <c r="JE40" i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H40" i="1"/>
  <c r="EI40" i="1" s="1"/>
  <c r="EJ40" i="1" s="1"/>
  <c r="EC40" i="1"/>
  <c r="ED40" i="1" s="1"/>
  <c r="EE40" i="1" s="1"/>
  <c r="DX40" i="1"/>
  <c r="DY40" i="1" s="1"/>
  <c r="DZ40" i="1" s="1"/>
  <c r="DS40" i="1"/>
  <c r="DT40" i="1" s="1"/>
  <c r="DU40" i="1" s="1"/>
  <c r="DN40" i="1"/>
  <c r="DO40" i="1" s="1"/>
  <c r="DP40" i="1" s="1"/>
  <c r="DI40" i="1"/>
  <c r="DJ40" i="1" s="1"/>
  <c r="DK40" i="1" s="1"/>
  <c r="DD40" i="1"/>
  <c r="DE40" i="1" s="1"/>
  <c r="DF40" i="1" s="1"/>
  <c r="CY40" i="1"/>
  <c r="CZ40" i="1" s="1"/>
  <c r="DA40" i="1" s="1"/>
  <c r="CT40" i="1"/>
  <c r="CU40" i="1" s="1"/>
  <c r="CV40" i="1" s="1"/>
  <c r="CO40" i="1"/>
  <c r="CP40" i="1" s="1"/>
  <c r="CQ40" i="1" s="1"/>
  <c r="CJ40" i="1"/>
  <c r="CK40" i="1" s="1"/>
  <c r="CL40" i="1" s="1"/>
  <c r="CE40" i="1"/>
  <c r="CF40" i="1" s="1"/>
  <c r="CG40" i="1" s="1"/>
  <c r="BZ40" i="1"/>
  <c r="CA40" i="1" s="1"/>
  <c r="CB40" i="1" s="1"/>
  <c r="BU40" i="1"/>
  <c r="BV40" i="1" s="1"/>
  <c r="BW40" i="1" s="1"/>
  <c r="BP40" i="1"/>
  <c r="BQ40" i="1" s="1"/>
  <c r="BR40" i="1" s="1"/>
  <c r="BK40" i="1"/>
  <c r="BL40" i="1" s="1"/>
  <c r="BM40" i="1" s="1"/>
  <c r="BF40" i="1"/>
  <c r="BG40" i="1" s="1"/>
  <c r="BH40" i="1" s="1"/>
  <c r="BA40" i="1"/>
  <c r="BB40" i="1" s="1"/>
  <c r="BC40" i="1" s="1"/>
  <c r="AV40" i="1"/>
  <c r="AW40" i="1" s="1"/>
  <c r="AX40" i="1" s="1"/>
  <c r="AQ40" i="1"/>
  <c r="AR40" i="1" s="1"/>
  <c r="AS40" i="1" s="1"/>
  <c r="AL40" i="1"/>
  <c r="AM40" i="1" s="1"/>
  <c r="AN40" i="1" s="1"/>
  <c r="AG40" i="1"/>
  <c r="AH40" i="1" s="1"/>
  <c r="AI40" i="1" s="1"/>
  <c r="AB40" i="1"/>
  <c r="AC40" i="1" s="1"/>
  <c r="AD40" i="1" s="1"/>
  <c r="W40" i="1"/>
  <c r="X40" i="1" s="1"/>
  <c r="Y40" i="1" s="1"/>
  <c r="T40" i="1"/>
  <c r="O40" i="1"/>
  <c r="J40" i="1"/>
  <c r="PX39" i="1"/>
  <c r="PS39" i="1"/>
  <c r="PN39" i="1"/>
  <c r="PI39" i="1"/>
  <c r="PD39" i="1"/>
  <c r="OY39" i="1"/>
  <c r="OT39" i="1"/>
  <c r="OO39" i="1"/>
  <c r="OJ39" i="1"/>
  <c r="OE39" i="1"/>
  <c r="NZ39" i="1"/>
  <c r="NU39" i="1"/>
  <c r="NP39" i="1"/>
  <c r="NK39" i="1"/>
  <c r="NF39" i="1"/>
  <c r="NA39" i="1"/>
  <c r="MV39" i="1"/>
  <c r="MQ39" i="1"/>
  <c r="ML39" i="1"/>
  <c r="MG39" i="1"/>
  <c r="MB39" i="1"/>
  <c r="LW39" i="1"/>
  <c r="LR39" i="1"/>
  <c r="LM39" i="1"/>
  <c r="LH39" i="1"/>
  <c r="LC39" i="1"/>
  <c r="KX39" i="1"/>
  <c r="KS39" i="1"/>
  <c r="KN39" i="1"/>
  <c r="KG39" i="1"/>
  <c r="KH39" i="1" s="1"/>
  <c r="KI39" i="1" s="1"/>
  <c r="KD39" i="1"/>
  <c r="JY39" i="1"/>
  <c r="JT39" i="1"/>
  <c r="JO39" i="1"/>
  <c r="JJ39" i="1"/>
  <c r="JE39" i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T39" i="1"/>
  <c r="HU39" i="1" s="1"/>
  <c r="HV39" i="1" s="1"/>
  <c r="HQ39" i="1"/>
  <c r="HL39" i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H39" i="1"/>
  <c r="EI39" i="1" s="1"/>
  <c r="EJ39" i="1" s="1"/>
  <c r="EC39" i="1"/>
  <c r="ED39" i="1" s="1"/>
  <c r="EE39" i="1" s="1"/>
  <c r="DX39" i="1"/>
  <c r="DY39" i="1" s="1"/>
  <c r="DZ39" i="1" s="1"/>
  <c r="DS39" i="1"/>
  <c r="DT39" i="1" s="1"/>
  <c r="DU39" i="1" s="1"/>
  <c r="DN39" i="1"/>
  <c r="DO39" i="1" s="1"/>
  <c r="DP39" i="1" s="1"/>
  <c r="DI39" i="1"/>
  <c r="DJ39" i="1" s="1"/>
  <c r="DK39" i="1" s="1"/>
  <c r="DD39" i="1"/>
  <c r="DE39" i="1" s="1"/>
  <c r="DF39" i="1" s="1"/>
  <c r="CY39" i="1"/>
  <c r="CZ39" i="1" s="1"/>
  <c r="DA39" i="1" s="1"/>
  <c r="CT39" i="1"/>
  <c r="CU39" i="1" s="1"/>
  <c r="CV39" i="1" s="1"/>
  <c r="CO39" i="1"/>
  <c r="CP39" i="1" s="1"/>
  <c r="CQ39" i="1" s="1"/>
  <c r="CJ39" i="1"/>
  <c r="CK39" i="1" s="1"/>
  <c r="CL39" i="1" s="1"/>
  <c r="CE39" i="1"/>
  <c r="CF39" i="1" s="1"/>
  <c r="CG39" i="1" s="1"/>
  <c r="BZ39" i="1"/>
  <c r="CA39" i="1" s="1"/>
  <c r="CB39" i="1" s="1"/>
  <c r="BU39" i="1"/>
  <c r="BV39" i="1" s="1"/>
  <c r="BW39" i="1" s="1"/>
  <c r="BP39" i="1"/>
  <c r="BQ39" i="1" s="1"/>
  <c r="BR39" i="1" s="1"/>
  <c r="BK39" i="1"/>
  <c r="BL39" i="1" s="1"/>
  <c r="BM39" i="1" s="1"/>
  <c r="BF39" i="1"/>
  <c r="BG39" i="1" s="1"/>
  <c r="BH39" i="1" s="1"/>
  <c r="BA39" i="1"/>
  <c r="BB39" i="1" s="1"/>
  <c r="BC39" i="1" s="1"/>
  <c r="AV39" i="1"/>
  <c r="AW39" i="1" s="1"/>
  <c r="AX39" i="1" s="1"/>
  <c r="AQ39" i="1"/>
  <c r="AR39" i="1" s="1"/>
  <c r="AS39" i="1" s="1"/>
  <c r="AL39" i="1"/>
  <c r="AM39" i="1" s="1"/>
  <c r="AN39" i="1" s="1"/>
  <c r="AG39" i="1"/>
  <c r="AH39" i="1" s="1"/>
  <c r="AI39" i="1" s="1"/>
  <c r="AB39" i="1"/>
  <c r="AC39" i="1" s="1"/>
  <c r="AD39" i="1" s="1"/>
  <c r="W39" i="1"/>
  <c r="X39" i="1" s="1"/>
  <c r="Y39" i="1" s="1"/>
  <c r="R39" i="1"/>
  <c r="S39" i="1" s="1"/>
  <c r="T39" i="1" s="1"/>
  <c r="O39" i="1"/>
  <c r="J39" i="1"/>
  <c r="PV38" i="1"/>
  <c r="PW38" i="1" s="1"/>
  <c r="PX38" i="1" s="1"/>
  <c r="PS38" i="1"/>
  <c r="PN38" i="1"/>
  <c r="PI38" i="1"/>
  <c r="PD38" i="1"/>
  <c r="OY38" i="1"/>
  <c r="OT38" i="1"/>
  <c r="OO38" i="1"/>
  <c r="OJ38" i="1"/>
  <c r="OE38" i="1"/>
  <c r="NZ38" i="1"/>
  <c r="NU38" i="1"/>
  <c r="NP38" i="1"/>
  <c r="NK38" i="1"/>
  <c r="NF38" i="1"/>
  <c r="NA38" i="1"/>
  <c r="MV38" i="1"/>
  <c r="MQ38" i="1"/>
  <c r="ML38" i="1"/>
  <c r="MG38" i="1"/>
  <c r="MB38" i="1"/>
  <c r="LW38" i="1"/>
  <c r="LR38" i="1"/>
  <c r="LM38" i="1"/>
  <c r="LH38" i="1"/>
  <c r="LC38" i="1"/>
  <c r="KX38" i="1"/>
  <c r="KS38" i="1"/>
  <c r="KN38" i="1"/>
  <c r="KI38" i="1"/>
  <c r="KD38" i="1"/>
  <c r="JY38" i="1"/>
  <c r="JT38" i="1"/>
  <c r="JO38" i="1"/>
  <c r="JJ38" i="1"/>
  <c r="JE38" i="1"/>
  <c r="IZ38" i="1"/>
  <c r="IU38" i="1"/>
  <c r="IP38" i="1"/>
  <c r="IK38" i="1"/>
  <c r="IF38" i="1"/>
  <c r="IA38" i="1"/>
  <c r="HV38" i="1"/>
  <c r="HQ38" i="1"/>
  <c r="HL38" i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H38" i="1"/>
  <c r="EI38" i="1" s="1"/>
  <c r="EJ38" i="1" s="1"/>
  <c r="EC38" i="1"/>
  <c r="ED38" i="1" s="1"/>
  <c r="EE38" i="1" s="1"/>
  <c r="DX38" i="1"/>
  <c r="DY38" i="1" s="1"/>
  <c r="DZ38" i="1" s="1"/>
  <c r="DS38" i="1"/>
  <c r="DT38" i="1" s="1"/>
  <c r="DU38" i="1" s="1"/>
  <c r="DN38" i="1"/>
  <c r="DO38" i="1" s="1"/>
  <c r="DP38" i="1" s="1"/>
  <c r="DI38" i="1"/>
  <c r="DJ38" i="1" s="1"/>
  <c r="DK38" i="1" s="1"/>
  <c r="DD38" i="1"/>
  <c r="DE38" i="1" s="1"/>
  <c r="DF38" i="1" s="1"/>
  <c r="CY38" i="1"/>
  <c r="CZ38" i="1" s="1"/>
  <c r="DA38" i="1" s="1"/>
  <c r="CT38" i="1"/>
  <c r="CU38" i="1" s="1"/>
  <c r="CV38" i="1" s="1"/>
  <c r="CO38" i="1"/>
  <c r="CP38" i="1" s="1"/>
  <c r="CQ38" i="1" s="1"/>
  <c r="CJ38" i="1"/>
  <c r="CK38" i="1" s="1"/>
  <c r="CL38" i="1" s="1"/>
  <c r="CE38" i="1"/>
  <c r="CF38" i="1" s="1"/>
  <c r="CG38" i="1" s="1"/>
  <c r="BZ38" i="1"/>
  <c r="CA38" i="1" s="1"/>
  <c r="CB38" i="1" s="1"/>
  <c r="BU38" i="1"/>
  <c r="BV38" i="1" s="1"/>
  <c r="BW38" i="1" s="1"/>
  <c r="BP38" i="1"/>
  <c r="BQ38" i="1" s="1"/>
  <c r="BR38" i="1" s="1"/>
  <c r="BK38" i="1"/>
  <c r="BL38" i="1" s="1"/>
  <c r="BM38" i="1" s="1"/>
  <c r="BF38" i="1"/>
  <c r="BG38" i="1" s="1"/>
  <c r="BH38" i="1" s="1"/>
  <c r="BA38" i="1"/>
  <c r="BB38" i="1" s="1"/>
  <c r="BC38" i="1" s="1"/>
  <c r="AV38" i="1"/>
  <c r="AW38" i="1" s="1"/>
  <c r="AX38" i="1" s="1"/>
  <c r="AQ38" i="1"/>
  <c r="AR38" i="1" s="1"/>
  <c r="AS38" i="1" s="1"/>
  <c r="AL38" i="1"/>
  <c r="AM38" i="1" s="1"/>
  <c r="AN38" i="1" s="1"/>
  <c r="AG38" i="1"/>
  <c r="AH38" i="1" s="1"/>
  <c r="AI38" i="1" s="1"/>
  <c r="AB38" i="1"/>
  <c r="AC38" i="1" s="1"/>
  <c r="AD38" i="1" s="1"/>
  <c r="W38" i="1"/>
  <c r="X38" i="1" s="1"/>
  <c r="Y38" i="1" s="1"/>
  <c r="R38" i="1"/>
  <c r="S38" i="1" s="1"/>
  <c r="T38" i="1" s="1"/>
  <c r="M38" i="1"/>
  <c r="N38" i="1" s="1"/>
  <c r="O38" i="1" s="1"/>
  <c r="J38" i="1"/>
  <c r="PX37" i="1"/>
  <c r="PS37" i="1"/>
  <c r="PN37" i="1"/>
  <c r="PI37" i="1"/>
  <c r="PD37" i="1"/>
  <c r="OY37" i="1"/>
  <c r="OT37" i="1"/>
  <c r="OO37" i="1"/>
  <c r="OJ37" i="1"/>
  <c r="OE37" i="1"/>
  <c r="NZ37" i="1"/>
  <c r="NU37" i="1"/>
  <c r="NP37" i="1"/>
  <c r="NK37" i="1"/>
  <c r="NF37" i="1"/>
  <c r="NA37" i="1"/>
  <c r="MV37" i="1"/>
  <c r="MQ37" i="1"/>
  <c r="ML37" i="1"/>
  <c r="ME37" i="1"/>
  <c r="MF37" i="1" s="1"/>
  <c r="MG37" i="1" s="1"/>
  <c r="MB37" i="1"/>
  <c r="LW37" i="1"/>
  <c r="LR37" i="1"/>
  <c r="LM37" i="1"/>
  <c r="LH37" i="1"/>
  <c r="LA37" i="1"/>
  <c r="LB37" i="1" s="1"/>
  <c r="LC37" i="1" s="1"/>
  <c r="KV37" i="1"/>
  <c r="KW37" i="1" s="1"/>
  <c r="KX37" i="1" s="1"/>
  <c r="KS37" i="1"/>
  <c r="KN37" i="1"/>
  <c r="KI37" i="1"/>
  <c r="KD37" i="1"/>
  <c r="JY37" i="1"/>
  <c r="JT37" i="1"/>
  <c r="JO37" i="1"/>
  <c r="JJ37" i="1"/>
  <c r="JE37" i="1"/>
  <c r="IZ37" i="1"/>
  <c r="IU37" i="1"/>
  <c r="IP37" i="1"/>
  <c r="IK37" i="1"/>
  <c r="IF37" i="1"/>
  <c r="IA37" i="1"/>
  <c r="HV37" i="1"/>
  <c r="HQ37" i="1"/>
  <c r="HL37" i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H37" i="1"/>
  <c r="EI37" i="1" s="1"/>
  <c r="EJ37" i="1" s="1"/>
  <c r="EC37" i="1"/>
  <c r="ED37" i="1" s="1"/>
  <c r="EE37" i="1" s="1"/>
  <c r="DX37" i="1"/>
  <c r="DY37" i="1" s="1"/>
  <c r="DZ37" i="1" s="1"/>
  <c r="DS37" i="1"/>
  <c r="DT37" i="1" s="1"/>
  <c r="DU37" i="1" s="1"/>
  <c r="DN37" i="1"/>
  <c r="DO37" i="1" s="1"/>
  <c r="DP37" i="1" s="1"/>
  <c r="DI37" i="1"/>
  <c r="DJ37" i="1" s="1"/>
  <c r="DK37" i="1" s="1"/>
  <c r="DD37" i="1"/>
  <c r="DE37" i="1" s="1"/>
  <c r="DF37" i="1" s="1"/>
  <c r="CY37" i="1"/>
  <c r="CZ37" i="1" s="1"/>
  <c r="DA37" i="1" s="1"/>
  <c r="CT37" i="1"/>
  <c r="CU37" i="1" s="1"/>
  <c r="CV37" i="1" s="1"/>
  <c r="CO37" i="1"/>
  <c r="CP37" i="1" s="1"/>
  <c r="CQ37" i="1" s="1"/>
  <c r="CJ37" i="1"/>
  <c r="CK37" i="1" s="1"/>
  <c r="CL37" i="1" s="1"/>
  <c r="CE37" i="1"/>
  <c r="CF37" i="1" s="1"/>
  <c r="CG37" i="1" s="1"/>
  <c r="BZ37" i="1"/>
  <c r="CA37" i="1" s="1"/>
  <c r="CB37" i="1" s="1"/>
  <c r="BU37" i="1"/>
  <c r="BV37" i="1" s="1"/>
  <c r="BW37" i="1" s="1"/>
  <c r="BP37" i="1"/>
  <c r="BQ37" i="1" s="1"/>
  <c r="BR37" i="1" s="1"/>
  <c r="BK37" i="1"/>
  <c r="BL37" i="1" s="1"/>
  <c r="BM37" i="1" s="1"/>
  <c r="BF37" i="1"/>
  <c r="BG37" i="1" s="1"/>
  <c r="BH37" i="1" s="1"/>
  <c r="BA37" i="1"/>
  <c r="BB37" i="1" s="1"/>
  <c r="BC37" i="1" s="1"/>
  <c r="AV37" i="1"/>
  <c r="AW37" i="1" s="1"/>
  <c r="AX37" i="1" s="1"/>
  <c r="AQ37" i="1"/>
  <c r="AR37" i="1" s="1"/>
  <c r="AS37" i="1" s="1"/>
  <c r="AL37" i="1"/>
  <c r="AM37" i="1" s="1"/>
  <c r="AN37" i="1" s="1"/>
  <c r="AG37" i="1"/>
  <c r="AH37" i="1" s="1"/>
  <c r="AI37" i="1" s="1"/>
  <c r="AB37" i="1"/>
  <c r="AC37" i="1" s="1"/>
  <c r="AD37" i="1" s="1"/>
  <c r="W37" i="1"/>
  <c r="X37" i="1" s="1"/>
  <c r="Y37" i="1" s="1"/>
  <c r="R37" i="1"/>
  <c r="S37" i="1" s="1"/>
  <c r="T37" i="1" s="1"/>
  <c r="O37" i="1"/>
  <c r="J37" i="1"/>
  <c r="PX36" i="1"/>
  <c r="PS36" i="1"/>
  <c r="PN36" i="1"/>
  <c r="PI36" i="1"/>
  <c r="PD36" i="1"/>
  <c r="OY36" i="1"/>
  <c r="OT36" i="1"/>
  <c r="OO36" i="1"/>
  <c r="OJ36" i="1"/>
  <c r="OE36" i="1"/>
  <c r="NZ36" i="1"/>
  <c r="NU36" i="1"/>
  <c r="NP36" i="1"/>
  <c r="NK36" i="1"/>
  <c r="NF36" i="1"/>
  <c r="NA36" i="1"/>
  <c r="MV36" i="1"/>
  <c r="MQ36" i="1"/>
  <c r="ML36" i="1"/>
  <c r="MG36" i="1"/>
  <c r="MB36" i="1"/>
  <c r="LW36" i="1"/>
  <c r="LR36" i="1"/>
  <c r="LM36" i="1"/>
  <c r="LH36" i="1"/>
  <c r="LC36" i="1"/>
  <c r="KX36" i="1"/>
  <c r="KS36" i="1"/>
  <c r="KN36" i="1"/>
  <c r="KI36" i="1"/>
  <c r="KD36" i="1"/>
  <c r="JY36" i="1"/>
  <c r="JT36" i="1"/>
  <c r="JO36" i="1"/>
  <c r="JJ36" i="1"/>
  <c r="JE36" i="1"/>
  <c r="IZ36" i="1"/>
  <c r="IU36" i="1"/>
  <c r="IP36" i="1"/>
  <c r="IK36" i="1"/>
  <c r="IF36" i="1"/>
  <c r="IA36" i="1"/>
  <c r="HV36" i="1"/>
  <c r="HQ36" i="1"/>
  <c r="HL36" i="1"/>
  <c r="HG36" i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H36" i="1"/>
  <c r="EI36" i="1" s="1"/>
  <c r="EJ36" i="1" s="1"/>
  <c r="EC36" i="1"/>
  <c r="ED36" i="1" s="1"/>
  <c r="EE36" i="1" s="1"/>
  <c r="DX36" i="1"/>
  <c r="DY36" i="1" s="1"/>
  <c r="DZ36" i="1" s="1"/>
  <c r="DS36" i="1"/>
  <c r="DT36" i="1" s="1"/>
  <c r="DU36" i="1" s="1"/>
  <c r="DN36" i="1"/>
  <c r="DO36" i="1" s="1"/>
  <c r="DP36" i="1" s="1"/>
  <c r="DI36" i="1"/>
  <c r="DJ36" i="1" s="1"/>
  <c r="DK36" i="1" s="1"/>
  <c r="DD36" i="1"/>
  <c r="DE36" i="1" s="1"/>
  <c r="DF36" i="1" s="1"/>
  <c r="CY36" i="1"/>
  <c r="CZ36" i="1" s="1"/>
  <c r="DA36" i="1" s="1"/>
  <c r="CT36" i="1"/>
  <c r="CU36" i="1" s="1"/>
  <c r="CV36" i="1" s="1"/>
  <c r="CO36" i="1"/>
  <c r="CP36" i="1" s="1"/>
  <c r="CQ36" i="1" s="1"/>
  <c r="CJ36" i="1"/>
  <c r="CK36" i="1" s="1"/>
  <c r="CL36" i="1" s="1"/>
  <c r="CE36" i="1"/>
  <c r="CF36" i="1" s="1"/>
  <c r="CG36" i="1" s="1"/>
  <c r="BZ36" i="1"/>
  <c r="CA36" i="1" s="1"/>
  <c r="CB36" i="1" s="1"/>
  <c r="BU36" i="1"/>
  <c r="BV36" i="1" s="1"/>
  <c r="BW36" i="1" s="1"/>
  <c r="BP36" i="1"/>
  <c r="BQ36" i="1" s="1"/>
  <c r="BR36" i="1" s="1"/>
  <c r="BK36" i="1"/>
  <c r="BL36" i="1" s="1"/>
  <c r="BM36" i="1" s="1"/>
  <c r="BF36" i="1"/>
  <c r="BG36" i="1" s="1"/>
  <c r="BH36" i="1" s="1"/>
  <c r="BA36" i="1"/>
  <c r="BB36" i="1" s="1"/>
  <c r="BC36" i="1" s="1"/>
  <c r="AV36" i="1"/>
  <c r="AW36" i="1" s="1"/>
  <c r="AX36" i="1" s="1"/>
  <c r="AQ36" i="1"/>
  <c r="AR36" i="1" s="1"/>
  <c r="AS36" i="1" s="1"/>
  <c r="AL36" i="1"/>
  <c r="AM36" i="1" s="1"/>
  <c r="AN36" i="1" s="1"/>
  <c r="AG36" i="1"/>
  <c r="AH36" i="1" s="1"/>
  <c r="AI36" i="1" s="1"/>
  <c r="AD36" i="1"/>
  <c r="W36" i="1"/>
  <c r="X36" i="1" s="1"/>
  <c r="Y36" i="1" s="1"/>
  <c r="T36" i="1"/>
  <c r="O36" i="1"/>
  <c r="J36" i="1"/>
  <c r="PV35" i="1"/>
  <c r="PW35" i="1" s="1"/>
  <c r="PX35" i="1" s="1"/>
  <c r="PS35" i="1"/>
  <c r="PN35" i="1"/>
  <c r="PI35" i="1"/>
  <c r="PD35" i="1"/>
  <c r="OY35" i="1"/>
  <c r="OT35" i="1"/>
  <c r="OO35" i="1"/>
  <c r="OJ35" i="1"/>
  <c r="OE35" i="1"/>
  <c r="NX35" i="1"/>
  <c r="NY35" i="1" s="1"/>
  <c r="NZ35" i="1" s="1"/>
  <c r="NU35" i="1"/>
  <c r="NP35" i="1"/>
  <c r="NK35" i="1"/>
  <c r="NF35" i="1"/>
  <c r="NA35" i="1"/>
  <c r="MV35" i="1"/>
  <c r="MQ35" i="1"/>
  <c r="ML35" i="1"/>
  <c r="MG35" i="1"/>
  <c r="MB35" i="1"/>
  <c r="LW35" i="1"/>
  <c r="LR35" i="1"/>
  <c r="LM35" i="1"/>
  <c r="LH35" i="1"/>
  <c r="LC35" i="1"/>
  <c r="KX35" i="1"/>
  <c r="KS35" i="1"/>
  <c r="KN35" i="1"/>
  <c r="KI35" i="1"/>
  <c r="KD35" i="1"/>
  <c r="JY35" i="1"/>
  <c r="JT35" i="1"/>
  <c r="JO35" i="1"/>
  <c r="JJ35" i="1"/>
  <c r="JE35" i="1"/>
  <c r="IZ35" i="1"/>
  <c r="IU35" i="1"/>
  <c r="IP35" i="1"/>
  <c r="IK35" i="1"/>
  <c r="IF35" i="1"/>
  <c r="IA35" i="1"/>
  <c r="HV35" i="1"/>
  <c r="HQ35" i="1"/>
  <c r="HL35" i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H35" i="1"/>
  <c r="EI35" i="1" s="1"/>
  <c r="EJ35" i="1" s="1"/>
  <c r="EC35" i="1"/>
  <c r="ED35" i="1" s="1"/>
  <c r="EE35" i="1" s="1"/>
  <c r="DX35" i="1"/>
  <c r="DY35" i="1" s="1"/>
  <c r="DZ35" i="1" s="1"/>
  <c r="DS35" i="1"/>
  <c r="DT35" i="1" s="1"/>
  <c r="DU35" i="1" s="1"/>
  <c r="DN35" i="1"/>
  <c r="DO35" i="1" s="1"/>
  <c r="DP35" i="1" s="1"/>
  <c r="DI35" i="1"/>
  <c r="DJ35" i="1" s="1"/>
  <c r="DK35" i="1" s="1"/>
  <c r="DD35" i="1"/>
  <c r="DE35" i="1" s="1"/>
  <c r="DF35" i="1" s="1"/>
  <c r="CY35" i="1"/>
  <c r="CZ35" i="1" s="1"/>
  <c r="DA35" i="1" s="1"/>
  <c r="CT35" i="1"/>
  <c r="CU35" i="1" s="1"/>
  <c r="CV35" i="1" s="1"/>
  <c r="CO35" i="1"/>
  <c r="CP35" i="1" s="1"/>
  <c r="CQ35" i="1" s="1"/>
  <c r="CJ35" i="1"/>
  <c r="CK35" i="1" s="1"/>
  <c r="CL35" i="1" s="1"/>
  <c r="CE35" i="1"/>
  <c r="CF35" i="1" s="1"/>
  <c r="CG35" i="1" s="1"/>
  <c r="BZ35" i="1"/>
  <c r="CA35" i="1" s="1"/>
  <c r="CB35" i="1" s="1"/>
  <c r="BU35" i="1"/>
  <c r="BV35" i="1" s="1"/>
  <c r="BW35" i="1" s="1"/>
  <c r="BP35" i="1"/>
  <c r="BQ35" i="1" s="1"/>
  <c r="BR35" i="1" s="1"/>
  <c r="BK35" i="1"/>
  <c r="BL35" i="1" s="1"/>
  <c r="BM35" i="1" s="1"/>
  <c r="BF35" i="1"/>
  <c r="BG35" i="1" s="1"/>
  <c r="BH35" i="1" s="1"/>
  <c r="BA35" i="1"/>
  <c r="BB35" i="1" s="1"/>
  <c r="BC35" i="1" s="1"/>
  <c r="AV35" i="1"/>
  <c r="AW35" i="1" s="1"/>
  <c r="AX35" i="1" s="1"/>
  <c r="AQ35" i="1"/>
  <c r="AR35" i="1" s="1"/>
  <c r="AS35" i="1" s="1"/>
  <c r="AL35" i="1"/>
  <c r="AM35" i="1" s="1"/>
  <c r="AN35" i="1" s="1"/>
  <c r="AG35" i="1"/>
  <c r="AH35" i="1" s="1"/>
  <c r="AI35" i="1" s="1"/>
  <c r="AB35" i="1"/>
  <c r="AC35" i="1" s="1"/>
  <c r="AD35" i="1" s="1"/>
  <c r="W35" i="1"/>
  <c r="X35" i="1" s="1"/>
  <c r="Y35" i="1" s="1"/>
  <c r="R35" i="1"/>
  <c r="S35" i="1" s="1"/>
  <c r="T35" i="1" s="1"/>
  <c r="O35" i="1"/>
  <c r="J35" i="1"/>
  <c r="PX34" i="1"/>
  <c r="PS34" i="1"/>
  <c r="PN34" i="1"/>
  <c r="PI34" i="1"/>
  <c r="PD34" i="1"/>
  <c r="OY34" i="1"/>
  <c r="OT34" i="1"/>
  <c r="OO34" i="1"/>
  <c r="OJ34" i="1"/>
  <c r="OE34" i="1"/>
  <c r="NZ34" i="1"/>
  <c r="NU34" i="1"/>
  <c r="NP34" i="1"/>
  <c r="NK34" i="1"/>
  <c r="NF34" i="1"/>
  <c r="NA34" i="1"/>
  <c r="MV34" i="1"/>
  <c r="MQ34" i="1"/>
  <c r="ML34" i="1"/>
  <c r="MG34" i="1"/>
  <c r="MB34" i="1"/>
  <c r="LW34" i="1"/>
  <c r="LR34" i="1"/>
  <c r="LM34" i="1"/>
  <c r="LH34" i="1"/>
  <c r="LA34" i="1"/>
  <c r="LB34" i="1" s="1"/>
  <c r="LC34" i="1" s="1"/>
  <c r="KX34" i="1"/>
  <c r="KS34" i="1"/>
  <c r="KN34" i="1"/>
  <c r="KI34" i="1"/>
  <c r="KD34" i="1"/>
  <c r="JY34" i="1"/>
  <c r="JT34" i="1"/>
  <c r="JO34" i="1"/>
  <c r="JJ34" i="1"/>
  <c r="JE34" i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T34" i="1"/>
  <c r="HU34" i="1" s="1"/>
  <c r="HV34" i="1" s="1"/>
  <c r="HQ34" i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H34" i="1"/>
  <c r="EI34" i="1" s="1"/>
  <c r="EJ34" i="1" s="1"/>
  <c r="EC34" i="1"/>
  <c r="ED34" i="1" s="1"/>
  <c r="EE34" i="1" s="1"/>
  <c r="DX34" i="1"/>
  <c r="DY34" i="1" s="1"/>
  <c r="DZ34" i="1" s="1"/>
  <c r="DS34" i="1"/>
  <c r="DT34" i="1" s="1"/>
  <c r="DU34" i="1" s="1"/>
  <c r="DN34" i="1"/>
  <c r="DO34" i="1" s="1"/>
  <c r="DP34" i="1" s="1"/>
  <c r="DI34" i="1"/>
  <c r="DJ34" i="1" s="1"/>
  <c r="DK34" i="1" s="1"/>
  <c r="DD34" i="1"/>
  <c r="DE34" i="1" s="1"/>
  <c r="DF34" i="1" s="1"/>
  <c r="CY34" i="1"/>
  <c r="CZ34" i="1" s="1"/>
  <c r="DA34" i="1" s="1"/>
  <c r="CT34" i="1"/>
  <c r="CU34" i="1" s="1"/>
  <c r="CV34" i="1" s="1"/>
  <c r="CO34" i="1"/>
  <c r="CP34" i="1" s="1"/>
  <c r="CQ34" i="1" s="1"/>
  <c r="CJ34" i="1"/>
  <c r="CK34" i="1" s="1"/>
  <c r="CL34" i="1" s="1"/>
  <c r="CE34" i="1"/>
  <c r="CF34" i="1" s="1"/>
  <c r="CG34" i="1" s="1"/>
  <c r="BZ34" i="1"/>
  <c r="CA34" i="1" s="1"/>
  <c r="CB34" i="1" s="1"/>
  <c r="BU34" i="1"/>
  <c r="BV34" i="1" s="1"/>
  <c r="BW34" i="1" s="1"/>
  <c r="BP34" i="1"/>
  <c r="BQ34" i="1" s="1"/>
  <c r="BR34" i="1" s="1"/>
  <c r="BK34" i="1"/>
  <c r="BL34" i="1" s="1"/>
  <c r="BM34" i="1" s="1"/>
  <c r="BF34" i="1"/>
  <c r="BG34" i="1" s="1"/>
  <c r="BH34" i="1" s="1"/>
  <c r="BA34" i="1"/>
  <c r="BB34" i="1" s="1"/>
  <c r="BC34" i="1" s="1"/>
  <c r="AV34" i="1"/>
  <c r="AW34" i="1" s="1"/>
  <c r="AX34" i="1" s="1"/>
  <c r="AQ34" i="1"/>
  <c r="AR34" i="1" s="1"/>
  <c r="AS34" i="1" s="1"/>
  <c r="AL34" i="1"/>
  <c r="AM34" i="1" s="1"/>
  <c r="AN34" i="1" s="1"/>
  <c r="AG34" i="1"/>
  <c r="AH34" i="1" s="1"/>
  <c r="AI34" i="1" s="1"/>
  <c r="AB34" i="1"/>
  <c r="AC34" i="1" s="1"/>
  <c r="AD34" i="1" s="1"/>
  <c r="W34" i="1"/>
  <c r="X34" i="1" s="1"/>
  <c r="Y34" i="1" s="1"/>
  <c r="T34" i="1"/>
  <c r="O34" i="1"/>
  <c r="J34" i="1"/>
  <c r="PX33" i="1"/>
  <c r="PS33" i="1"/>
  <c r="PN33" i="1"/>
  <c r="PI33" i="1"/>
  <c r="PD33" i="1"/>
  <c r="OY33" i="1"/>
  <c r="OT33" i="1"/>
  <c r="OO33" i="1"/>
  <c r="OJ33" i="1"/>
  <c r="OE33" i="1"/>
  <c r="NZ33" i="1"/>
  <c r="NU33" i="1"/>
  <c r="NP33" i="1"/>
  <c r="NK33" i="1"/>
  <c r="NF33" i="1"/>
  <c r="NA33" i="1"/>
  <c r="MV33" i="1"/>
  <c r="MQ33" i="1"/>
  <c r="ML33" i="1"/>
  <c r="MG33" i="1"/>
  <c r="MB33" i="1"/>
  <c r="LW33" i="1"/>
  <c r="LR33" i="1"/>
  <c r="LM33" i="1"/>
  <c r="LH33" i="1"/>
  <c r="LA33" i="1"/>
  <c r="LB33" i="1" s="1"/>
  <c r="LC33" i="1" s="1"/>
  <c r="KX33" i="1"/>
  <c r="KS33" i="1"/>
  <c r="KN33" i="1"/>
  <c r="KI33" i="1"/>
  <c r="KD33" i="1"/>
  <c r="JY33" i="1"/>
  <c r="JT33" i="1"/>
  <c r="JO33" i="1"/>
  <c r="JJ33" i="1"/>
  <c r="JE33" i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T33" i="1"/>
  <c r="HU33" i="1" s="1"/>
  <c r="HV33" i="1" s="1"/>
  <c r="HQ33" i="1"/>
  <c r="HL33" i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H33" i="1"/>
  <c r="EI33" i="1" s="1"/>
  <c r="EJ33" i="1" s="1"/>
  <c r="EC33" i="1"/>
  <c r="ED33" i="1" s="1"/>
  <c r="EE33" i="1" s="1"/>
  <c r="DX33" i="1"/>
  <c r="DY33" i="1" s="1"/>
  <c r="DZ33" i="1" s="1"/>
  <c r="DS33" i="1"/>
  <c r="DT33" i="1" s="1"/>
  <c r="DU33" i="1" s="1"/>
  <c r="DN33" i="1"/>
  <c r="DO33" i="1" s="1"/>
  <c r="DP33" i="1" s="1"/>
  <c r="DI33" i="1"/>
  <c r="DJ33" i="1" s="1"/>
  <c r="DK33" i="1" s="1"/>
  <c r="DD33" i="1"/>
  <c r="DE33" i="1" s="1"/>
  <c r="DF33" i="1" s="1"/>
  <c r="CY33" i="1"/>
  <c r="CZ33" i="1" s="1"/>
  <c r="DA33" i="1" s="1"/>
  <c r="CT33" i="1"/>
  <c r="CU33" i="1" s="1"/>
  <c r="CV33" i="1" s="1"/>
  <c r="CO33" i="1"/>
  <c r="CP33" i="1" s="1"/>
  <c r="CQ33" i="1" s="1"/>
  <c r="CJ33" i="1"/>
  <c r="CK33" i="1" s="1"/>
  <c r="CL33" i="1" s="1"/>
  <c r="CE33" i="1"/>
  <c r="CF33" i="1" s="1"/>
  <c r="CG33" i="1" s="1"/>
  <c r="BZ33" i="1"/>
  <c r="CA33" i="1" s="1"/>
  <c r="CB33" i="1" s="1"/>
  <c r="BU33" i="1"/>
  <c r="BV33" i="1" s="1"/>
  <c r="BW33" i="1" s="1"/>
  <c r="BP33" i="1"/>
  <c r="BQ33" i="1" s="1"/>
  <c r="BR33" i="1" s="1"/>
  <c r="BK33" i="1"/>
  <c r="BL33" i="1" s="1"/>
  <c r="BM33" i="1" s="1"/>
  <c r="BF33" i="1"/>
  <c r="BG33" i="1" s="1"/>
  <c r="BH33" i="1" s="1"/>
  <c r="BA33" i="1"/>
  <c r="BB33" i="1" s="1"/>
  <c r="BC33" i="1" s="1"/>
  <c r="AV33" i="1"/>
  <c r="AW33" i="1" s="1"/>
  <c r="AX33" i="1" s="1"/>
  <c r="AQ33" i="1"/>
  <c r="AR33" i="1" s="1"/>
  <c r="AS33" i="1" s="1"/>
  <c r="AL33" i="1"/>
  <c r="AM33" i="1" s="1"/>
  <c r="AN33" i="1" s="1"/>
  <c r="AG33" i="1"/>
  <c r="AH33" i="1" s="1"/>
  <c r="AI33" i="1" s="1"/>
  <c r="AB33" i="1"/>
  <c r="AC33" i="1" s="1"/>
  <c r="AD33" i="1" s="1"/>
  <c r="W33" i="1"/>
  <c r="X33" i="1" s="1"/>
  <c r="Y33" i="1" s="1"/>
  <c r="T33" i="1"/>
  <c r="O33" i="1"/>
  <c r="J33" i="1"/>
  <c r="PX32" i="1"/>
  <c r="PS32" i="1"/>
  <c r="PN32" i="1"/>
  <c r="PI32" i="1"/>
  <c r="PD32" i="1"/>
  <c r="OY32" i="1"/>
  <c r="OT32" i="1"/>
  <c r="OO32" i="1"/>
  <c r="OJ32" i="1"/>
  <c r="OE32" i="1"/>
  <c r="NZ32" i="1"/>
  <c r="NU32" i="1"/>
  <c r="NP32" i="1"/>
  <c r="NK32" i="1"/>
  <c r="NF32" i="1"/>
  <c r="NA32" i="1"/>
  <c r="MV32" i="1"/>
  <c r="MQ32" i="1"/>
  <c r="ML32" i="1"/>
  <c r="MG32" i="1"/>
  <c r="MB32" i="1"/>
  <c r="LW32" i="1"/>
  <c r="LR32" i="1"/>
  <c r="LM32" i="1"/>
  <c r="LH32" i="1"/>
  <c r="LC32" i="1"/>
  <c r="KX32" i="1"/>
  <c r="KS32" i="1"/>
  <c r="KN32" i="1"/>
  <c r="KI32" i="1"/>
  <c r="KD32" i="1"/>
  <c r="JY32" i="1"/>
  <c r="JT32" i="1"/>
  <c r="JO32" i="1"/>
  <c r="JJ32" i="1"/>
  <c r="JE32" i="1"/>
  <c r="IZ32" i="1"/>
  <c r="IU32" i="1"/>
  <c r="IP32" i="1"/>
  <c r="IK32" i="1"/>
  <c r="IF32" i="1"/>
  <c r="IA32" i="1"/>
  <c r="HV32" i="1"/>
  <c r="HQ32" i="1"/>
  <c r="HL32" i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H32" i="1"/>
  <c r="EI32" i="1" s="1"/>
  <c r="EJ32" i="1" s="1"/>
  <c r="EC32" i="1"/>
  <c r="ED32" i="1" s="1"/>
  <c r="EE32" i="1" s="1"/>
  <c r="DX32" i="1"/>
  <c r="DY32" i="1" s="1"/>
  <c r="DZ32" i="1" s="1"/>
  <c r="DS32" i="1"/>
  <c r="DT32" i="1" s="1"/>
  <c r="DU32" i="1" s="1"/>
  <c r="DN32" i="1"/>
  <c r="DO32" i="1" s="1"/>
  <c r="DP32" i="1" s="1"/>
  <c r="DI32" i="1"/>
  <c r="DJ32" i="1" s="1"/>
  <c r="DK32" i="1" s="1"/>
  <c r="DD32" i="1"/>
  <c r="DE32" i="1" s="1"/>
  <c r="DF32" i="1" s="1"/>
  <c r="CY32" i="1"/>
  <c r="CZ32" i="1" s="1"/>
  <c r="DA32" i="1" s="1"/>
  <c r="CT32" i="1"/>
  <c r="CU32" i="1" s="1"/>
  <c r="CV32" i="1" s="1"/>
  <c r="CO32" i="1"/>
  <c r="CP32" i="1" s="1"/>
  <c r="CQ32" i="1" s="1"/>
  <c r="CJ32" i="1"/>
  <c r="CK32" i="1" s="1"/>
  <c r="CL32" i="1" s="1"/>
  <c r="CE32" i="1"/>
  <c r="CF32" i="1" s="1"/>
  <c r="CG32" i="1" s="1"/>
  <c r="BZ32" i="1"/>
  <c r="CA32" i="1" s="1"/>
  <c r="CB32" i="1" s="1"/>
  <c r="BU32" i="1"/>
  <c r="BV32" i="1" s="1"/>
  <c r="BW32" i="1" s="1"/>
  <c r="BP32" i="1"/>
  <c r="BQ32" i="1" s="1"/>
  <c r="BR32" i="1" s="1"/>
  <c r="BK32" i="1"/>
  <c r="BL32" i="1" s="1"/>
  <c r="BM32" i="1" s="1"/>
  <c r="BF32" i="1"/>
  <c r="BG32" i="1" s="1"/>
  <c r="BH32" i="1" s="1"/>
  <c r="BA32" i="1"/>
  <c r="BB32" i="1" s="1"/>
  <c r="BC32" i="1" s="1"/>
  <c r="AV32" i="1"/>
  <c r="AW32" i="1" s="1"/>
  <c r="AX32" i="1" s="1"/>
  <c r="AQ32" i="1"/>
  <c r="AR32" i="1" s="1"/>
  <c r="AS32" i="1" s="1"/>
  <c r="AL32" i="1"/>
  <c r="AM32" i="1" s="1"/>
  <c r="AN32" i="1" s="1"/>
  <c r="AG32" i="1"/>
  <c r="AH32" i="1" s="1"/>
  <c r="AI32" i="1" s="1"/>
  <c r="AB32" i="1"/>
  <c r="AC32" i="1" s="1"/>
  <c r="AD32" i="1" s="1"/>
  <c r="W32" i="1"/>
  <c r="X32" i="1" s="1"/>
  <c r="Y32" i="1" s="1"/>
  <c r="R32" i="1"/>
  <c r="S32" i="1" s="1"/>
  <c r="T32" i="1" s="1"/>
  <c r="M32" i="1"/>
  <c r="N32" i="1" s="1"/>
  <c r="O32" i="1" s="1"/>
  <c r="J32" i="1"/>
  <c r="PX31" i="1"/>
  <c r="PS31" i="1"/>
  <c r="PN31" i="1"/>
  <c r="PI31" i="1"/>
  <c r="PD31" i="1"/>
  <c r="OY31" i="1"/>
  <c r="OT31" i="1"/>
  <c r="OO31" i="1"/>
  <c r="OJ31" i="1"/>
  <c r="OE31" i="1"/>
  <c r="NZ31" i="1"/>
  <c r="NS31" i="1"/>
  <c r="NT31" i="1" s="1"/>
  <c r="NU31" i="1" s="1"/>
  <c r="NN31" i="1"/>
  <c r="NO31" i="1" s="1"/>
  <c r="NP31" i="1" s="1"/>
  <c r="NK31" i="1"/>
  <c r="ND31" i="1"/>
  <c r="NE31" i="1" s="1"/>
  <c r="NF31" i="1" s="1"/>
  <c r="MY31" i="1"/>
  <c r="MZ31" i="1" s="1"/>
  <c r="NA31" i="1" s="1"/>
  <c r="MV31" i="1"/>
  <c r="MQ31" i="1"/>
  <c r="ML31" i="1"/>
  <c r="MG31" i="1"/>
  <c r="MB31" i="1"/>
  <c r="LW31" i="1"/>
  <c r="LR31" i="1"/>
  <c r="LM31" i="1"/>
  <c r="LH31" i="1"/>
  <c r="LC31" i="1"/>
  <c r="KX31" i="1"/>
  <c r="KS31" i="1"/>
  <c r="KN31" i="1"/>
  <c r="KI31" i="1"/>
  <c r="KD31" i="1"/>
  <c r="JY31" i="1"/>
  <c r="JT31" i="1"/>
  <c r="JO31" i="1"/>
  <c r="JJ31" i="1"/>
  <c r="JE31" i="1"/>
  <c r="IZ31" i="1"/>
  <c r="IU31" i="1"/>
  <c r="IP31" i="1"/>
  <c r="IK31" i="1"/>
  <c r="IF31" i="1"/>
  <c r="IA31" i="1"/>
  <c r="HV31" i="1"/>
  <c r="HQ31" i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H31" i="1"/>
  <c r="EI31" i="1" s="1"/>
  <c r="EJ31" i="1" s="1"/>
  <c r="EC31" i="1"/>
  <c r="ED31" i="1" s="1"/>
  <c r="EE31" i="1" s="1"/>
  <c r="DX31" i="1"/>
  <c r="DY31" i="1" s="1"/>
  <c r="DZ31" i="1" s="1"/>
  <c r="DS31" i="1"/>
  <c r="DT31" i="1" s="1"/>
  <c r="DU31" i="1" s="1"/>
  <c r="DN31" i="1"/>
  <c r="DO31" i="1" s="1"/>
  <c r="DP31" i="1" s="1"/>
  <c r="DI31" i="1"/>
  <c r="DJ31" i="1" s="1"/>
  <c r="DK31" i="1" s="1"/>
  <c r="DD31" i="1"/>
  <c r="DE31" i="1" s="1"/>
  <c r="DF31" i="1" s="1"/>
  <c r="CY31" i="1"/>
  <c r="CZ31" i="1" s="1"/>
  <c r="DA31" i="1" s="1"/>
  <c r="CT31" i="1"/>
  <c r="CU31" i="1" s="1"/>
  <c r="CV31" i="1" s="1"/>
  <c r="CO31" i="1"/>
  <c r="CP31" i="1" s="1"/>
  <c r="CQ31" i="1" s="1"/>
  <c r="CJ31" i="1"/>
  <c r="CK31" i="1" s="1"/>
  <c r="CL31" i="1" s="1"/>
  <c r="CE31" i="1"/>
  <c r="CF31" i="1" s="1"/>
  <c r="CG31" i="1" s="1"/>
  <c r="BZ31" i="1"/>
  <c r="CA31" i="1" s="1"/>
  <c r="CB31" i="1" s="1"/>
  <c r="BU31" i="1"/>
  <c r="BV31" i="1" s="1"/>
  <c r="BW31" i="1" s="1"/>
  <c r="BP31" i="1"/>
  <c r="BQ31" i="1" s="1"/>
  <c r="BR31" i="1" s="1"/>
  <c r="BK31" i="1"/>
  <c r="BL31" i="1" s="1"/>
  <c r="BM31" i="1" s="1"/>
  <c r="BF31" i="1"/>
  <c r="BG31" i="1" s="1"/>
  <c r="BH31" i="1" s="1"/>
  <c r="BA31" i="1"/>
  <c r="BB31" i="1" s="1"/>
  <c r="BC31" i="1" s="1"/>
  <c r="AV31" i="1"/>
  <c r="AW31" i="1" s="1"/>
  <c r="AX31" i="1" s="1"/>
  <c r="AQ31" i="1"/>
  <c r="AR31" i="1" s="1"/>
  <c r="AS31" i="1" s="1"/>
  <c r="AL31" i="1"/>
  <c r="AM31" i="1" s="1"/>
  <c r="AN31" i="1" s="1"/>
  <c r="AG31" i="1"/>
  <c r="AH31" i="1" s="1"/>
  <c r="AI31" i="1" s="1"/>
  <c r="AB31" i="1"/>
  <c r="AC31" i="1" s="1"/>
  <c r="AD31" i="1" s="1"/>
  <c r="W31" i="1"/>
  <c r="X31" i="1" s="1"/>
  <c r="Y31" i="1" s="1"/>
  <c r="T31" i="1"/>
  <c r="O31" i="1"/>
  <c r="J31" i="1"/>
  <c r="PX30" i="1"/>
  <c r="PS30" i="1"/>
  <c r="PN30" i="1"/>
  <c r="PI30" i="1"/>
  <c r="PD30" i="1"/>
  <c r="OY30" i="1"/>
  <c r="OT30" i="1"/>
  <c r="OO30" i="1"/>
  <c r="OJ30" i="1"/>
  <c r="OE30" i="1"/>
  <c r="NZ30" i="1"/>
  <c r="NU30" i="1"/>
  <c r="NN30" i="1"/>
  <c r="NO30" i="1" s="1"/>
  <c r="NP30" i="1" s="1"/>
  <c r="NK30" i="1"/>
  <c r="ND30" i="1"/>
  <c r="NE30" i="1" s="1"/>
  <c r="NF30" i="1" s="1"/>
  <c r="MY30" i="1"/>
  <c r="MZ30" i="1" s="1"/>
  <c r="NA30" i="1" s="1"/>
  <c r="MV30" i="1"/>
  <c r="MQ30" i="1"/>
  <c r="ML30" i="1"/>
  <c r="MG30" i="1"/>
  <c r="LZ30" i="1"/>
  <c r="MA30" i="1" s="1"/>
  <c r="MB30" i="1" s="1"/>
  <c r="LU30" i="1"/>
  <c r="LV30" i="1" s="1"/>
  <c r="LW30" i="1" s="1"/>
  <c r="LR30" i="1"/>
  <c r="LM30" i="1"/>
  <c r="LH30" i="1"/>
  <c r="LA30" i="1"/>
  <c r="LB30" i="1" s="1"/>
  <c r="LC30" i="1" s="1"/>
  <c r="KX30" i="1"/>
  <c r="KQ30" i="1"/>
  <c r="KR30" i="1" s="1"/>
  <c r="KS30" i="1" s="1"/>
  <c r="KL30" i="1"/>
  <c r="KM30" i="1" s="1"/>
  <c r="KN30" i="1" s="1"/>
  <c r="KI30" i="1"/>
  <c r="KB30" i="1"/>
  <c r="KC30" i="1" s="1"/>
  <c r="KD30" i="1" s="1"/>
  <c r="JY30" i="1"/>
  <c r="JT30" i="1"/>
  <c r="JO30" i="1"/>
  <c r="JJ30" i="1"/>
  <c r="JE30" i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T30" i="1"/>
  <c r="HU30" i="1" s="1"/>
  <c r="HV30" i="1" s="1"/>
  <c r="HQ30" i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H30" i="1"/>
  <c r="EI30" i="1" s="1"/>
  <c r="EJ30" i="1" s="1"/>
  <c r="EC30" i="1"/>
  <c r="ED30" i="1" s="1"/>
  <c r="EE30" i="1" s="1"/>
  <c r="DX30" i="1"/>
  <c r="DY30" i="1" s="1"/>
  <c r="DZ30" i="1" s="1"/>
  <c r="DS30" i="1"/>
  <c r="DT30" i="1" s="1"/>
  <c r="DU30" i="1" s="1"/>
  <c r="DN30" i="1"/>
  <c r="DO30" i="1" s="1"/>
  <c r="DP30" i="1" s="1"/>
  <c r="DI30" i="1"/>
  <c r="DJ30" i="1" s="1"/>
  <c r="DK30" i="1" s="1"/>
  <c r="DD30" i="1"/>
  <c r="DE30" i="1" s="1"/>
  <c r="DF30" i="1" s="1"/>
  <c r="CY30" i="1"/>
  <c r="CZ30" i="1" s="1"/>
  <c r="DA30" i="1" s="1"/>
  <c r="CT30" i="1"/>
  <c r="CU30" i="1" s="1"/>
  <c r="CV30" i="1" s="1"/>
  <c r="CO30" i="1"/>
  <c r="CP30" i="1" s="1"/>
  <c r="CQ30" i="1" s="1"/>
  <c r="CJ30" i="1"/>
  <c r="CK30" i="1" s="1"/>
  <c r="CL30" i="1" s="1"/>
  <c r="CE30" i="1"/>
  <c r="CF30" i="1" s="1"/>
  <c r="CG30" i="1" s="1"/>
  <c r="BZ30" i="1"/>
  <c r="CA30" i="1" s="1"/>
  <c r="CB30" i="1" s="1"/>
  <c r="BU30" i="1"/>
  <c r="BV30" i="1" s="1"/>
  <c r="BW30" i="1" s="1"/>
  <c r="BP30" i="1"/>
  <c r="BQ30" i="1" s="1"/>
  <c r="BR30" i="1" s="1"/>
  <c r="BK30" i="1"/>
  <c r="BL30" i="1" s="1"/>
  <c r="BM30" i="1" s="1"/>
  <c r="BF30" i="1"/>
  <c r="BG30" i="1" s="1"/>
  <c r="BH30" i="1" s="1"/>
  <c r="BA30" i="1"/>
  <c r="BB30" i="1" s="1"/>
  <c r="BC30" i="1" s="1"/>
  <c r="AV30" i="1"/>
  <c r="AW30" i="1" s="1"/>
  <c r="AX30" i="1" s="1"/>
  <c r="AQ30" i="1"/>
  <c r="AR30" i="1" s="1"/>
  <c r="AS30" i="1" s="1"/>
  <c r="AL30" i="1"/>
  <c r="AM30" i="1" s="1"/>
  <c r="AN30" i="1" s="1"/>
  <c r="AG30" i="1"/>
  <c r="AH30" i="1" s="1"/>
  <c r="AI30" i="1" s="1"/>
  <c r="AB30" i="1"/>
  <c r="AC30" i="1" s="1"/>
  <c r="AD30" i="1" s="1"/>
  <c r="W30" i="1"/>
  <c r="X30" i="1" s="1"/>
  <c r="Y30" i="1" s="1"/>
  <c r="R30" i="1"/>
  <c r="S30" i="1" s="1"/>
  <c r="T30" i="1" s="1"/>
  <c r="O30" i="1"/>
  <c r="J30" i="1"/>
  <c r="PX29" i="1"/>
  <c r="PS29" i="1"/>
  <c r="PN29" i="1"/>
  <c r="PI29" i="1"/>
  <c r="PD29" i="1"/>
  <c r="OY29" i="1"/>
  <c r="OT29" i="1"/>
  <c r="OO29" i="1"/>
  <c r="OJ29" i="1"/>
  <c r="OE29" i="1"/>
  <c r="NZ29" i="1"/>
  <c r="NU29" i="1"/>
  <c r="NP29" i="1"/>
  <c r="NK29" i="1"/>
  <c r="NF29" i="1"/>
  <c r="NA29" i="1"/>
  <c r="MV29" i="1"/>
  <c r="MQ29" i="1"/>
  <c r="ML29" i="1"/>
  <c r="MG29" i="1"/>
  <c r="MB29" i="1"/>
  <c r="LW29" i="1"/>
  <c r="LR29" i="1"/>
  <c r="LM29" i="1"/>
  <c r="LH29" i="1"/>
  <c r="LC29" i="1"/>
  <c r="KX29" i="1"/>
  <c r="KS29" i="1"/>
  <c r="KN29" i="1"/>
  <c r="KI29" i="1"/>
  <c r="KD29" i="1"/>
  <c r="JY29" i="1"/>
  <c r="JT29" i="1"/>
  <c r="JO29" i="1"/>
  <c r="JJ29" i="1"/>
  <c r="JE29" i="1"/>
  <c r="IZ29" i="1"/>
  <c r="IU29" i="1"/>
  <c r="IP29" i="1"/>
  <c r="IK29" i="1"/>
  <c r="IF29" i="1"/>
  <c r="IA29" i="1"/>
  <c r="HV29" i="1"/>
  <c r="HQ29" i="1"/>
  <c r="HL29" i="1"/>
  <c r="HG29" i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H29" i="1"/>
  <c r="EI29" i="1" s="1"/>
  <c r="EJ29" i="1" s="1"/>
  <c r="EC29" i="1"/>
  <c r="ED29" i="1" s="1"/>
  <c r="EE29" i="1" s="1"/>
  <c r="DX29" i="1"/>
  <c r="DY29" i="1" s="1"/>
  <c r="DZ29" i="1" s="1"/>
  <c r="DS29" i="1"/>
  <c r="DT29" i="1" s="1"/>
  <c r="DU29" i="1" s="1"/>
  <c r="DN29" i="1"/>
  <c r="DO29" i="1" s="1"/>
  <c r="DP29" i="1" s="1"/>
  <c r="DI29" i="1"/>
  <c r="DJ29" i="1" s="1"/>
  <c r="DK29" i="1" s="1"/>
  <c r="DD29" i="1"/>
  <c r="DE29" i="1" s="1"/>
  <c r="DF29" i="1" s="1"/>
  <c r="CY29" i="1"/>
  <c r="CZ29" i="1" s="1"/>
  <c r="DA29" i="1" s="1"/>
  <c r="CT29" i="1"/>
  <c r="CU29" i="1" s="1"/>
  <c r="CV29" i="1" s="1"/>
  <c r="CO29" i="1"/>
  <c r="CP29" i="1" s="1"/>
  <c r="CQ29" i="1" s="1"/>
  <c r="CJ29" i="1"/>
  <c r="CK29" i="1" s="1"/>
  <c r="CL29" i="1" s="1"/>
  <c r="CE29" i="1"/>
  <c r="CF29" i="1" s="1"/>
  <c r="CG29" i="1" s="1"/>
  <c r="BZ29" i="1"/>
  <c r="CA29" i="1" s="1"/>
  <c r="CB29" i="1" s="1"/>
  <c r="BU29" i="1"/>
  <c r="BV29" i="1" s="1"/>
  <c r="BW29" i="1" s="1"/>
  <c r="BP29" i="1"/>
  <c r="BQ29" i="1" s="1"/>
  <c r="BR29" i="1" s="1"/>
  <c r="BK29" i="1"/>
  <c r="BL29" i="1" s="1"/>
  <c r="BM29" i="1" s="1"/>
  <c r="BF29" i="1"/>
  <c r="BG29" i="1" s="1"/>
  <c r="BH29" i="1" s="1"/>
  <c r="BA29" i="1"/>
  <c r="BB29" i="1" s="1"/>
  <c r="BC29" i="1" s="1"/>
  <c r="AV29" i="1"/>
  <c r="AW29" i="1" s="1"/>
  <c r="AX29" i="1" s="1"/>
  <c r="AQ29" i="1"/>
  <c r="AR29" i="1" s="1"/>
  <c r="AS29" i="1" s="1"/>
  <c r="AL29" i="1"/>
  <c r="AM29" i="1" s="1"/>
  <c r="AN29" i="1" s="1"/>
  <c r="AG29" i="1"/>
  <c r="AH29" i="1" s="1"/>
  <c r="AI29" i="1" s="1"/>
  <c r="AD29" i="1"/>
  <c r="W29" i="1"/>
  <c r="X29" i="1" s="1"/>
  <c r="Y29" i="1" s="1"/>
  <c r="T29" i="1"/>
  <c r="O29" i="1"/>
  <c r="H29" i="1"/>
  <c r="I29" i="1" s="1"/>
  <c r="J29" i="1" s="1"/>
  <c r="PX28" i="1"/>
  <c r="PS28" i="1"/>
  <c r="PN28" i="1"/>
  <c r="PI28" i="1"/>
  <c r="PD28" i="1"/>
  <c r="OY28" i="1"/>
  <c r="OT28" i="1"/>
  <c r="OO28" i="1"/>
  <c r="OJ28" i="1"/>
  <c r="OE28" i="1"/>
  <c r="NZ28" i="1"/>
  <c r="NU28" i="1"/>
  <c r="NP28" i="1"/>
  <c r="NK28" i="1"/>
  <c r="NF28" i="1"/>
  <c r="NA28" i="1"/>
  <c r="MV28" i="1"/>
  <c r="MQ28" i="1"/>
  <c r="ML28" i="1"/>
  <c r="MG28" i="1"/>
  <c r="MB28" i="1"/>
  <c r="LW28" i="1"/>
  <c r="LR28" i="1"/>
  <c r="LM28" i="1"/>
  <c r="LH28" i="1"/>
  <c r="LC28" i="1"/>
  <c r="KX28" i="1"/>
  <c r="KS28" i="1"/>
  <c r="KN28" i="1"/>
  <c r="KI28" i="1"/>
  <c r="KD28" i="1"/>
  <c r="JY28" i="1"/>
  <c r="JT28" i="1"/>
  <c r="JO28" i="1"/>
  <c r="JJ28" i="1"/>
  <c r="JE28" i="1"/>
  <c r="IZ28" i="1"/>
  <c r="IU28" i="1"/>
  <c r="IP28" i="1"/>
  <c r="IK28" i="1"/>
  <c r="IF28" i="1"/>
  <c r="IA28" i="1"/>
  <c r="HV28" i="1"/>
  <c r="HQ28" i="1"/>
  <c r="HL28" i="1"/>
  <c r="HG28" i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H28" i="1"/>
  <c r="EI28" i="1" s="1"/>
  <c r="EJ28" i="1" s="1"/>
  <c r="EC28" i="1"/>
  <c r="ED28" i="1" s="1"/>
  <c r="EE28" i="1" s="1"/>
  <c r="DX28" i="1"/>
  <c r="DY28" i="1" s="1"/>
  <c r="DZ28" i="1" s="1"/>
  <c r="DS28" i="1"/>
  <c r="DT28" i="1" s="1"/>
  <c r="DU28" i="1" s="1"/>
  <c r="DN28" i="1"/>
  <c r="DO28" i="1" s="1"/>
  <c r="DP28" i="1" s="1"/>
  <c r="DI28" i="1"/>
  <c r="DJ28" i="1" s="1"/>
  <c r="DK28" i="1" s="1"/>
  <c r="DD28" i="1"/>
  <c r="DE28" i="1" s="1"/>
  <c r="DF28" i="1" s="1"/>
  <c r="CY28" i="1"/>
  <c r="CZ28" i="1" s="1"/>
  <c r="DA28" i="1" s="1"/>
  <c r="CT28" i="1"/>
  <c r="CU28" i="1" s="1"/>
  <c r="CV28" i="1" s="1"/>
  <c r="CO28" i="1"/>
  <c r="CP28" i="1" s="1"/>
  <c r="CQ28" i="1" s="1"/>
  <c r="CJ28" i="1"/>
  <c r="CK28" i="1" s="1"/>
  <c r="CL28" i="1" s="1"/>
  <c r="CE28" i="1"/>
  <c r="CF28" i="1" s="1"/>
  <c r="CG28" i="1" s="1"/>
  <c r="BZ28" i="1"/>
  <c r="CA28" i="1" s="1"/>
  <c r="CB28" i="1" s="1"/>
  <c r="BU28" i="1"/>
  <c r="BV28" i="1" s="1"/>
  <c r="BW28" i="1" s="1"/>
  <c r="BP28" i="1"/>
  <c r="BQ28" i="1" s="1"/>
  <c r="BR28" i="1" s="1"/>
  <c r="BK28" i="1"/>
  <c r="BL28" i="1" s="1"/>
  <c r="BM28" i="1" s="1"/>
  <c r="BF28" i="1"/>
  <c r="BG28" i="1" s="1"/>
  <c r="BH28" i="1" s="1"/>
  <c r="BA28" i="1"/>
  <c r="BB28" i="1" s="1"/>
  <c r="BC28" i="1" s="1"/>
  <c r="AV28" i="1"/>
  <c r="AW28" i="1" s="1"/>
  <c r="AX28" i="1" s="1"/>
  <c r="AQ28" i="1"/>
  <c r="AR28" i="1" s="1"/>
  <c r="AS28" i="1" s="1"/>
  <c r="AL28" i="1"/>
  <c r="AM28" i="1" s="1"/>
  <c r="AN28" i="1" s="1"/>
  <c r="AG28" i="1"/>
  <c r="AH28" i="1" s="1"/>
  <c r="AI28" i="1" s="1"/>
  <c r="AD28" i="1"/>
  <c r="W28" i="1"/>
  <c r="X28" i="1" s="1"/>
  <c r="Y28" i="1" s="1"/>
  <c r="T28" i="1"/>
  <c r="O28" i="1"/>
  <c r="H28" i="1"/>
  <c r="I28" i="1" s="1"/>
  <c r="J28" i="1" s="1"/>
  <c r="PX27" i="1"/>
  <c r="PS27" i="1"/>
  <c r="PN27" i="1"/>
  <c r="PI27" i="1"/>
  <c r="PD27" i="1"/>
  <c r="OY27" i="1"/>
  <c r="OT27" i="1"/>
  <c r="OO27" i="1"/>
  <c r="OJ27" i="1"/>
  <c r="OE27" i="1"/>
  <c r="NZ27" i="1"/>
  <c r="NU27" i="1"/>
  <c r="NP27" i="1"/>
  <c r="NK27" i="1"/>
  <c r="NF27" i="1"/>
  <c r="NA27" i="1"/>
  <c r="MV27" i="1"/>
  <c r="MQ27" i="1"/>
  <c r="ML27" i="1"/>
  <c r="MG27" i="1"/>
  <c r="MB27" i="1"/>
  <c r="LW27" i="1"/>
  <c r="LR27" i="1"/>
  <c r="LM27" i="1"/>
  <c r="LH27" i="1"/>
  <c r="LC27" i="1"/>
  <c r="KX27" i="1"/>
  <c r="KS27" i="1"/>
  <c r="KN27" i="1"/>
  <c r="KI27" i="1"/>
  <c r="KD27" i="1"/>
  <c r="JY27" i="1"/>
  <c r="JT27" i="1"/>
  <c r="JO27" i="1"/>
  <c r="JJ27" i="1"/>
  <c r="JE27" i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T27" i="1"/>
  <c r="HU27" i="1" s="1"/>
  <c r="HV27" i="1" s="1"/>
  <c r="HQ27" i="1"/>
  <c r="HL27" i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Q27" i="1"/>
  <c r="FR27" i="1" s="1"/>
  <c r="FS27" i="1" s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H27" i="1"/>
  <c r="EI27" i="1" s="1"/>
  <c r="EJ27" i="1" s="1"/>
  <c r="EC27" i="1"/>
  <c r="ED27" i="1" s="1"/>
  <c r="EE27" i="1" s="1"/>
  <c r="DX27" i="1"/>
  <c r="DY27" i="1" s="1"/>
  <c r="DZ27" i="1" s="1"/>
  <c r="DS27" i="1"/>
  <c r="DT27" i="1" s="1"/>
  <c r="DU27" i="1" s="1"/>
  <c r="DN27" i="1"/>
  <c r="DO27" i="1" s="1"/>
  <c r="DP27" i="1" s="1"/>
  <c r="DI27" i="1"/>
  <c r="DJ27" i="1" s="1"/>
  <c r="DK27" i="1" s="1"/>
  <c r="DD27" i="1"/>
  <c r="DE27" i="1" s="1"/>
  <c r="DF27" i="1" s="1"/>
  <c r="CY27" i="1"/>
  <c r="CZ27" i="1" s="1"/>
  <c r="DA27" i="1" s="1"/>
  <c r="CT27" i="1"/>
  <c r="CU27" i="1" s="1"/>
  <c r="CV27" i="1" s="1"/>
  <c r="CO27" i="1"/>
  <c r="CP27" i="1" s="1"/>
  <c r="CQ27" i="1" s="1"/>
  <c r="CJ27" i="1"/>
  <c r="CK27" i="1" s="1"/>
  <c r="CL27" i="1" s="1"/>
  <c r="CE27" i="1"/>
  <c r="CF27" i="1" s="1"/>
  <c r="CG27" i="1" s="1"/>
  <c r="BZ27" i="1"/>
  <c r="CA27" i="1" s="1"/>
  <c r="CB27" i="1" s="1"/>
  <c r="BU27" i="1"/>
  <c r="BV27" i="1" s="1"/>
  <c r="BW27" i="1" s="1"/>
  <c r="BP27" i="1"/>
  <c r="BQ27" i="1" s="1"/>
  <c r="BR27" i="1" s="1"/>
  <c r="BK27" i="1"/>
  <c r="BL27" i="1" s="1"/>
  <c r="BM27" i="1" s="1"/>
  <c r="BF27" i="1"/>
  <c r="BG27" i="1" s="1"/>
  <c r="BH27" i="1" s="1"/>
  <c r="BA27" i="1"/>
  <c r="BB27" i="1" s="1"/>
  <c r="BC27" i="1" s="1"/>
  <c r="AV27" i="1"/>
  <c r="AW27" i="1" s="1"/>
  <c r="AX27" i="1" s="1"/>
  <c r="AQ27" i="1"/>
  <c r="AR27" i="1" s="1"/>
  <c r="AS27" i="1" s="1"/>
  <c r="AL27" i="1"/>
  <c r="AM27" i="1" s="1"/>
  <c r="AN27" i="1" s="1"/>
  <c r="AG27" i="1"/>
  <c r="AH27" i="1" s="1"/>
  <c r="AI27" i="1" s="1"/>
  <c r="AB27" i="1"/>
  <c r="AC27" i="1" s="1"/>
  <c r="AD27" i="1" s="1"/>
  <c r="W27" i="1"/>
  <c r="X27" i="1" s="1"/>
  <c r="Y27" i="1" s="1"/>
  <c r="T27" i="1"/>
  <c r="O27" i="1"/>
  <c r="J27" i="1"/>
  <c r="PX26" i="1"/>
  <c r="PS26" i="1"/>
  <c r="PN26" i="1"/>
  <c r="PI26" i="1"/>
  <c r="PD26" i="1"/>
  <c r="OY26" i="1"/>
  <c r="OT26" i="1"/>
  <c r="OO26" i="1"/>
  <c r="OJ26" i="1"/>
  <c r="OE26" i="1"/>
  <c r="NZ26" i="1"/>
  <c r="NU26" i="1"/>
  <c r="NP26" i="1"/>
  <c r="NK26" i="1"/>
  <c r="NF26" i="1"/>
  <c r="NA26" i="1"/>
  <c r="MV26" i="1"/>
  <c r="MQ26" i="1"/>
  <c r="ML26" i="1"/>
  <c r="MG26" i="1"/>
  <c r="MB26" i="1"/>
  <c r="LW26" i="1"/>
  <c r="LR26" i="1"/>
  <c r="LM26" i="1"/>
  <c r="LH26" i="1"/>
  <c r="LC26" i="1"/>
  <c r="KX26" i="1"/>
  <c r="KS26" i="1"/>
  <c r="KN26" i="1"/>
  <c r="KI26" i="1"/>
  <c r="KD26" i="1"/>
  <c r="JY26" i="1"/>
  <c r="JT26" i="1"/>
  <c r="JO26" i="1"/>
  <c r="JJ26" i="1"/>
  <c r="JE26" i="1"/>
  <c r="IZ26" i="1"/>
  <c r="IU26" i="1"/>
  <c r="IP26" i="1"/>
  <c r="IK26" i="1"/>
  <c r="IF26" i="1"/>
  <c r="IA26" i="1"/>
  <c r="HV26" i="1"/>
  <c r="HQ26" i="1"/>
  <c r="HL26" i="1"/>
  <c r="HG26" i="1"/>
  <c r="GZ26" i="1"/>
  <c r="HA26" i="1" s="1"/>
  <c r="HB26" i="1" s="1"/>
  <c r="GU26" i="1"/>
  <c r="GV26" i="1" s="1"/>
  <c r="GW26" i="1" s="1"/>
  <c r="GP26" i="1"/>
  <c r="GQ26" i="1" s="1"/>
  <c r="GR26" i="1" s="1"/>
  <c r="GK26" i="1"/>
  <c r="GL26" i="1" s="1"/>
  <c r="GM26" i="1" s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H26" i="1"/>
  <c r="EI26" i="1" s="1"/>
  <c r="EJ26" i="1" s="1"/>
  <c r="EC26" i="1"/>
  <c r="ED26" i="1" s="1"/>
  <c r="EE26" i="1" s="1"/>
  <c r="DX26" i="1"/>
  <c r="DY26" i="1" s="1"/>
  <c r="DZ26" i="1" s="1"/>
  <c r="DS26" i="1"/>
  <c r="DT26" i="1" s="1"/>
  <c r="DU26" i="1" s="1"/>
  <c r="DN26" i="1"/>
  <c r="DO26" i="1" s="1"/>
  <c r="DP26" i="1" s="1"/>
  <c r="DI26" i="1"/>
  <c r="DJ26" i="1" s="1"/>
  <c r="DK26" i="1" s="1"/>
  <c r="DD26" i="1"/>
  <c r="DE26" i="1" s="1"/>
  <c r="DF26" i="1" s="1"/>
  <c r="CY26" i="1"/>
  <c r="CZ26" i="1" s="1"/>
  <c r="DA26" i="1" s="1"/>
  <c r="CT26" i="1"/>
  <c r="CU26" i="1" s="1"/>
  <c r="CV26" i="1" s="1"/>
  <c r="CO26" i="1"/>
  <c r="CP26" i="1" s="1"/>
  <c r="CQ26" i="1" s="1"/>
  <c r="CJ26" i="1"/>
  <c r="CK26" i="1" s="1"/>
  <c r="CL26" i="1" s="1"/>
  <c r="CE26" i="1"/>
  <c r="CF26" i="1" s="1"/>
  <c r="CG26" i="1" s="1"/>
  <c r="BZ26" i="1"/>
  <c r="CA26" i="1" s="1"/>
  <c r="CB26" i="1" s="1"/>
  <c r="BU26" i="1"/>
  <c r="BV26" i="1" s="1"/>
  <c r="BW26" i="1" s="1"/>
  <c r="BP26" i="1"/>
  <c r="BQ26" i="1" s="1"/>
  <c r="BR26" i="1" s="1"/>
  <c r="BK26" i="1"/>
  <c r="BL26" i="1" s="1"/>
  <c r="BM26" i="1" s="1"/>
  <c r="BF26" i="1"/>
  <c r="BG26" i="1" s="1"/>
  <c r="BH26" i="1" s="1"/>
  <c r="BA26" i="1"/>
  <c r="BB26" i="1" s="1"/>
  <c r="BC26" i="1" s="1"/>
  <c r="AV26" i="1"/>
  <c r="AW26" i="1" s="1"/>
  <c r="AX26" i="1" s="1"/>
  <c r="AQ26" i="1"/>
  <c r="AR26" i="1" s="1"/>
  <c r="AS26" i="1" s="1"/>
  <c r="AL26" i="1"/>
  <c r="AM26" i="1" s="1"/>
  <c r="AN26" i="1" s="1"/>
  <c r="AG26" i="1"/>
  <c r="AH26" i="1" s="1"/>
  <c r="AI26" i="1" s="1"/>
  <c r="AD26" i="1"/>
  <c r="W26" i="1"/>
  <c r="X26" i="1" s="1"/>
  <c r="Y26" i="1" s="1"/>
  <c r="T26" i="1"/>
  <c r="O26" i="1"/>
  <c r="H26" i="1"/>
  <c r="I26" i="1" s="1"/>
  <c r="J26" i="1" s="1"/>
  <c r="PX25" i="1"/>
  <c r="PS25" i="1"/>
  <c r="PN25" i="1"/>
  <c r="PI25" i="1"/>
  <c r="PD25" i="1"/>
  <c r="OY25" i="1"/>
  <c r="OT25" i="1"/>
  <c r="OO25" i="1"/>
  <c r="OJ25" i="1"/>
  <c r="OE25" i="1"/>
  <c r="NZ25" i="1"/>
  <c r="NU25" i="1"/>
  <c r="NP25" i="1"/>
  <c r="NK25" i="1"/>
  <c r="NF25" i="1"/>
  <c r="NA25" i="1"/>
  <c r="MT25" i="1"/>
  <c r="MU25" i="1" s="1"/>
  <c r="MV25" i="1" s="1"/>
  <c r="MO25" i="1"/>
  <c r="MP25" i="1" s="1"/>
  <c r="MQ25" i="1" s="1"/>
  <c r="ML25" i="1"/>
  <c r="MG25" i="1"/>
  <c r="MB25" i="1"/>
  <c r="LW25" i="1"/>
  <c r="LR25" i="1"/>
  <c r="LM25" i="1"/>
  <c r="LH25" i="1"/>
  <c r="LC25" i="1"/>
  <c r="KX25" i="1"/>
  <c r="KS25" i="1"/>
  <c r="KN25" i="1"/>
  <c r="KI25" i="1"/>
  <c r="KD25" i="1"/>
  <c r="JY25" i="1"/>
  <c r="JT25" i="1"/>
  <c r="JO25" i="1"/>
  <c r="JJ25" i="1"/>
  <c r="JE25" i="1"/>
  <c r="IX25" i="1"/>
  <c r="IY25" i="1" s="1"/>
  <c r="IZ25" i="1" s="1"/>
  <c r="IS25" i="1"/>
  <c r="IT25" i="1" s="1"/>
  <c r="IU25" i="1" s="1"/>
  <c r="IN25" i="1"/>
  <c r="IO25" i="1" s="1"/>
  <c r="IP25" i="1" s="1"/>
  <c r="IK25" i="1"/>
  <c r="ID25" i="1"/>
  <c r="IE25" i="1" s="1"/>
  <c r="IF25" i="1" s="1"/>
  <c r="IA25" i="1"/>
  <c r="HV25" i="1"/>
  <c r="HQ25" i="1"/>
  <c r="HL25" i="1"/>
  <c r="HE25" i="1"/>
  <c r="HF25" i="1" s="1"/>
  <c r="HG25" i="1" s="1"/>
  <c r="GZ25" i="1"/>
  <c r="HA25" i="1" s="1"/>
  <c r="HB25" i="1" s="1"/>
  <c r="GU25" i="1"/>
  <c r="GV25" i="1" s="1"/>
  <c r="GW25" i="1" s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H25" i="1"/>
  <c r="EI25" i="1" s="1"/>
  <c r="EJ25" i="1" s="1"/>
  <c r="EC25" i="1"/>
  <c r="ED25" i="1" s="1"/>
  <c r="EE25" i="1" s="1"/>
  <c r="DX25" i="1"/>
  <c r="DY25" i="1" s="1"/>
  <c r="DZ25" i="1" s="1"/>
  <c r="DS25" i="1"/>
  <c r="DT25" i="1" s="1"/>
  <c r="DU25" i="1" s="1"/>
  <c r="DN25" i="1"/>
  <c r="DO25" i="1" s="1"/>
  <c r="DP25" i="1" s="1"/>
  <c r="DI25" i="1"/>
  <c r="DJ25" i="1" s="1"/>
  <c r="DK25" i="1" s="1"/>
  <c r="DD25" i="1"/>
  <c r="DE25" i="1" s="1"/>
  <c r="DF25" i="1" s="1"/>
  <c r="CY25" i="1"/>
  <c r="CZ25" i="1" s="1"/>
  <c r="DA25" i="1" s="1"/>
  <c r="CT25" i="1"/>
  <c r="CU25" i="1" s="1"/>
  <c r="CV25" i="1" s="1"/>
  <c r="CO25" i="1"/>
  <c r="CP25" i="1" s="1"/>
  <c r="CQ25" i="1" s="1"/>
  <c r="CJ25" i="1"/>
  <c r="CK25" i="1" s="1"/>
  <c r="CL25" i="1" s="1"/>
  <c r="CE25" i="1"/>
  <c r="CF25" i="1" s="1"/>
  <c r="CG25" i="1" s="1"/>
  <c r="BZ25" i="1"/>
  <c r="CA25" i="1" s="1"/>
  <c r="CB25" i="1" s="1"/>
  <c r="BU25" i="1"/>
  <c r="BV25" i="1" s="1"/>
  <c r="BW25" i="1" s="1"/>
  <c r="BP25" i="1"/>
  <c r="BQ25" i="1" s="1"/>
  <c r="BR25" i="1" s="1"/>
  <c r="BK25" i="1"/>
  <c r="BL25" i="1" s="1"/>
  <c r="BM25" i="1" s="1"/>
  <c r="BF25" i="1"/>
  <c r="BG25" i="1" s="1"/>
  <c r="BH25" i="1" s="1"/>
  <c r="BA25" i="1"/>
  <c r="BB25" i="1" s="1"/>
  <c r="BC25" i="1" s="1"/>
  <c r="AV25" i="1"/>
  <c r="AW25" i="1" s="1"/>
  <c r="AX25" i="1" s="1"/>
  <c r="AQ25" i="1"/>
  <c r="AR25" i="1" s="1"/>
  <c r="AS25" i="1" s="1"/>
  <c r="AL25" i="1"/>
  <c r="AM25" i="1" s="1"/>
  <c r="AN25" i="1" s="1"/>
  <c r="AG25" i="1"/>
  <c r="AH25" i="1" s="1"/>
  <c r="AI25" i="1" s="1"/>
  <c r="AB25" i="1"/>
  <c r="AC25" i="1" s="1"/>
  <c r="AD25" i="1" s="1"/>
  <c r="W25" i="1"/>
  <c r="X25" i="1" s="1"/>
  <c r="Y25" i="1" s="1"/>
  <c r="T25" i="1"/>
  <c r="O25" i="1"/>
  <c r="J25" i="1"/>
  <c r="PV24" i="1"/>
  <c r="PW24" i="1" s="1"/>
  <c r="PX24" i="1" s="1"/>
  <c r="PS24" i="1"/>
  <c r="PN24" i="1"/>
  <c r="PI24" i="1"/>
  <c r="PD24" i="1"/>
  <c r="OY24" i="1"/>
  <c r="OT24" i="1"/>
  <c r="OO24" i="1"/>
  <c r="OJ24" i="1"/>
  <c r="OE24" i="1"/>
  <c r="NZ24" i="1"/>
  <c r="NU24" i="1"/>
  <c r="NP24" i="1"/>
  <c r="NK24" i="1"/>
  <c r="NF24" i="1"/>
  <c r="NA24" i="1"/>
  <c r="MV24" i="1"/>
  <c r="MQ24" i="1"/>
  <c r="ML24" i="1"/>
  <c r="MG24" i="1"/>
  <c r="MB24" i="1"/>
  <c r="LW24" i="1"/>
  <c r="LR24" i="1"/>
  <c r="LK24" i="1"/>
  <c r="LL24" i="1" s="1"/>
  <c r="LM24" i="1" s="1"/>
  <c r="LH24" i="1"/>
  <c r="LA24" i="1"/>
  <c r="LB24" i="1" s="1"/>
  <c r="LC24" i="1" s="1"/>
  <c r="KV24" i="1"/>
  <c r="KW24" i="1" s="1"/>
  <c r="KX24" i="1" s="1"/>
  <c r="KS24" i="1"/>
  <c r="KN24" i="1"/>
  <c r="KI24" i="1"/>
  <c r="KD24" i="1"/>
  <c r="JY24" i="1"/>
  <c r="JT24" i="1"/>
  <c r="JO24" i="1"/>
  <c r="JJ24" i="1"/>
  <c r="JE24" i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T24" i="1"/>
  <c r="HU24" i="1" s="1"/>
  <c r="HV24" i="1" s="1"/>
  <c r="HQ24" i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H24" i="1"/>
  <c r="EI24" i="1" s="1"/>
  <c r="EJ24" i="1" s="1"/>
  <c r="EC24" i="1"/>
  <c r="ED24" i="1" s="1"/>
  <c r="EE24" i="1" s="1"/>
  <c r="DX24" i="1"/>
  <c r="DY24" i="1" s="1"/>
  <c r="DZ24" i="1" s="1"/>
  <c r="DS24" i="1"/>
  <c r="DT24" i="1" s="1"/>
  <c r="DU24" i="1" s="1"/>
  <c r="DN24" i="1"/>
  <c r="DO24" i="1" s="1"/>
  <c r="DP24" i="1" s="1"/>
  <c r="DI24" i="1"/>
  <c r="DJ24" i="1" s="1"/>
  <c r="DK24" i="1" s="1"/>
  <c r="DD24" i="1"/>
  <c r="DE24" i="1" s="1"/>
  <c r="DF24" i="1" s="1"/>
  <c r="CY24" i="1"/>
  <c r="CZ24" i="1" s="1"/>
  <c r="DA24" i="1" s="1"/>
  <c r="CT24" i="1"/>
  <c r="CU24" i="1" s="1"/>
  <c r="CV24" i="1" s="1"/>
  <c r="CO24" i="1"/>
  <c r="CP24" i="1" s="1"/>
  <c r="CQ24" i="1" s="1"/>
  <c r="CJ24" i="1"/>
  <c r="CK24" i="1" s="1"/>
  <c r="CL24" i="1" s="1"/>
  <c r="CE24" i="1"/>
  <c r="CF24" i="1" s="1"/>
  <c r="CG24" i="1" s="1"/>
  <c r="BZ24" i="1"/>
  <c r="CA24" i="1" s="1"/>
  <c r="CB24" i="1" s="1"/>
  <c r="BU24" i="1"/>
  <c r="BV24" i="1" s="1"/>
  <c r="BW24" i="1" s="1"/>
  <c r="BP24" i="1"/>
  <c r="BQ24" i="1" s="1"/>
  <c r="BR24" i="1" s="1"/>
  <c r="BK24" i="1"/>
  <c r="BL24" i="1" s="1"/>
  <c r="BM24" i="1" s="1"/>
  <c r="BF24" i="1"/>
  <c r="BG24" i="1" s="1"/>
  <c r="BH24" i="1" s="1"/>
  <c r="BA24" i="1"/>
  <c r="BB24" i="1" s="1"/>
  <c r="BC24" i="1" s="1"/>
  <c r="AV24" i="1"/>
  <c r="AW24" i="1" s="1"/>
  <c r="AX24" i="1" s="1"/>
  <c r="AQ24" i="1"/>
  <c r="AR24" i="1" s="1"/>
  <c r="AS24" i="1" s="1"/>
  <c r="AL24" i="1"/>
  <c r="AM24" i="1" s="1"/>
  <c r="AN24" i="1" s="1"/>
  <c r="AG24" i="1"/>
  <c r="AH24" i="1" s="1"/>
  <c r="AI24" i="1" s="1"/>
  <c r="AB24" i="1"/>
  <c r="AC24" i="1" s="1"/>
  <c r="AD24" i="1" s="1"/>
  <c r="W24" i="1"/>
  <c r="X24" i="1" s="1"/>
  <c r="Y24" i="1" s="1"/>
  <c r="R24" i="1"/>
  <c r="S24" i="1" s="1"/>
  <c r="T24" i="1" s="1"/>
  <c r="O24" i="1"/>
  <c r="J24" i="1"/>
  <c r="PX23" i="1"/>
  <c r="PS23" i="1"/>
  <c r="PN23" i="1"/>
  <c r="PI23" i="1"/>
  <c r="PD23" i="1"/>
  <c r="OY23" i="1"/>
  <c r="OT23" i="1"/>
  <c r="OO23" i="1"/>
  <c r="OJ23" i="1"/>
  <c r="OE23" i="1"/>
  <c r="NZ23" i="1"/>
  <c r="NU23" i="1"/>
  <c r="NP23" i="1"/>
  <c r="NK23" i="1"/>
  <c r="NF23" i="1"/>
  <c r="NA23" i="1"/>
  <c r="MV23" i="1"/>
  <c r="MQ23" i="1"/>
  <c r="ML23" i="1"/>
  <c r="MG23" i="1"/>
  <c r="MB23" i="1"/>
  <c r="LW23" i="1"/>
  <c r="LR23" i="1"/>
  <c r="LM23" i="1"/>
  <c r="LH23" i="1"/>
  <c r="LA23" i="1"/>
  <c r="LB23" i="1" s="1"/>
  <c r="LC23" i="1" s="1"/>
  <c r="KV23" i="1"/>
  <c r="KW23" i="1" s="1"/>
  <c r="KX23" i="1" s="1"/>
  <c r="KS23" i="1"/>
  <c r="KN23" i="1"/>
  <c r="KI23" i="1"/>
  <c r="KD23" i="1"/>
  <c r="JY23" i="1"/>
  <c r="JT23" i="1"/>
  <c r="JO23" i="1"/>
  <c r="JJ23" i="1"/>
  <c r="JE23" i="1"/>
  <c r="IZ23" i="1"/>
  <c r="IU23" i="1"/>
  <c r="IP23" i="1"/>
  <c r="IK23" i="1"/>
  <c r="IF23" i="1"/>
  <c r="IA23" i="1"/>
  <c r="HV23" i="1"/>
  <c r="HQ23" i="1"/>
  <c r="HL23" i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H23" i="1"/>
  <c r="EI23" i="1" s="1"/>
  <c r="EJ23" i="1" s="1"/>
  <c r="EC23" i="1"/>
  <c r="ED23" i="1" s="1"/>
  <c r="EE23" i="1" s="1"/>
  <c r="DX23" i="1"/>
  <c r="DY23" i="1" s="1"/>
  <c r="DZ23" i="1" s="1"/>
  <c r="DS23" i="1"/>
  <c r="DT23" i="1" s="1"/>
  <c r="DU23" i="1" s="1"/>
  <c r="DN23" i="1"/>
  <c r="DO23" i="1" s="1"/>
  <c r="DP23" i="1" s="1"/>
  <c r="DI23" i="1"/>
  <c r="DJ23" i="1" s="1"/>
  <c r="DK23" i="1" s="1"/>
  <c r="DD23" i="1"/>
  <c r="DE23" i="1" s="1"/>
  <c r="DF23" i="1" s="1"/>
  <c r="CY23" i="1"/>
  <c r="CZ23" i="1" s="1"/>
  <c r="DA23" i="1" s="1"/>
  <c r="CT23" i="1"/>
  <c r="CU23" i="1" s="1"/>
  <c r="CV23" i="1" s="1"/>
  <c r="CO23" i="1"/>
  <c r="CP23" i="1" s="1"/>
  <c r="CQ23" i="1" s="1"/>
  <c r="CJ23" i="1"/>
  <c r="CK23" i="1" s="1"/>
  <c r="CL23" i="1" s="1"/>
  <c r="CE23" i="1"/>
  <c r="CF23" i="1" s="1"/>
  <c r="CG23" i="1" s="1"/>
  <c r="BZ23" i="1"/>
  <c r="CA23" i="1" s="1"/>
  <c r="CB23" i="1" s="1"/>
  <c r="BU23" i="1"/>
  <c r="BV23" i="1" s="1"/>
  <c r="BW23" i="1" s="1"/>
  <c r="BP23" i="1"/>
  <c r="BQ23" i="1" s="1"/>
  <c r="BR23" i="1" s="1"/>
  <c r="BK23" i="1"/>
  <c r="BL23" i="1" s="1"/>
  <c r="BM23" i="1" s="1"/>
  <c r="BF23" i="1"/>
  <c r="BG23" i="1" s="1"/>
  <c r="BH23" i="1" s="1"/>
  <c r="BA23" i="1"/>
  <c r="BB23" i="1" s="1"/>
  <c r="BC23" i="1" s="1"/>
  <c r="AV23" i="1"/>
  <c r="AW23" i="1" s="1"/>
  <c r="AX23" i="1" s="1"/>
  <c r="AQ23" i="1"/>
  <c r="AR23" i="1" s="1"/>
  <c r="AS23" i="1" s="1"/>
  <c r="AL23" i="1"/>
  <c r="AM23" i="1" s="1"/>
  <c r="AN23" i="1" s="1"/>
  <c r="AG23" i="1"/>
  <c r="AH23" i="1" s="1"/>
  <c r="AI23" i="1" s="1"/>
  <c r="AB23" i="1"/>
  <c r="AC23" i="1" s="1"/>
  <c r="AD23" i="1" s="1"/>
  <c r="W23" i="1"/>
  <c r="X23" i="1" s="1"/>
  <c r="Y23" i="1" s="1"/>
  <c r="R23" i="1"/>
  <c r="S23" i="1" s="1"/>
  <c r="T23" i="1" s="1"/>
  <c r="O23" i="1"/>
  <c r="J23" i="1"/>
  <c r="PX22" i="1"/>
  <c r="PS22" i="1"/>
  <c r="PN22" i="1"/>
  <c r="PI22" i="1"/>
  <c r="PD22" i="1"/>
  <c r="OY22" i="1"/>
  <c r="OT22" i="1"/>
  <c r="OO22" i="1"/>
  <c r="OJ22" i="1"/>
  <c r="OE22" i="1"/>
  <c r="NZ22" i="1"/>
  <c r="NU22" i="1"/>
  <c r="NP22" i="1"/>
  <c r="NK22" i="1"/>
  <c r="NF22" i="1"/>
  <c r="NA22" i="1"/>
  <c r="MV22" i="1"/>
  <c r="MQ22" i="1"/>
  <c r="ML22" i="1"/>
  <c r="MG22" i="1"/>
  <c r="MB22" i="1"/>
  <c r="LW22" i="1"/>
  <c r="LR22" i="1"/>
  <c r="LM22" i="1"/>
  <c r="LH22" i="1"/>
  <c r="LC22" i="1"/>
  <c r="KV22" i="1"/>
  <c r="KW22" i="1" s="1"/>
  <c r="KX22" i="1" s="1"/>
  <c r="KS22" i="1"/>
  <c r="KN22" i="1"/>
  <c r="KI22" i="1"/>
  <c r="KD22" i="1"/>
  <c r="JY22" i="1"/>
  <c r="JT22" i="1"/>
  <c r="JO22" i="1"/>
  <c r="JJ22" i="1"/>
  <c r="JE22" i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H22" i="1"/>
  <c r="EI22" i="1" s="1"/>
  <c r="EJ22" i="1" s="1"/>
  <c r="EC22" i="1"/>
  <c r="ED22" i="1" s="1"/>
  <c r="EE22" i="1" s="1"/>
  <c r="DX22" i="1"/>
  <c r="DY22" i="1" s="1"/>
  <c r="DZ22" i="1" s="1"/>
  <c r="DS22" i="1"/>
  <c r="DT22" i="1" s="1"/>
  <c r="DU22" i="1" s="1"/>
  <c r="DN22" i="1"/>
  <c r="DO22" i="1" s="1"/>
  <c r="DP22" i="1" s="1"/>
  <c r="DI22" i="1"/>
  <c r="DJ22" i="1" s="1"/>
  <c r="DK22" i="1" s="1"/>
  <c r="DD22" i="1"/>
  <c r="DE22" i="1" s="1"/>
  <c r="DF22" i="1" s="1"/>
  <c r="CY22" i="1"/>
  <c r="CZ22" i="1" s="1"/>
  <c r="DA22" i="1" s="1"/>
  <c r="CT22" i="1"/>
  <c r="CU22" i="1" s="1"/>
  <c r="CV22" i="1" s="1"/>
  <c r="CO22" i="1"/>
  <c r="CP22" i="1" s="1"/>
  <c r="CQ22" i="1" s="1"/>
  <c r="CJ22" i="1"/>
  <c r="CK22" i="1" s="1"/>
  <c r="CL22" i="1" s="1"/>
  <c r="CE22" i="1"/>
  <c r="CF22" i="1" s="1"/>
  <c r="CG22" i="1" s="1"/>
  <c r="BZ22" i="1"/>
  <c r="CA22" i="1" s="1"/>
  <c r="CB22" i="1" s="1"/>
  <c r="BU22" i="1"/>
  <c r="BV22" i="1" s="1"/>
  <c r="BW22" i="1" s="1"/>
  <c r="BP22" i="1"/>
  <c r="BQ22" i="1" s="1"/>
  <c r="BR22" i="1" s="1"/>
  <c r="BK22" i="1"/>
  <c r="BL22" i="1" s="1"/>
  <c r="BM22" i="1" s="1"/>
  <c r="BF22" i="1"/>
  <c r="BG22" i="1" s="1"/>
  <c r="BH22" i="1" s="1"/>
  <c r="BA22" i="1"/>
  <c r="BB22" i="1" s="1"/>
  <c r="BC22" i="1" s="1"/>
  <c r="AV22" i="1"/>
  <c r="AW22" i="1" s="1"/>
  <c r="AX22" i="1" s="1"/>
  <c r="AQ22" i="1"/>
  <c r="AR22" i="1" s="1"/>
  <c r="AS22" i="1" s="1"/>
  <c r="AL22" i="1"/>
  <c r="AM22" i="1" s="1"/>
  <c r="AN22" i="1" s="1"/>
  <c r="AG22" i="1"/>
  <c r="AH22" i="1" s="1"/>
  <c r="AI22" i="1" s="1"/>
  <c r="AB22" i="1"/>
  <c r="AC22" i="1" s="1"/>
  <c r="AD22" i="1" s="1"/>
  <c r="W22" i="1"/>
  <c r="X22" i="1" s="1"/>
  <c r="Y22" i="1" s="1"/>
  <c r="T22" i="1"/>
  <c r="O22" i="1"/>
  <c r="J22" i="1"/>
  <c r="PX21" i="1"/>
  <c r="PS21" i="1"/>
  <c r="PN21" i="1"/>
  <c r="PI21" i="1"/>
  <c r="PD21" i="1"/>
  <c r="OY21" i="1"/>
  <c r="OT21" i="1"/>
  <c r="OO21" i="1"/>
  <c r="OJ21" i="1"/>
  <c r="OE21" i="1"/>
  <c r="NZ21" i="1"/>
  <c r="NU21" i="1"/>
  <c r="NP21" i="1"/>
  <c r="NK21" i="1"/>
  <c r="NF21" i="1"/>
  <c r="NA21" i="1"/>
  <c r="MV21" i="1"/>
  <c r="MQ21" i="1"/>
  <c r="ML21" i="1"/>
  <c r="MG21" i="1"/>
  <c r="MB21" i="1"/>
  <c r="LW21" i="1"/>
  <c r="LR21" i="1"/>
  <c r="LM21" i="1"/>
  <c r="LH21" i="1"/>
  <c r="LC21" i="1"/>
  <c r="KX21" i="1"/>
  <c r="KS21" i="1"/>
  <c r="KN21" i="1"/>
  <c r="KI21" i="1"/>
  <c r="KD21" i="1"/>
  <c r="JY21" i="1"/>
  <c r="JT21" i="1"/>
  <c r="JO21" i="1"/>
  <c r="JJ21" i="1"/>
  <c r="JE21" i="1"/>
  <c r="IZ21" i="1"/>
  <c r="IU21" i="1"/>
  <c r="IP21" i="1"/>
  <c r="IK21" i="1"/>
  <c r="IF21" i="1"/>
  <c r="IA21" i="1"/>
  <c r="HV21" i="1"/>
  <c r="HQ21" i="1"/>
  <c r="HL21" i="1"/>
  <c r="HG21" i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H21" i="1"/>
  <c r="EI21" i="1" s="1"/>
  <c r="EJ21" i="1" s="1"/>
  <c r="EC21" i="1"/>
  <c r="ED21" i="1" s="1"/>
  <c r="EE21" i="1" s="1"/>
  <c r="DX21" i="1"/>
  <c r="DY21" i="1" s="1"/>
  <c r="DZ21" i="1" s="1"/>
  <c r="DS21" i="1"/>
  <c r="DT21" i="1" s="1"/>
  <c r="DU21" i="1" s="1"/>
  <c r="DN21" i="1"/>
  <c r="DO21" i="1" s="1"/>
  <c r="DP21" i="1" s="1"/>
  <c r="DI21" i="1"/>
  <c r="DJ21" i="1" s="1"/>
  <c r="DK21" i="1" s="1"/>
  <c r="DD21" i="1"/>
  <c r="DE21" i="1" s="1"/>
  <c r="DF21" i="1" s="1"/>
  <c r="CY21" i="1"/>
  <c r="CZ21" i="1" s="1"/>
  <c r="DA21" i="1" s="1"/>
  <c r="CT21" i="1"/>
  <c r="CU21" i="1" s="1"/>
  <c r="CV21" i="1" s="1"/>
  <c r="CO21" i="1"/>
  <c r="CP21" i="1" s="1"/>
  <c r="CQ21" i="1" s="1"/>
  <c r="CJ21" i="1"/>
  <c r="CK21" i="1" s="1"/>
  <c r="CL21" i="1" s="1"/>
  <c r="CE21" i="1"/>
  <c r="CF21" i="1" s="1"/>
  <c r="CG21" i="1" s="1"/>
  <c r="BZ21" i="1"/>
  <c r="CA21" i="1" s="1"/>
  <c r="CB21" i="1" s="1"/>
  <c r="BU21" i="1"/>
  <c r="BV21" i="1" s="1"/>
  <c r="BW21" i="1" s="1"/>
  <c r="BP21" i="1"/>
  <c r="BQ21" i="1" s="1"/>
  <c r="BR21" i="1" s="1"/>
  <c r="BK21" i="1"/>
  <c r="BL21" i="1" s="1"/>
  <c r="BM21" i="1" s="1"/>
  <c r="BF21" i="1"/>
  <c r="BG21" i="1" s="1"/>
  <c r="BH21" i="1" s="1"/>
  <c r="BA21" i="1"/>
  <c r="BB21" i="1" s="1"/>
  <c r="BC21" i="1" s="1"/>
  <c r="AV21" i="1"/>
  <c r="AW21" i="1" s="1"/>
  <c r="AX21" i="1" s="1"/>
  <c r="AQ21" i="1"/>
  <c r="AR21" i="1" s="1"/>
  <c r="AS21" i="1" s="1"/>
  <c r="AL21" i="1"/>
  <c r="AM21" i="1" s="1"/>
  <c r="AN21" i="1" s="1"/>
  <c r="AG21" i="1"/>
  <c r="AH21" i="1" s="1"/>
  <c r="AI21" i="1" s="1"/>
  <c r="AD21" i="1"/>
  <c r="W21" i="1"/>
  <c r="X21" i="1" s="1"/>
  <c r="Y21" i="1" s="1"/>
  <c r="T21" i="1"/>
  <c r="O21" i="1"/>
  <c r="H21" i="1"/>
  <c r="I21" i="1" s="1"/>
  <c r="J21" i="1" s="1"/>
  <c r="PX20" i="1"/>
  <c r="PS20" i="1"/>
  <c r="PN20" i="1"/>
  <c r="PI20" i="1"/>
  <c r="PD20" i="1"/>
  <c r="OY20" i="1"/>
  <c r="OT20" i="1"/>
  <c r="OO20" i="1"/>
  <c r="OJ20" i="1"/>
  <c r="OE20" i="1"/>
  <c r="NZ20" i="1"/>
  <c r="NU20" i="1"/>
  <c r="NP20" i="1"/>
  <c r="NK20" i="1"/>
  <c r="NF20" i="1"/>
  <c r="NA20" i="1"/>
  <c r="MV20" i="1"/>
  <c r="MQ20" i="1"/>
  <c r="ML20" i="1"/>
  <c r="MG20" i="1"/>
  <c r="LZ20" i="1"/>
  <c r="MA20" i="1" s="1"/>
  <c r="MB20" i="1" s="1"/>
  <c r="LU20" i="1"/>
  <c r="LV20" i="1" s="1"/>
  <c r="LW20" i="1" s="1"/>
  <c r="LR20" i="1"/>
  <c r="LM20" i="1"/>
  <c r="LH20" i="1"/>
  <c r="LA20" i="1"/>
  <c r="LB20" i="1" s="1"/>
  <c r="LC20" i="1" s="1"/>
  <c r="KX20" i="1"/>
  <c r="KS20" i="1"/>
  <c r="KN20" i="1"/>
  <c r="KI20" i="1"/>
  <c r="KD20" i="1"/>
  <c r="JY20" i="1"/>
  <c r="JT20" i="1"/>
  <c r="JO20" i="1"/>
  <c r="JJ20" i="1"/>
  <c r="JE20" i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H20" i="1"/>
  <c r="EI20" i="1" s="1"/>
  <c r="EJ20" i="1" s="1"/>
  <c r="EC20" i="1"/>
  <c r="ED20" i="1" s="1"/>
  <c r="EE20" i="1" s="1"/>
  <c r="DX20" i="1"/>
  <c r="DY20" i="1" s="1"/>
  <c r="DZ20" i="1" s="1"/>
  <c r="DS20" i="1"/>
  <c r="DT20" i="1" s="1"/>
  <c r="DU20" i="1" s="1"/>
  <c r="DN20" i="1"/>
  <c r="DO20" i="1" s="1"/>
  <c r="DP20" i="1" s="1"/>
  <c r="DI20" i="1"/>
  <c r="DJ20" i="1" s="1"/>
  <c r="DK20" i="1" s="1"/>
  <c r="DD20" i="1"/>
  <c r="DE20" i="1" s="1"/>
  <c r="DF20" i="1" s="1"/>
  <c r="CY20" i="1"/>
  <c r="CZ20" i="1" s="1"/>
  <c r="DA20" i="1" s="1"/>
  <c r="CT20" i="1"/>
  <c r="CU20" i="1" s="1"/>
  <c r="CV20" i="1" s="1"/>
  <c r="CO20" i="1"/>
  <c r="CP20" i="1" s="1"/>
  <c r="CQ20" i="1" s="1"/>
  <c r="CJ20" i="1"/>
  <c r="CK20" i="1" s="1"/>
  <c r="CL20" i="1" s="1"/>
  <c r="CE20" i="1"/>
  <c r="CF20" i="1" s="1"/>
  <c r="CG20" i="1" s="1"/>
  <c r="BZ20" i="1"/>
  <c r="CA20" i="1" s="1"/>
  <c r="CB20" i="1" s="1"/>
  <c r="BU20" i="1"/>
  <c r="BV20" i="1" s="1"/>
  <c r="BW20" i="1" s="1"/>
  <c r="BP20" i="1"/>
  <c r="BQ20" i="1" s="1"/>
  <c r="BR20" i="1" s="1"/>
  <c r="BK20" i="1"/>
  <c r="BL20" i="1" s="1"/>
  <c r="BM20" i="1" s="1"/>
  <c r="BF20" i="1"/>
  <c r="BG20" i="1" s="1"/>
  <c r="BH20" i="1" s="1"/>
  <c r="BA20" i="1"/>
  <c r="BB20" i="1" s="1"/>
  <c r="BC20" i="1" s="1"/>
  <c r="AV20" i="1"/>
  <c r="AW20" i="1" s="1"/>
  <c r="AX20" i="1" s="1"/>
  <c r="AQ20" i="1"/>
  <c r="AR20" i="1" s="1"/>
  <c r="AS20" i="1" s="1"/>
  <c r="AL20" i="1"/>
  <c r="AM20" i="1" s="1"/>
  <c r="AN20" i="1" s="1"/>
  <c r="AG20" i="1"/>
  <c r="AH20" i="1" s="1"/>
  <c r="AI20" i="1" s="1"/>
  <c r="AB20" i="1"/>
  <c r="AC20" i="1" s="1"/>
  <c r="AD20" i="1" s="1"/>
  <c r="W20" i="1"/>
  <c r="X20" i="1" s="1"/>
  <c r="Y20" i="1" s="1"/>
  <c r="T20" i="1"/>
  <c r="O20" i="1"/>
  <c r="J20" i="1"/>
  <c r="PV19" i="1"/>
  <c r="PW19" i="1" s="1"/>
  <c r="PX19" i="1" s="1"/>
  <c r="PS19" i="1"/>
  <c r="PN19" i="1"/>
  <c r="PI19" i="1"/>
  <c r="PD19" i="1"/>
  <c r="OY19" i="1"/>
  <c r="OT19" i="1"/>
  <c r="OM19" i="1"/>
  <c r="ON19" i="1" s="1"/>
  <c r="OO19" i="1" s="1"/>
  <c r="OJ19" i="1"/>
  <c r="OE19" i="1"/>
  <c r="NZ19" i="1"/>
  <c r="NU19" i="1"/>
  <c r="NP19" i="1"/>
  <c r="NK19" i="1"/>
  <c r="NF19" i="1"/>
  <c r="NA19" i="1"/>
  <c r="MV19" i="1"/>
  <c r="MQ19" i="1"/>
  <c r="ML19" i="1"/>
  <c r="MG19" i="1"/>
  <c r="MB19" i="1"/>
  <c r="LW19" i="1"/>
  <c r="LR19" i="1"/>
  <c r="LM19" i="1"/>
  <c r="LH19" i="1"/>
  <c r="LC19" i="1"/>
  <c r="KX19" i="1"/>
  <c r="KS19" i="1"/>
  <c r="KN19" i="1"/>
  <c r="KI19" i="1"/>
  <c r="KD19" i="1"/>
  <c r="JY19" i="1"/>
  <c r="JT19" i="1"/>
  <c r="JO19" i="1"/>
  <c r="JJ19" i="1"/>
  <c r="JE19" i="1"/>
  <c r="IZ19" i="1"/>
  <c r="IU19" i="1"/>
  <c r="IP19" i="1"/>
  <c r="IK19" i="1"/>
  <c r="IF19" i="1"/>
  <c r="IA19" i="1"/>
  <c r="HV19" i="1"/>
  <c r="HQ19" i="1"/>
  <c r="HL19" i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H19" i="1"/>
  <c r="EI19" i="1" s="1"/>
  <c r="EJ19" i="1" s="1"/>
  <c r="EC19" i="1"/>
  <c r="ED19" i="1" s="1"/>
  <c r="EE19" i="1" s="1"/>
  <c r="DX19" i="1"/>
  <c r="DY19" i="1" s="1"/>
  <c r="DZ19" i="1" s="1"/>
  <c r="DS19" i="1"/>
  <c r="DT19" i="1" s="1"/>
  <c r="DU19" i="1" s="1"/>
  <c r="DN19" i="1"/>
  <c r="DO19" i="1" s="1"/>
  <c r="DP19" i="1" s="1"/>
  <c r="DI19" i="1"/>
  <c r="DJ19" i="1" s="1"/>
  <c r="DK19" i="1" s="1"/>
  <c r="DD19" i="1"/>
  <c r="DE19" i="1" s="1"/>
  <c r="DF19" i="1" s="1"/>
  <c r="CY19" i="1"/>
  <c r="CZ19" i="1" s="1"/>
  <c r="DA19" i="1" s="1"/>
  <c r="CT19" i="1"/>
  <c r="CU19" i="1" s="1"/>
  <c r="CV19" i="1" s="1"/>
  <c r="CO19" i="1"/>
  <c r="CP19" i="1" s="1"/>
  <c r="CQ19" i="1" s="1"/>
  <c r="CJ19" i="1"/>
  <c r="CK19" i="1" s="1"/>
  <c r="CL19" i="1" s="1"/>
  <c r="CE19" i="1"/>
  <c r="CF19" i="1" s="1"/>
  <c r="CG19" i="1" s="1"/>
  <c r="BZ19" i="1"/>
  <c r="CA19" i="1" s="1"/>
  <c r="CB19" i="1" s="1"/>
  <c r="BU19" i="1"/>
  <c r="BV19" i="1" s="1"/>
  <c r="BW19" i="1" s="1"/>
  <c r="BP19" i="1"/>
  <c r="BQ19" i="1" s="1"/>
  <c r="BR19" i="1" s="1"/>
  <c r="BK19" i="1"/>
  <c r="BL19" i="1" s="1"/>
  <c r="BM19" i="1" s="1"/>
  <c r="BF19" i="1"/>
  <c r="BG19" i="1" s="1"/>
  <c r="BH19" i="1" s="1"/>
  <c r="BA19" i="1"/>
  <c r="BB19" i="1" s="1"/>
  <c r="BC19" i="1" s="1"/>
  <c r="AV19" i="1"/>
  <c r="AW19" i="1" s="1"/>
  <c r="AX19" i="1" s="1"/>
  <c r="AQ19" i="1"/>
  <c r="AR19" i="1" s="1"/>
  <c r="AS19" i="1" s="1"/>
  <c r="AL19" i="1"/>
  <c r="AM19" i="1" s="1"/>
  <c r="AN19" i="1" s="1"/>
  <c r="AG19" i="1"/>
  <c r="AH19" i="1" s="1"/>
  <c r="AI19" i="1" s="1"/>
  <c r="AB19" i="1"/>
  <c r="AC19" i="1" s="1"/>
  <c r="AD19" i="1" s="1"/>
  <c r="W19" i="1"/>
  <c r="X19" i="1" s="1"/>
  <c r="Y19" i="1" s="1"/>
  <c r="T19" i="1"/>
  <c r="O19" i="1"/>
  <c r="J19" i="1"/>
  <c r="PV18" i="1"/>
  <c r="PW18" i="1" s="1"/>
  <c r="PX18" i="1" s="1"/>
  <c r="PS18" i="1"/>
  <c r="PN18" i="1"/>
  <c r="PI18" i="1"/>
  <c r="PD18" i="1"/>
  <c r="OY18" i="1"/>
  <c r="OT18" i="1"/>
  <c r="OO18" i="1"/>
  <c r="OJ18" i="1"/>
  <c r="OE18" i="1"/>
  <c r="NZ18" i="1"/>
  <c r="NU18" i="1"/>
  <c r="NP18" i="1"/>
  <c r="NK18" i="1"/>
  <c r="NF18" i="1"/>
  <c r="NA18" i="1"/>
  <c r="MV18" i="1"/>
  <c r="MQ18" i="1"/>
  <c r="ML18" i="1"/>
  <c r="MG18" i="1"/>
  <c r="MB18" i="1"/>
  <c r="LW18" i="1"/>
  <c r="LR18" i="1"/>
  <c r="LM18" i="1"/>
  <c r="LH18" i="1"/>
  <c r="LC18" i="1"/>
  <c r="KX18" i="1"/>
  <c r="KS18" i="1"/>
  <c r="KN18" i="1"/>
  <c r="KI18" i="1"/>
  <c r="KD18" i="1"/>
  <c r="JY18" i="1"/>
  <c r="JT18" i="1"/>
  <c r="JO18" i="1"/>
  <c r="JJ18" i="1"/>
  <c r="JE18" i="1"/>
  <c r="IZ18" i="1"/>
  <c r="IU18" i="1"/>
  <c r="IP18" i="1"/>
  <c r="IK18" i="1"/>
  <c r="IF18" i="1"/>
  <c r="IA18" i="1"/>
  <c r="HV18" i="1"/>
  <c r="HQ18" i="1"/>
  <c r="HL18" i="1"/>
  <c r="HG18" i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H18" i="1"/>
  <c r="EI18" i="1" s="1"/>
  <c r="EJ18" i="1" s="1"/>
  <c r="EC18" i="1"/>
  <c r="ED18" i="1" s="1"/>
  <c r="EE18" i="1" s="1"/>
  <c r="DX18" i="1"/>
  <c r="DY18" i="1" s="1"/>
  <c r="DZ18" i="1" s="1"/>
  <c r="DS18" i="1"/>
  <c r="DT18" i="1" s="1"/>
  <c r="DU18" i="1" s="1"/>
  <c r="DN18" i="1"/>
  <c r="DO18" i="1" s="1"/>
  <c r="DP18" i="1" s="1"/>
  <c r="DI18" i="1"/>
  <c r="DJ18" i="1" s="1"/>
  <c r="DK18" i="1" s="1"/>
  <c r="DD18" i="1"/>
  <c r="DE18" i="1" s="1"/>
  <c r="DF18" i="1" s="1"/>
  <c r="CY18" i="1"/>
  <c r="CZ18" i="1" s="1"/>
  <c r="DA18" i="1" s="1"/>
  <c r="CT18" i="1"/>
  <c r="CU18" i="1" s="1"/>
  <c r="CV18" i="1" s="1"/>
  <c r="CO18" i="1"/>
  <c r="CP18" i="1" s="1"/>
  <c r="CQ18" i="1" s="1"/>
  <c r="CJ18" i="1"/>
  <c r="CK18" i="1" s="1"/>
  <c r="CL18" i="1" s="1"/>
  <c r="CE18" i="1"/>
  <c r="CF18" i="1" s="1"/>
  <c r="CG18" i="1" s="1"/>
  <c r="BZ18" i="1"/>
  <c r="CA18" i="1" s="1"/>
  <c r="CB18" i="1" s="1"/>
  <c r="BU18" i="1"/>
  <c r="BV18" i="1" s="1"/>
  <c r="BW18" i="1" s="1"/>
  <c r="BP18" i="1"/>
  <c r="BQ18" i="1" s="1"/>
  <c r="BR18" i="1" s="1"/>
  <c r="BK18" i="1"/>
  <c r="BL18" i="1" s="1"/>
  <c r="BM18" i="1" s="1"/>
  <c r="BF18" i="1"/>
  <c r="BG18" i="1" s="1"/>
  <c r="BH18" i="1" s="1"/>
  <c r="BA18" i="1"/>
  <c r="BB18" i="1" s="1"/>
  <c r="BC18" i="1" s="1"/>
  <c r="AV18" i="1"/>
  <c r="AW18" i="1" s="1"/>
  <c r="AX18" i="1" s="1"/>
  <c r="AQ18" i="1"/>
  <c r="AR18" i="1" s="1"/>
  <c r="AS18" i="1" s="1"/>
  <c r="AL18" i="1"/>
  <c r="AM18" i="1" s="1"/>
  <c r="AN18" i="1" s="1"/>
  <c r="AG18" i="1"/>
  <c r="AH18" i="1" s="1"/>
  <c r="AI18" i="1" s="1"/>
  <c r="AD18" i="1"/>
  <c r="W18" i="1"/>
  <c r="X18" i="1" s="1"/>
  <c r="Y18" i="1" s="1"/>
  <c r="T18" i="1"/>
  <c r="O18" i="1"/>
  <c r="J18" i="1"/>
  <c r="PV17" i="1"/>
  <c r="PW17" i="1" s="1"/>
  <c r="PX17" i="1" s="1"/>
  <c r="PS17" i="1"/>
  <c r="PN17" i="1"/>
  <c r="PI17" i="1"/>
  <c r="PD17" i="1"/>
  <c r="OY17" i="1"/>
  <c r="OT17" i="1"/>
  <c r="OO17" i="1"/>
  <c r="OJ17" i="1"/>
  <c r="OE17" i="1"/>
  <c r="NZ17" i="1"/>
  <c r="NU17" i="1"/>
  <c r="NP17" i="1"/>
  <c r="NK17" i="1"/>
  <c r="NF17" i="1"/>
  <c r="NA17" i="1"/>
  <c r="MT17" i="1"/>
  <c r="MU17" i="1" s="1"/>
  <c r="MV17" i="1" s="1"/>
  <c r="MO17" i="1"/>
  <c r="MP17" i="1" s="1"/>
  <c r="MQ17" i="1" s="1"/>
  <c r="ML17" i="1"/>
  <c r="ME17" i="1"/>
  <c r="MF17" i="1" s="1"/>
  <c r="MG17" i="1" s="1"/>
  <c r="LZ17" i="1"/>
  <c r="MA17" i="1" s="1"/>
  <c r="MB17" i="1" s="1"/>
  <c r="LU17" i="1"/>
  <c r="LV17" i="1" s="1"/>
  <c r="LW17" i="1" s="1"/>
  <c r="LR17" i="1"/>
  <c r="LM17" i="1"/>
  <c r="LH17" i="1"/>
  <c r="LA17" i="1"/>
  <c r="LB17" i="1" s="1"/>
  <c r="LC17" i="1" s="1"/>
  <c r="KX17" i="1"/>
  <c r="KS17" i="1"/>
  <c r="KN17" i="1"/>
  <c r="KI17" i="1"/>
  <c r="KD17" i="1"/>
  <c r="JY17" i="1"/>
  <c r="JT17" i="1"/>
  <c r="JO17" i="1"/>
  <c r="JJ17" i="1"/>
  <c r="JE17" i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T17" i="1"/>
  <c r="HU17" i="1" s="1"/>
  <c r="HV17" i="1" s="1"/>
  <c r="HQ17" i="1"/>
  <c r="HL17" i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H17" i="1"/>
  <c r="EI17" i="1" s="1"/>
  <c r="EJ17" i="1" s="1"/>
  <c r="EC17" i="1"/>
  <c r="ED17" i="1" s="1"/>
  <c r="EE17" i="1" s="1"/>
  <c r="DX17" i="1"/>
  <c r="DY17" i="1" s="1"/>
  <c r="DZ17" i="1" s="1"/>
  <c r="DS17" i="1"/>
  <c r="DT17" i="1" s="1"/>
  <c r="DU17" i="1" s="1"/>
  <c r="DN17" i="1"/>
  <c r="DO17" i="1" s="1"/>
  <c r="DP17" i="1" s="1"/>
  <c r="DI17" i="1"/>
  <c r="DJ17" i="1" s="1"/>
  <c r="DK17" i="1" s="1"/>
  <c r="DD17" i="1"/>
  <c r="DE17" i="1" s="1"/>
  <c r="DF17" i="1" s="1"/>
  <c r="CY17" i="1"/>
  <c r="CZ17" i="1" s="1"/>
  <c r="DA17" i="1" s="1"/>
  <c r="CT17" i="1"/>
  <c r="CU17" i="1" s="1"/>
  <c r="CV17" i="1" s="1"/>
  <c r="CO17" i="1"/>
  <c r="CP17" i="1" s="1"/>
  <c r="CQ17" i="1" s="1"/>
  <c r="CJ17" i="1"/>
  <c r="CK17" i="1" s="1"/>
  <c r="CL17" i="1" s="1"/>
  <c r="CE17" i="1"/>
  <c r="CF17" i="1" s="1"/>
  <c r="CG17" i="1" s="1"/>
  <c r="BZ17" i="1"/>
  <c r="CA17" i="1" s="1"/>
  <c r="CB17" i="1" s="1"/>
  <c r="BU17" i="1"/>
  <c r="BV17" i="1" s="1"/>
  <c r="BW17" i="1" s="1"/>
  <c r="BP17" i="1"/>
  <c r="BQ17" i="1" s="1"/>
  <c r="BR17" i="1" s="1"/>
  <c r="BK17" i="1"/>
  <c r="BL17" i="1" s="1"/>
  <c r="BM17" i="1" s="1"/>
  <c r="BF17" i="1"/>
  <c r="BG17" i="1" s="1"/>
  <c r="BH17" i="1" s="1"/>
  <c r="BA17" i="1"/>
  <c r="BB17" i="1" s="1"/>
  <c r="BC17" i="1" s="1"/>
  <c r="AV17" i="1"/>
  <c r="AW17" i="1" s="1"/>
  <c r="AX17" i="1" s="1"/>
  <c r="AQ17" i="1"/>
  <c r="AR17" i="1" s="1"/>
  <c r="AS17" i="1" s="1"/>
  <c r="AL17" i="1"/>
  <c r="AM17" i="1" s="1"/>
  <c r="AN17" i="1" s="1"/>
  <c r="AG17" i="1"/>
  <c r="AH17" i="1" s="1"/>
  <c r="AI17" i="1" s="1"/>
  <c r="AB17" i="1"/>
  <c r="AC17" i="1" s="1"/>
  <c r="AD17" i="1" s="1"/>
  <c r="W17" i="1"/>
  <c r="X17" i="1" s="1"/>
  <c r="Y17" i="1" s="1"/>
  <c r="R17" i="1"/>
  <c r="S17" i="1" s="1"/>
  <c r="T17" i="1" s="1"/>
  <c r="O17" i="1"/>
  <c r="J17" i="1"/>
  <c r="PX16" i="1"/>
  <c r="PS16" i="1"/>
  <c r="PN16" i="1"/>
  <c r="PI16" i="1"/>
  <c r="PD16" i="1"/>
  <c r="OY16" i="1"/>
  <c r="OT16" i="1"/>
  <c r="OO16" i="1"/>
  <c r="OJ16" i="1"/>
  <c r="OE16" i="1"/>
  <c r="NZ16" i="1"/>
  <c r="NU16" i="1"/>
  <c r="NP16" i="1"/>
  <c r="NK16" i="1"/>
  <c r="ND16" i="1"/>
  <c r="NE16" i="1" s="1"/>
  <c r="NF16" i="1" s="1"/>
  <c r="MY16" i="1"/>
  <c r="MZ16" i="1" s="1"/>
  <c r="NA16" i="1" s="1"/>
  <c r="MV16" i="1"/>
  <c r="MQ16" i="1"/>
  <c r="ML16" i="1"/>
  <c r="ME16" i="1"/>
  <c r="MF16" i="1" s="1"/>
  <c r="MG16" i="1" s="1"/>
  <c r="LZ16" i="1"/>
  <c r="MA16" i="1" s="1"/>
  <c r="MB16" i="1" s="1"/>
  <c r="LU16" i="1"/>
  <c r="LV16" i="1" s="1"/>
  <c r="LW16" i="1" s="1"/>
  <c r="LR16" i="1"/>
  <c r="LK16" i="1"/>
  <c r="LL16" i="1" s="1"/>
  <c r="LM16" i="1" s="1"/>
  <c r="LH16" i="1"/>
  <c r="LA16" i="1"/>
  <c r="LB16" i="1" s="1"/>
  <c r="LC16" i="1" s="1"/>
  <c r="KV16" i="1"/>
  <c r="KW16" i="1" s="1"/>
  <c r="KX16" i="1" s="1"/>
  <c r="KS16" i="1"/>
  <c r="KL16" i="1"/>
  <c r="KM16" i="1" s="1"/>
  <c r="KN16" i="1" s="1"/>
  <c r="KI16" i="1"/>
  <c r="KD16" i="1"/>
  <c r="JY16" i="1"/>
  <c r="JT16" i="1"/>
  <c r="JO16" i="1"/>
  <c r="JJ16" i="1"/>
  <c r="JE16" i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T16" i="1"/>
  <c r="HU16" i="1" s="1"/>
  <c r="HV16" i="1" s="1"/>
  <c r="HQ16" i="1"/>
  <c r="HJ16" i="1"/>
  <c r="HK16" i="1" s="1"/>
  <c r="HL16" i="1" s="1"/>
  <c r="HE16" i="1"/>
  <c r="HF16" i="1" s="1"/>
  <c r="HG16" i="1" s="1"/>
  <c r="GZ16" i="1"/>
  <c r="HA16" i="1" s="1"/>
  <c r="HB16" i="1" s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H16" i="1"/>
  <c r="EI16" i="1" s="1"/>
  <c r="EJ16" i="1" s="1"/>
  <c r="EC16" i="1"/>
  <c r="ED16" i="1" s="1"/>
  <c r="EE16" i="1" s="1"/>
  <c r="DX16" i="1"/>
  <c r="DY16" i="1" s="1"/>
  <c r="DZ16" i="1" s="1"/>
  <c r="DS16" i="1"/>
  <c r="DT16" i="1" s="1"/>
  <c r="DU16" i="1" s="1"/>
  <c r="DN16" i="1"/>
  <c r="DO16" i="1" s="1"/>
  <c r="DP16" i="1" s="1"/>
  <c r="DI16" i="1"/>
  <c r="DJ16" i="1" s="1"/>
  <c r="DK16" i="1" s="1"/>
  <c r="DD16" i="1"/>
  <c r="DE16" i="1" s="1"/>
  <c r="DF16" i="1" s="1"/>
  <c r="CY16" i="1"/>
  <c r="CZ16" i="1" s="1"/>
  <c r="DA16" i="1" s="1"/>
  <c r="CT16" i="1"/>
  <c r="CU16" i="1" s="1"/>
  <c r="CV16" i="1" s="1"/>
  <c r="CO16" i="1"/>
  <c r="CP16" i="1" s="1"/>
  <c r="CQ16" i="1" s="1"/>
  <c r="CJ16" i="1"/>
  <c r="CK16" i="1" s="1"/>
  <c r="CL16" i="1" s="1"/>
  <c r="CE16" i="1"/>
  <c r="CF16" i="1" s="1"/>
  <c r="CG16" i="1" s="1"/>
  <c r="BZ16" i="1"/>
  <c r="CA16" i="1" s="1"/>
  <c r="CB16" i="1" s="1"/>
  <c r="BU16" i="1"/>
  <c r="BV16" i="1" s="1"/>
  <c r="BW16" i="1" s="1"/>
  <c r="BP16" i="1"/>
  <c r="BQ16" i="1" s="1"/>
  <c r="BR16" i="1" s="1"/>
  <c r="BK16" i="1"/>
  <c r="BL16" i="1" s="1"/>
  <c r="BM16" i="1" s="1"/>
  <c r="BF16" i="1"/>
  <c r="BG16" i="1" s="1"/>
  <c r="BH16" i="1" s="1"/>
  <c r="BA16" i="1"/>
  <c r="BB16" i="1" s="1"/>
  <c r="BC16" i="1" s="1"/>
  <c r="AV16" i="1"/>
  <c r="AW16" i="1" s="1"/>
  <c r="AX16" i="1" s="1"/>
  <c r="AQ16" i="1"/>
  <c r="AR16" i="1" s="1"/>
  <c r="AS16" i="1" s="1"/>
  <c r="AL16" i="1"/>
  <c r="AM16" i="1" s="1"/>
  <c r="AN16" i="1" s="1"/>
  <c r="AG16" i="1"/>
  <c r="AH16" i="1" s="1"/>
  <c r="AI16" i="1" s="1"/>
  <c r="AB16" i="1"/>
  <c r="AC16" i="1" s="1"/>
  <c r="AD16" i="1" s="1"/>
  <c r="W16" i="1"/>
  <c r="X16" i="1" s="1"/>
  <c r="Y16" i="1" s="1"/>
  <c r="T16" i="1"/>
  <c r="O16" i="1"/>
  <c r="J16" i="1"/>
  <c r="PX15" i="1"/>
  <c r="PS15" i="1"/>
  <c r="PN15" i="1"/>
  <c r="PI15" i="1"/>
  <c r="PD15" i="1"/>
  <c r="OY15" i="1"/>
  <c r="OT15" i="1"/>
  <c r="OO15" i="1"/>
  <c r="OJ15" i="1"/>
  <c r="OE15" i="1"/>
  <c r="NZ15" i="1"/>
  <c r="NU15" i="1"/>
  <c r="NP15" i="1"/>
  <c r="NK15" i="1"/>
  <c r="NF15" i="1"/>
  <c r="NA15" i="1"/>
  <c r="MV15" i="1"/>
  <c r="MQ15" i="1"/>
  <c r="ML15" i="1"/>
  <c r="MG15" i="1"/>
  <c r="MB15" i="1"/>
  <c r="LW15" i="1"/>
  <c r="LR15" i="1"/>
  <c r="LM15" i="1"/>
  <c r="LH15" i="1"/>
  <c r="LC15" i="1"/>
  <c r="KV15" i="1"/>
  <c r="KW15" i="1" s="1"/>
  <c r="KX15" i="1" s="1"/>
  <c r="KS15" i="1"/>
  <c r="KN15" i="1"/>
  <c r="KG15" i="1"/>
  <c r="KH15" i="1" s="1"/>
  <c r="KI15" i="1" s="1"/>
  <c r="KD15" i="1"/>
  <c r="JY15" i="1"/>
  <c r="JT15" i="1"/>
  <c r="JO15" i="1"/>
  <c r="JJ15" i="1"/>
  <c r="JE15" i="1"/>
  <c r="IZ15" i="1"/>
  <c r="IU15" i="1"/>
  <c r="IP15" i="1"/>
  <c r="IK15" i="1"/>
  <c r="IF15" i="1"/>
  <c r="IA15" i="1"/>
  <c r="HV15" i="1"/>
  <c r="HQ15" i="1"/>
  <c r="HL15" i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K15" i="1"/>
  <c r="GL15" i="1" s="1"/>
  <c r="GM15" i="1" s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H15" i="1"/>
  <c r="EI15" i="1" s="1"/>
  <c r="EJ15" i="1" s="1"/>
  <c r="EC15" i="1"/>
  <c r="ED15" i="1" s="1"/>
  <c r="EE15" i="1" s="1"/>
  <c r="DX15" i="1"/>
  <c r="DY15" i="1" s="1"/>
  <c r="DZ15" i="1" s="1"/>
  <c r="DS15" i="1"/>
  <c r="DT15" i="1" s="1"/>
  <c r="DU15" i="1" s="1"/>
  <c r="DN15" i="1"/>
  <c r="DO15" i="1" s="1"/>
  <c r="DP15" i="1" s="1"/>
  <c r="DI15" i="1"/>
  <c r="DJ15" i="1" s="1"/>
  <c r="DK15" i="1" s="1"/>
  <c r="DD15" i="1"/>
  <c r="DE15" i="1" s="1"/>
  <c r="DF15" i="1" s="1"/>
  <c r="CY15" i="1"/>
  <c r="CZ15" i="1" s="1"/>
  <c r="DA15" i="1" s="1"/>
  <c r="CT15" i="1"/>
  <c r="CU15" i="1" s="1"/>
  <c r="CV15" i="1" s="1"/>
  <c r="CO15" i="1"/>
  <c r="CP15" i="1" s="1"/>
  <c r="CQ15" i="1" s="1"/>
  <c r="CJ15" i="1"/>
  <c r="CK15" i="1" s="1"/>
  <c r="CL15" i="1" s="1"/>
  <c r="CE15" i="1"/>
  <c r="CF15" i="1" s="1"/>
  <c r="CG15" i="1" s="1"/>
  <c r="BZ15" i="1"/>
  <c r="CA15" i="1" s="1"/>
  <c r="CB15" i="1" s="1"/>
  <c r="BU15" i="1"/>
  <c r="BV15" i="1" s="1"/>
  <c r="BW15" i="1" s="1"/>
  <c r="BP15" i="1"/>
  <c r="BQ15" i="1" s="1"/>
  <c r="BR15" i="1" s="1"/>
  <c r="BK15" i="1"/>
  <c r="BL15" i="1" s="1"/>
  <c r="BM15" i="1" s="1"/>
  <c r="BF15" i="1"/>
  <c r="BG15" i="1" s="1"/>
  <c r="BH15" i="1" s="1"/>
  <c r="BA15" i="1"/>
  <c r="BB15" i="1" s="1"/>
  <c r="BC15" i="1" s="1"/>
  <c r="AV15" i="1"/>
  <c r="AW15" i="1" s="1"/>
  <c r="AX15" i="1" s="1"/>
  <c r="AQ15" i="1"/>
  <c r="AR15" i="1" s="1"/>
  <c r="AS15" i="1" s="1"/>
  <c r="AL15" i="1"/>
  <c r="AM15" i="1" s="1"/>
  <c r="AN15" i="1" s="1"/>
  <c r="AG15" i="1"/>
  <c r="AH15" i="1" s="1"/>
  <c r="AI15" i="1" s="1"/>
  <c r="AB15" i="1"/>
  <c r="AC15" i="1" s="1"/>
  <c r="AD15" i="1" s="1"/>
  <c r="W15" i="1"/>
  <c r="X15" i="1" s="1"/>
  <c r="Y15" i="1" s="1"/>
  <c r="R15" i="1"/>
  <c r="S15" i="1" s="1"/>
  <c r="T15" i="1" s="1"/>
  <c r="O15" i="1"/>
  <c r="J15" i="1"/>
  <c r="PX14" i="1"/>
  <c r="PS14" i="1"/>
  <c r="PL14" i="1"/>
  <c r="PM14" i="1" s="1"/>
  <c r="PN14" i="1" s="1"/>
  <c r="PI14" i="1"/>
  <c r="PD14" i="1"/>
  <c r="OY14" i="1"/>
  <c r="OT14" i="1"/>
  <c r="OO14" i="1"/>
  <c r="OJ14" i="1"/>
  <c r="OE14" i="1"/>
  <c r="NZ14" i="1"/>
  <c r="NU14" i="1"/>
  <c r="NP14" i="1"/>
  <c r="NK14" i="1"/>
  <c r="NF14" i="1"/>
  <c r="NA14" i="1"/>
  <c r="MT14" i="1"/>
  <c r="MU14" i="1" s="1"/>
  <c r="MV14" i="1" s="1"/>
  <c r="MO14" i="1"/>
  <c r="MP14" i="1" s="1"/>
  <c r="MQ14" i="1" s="1"/>
  <c r="ML14" i="1"/>
  <c r="ME14" i="1"/>
  <c r="MF14" i="1" s="1"/>
  <c r="MG14" i="1" s="1"/>
  <c r="LZ14" i="1"/>
  <c r="MA14" i="1" s="1"/>
  <c r="MB14" i="1" s="1"/>
  <c r="LU14" i="1"/>
  <c r="LV14" i="1" s="1"/>
  <c r="LW14" i="1" s="1"/>
  <c r="LP14" i="1"/>
  <c r="LQ14" i="1" s="1"/>
  <c r="LR14" i="1" s="1"/>
  <c r="LK14" i="1"/>
  <c r="LL14" i="1" s="1"/>
  <c r="LM14" i="1" s="1"/>
  <c r="LH14" i="1"/>
  <c r="LC14" i="1"/>
  <c r="KV14" i="1"/>
  <c r="KW14" i="1" s="1"/>
  <c r="KX14" i="1" s="1"/>
  <c r="KQ14" i="1"/>
  <c r="KR14" i="1" s="1"/>
  <c r="KS14" i="1" s="1"/>
  <c r="KL14" i="1"/>
  <c r="KM14" i="1" s="1"/>
  <c r="KN14" i="1" s="1"/>
  <c r="KI14" i="1"/>
  <c r="KD14" i="1"/>
  <c r="JY14" i="1"/>
  <c r="JT14" i="1"/>
  <c r="JO14" i="1"/>
  <c r="JJ14" i="1"/>
  <c r="JE14" i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T14" i="1"/>
  <c r="HU14" i="1" s="1"/>
  <c r="HV14" i="1" s="1"/>
  <c r="HQ14" i="1"/>
  <c r="HL14" i="1"/>
  <c r="HE14" i="1"/>
  <c r="HF14" i="1" s="1"/>
  <c r="HG14" i="1" s="1"/>
  <c r="GZ14" i="1"/>
  <c r="HA14" i="1" s="1"/>
  <c r="HB14" i="1" s="1"/>
  <c r="GU14" i="1"/>
  <c r="GV14" i="1" s="1"/>
  <c r="GW14" i="1" s="1"/>
  <c r="GR14" i="1"/>
  <c r="GP14" i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H14" i="1"/>
  <c r="EI14" i="1" s="1"/>
  <c r="EJ14" i="1" s="1"/>
  <c r="EC14" i="1"/>
  <c r="ED14" i="1" s="1"/>
  <c r="EE14" i="1" s="1"/>
  <c r="DX14" i="1"/>
  <c r="DY14" i="1" s="1"/>
  <c r="DZ14" i="1" s="1"/>
  <c r="DS14" i="1"/>
  <c r="DT14" i="1" s="1"/>
  <c r="DU14" i="1" s="1"/>
  <c r="DN14" i="1"/>
  <c r="DO14" i="1" s="1"/>
  <c r="DP14" i="1" s="1"/>
  <c r="DI14" i="1"/>
  <c r="DJ14" i="1" s="1"/>
  <c r="DK14" i="1" s="1"/>
  <c r="DD14" i="1"/>
  <c r="DE14" i="1" s="1"/>
  <c r="DF14" i="1" s="1"/>
  <c r="CY14" i="1"/>
  <c r="CZ14" i="1" s="1"/>
  <c r="DA14" i="1" s="1"/>
  <c r="CT14" i="1"/>
  <c r="CU14" i="1" s="1"/>
  <c r="CV14" i="1" s="1"/>
  <c r="CO14" i="1"/>
  <c r="CP14" i="1" s="1"/>
  <c r="CQ14" i="1" s="1"/>
  <c r="CJ14" i="1"/>
  <c r="CK14" i="1" s="1"/>
  <c r="CL14" i="1" s="1"/>
  <c r="CE14" i="1"/>
  <c r="CF14" i="1" s="1"/>
  <c r="CG14" i="1" s="1"/>
  <c r="BZ14" i="1"/>
  <c r="CA14" i="1" s="1"/>
  <c r="CB14" i="1" s="1"/>
  <c r="BU14" i="1"/>
  <c r="BV14" i="1" s="1"/>
  <c r="BW14" i="1" s="1"/>
  <c r="BP14" i="1"/>
  <c r="BQ14" i="1" s="1"/>
  <c r="BR14" i="1" s="1"/>
  <c r="BK14" i="1"/>
  <c r="BL14" i="1" s="1"/>
  <c r="BM14" i="1" s="1"/>
  <c r="BF14" i="1"/>
  <c r="BG14" i="1" s="1"/>
  <c r="BH14" i="1" s="1"/>
  <c r="BA14" i="1"/>
  <c r="BB14" i="1" s="1"/>
  <c r="BC14" i="1" s="1"/>
  <c r="AV14" i="1"/>
  <c r="AW14" i="1" s="1"/>
  <c r="AX14" i="1" s="1"/>
  <c r="AQ14" i="1"/>
  <c r="AR14" i="1" s="1"/>
  <c r="AS14" i="1" s="1"/>
  <c r="AL14" i="1"/>
  <c r="AM14" i="1" s="1"/>
  <c r="AN14" i="1" s="1"/>
  <c r="AG14" i="1"/>
  <c r="AH14" i="1" s="1"/>
  <c r="AI14" i="1" s="1"/>
  <c r="AB14" i="1"/>
  <c r="AC14" i="1" s="1"/>
  <c r="AD14" i="1" s="1"/>
  <c r="W14" i="1"/>
  <c r="X14" i="1" s="1"/>
  <c r="Y14" i="1" s="1"/>
  <c r="R14" i="1"/>
  <c r="S14" i="1" s="1"/>
  <c r="T14" i="1" s="1"/>
  <c r="O14" i="1"/>
  <c r="J14" i="1"/>
  <c r="PX13" i="1"/>
  <c r="PS13" i="1"/>
  <c r="PN13" i="1"/>
  <c r="PI13" i="1"/>
  <c r="PD13" i="1"/>
  <c r="OY13" i="1"/>
  <c r="OT13" i="1"/>
  <c r="OO13" i="1"/>
  <c r="OJ13" i="1"/>
  <c r="OE13" i="1"/>
  <c r="NZ13" i="1"/>
  <c r="NU13" i="1"/>
  <c r="NP13" i="1"/>
  <c r="NK13" i="1"/>
  <c r="NF13" i="1"/>
  <c r="NA13" i="1"/>
  <c r="MV13" i="1"/>
  <c r="MQ13" i="1"/>
  <c r="ML13" i="1"/>
  <c r="MG13" i="1"/>
  <c r="MB13" i="1"/>
  <c r="LW13" i="1"/>
  <c r="LR13" i="1"/>
  <c r="LM13" i="1"/>
  <c r="LH13" i="1"/>
  <c r="LC13" i="1"/>
  <c r="KX13" i="1"/>
  <c r="KS13" i="1"/>
  <c r="KN13" i="1"/>
  <c r="KI13" i="1"/>
  <c r="KD13" i="1"/>
  <c r="JY13" i="1"/>
  <c r="JT13" i="1"/>
  <c r="JO13" i="1"/>
  <c r="JJ13" i="1"/>
  <c r="JE13" i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T13" i="1"/>
  <c r="HU13" i="1" s="1"/>
  <c r="HV13" i="1" s="1"/>
  <c r="HQ13" i="1"/>
  <c r="HL13" i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H13" i="1"/>
  <c r="EI13" i="1" s="1"/>
  <c r="EJ13" i="1" s="1"/>
  <c r="EC13" i="1"/>
  <c r="ED13" i="1" s="1"/>
  <c r="EE13" i="1" s="1"/>
  <c r="DX13" i="1"/>
  <c r="DY13" i="1" s="1"/>
  <c r="DZ13" i="1" s="1"/>
  <c r="DS13" i="1"/>
  <c r="DT13" i="1" s="1"/>
  <c r="DU13" i="1" s="1"/>
  <c r="DN13" i="1"/>
  <c r="DO13" i="1" s="1"/>
  <c r="DP13" i="1" s="1"/>
  <c r="DI13" i="1"/>
  <c r="DJ13" i="1" s="1"/>
  <c r="DK13" i="1" s="1"/>
  <c r="DD13" i="1"/>
  <c r="DE13" i="1" s="1"/>
  <c r="DF13" i="1" s="1"/>
  <c r="CY13" i="1"/>
  <c r="CZ13" i="1" s="1"/>
  <c r="DA13" i="1" s="1"/>
  <c r="CT13" i="1"/>
  <c r="CU13" i="1" s="1"/>
  <c r="CV13" i="1" s="1"/>
  <c r="CO13" i="1"/>
  <c r="CP13" i="1" s="1"/>
  <c r="CQ13" i="1" s="1"/>
  <c r="CJ13" i="1"/>
  <c r="CK13" i="1" s="1"/>
  <c r="CL13" i="1" s="1"/>
  <c r="CE13" i="1"/>
  <c r="CF13" i="1" s="1"/>
  <c r="CG13" i="1" s="1"/>
  <c r="BZ13" i="1"/>
  <c r="CA13" i="1" s="1"/>
  <c r="CB13" i="1" s="1"/>
  <c r="BU13" i="1"/>
  <c r="BV13" i="1" s="1"/>
  <c r="BW13" i="1" s="1"/>
  <c r="BP13" i="1"/>
  <c r="BQ13" i="1" s="1"/>
  <c r="BR13" i="1" s="1"/>
  <c r="BK13" i="1"/>
  <c r="BL13" i="1" s="1"/>
  <c r="BM13" i="1" s="1"/>
  <c r="BF13" i="1"/>
  <c r="BG13" i="1" s="1"/>
  <c r="BH13" i="1" s="1"/>
  <c r="BA13" i="1"/>
  <c r="BB13" i="1" s="1"/>
  <c r="BC13" i="1" s="1"/>
  <c r="AV13" i="1"/>
  <c r="AW13" i="1" s="1"/>
  <c r="AX13" i="1" s="1"/>
  <c r="AQ13" i="1"/>
  <c r="AR13" i="1" s="1"/>
  <c r="AS13" i="1" s="1"/>
  <c r="AL13" i="1"/>
  <c r="AM13" i="1" s="1"/>
  <c r="AN13" i="1" s="1"/>
  <c r="AG13" i="1"/>
  <c r="AH13" i="1" s="1"/>
  <c r="AI13" i="1" s="1"/>
  <c r="AB13" i="1"/>
  <c r="AC13" i="1" s="1"/>
  <c r="AD13" i="1" s="1"/>
  <c r="W13" i="1"/>
  <c r="X13" i="1" s="1"/>
  <c r="Y13" i="1" s="1"/>
  <c r="T13" i="1"/>
  <c r="O13" i="1"/>
  <c r="J13" i="1"/>
  <c r="PX12" i="1"/>
  <c r="PS12" i="1"/>
  <c r="PN12" i="1"/>
  <c r="PI12" i="1"/>
  <c r="PD12" i="1"/>
  <c r="OY12" i="1"/>
  <c r="OT12" i="1"/>
  <c r="OO12" i="1"/>
  <c r="OJ12" i="1"/>
  <c r="OE12" i="1"/>
  <c r="NZ12" i="1"/>
  <c r="NU12" i="1"/>
  <c r="NP12" i="1"/>
  <c r="NK12" i="1"/>
  <c r="NF12" i="1"/>
  <c r="NA12" i="1"/>
  <c r="MV12" i="1"/>
  <c r="MQ12" i="1"/>
  <c r="ML12" i="1"/>
  <c r="MG12" i="1"/>
  <c r="MB12" i="1"/>
  <c r="LW12" i="1"/>
  <c r="LR12" i="1"/>
  <c r="LM12" i="1"/>
  <c r="LH12" i="1"/>
  <c r="LC12" i="1"/>
  <c r="KV12" i="1"/>
  <c r="KW12" i="1" s="1"/>
  <c r="KX12" i="1" s="1"/>
  <c r="KS12" i="1"/>
  <c r="KN12" i="1"/>
  <c r="KI12" i="1"/>
  <c r="KD12" i="1"/>
  <c r="JY12" i="1"/>
  <c r="JT12" i="1"/>
  <c r="JO12" i="1"/>
  <c r="JJ12" i="1"/>
  <c r="JE12" i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H12" i="1"/>
  <c r="EI12" i="1" s="1"/>
  <c r="EJ12" i="1" s="1"/>
  <c r="EC12" i="1"/>
  <c r="ED12" i="1" s="1"/>
  <c r="EE12" i="1" s="1"/>
  <c r="DX12" i="1"/>
  <c r="DY12" i="1" s="1"/>
  <c r="DZ12" i="1" s="1"/>
  <c r="DS12" i="1"/>
  <c r="DT12" i="1" s="1"/>
  <c r="DU12" i="1" s="1"/>
  <c r="DN12" i="1"/>
  <c r="DO12" i="1" s="1"/>
  <c r="DP12" i="1" s="1"/>
  <c r="DI12" i="1"/>
  <c r="DJ12" i="1" s="1"/>
  <c r="DK12" i="1" s="1"/>
  <c r="DD12" i="1"/>
  <c r="DE12" i="1" s="1"/>
  <c r="DF12" i="1" s="1"/>
  <c r="CY12" i="1"/>
  <c r="CZ12" i="1" s="1"/>
  <c r="DA12" i="1" s="1"/>
  <c r="CT12" i="1"/>
  <c r="CU12" i="1" s="1"/>
  <c r="CV12" i="1" s="1"/>
  <c r="CO12" i="1"/>
  <c r="CP12" i="1" s="1"/>
  <c r="CQ12" i="1" s="1"/>
  <c r="CJ12" i="1"/>
  <c r="CK12" i="1" s="1"/>
  <c r="CL12" i="1" s="1"/>
  <c r="CE12" i="1"/>
  <c r="CF12" i="1" s="1"/>
  <c r="CG12" i="1" s="1"/>
  <c r="BZ12" i="1"/>
  <c r="CA12" i="1" s="1"/>
  <c r="CB12" i="1" s="1"/>
  <c r="BU12" i="1"/>
  <c r="BV12" i="1" s="1"/>
  <c r="BW12" i="1" s="1"/>
  <c r="BP12" i="1"/>
  <c r="BQ12" i="1" s="1"/>
  <c r="BR12" i="1" s="1"/>
  <c r="BK12" i="1"/>
  <c r="BL12" i="1" s="1"/>
  <c r="BM12" i="1" s="1"/>
  <c r="BF12" i="1"/>
  <c r="BG12" i="1" s="1"/>
  <c r="BH12" i="1" s="1"/>
  <c r="BA12" i="1"/>
  <c r="BB12" i="1" s="1"/>
  <c r="BC12" i="1" s="1"/>
  <c r="AV12" i="1"/>
  <c r="AW12" i="1" s="1"/>
  <c r="AX12" i="1" s="1"/>
  <c r="AQ12" i="1"/>
  <c r="AR12" i="1" s="1"/>
  <c r="AS12" i="1" s="1"/>
  <c r="AL12" i="1"/>
  <c r="AM12" i="1" s="1"/>
  <c r="AN12" i="1" s="1"/>
  <c r="AG12" i="1"/>
  <c r="AH12" i="1" s="1"/>
  <c r="AI12" i="1" s="1"/>
  <c r="AB12" i="1"/>
  <c r="AC12" i="1" s="1"/>
  <c r="AD12" i="1" s="1"/>
  <c r="W12" i="1"/>
  <c r="X12" i="1" s="1"/>
  <c r="Y12" i="1" s="1"/>
  <c r="T12" i="1"/>
  <c r="O12" i="1"/>
  <c r="J12" i="1"/>
  <c r="PX11" i="1"/>
  <c r="PS11" i="1"/>
  <c r="PN11" i="1"/>
  <c r="PI11" i="1"/>
  <c r="PD11" i="1"/>
  <c r="OY11" i="1"/>
  <c r="OT11" i="1"/>
  <c r="OO11" i="1"/>
  <c r="OJ11" i="1"/>
  <c r="OE11" i="1"/>
  <c r="NZ11" i="1"/>
  <c r="NU11" i="1"/>
  <c r="NP11" i="1"/>
  <c r="NK11" i="1"/>
  <c r="NF11" i="1"/>
  <c r="NA11" i="1"/>
  <c r="MV11" i="1"/>
  <c r="MQ11" i="1"/>
  <c r="ML11" i="1"/>
  <c r="MG11" i="1"/>
  <c r="MB11" i="1"/>
  <c r="LW11" i="1"/>
  <c r="LR11" i="1"/>
  <c r="LM11" i="1"/>
  <c r="LH11" i="1"/>
  <c r="LC11" i="1"/>
  <c r="KX11" i="1"/>
  <c r="KS11" i="1"/>
  <c r="KL11" i="1"/>
  <c r="KM11" i="1" s="1"/>
  <c r="KN11" i="1" s="1"/>
  <c r="KI11" i="1"/>
  <c r="KD11" i="1"/>
  <c r="JY11" i="1"/>
  <c r="JT11" i="1"/>
  <c r="JO11" i="1"/>
  <c r="JJ11" i="1"/>
  <c r="JE11" i="1"/>
  <c r="IZ11" i="1"/>
  <c r="IU11" i="1"/>
  <c r="IP11" i="1"/>
  <c r="IK11" i="1"/>
  <c r="IF11" i="1"/>
  <c r="IA11" i="1"/>
  <c r="HV11" i="1"/>
  <c r="HQ11" i="1"/>
  <c r="HL11" i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H11" i="1"/>
  <c r="EI11" i="1" s="1"/>
  <c r="EJ11" i="1" s="1"/>
  <c r="EC11" i="1"/>
  <c r="ED11" i="1" s="1"/>
  <c r="EE11" i="1" s="1"/>
  <c r="DX11" i="1"/>
  <c r="DY11" i="1" s="1"/>
  <c r="DZ11" i="1" s="1"/>
  <c r="DS11" i="1"/>
  <c r="DT11" i="1" s="1"/>
  <c r="DU11" i="1" s="1"/>
  <c r="DN11" i="1"/>
  <c r="DO11" i="1" s="1"/>
  <c r="DP11" i="1" s="1"/>
  <c r="DI11" i="1"/>
  <c r="DJ11" i="1" s="1"/>
  <c r="DK11" i="1" s="1"/>
  <c r="DD11" i="1"/>
  <c r="DE11" i="1" s="1"/>
  <c r="DF11" i="1" s="1"/>
  <c r="CY11" i="1"/>
  <c r="CZ11" i="1" s="1"/>
  <c r="DA11" i="1" s="1"/>
  <c r="CT11" i="1"/>
  <c r="CU11" i="1" s="1"/>
  <c r="CV11" i="1" s="1"/>
  <c r="CO11" i="1"/>
  <c r="CP11" i="1" s="1"/>
  <c r="CQ11" i="1" s="1"/>
  <c r="CJ11" i="1"/>
  <c r="CK11" i="1" s="1"/>
  <c r="CL11" i="1" s="1"/>
  <c r="CE11" i="1"/>
  <c r="CF11" i="1" s="1"/>
  <c r="CG11" i="1" s="1"/>
  <c r="BZ11" i="1"/>
  <c r="CA11" i="1" s="1"/>
  <c r="CB11" i="1" s="1"/>
  <c r="BU11" i="1"/>
  <c r="BV11" i="1" s="1"/>
  <c r="BW11" i="1" s="1"/>
  <c r="BP11" i="1"/>
  <c r="BQ11" i="1" s="1"/>
  <c r="BR11" i="1" s="1"/>
  <c r="BK11" i="1"/>
  <c r="BL11" i="1" s="1"/>
  <c r="BM11" i="1" s="1"/>
  <c r="BF11" i="1"/>
  <c r="BG11" i="1" s="1"/>
  <c r="BH11" i="1" s="1"/>
  <c r="BA11" i="1"/>
  <c r="BB11" i="1" s="1"/>
  <c r="BC11" i="1" s="1"/>
  <c r="AV11" i="1"/>
  <c r="AW11" i="1" s="1"/>
  <c r="AX11" i="1" s="1"/>
  <c r="AQ11" i="1"/>
  <c r="AR11" i="1" s="1"/>
  <c r="AS11" i="1" s="1"/>
  <c r="AL11" i="1"/>
  <c r="AM11" i="1" s="1"/>
  <c r="AN11" i="1" s="1"/>
  <c r="AG11" i="1"/>
  <c r="AH11" i="1" s="1"/>
  <c r="AI11" i="1" s="1"/>
  <c r="AB11" i="1"/>
  <c r="AC11" i="1" s="1"/>
  <c r="AD11" i="1" s="1"/>
  <c r="W11" i="1"/>
  <c r="X11" i="1" s="1"/>
  <c r="Y11" i="1" s="1"/>
  <c r="R11" i="1"/>
  <c r="S11" i="1" s="1"/>
  <c r="T11" i="1" s="1"/>
  <c r="O11" i="1"/>
  <c r="J11" i="1"/>
  <c r="PX10" i="1"/>
  <c r="PS10" i="1"/>
  <c r="PN10" i="1"/>
  <c r="PI10" i="1"/>
  <c r="PD10" i="1"/>
  <c r="OY10" i="1"/>
  <c r="OT10" i="1"/>
  <c r="OO10" i="1"/>
  <c r="OJ10" i="1"/>
  <c r="OE10" i="1"/>
  <c r="NZ10" i="1"/>
  <c r="NU10" i="1"/>
  <c r="NP10" i="1"/>
  <c r="NK10" i="1"/>
  <c r="NF10" i="1"/>
  <c r="NA10" i="1"/>
  <c r="MV10" i="1"/>
  <c r="MQ10" i="1"/>
  <c r="ML10" i="1"/>
  <c r="MG10" i="1"/>
  <c r="MB10" i="1"/>
  <c r="LW10" i="1"/>
  <c r="LR10" i="1"/>
  <c r="LM10" i="1"/>
  <c r="LH10" i="1"/>
  <c r="LC10" i="1"/>
  <c r="KX10" i="1"/>
  <c r="KS10" i="1"/>
  <c r="KN10" i="1"/>
  <c r="KI10" i="1"/>
  <c r="KD10" i="1"/>
  <c r="JY10" i="1"/>
  <c r="JT10" i="1"/>
  <c r="JO10" i="1"/>
  <c r="JJ10" i="1"/>
  <c r="JE10" i="1"/>
  <c r="IX10" i="1"/>
  <c r="IY10" i="1" s="1"/>
  <c r="IZ10" i="1" s="1"/>
  <c r="IS10" i="1"/>
  <c r="IT10" i="1" s="1"/>
  <c r="IU10" i="1" s="1"/>
  <c r="IN10" i="1"/>
  <c r="IO10" i="1" s="1"/>
  <c r="IP10" i="1" s="1"/>
  <c r="IK10" i="1"/>
  <c r="IF10" i="1"/>
  <c r="HY10" i="1"/>
  <c r="HZ10" i="1" s="1"/>
  <c r="IA10" i="1" s="1"/>
  <c r="HV10" i="1"/>
  <c r="HQ10" i="1"/>
  <c r="HL10" i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H10" i="1"/>
  <c r="EI10" i="1" s="1"/>
  <c r="EJ10" i="1" s="1"/>
  <c r="EC10" i="1"/>
  <c r="ED10" i="1" s="1"/>
  <c r="EE10" i="1" s="1"/>
  <c r="DX10" i="1"/>
  <c r="DY10" i="1" s="1"/>
  <c r="DZ10" i="1" s="1"/>
  <c r="DS10" i="1"/>
  <c r="DT10" i="1" s="1"/>
  <c r="DU10" i="1" s="1"/>
  <c r="DN10" i="1"/>
  <c r="DO10" i="1" s="1"/>
  <c r="DP10" i="1" s="1"/>
  <c r="DI10" i="1"/>
  <c r="DJ10" i="1" s="1"/>
  <c r="DK10" i="1" s="1"/>
  <c r="DD10" i="1"/>
  <c r="DE10" i="1" s="1"/>
  <c r="DF10" i="1" s="1"/>
  <c r="CY10" i="1"/>
  <c r="CZ10" i="1" s="1"/>
  <c r="DA10" i="1" s="1"/>
  <c r="CT10" i="1"/>
  <c r="CU10" i="1" s="1"/>
  <c r="CV10" i="1" s="1"/>
  <c r="CO10" i="1"/>
  <c r="CP10" i="1" s="1"/>
  <c r="CQ10" i="1" s="1"/>
  <c r="CJ10" i="1"/>
  <c r="CK10" i="1" s="1"/>
  <c r="CL10" i="1" s="1"/>
  <c r="CE10" i="1"/>
  <c r="CF10" i="1" s="1"/>
  <c r="CG10" i="1" s="1"/>
  <c r="BZ10" i="1"/>
  <c r="CA10" i="1" s="1"/>
  <c r="CB10" i="1" s="1"/>
  <c r="BU10" i="1"/>
  <c r="BV10" i="1" s="1"/>
  <c r="BW10" i="1" s="1"/>
  <c r="BP10" i="1"/>
  <c r="BQ10" i="1" s="1"/>
  <c r="BR10" i="1" s="1"/>
  <c r="BK10" i="1"/>
  <c r="BL10" i="1" s="1"/>
  <c r="BM10" i="1" s="1"/>
  <c r="BF10" i="1"/>
  <c r="BG10" i="1" s="1"/>
  <c r="BH10" i="1" s="1"/>
  <c r="BA10" i="1"/>
  <c r="BB10" i="1" s="1"/>
  <c r="BC10" i="1" s="1"/>
  <c r="AV10" i="1"/>
  <c r="AW10" i="1" s="1"/>
  <c r="AX10" i="1" s="1"/>
  <c r="AQ10" i="1"/>
  <c r="AR10" i="1" s="1"/>
  <c r="AS10" i="1" s="1"/>
  <c r="AL10" i="1"/>
  <c r="AM10" i="1" s="1"/>
  <c r="AN10" i="1" s="1"/>
  <c r="AG10" i="1"/>
  <c r="AH10" i="1" s="1"/>
  <c r="AI10" i="1" s="1"/>
  <c r="AB10" i="1"/>
  <c r="AC10" i="1" s="1"/>
  <c r="AD10" i="1" s="1"/>
  <c r="W10" i="1"/>
  <c r="X10" i="1" s="1"/>
  <c r="Y10" i="1" s="1"/>
  <c r="T10" i="1"/>
  <c r="O10" i="1"/>
  <c r="J10" i="1"/>
  <c r="PX9" i="1"/>
  <c r="PS9" i="1"/>
  <c r="PN9" i="1"/>
  <c r="PI9" i="1"/>
  <c r="PD9" i="1"/>
  <c r="OY9" i="1"/>
  <c r="OT9" i="1"/>
  <c r="OO9" i="1"/>
  <c r="OJ9" i="1"/>
  <c r="OE9" i="1"/>
  <c r="NZ9" i="1"/>
  <c r="NU9" i="1"/>
  <c r="NP9" i="1"/>
  <c r="NK9" i="1"/>
  <c r="NF9" i="1"/>
  <c r="NA9" i="1"/>
  <c r="MV9" i="1"/>
  <c r="MQ9" i="1"/>
  <c r="ML9" i="1"/>
  <c r="MG9" i="1"/>
  <c r="MB9" i="1"/>
  <c r="LW9" i="1"/>
  <c r="LR9" i="1"/>
  <c r="LM9" i="1"/>
  <c r="LH9" i="1"/>
  <c r="LC9" i="1"/>
  <c r="KX9" i="1"/>
  <c r="KS9" i="1"/>
  <c r="KN9" i="1"/>
  <c r="KI9" i="1"/>
  <c r="KD9" i="1"/>
  <c r="JY9" i="1"/>
  <c r="JT9" i="1"/>
  <c r="JO9" i="1"/>
  <c r="JJ9" i="1"/>
  <c r="JE9" i="1"/>
  <c r="IZ9" i="1"/>
  <c r="IU9" i="1"/>
  <c r="IP9" i="1"/>
  <c r="IK9" i="1"/>
  <c r="IF9" i="1"/>
  <c r="IA9" i="1"/>
  <c r="HV9" i="1"/>
  <c r="HQ9" i="1"/>
  <c r="HL9" i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A9" i="1"/>
  <c r="GB9" i="1" s="1"/>
  <c r="GC9" i="1" s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H9" i="1"/>
  <c r="EI9" i="1" s="1"/>
  <c r="EJ9" i="1" s="1"/>
  <c r="EC9" i="1"/>
  <c r="ED9" i="1" s="1"/>
  <c r="EE9" i="1" s="1"/>
  <c r="DX9" i="1"/>
  <c r="DY9" i="1" s="1"/>
  <c r="DZ9" i="1" s="1"/>
  <c r="DS9" i="1"/>
  <c r="DT9" i="1" s="1"/>
  <c r="DU9" i="1" s="1"/>
  <c r="DN9" i="1"/>
  <c r="DO9" i="1" s="1"/>
  <c r="DP9" i="1" s="1"/>
  <c r="DI9" i="1"/>
  <c r="DJ9" i="1" s="1"/>
  <c r="DK9" i="1" s="1"/>
  <c r="DD9" i="1"/>
  <c r="DE9" i="1" s="1"/>
  <c r="DF9" i="1" s="1"/>
  <c r="CY9" i="1"/>
  <c r="CZ9" i="1" s="1"/>
  <c r="DA9" i="1" s="1"/>
  <c r="CT9" i="1"/>
  <c r="CU9" i="1" s="1"/>
  <c r="CV9" i="1" s="1"/>
  <c r="CO9" i="1"/>
  <c r="CP9" i="1" s="1"/>
  <c r="CQ9" i="1" s="1"/>
  <c r="CJ9" i="1"/>
  <c r="CK9" i="1" s="1"/>
  <c r="CL9" i="1" s="1"/>
  <c r="CE9" i="1"/>
  <c r="CF9" i="1" s="1"/>
  <c r="CG9" i="1" s="1"/>
  <c r="BZ9" i="1"/>
  <c r="CA9" i="1" s="1"/>
  <c r="CB9" i="1" s="1"/>
  <c r="BU9" i="1"/>
  <c r="BV9" i="1" s="1"/>
  <c r="BW9" i="1" s="1"/>
  <c r="BP9" i="1"/>
  <c r="BQ9" i="1" s="1"/>
  <c r="BR9" i="1" s="1"/>
  <c r="BK9" i="1"/>
  <c r="BL9" i="1" s="1"/>
  <c r="BM9" i="1" s="1"/>
  <c r="BF9" i="1"/>
  <c r="BG9" i="1" s="1"/>
  <c r="BH9" i="1" s="1"/>
  <c r="BA9" i="1"/>
  <c r="BB9" i="1" s="1"/>
  <c r="BC9" i="1" s="1"/>
  <c r="AV9" i="1"/>
  <c r="AW9" i="1" s="1"/>
  <c r="AX9" i="1" s="1"/>
  <c r="AQ9" i="1"/>
  <c r="AR9" i="1" s="1"/>
  <c r="AS9" i="1" s="1"/>
  <c r="AL9" i="1"/>
  <c r="AM9" i="1" s="1"/>
  <c r="AN9" i="1" s="1"/>
  <c r="AG9" i="1"/>
  <c r="AH9" i="1" s="1"/>
  <c r="AI9" i="1" s="1"/>
  <c r="AB9" i="1"/>
  <c r="AC9" i="1" s="1"/>
  <c r="AD9" i="1" s="1"/>
  <c r="W9" i="1"/>
  <c r="X9" i="1" s="1"/>
  <c r="Y9" i="1" s="1"/>
  <c r="R9" i="1"/>
  <c r="S9" i="1" s="1"/>
  <c r="T9" i="1" s="1"/>
  <c r="O9" i="1"/>
  <c r="J9" i="1"/>
  <c r="PV8" i="1"/>
  <c r="PW8" i="1" s="1"/>
  <c r="PX8" i="1" s="1"/>
  <c r="PS8" i="1"/>
  <c r="PN8" i="1"/>
  <c r="PI8" i="1"/>
  <c r="PD8" i="1"/>
  <c r="OY8" i="1"/>
  <c r="OT8" i="1"/>
  <c r="OO8" i="1"/>
  <c r="OJ8" i="1"/>
  <c r="OE8" i="1"/>
  <c r="NZ8" i="1"/>
  <c r="NU8" i="1"/>
  <c r="NP8" i="1"/>
  <c r="NK8" i="1"/>
  <c r="NF8" i="1"/>
  <c r="NA8" i="1"/>
  <c r="MV8" i="1"/>
  <c r="MQ8" i="1"/>
  <c r="ML8" i="1"/>
  <c r="ME8" i="1"/>
  <c r="MF8" i="1" s="1"/>
  <c r="MG8" i="1" s="1"/>
  <c r="MB8" i="1"/>
  <c r="LW8" i="1"/>
  <c r="LR8" i="1"/>
  <c r="LM8" i="1"/>
  <c r="LH8" i="1"/>
  <c r="LA8" i="1"/>
  <c r="LB8" i="1" s="1"/>
  <c r="LC8" i="1" s="1"/>
  <c r="KV8" i="1"/>
  <c r="KW8" i="1" s="1"/>
  <c r="KX8" i="1" s="1"/>
  <c r="KQ8" i="1"/>
  <c r="KR8" i="1" s="1"/>
  <c r="KS8" i="1" s="1"/>
  <c r="KN8" i="1"/>
  <c r="KI8" i="1"/>
  <c r="KD8" i="1"/>
  <c r="JY8" i="1"/>
  <c r="JT8" i="1"/>
  <c r="JO8" i="1"/>
  <c r="JJ8" i="1"/>
  <c r="JE8" i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T8" i="1"/>
  <c r="HU8" i="1" s="1"/>
  <c r="HV8" i="1" s="1"/>
  <c r="HQ8" i="1"/>
  <c r="HL8" i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H8" i="1"/>
  <c r="EI8" i="1" s="1"/>
  <c r="EJ8" i="1" s="1"/>
  <c r="EC8" i="1"/>
  <c r="ED8" i="1" s="1"/>
  <c r="EE8" i="1" s="1"/>
  <c r="DX8" i="1"/>
  <c r="DY8" i="1" s="1"/>
  <c r="DZ8" i="1" s="1"/>
  <c r="DS8" i="1"/>
  <c r="DT8" i="1" s="1"/>
  <c r="DU8" i="1" s="1"/>
  <c r="DN8" i="1"/>
  <c r="DO8" i="1" s="1"/>
  <c r="DP8" i="1" s="1"/>
  <c r="DI8" i="1"/>
  <c r="DJ8" i="1" s="1"/>
  <c r="DK8" i="1" s="1"/>
  <c r="DD8" i="1"/>
  <c r="DE8" i="1" s="1"/>
  <c r="DF8" i="1" s="1"/>
  <c r="CY8" i="1"/>
  <c r="CZ8" i="1" s="1"/>
  <c r="DA8" i="1" s="1"/>
  <c r="CT8" i="1"/>
  <c r="CU8" i="1" s="1"/>
  <c r="CV8" i="1" s="1"/>
  <c r="CO8" i="1"/>
  <c r="CP8" i="1" s="1"/>
  <c r="CQ8" i="1" s="1"/>
  <c r="CJ8" i="1"/>
  <c r="CK8" i="1" s="1"/>
  <c r="CL8" i="1" s="1"/>
  <c r="CE8" i="1"/>
  <c r="CF8" i="1" s="1"/>
  <c r="CG8" i="1" s="1"/>
  <c r="BZ8" i="1"/>
  <c r="CA8" i="1" s="1"/>
  <c r="CB8" i="1" s="1"/>
  <c r="BU8" i="1"/>
  <c r="BV8" i="1" s="1"/>
  <c r="BW8" i="1" s="1"/>
  <c r="BP8" i="1"/>
  <c r="BQ8" i="1" s="1"/>
  <c r="BR8" i="1" s="1"/>
  <c r="BK8" i="1"/>
  <c r="BL8" i="1" s="1"/>
  <c r="BM8" i="1" s="1"/>
  <c r="BF8" i="1"/>
  <c r="BG8" i="1" s="1"/>
  <c r="BH8" i="1" s="1"/>
  <c r="BA8" i="1"/>
  <c r="BB8" i="1" s="1"/>
  <c r="BC8" i="1" s="1"/>
  <c r="AV8" i="1"/>
  <c r="AW8" i="1" s="1"/>
  <c r="AX8" i="1" s="1"/>
  <c r="AQ8" i="1"/>
  <c r="AR8" i="1" s="1"/>
  <c r="AS8" i="1" s="1"/>
  <c r="AL8" i="1"/>
  <c r="AM8" i="1" s="1"/>
  <c r="AN8" i="1" s="1"/>
  <c r="AG8" i="1"/>
  <c r="AH8" i="1" s="1"/>
  <c r="AI8" i="1" s="1"/>
  <c r="AB8" i="1"/>
  <c r="AC8" i="1" s="1"/>
  <c r="AD8" i="1" s="1"/>
  <c r="W8" i="1"/>
  <c r="X8" i="1" s="1"/>
  <c r="Y8" i="1" s="1"/>
  <c r="R8" i="1"/>
  <c r="S8" i="1" s="1"/>
  <c r="T8" i="1" s="1"/>
  <c r="O8" i="1"/>
  <c r="J8" i="1"/>
  <c r="PX7" i="1"/>
  <c r="PS7" i="1"/>
  <c r="PN7" i="1"/>
  <c r="PI7" i="1"/>
  <c r="PD7" i="1"/>
  <c r="OY7" i="1"/>
  <c r="OT7" i="1"/>
  <c r="OO7" i="1"/>
  <c r="OJ7" i="1"/>
  <c r="OE7" i="1"/>
  <c r="NZ7" i="1"/>
  <c r="NU7" i="1"/>
  <c r="NP7" i="1"/>
  <c r="NK7" i="1"/>
  <c r="NF7" i="1"/>
  <c r="NA7" i="1"/>
  <c r="MV7" i="1"/>
  <c r="MQ7" i="1"/>
  <c r="ML7" i="1"/>
  <c r="MG7" i="1"/>
  <c r="MB7" i="1"/>
  <c r="LW7" i="1"/>
  <c r="LP7" i="1"/>
  <c r="LQ7" i="1" s="1"/>
  <c r="LR7" i="1" s="1"/>
  <c r="LM7" i="1"/>
  <c r="LH7" i="1"/>
  <c r="LA7" i="1"/>
  <c r="LB7" i="1" s="1"/>
  <c r="LC7" i="1" s="1"/>
  <c r="KX7" i="1"/>
  <c r="KS7" i="1"/>
  <c r="KL7" i="1"/>
  <c r="KM7" i="1" s="1"/>
  <c r="KN7" i="1" s="1"/>
  <c r="KI7" i="1"/>
  <c r="KD7" i="1"/>
  <c r="JY7" i="1"/>
  <c r="JT7" i="1"/>
  <c r="JO7" i="1"/>
  <c r="JJ7" i="1"/>
  <c r="JE7" i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T7" i="1"/>
  <c r="HU7" i="1" s="1"/>
  <c r="HV7" i="1" s="1"/>
  <c r="HQ7" i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H7" i="1"/>
  <c r="EI7" i="1" s="1"/>
  <c r="EJ7" i="1" s="1"/>
  <c r="EC7" i="1"/>
  <c r="ED7" i="1" s="1"/>
  <c r="EE7" i="1" s="1"/>
  <c r="DX7" i="1"/>
  <c r="DY7" i="1" s="1"/>
  <c r="DZ7" i="1" s="1"/>
  <c r="DS7" i="1"/>
  <c r="DT7" i="1" s="1"/>
  <c r="DU7" i="1" s="1"/>
  <c r="DN7" i="1"/>
  <c r="DO7" i="1" s="1"/>
  <c r="DP7" i="1" s="1"/>
  <c r="DI7" i="1"/>
  <c r="DJ7" i="1" s="1"/>
  <c r="DK7" i="1" s="1"/>
  <c r="DD7" i="1"/>
  <c r="DE7" i="1" s="1"/>
  <c r="DF7" i="1" s="1"/>
  <c r="CY7" i="1"/>
  <c r="CZ7" i="1" s="1"/>
  <c r="DA7" i="1" s="1"/>
  <c r="CT7" i="1"/>
  <c r="CU7" i="1" s="1"/>
  <c r="CV7" i="1" s="1"/>
  <c r="CO7" i="1"/>
  <c r="CP7" i="1" s="1"/>
  <c r="CQ7" i="1" s="1"/>
  <c r="CJ7" i="1"/>
  <c r="CK7" i="1" s="1"/>
  <c r="CL7" i="1" s="1"/>
  <c r="CE7" i="1"/>
  <c r="CF7" i="1" s="1"/>
  <c r="CG7" i="1" s="1"/>
  <c r="BZ7" i="1"/>
  <c r="CA7" i="1" s="1"/>
  <c r="CB7" i="1" s="1"/>
  <c r="BU7" i="1"/>
  <c r="BV7" i="1" s="1"/>
  <c r="BW7" i="1" s="1"/>
  <c r="BP7" i="1"/>
  <c r="BQ7" i="1" s="1"/>
  <c r="BR7" i="1" s="1"/>
  <c r="BK7" i="1"/>
  <c r="BL7" i="1" s="1"/>
  <c r="BM7" i="1" s="1"/>
  <c r="BF7" i="1"/>
  <c r="BG7" i="1" s="1"/>
  <c r="BH7" i="1" s="1"/>
  <c r="BA7" i="1"/>
  <c r="BB7" i="1" s="1"/>
  <c r="BC7" i="1" s="1"/>
  <c r="AV7" i="1"/>
  <c r="AW7" i="1" s="1"/>
  <c r="AX7" i="1" s="1"/>
  <c r="AQ7" i="1"/>
  <c r="AR7" i="1" s="1"/>
  <c r="AS7" i="1" s="1"/>
  <c r="AL7" i="1"/>
  <c r="AM7" i="1" s="1"/>
  <c r="AN7" i="1" s="1"/>
  <c r="AG7" i="1"/>
  <c r="AH7" i="1" s="1"/>
  <c r="AI7" i="1" s="1"/>
  <c r="AB7" i="1"/>
  <c r="AC7" i="1" s="1"/>
  <c r="AD7" i="1" s="1"/>
  <c r="W7" i="1"/>
  <c r="X7" i="1" s="1"/>
  <c r="Y7" i="1" s="1"/>
  <c r="R7" i="1"/>
  <c r="S7" i="1" s="1"/>
  <c r="T7" i="1" s="1"/>
  <c r="O7" i="1"/>
  <c r="J7" i="1"/>
  <c r="PX6" i="1"/>
  <c r="PS6" i="1"/>
  <c r="PN6" i="1"/>
  <c r="PI6" i="1"/>
  <c r="PD6" i="1"/>
  <c r="OY6" i="1"/>
  <c r="OT6" i="1"/>
  <c r="OO6" i="1"/>
  <c r="OJ6" i="1"/>
  <c r="OE6" i="1"/>
  <c r="NZ6" i="1"/>
  <c r="NU6" i="1"/>
  <c r="NP6" i="1"/>
  <c r="NK6" i="1"/>
  <c r="NF6" i="1"/>
  <c r="NA6" i="1"/>
  <c r="MV6" i="1"/>
  <c r="MQ6" i="1"/>
  <c r="ML6" i="1"/>
  <c r="MG6" i="1"/>
  <c r="MB6" i="1"/>
  <c r="LW6" i="1"/>
  <c r="LR6" i="1"/>
  <c r="LM6" i="1"/>
  <c r="LH6" i="1"/>
  <c r="LA6" i="1"/>
  <c r="LB6" i="1" s="1"/>
  <c r="LC6" i="1" s="1"/>
  <c r="KX6" i="1"/>
  <c r="KS6" i="1"/>
  <c r="KN6" i="1"/>
  <c r="KI6" i="1"/>
  <c r="KD6" i="1"/>
  <c r="JY6" i="1"/>
  <c r="JT6" i="1"/>
  <c r="JO6" i="1"/>
  <c r="JJ6" i="1"/>
  <c r="JE6" i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T6" i="1"/>
  <c r="HU6" i="1" s="1"/>
  <c r="HV6" i="1" s="1"/>
  <c r="HQ6" i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H6" i="1"/>
  <c r="EI6" i="1" s="1"/>
  <c r="EJ6" i="1" s="1"/>
  <c r="EC6" i="1"/>
  <c r="ED6" i="1" s="1"/>
  <c r="EE6" i="1" s="1"/>
  <c r="DX6" i="1"/>
  <c r="DY6" i="1" s="1"/>
  <c r="DZ6" i="1" s="1"/>
  <c r="DS6" i="1"/>
  <c r="DT6" i="1" s="1"/>
  <c r="DU6" i="1" s="1"/>
  <c r="DN6" i="1"/>
  <c r="DO6" i="1" s="1"/>
  <c r="DP6" i="1" s="1"/>
  <c r="DI6" i="1"/>
  <c r="DJ6" i="1" s="1"/>
  <c r="DK6" i="1" s="1"/>
  <c r="DD6" i="1"/>
  <c r="DE6" i="1" s="1"/>
  <c r="DF6" i="1" s="1"/>
  <c r="CY6" i="1"/>
  <c r="CZ6" i="1" s="1"/>
  <c r="DA6" i="1" s="1"/>
  <c r="CT6" i="1"/>
  <c r="CU6" i="1" s="1"/>
  <c r="CV6" i="1" s="1"/>
  <c r="CO6" i="1"/>
  <c r="CP6" i="1" s="1"/>
  <c r="CQ6" i="1" s="1"/>
  <c r="CJ6" i="1"/>
  <c r="CK6" i="1" s="1"/>
  <c r="CL6" i="1" s="1"/>
  <c r="CE6" i="1"/>
  <c r="CF6" i="1" s="1"/>
  <c r="CG6" i="1" s="1"/>
  <c r="BZ6" i="1"/>
  <c r="CA6" i="1" s="1"/>
  <c r="CB6" i="1" s="1"/>
  <c r="BU6" i="1"/>
  <c r="BV6" i="1" s="1"/>
  <c r="BW6" i="1" s="1"/>
  <c r="BP6" i="1"/>
  <c r="BQ6" i="1" s="1"/>
  <c r="BR6" i="1" s="1"/>
  <c r="BK6" i="1"/>
  <c r="BL6" i="1" s="1"/>
  <c r="BM6" i="1" s="1"/>
  <c r="BF6" i="1"/>
  <c r="BG6" i="1" s="1"/>
  <c r="BH6" i="1" s="1"/>
  <c r="BA6" i="1"/>
  <c r="BB6" i="1" s="1"/>
  <c r="BC6" i="1" s="1"/>
  <c r="AV6" i="1"/>
  <c r="AW6" i="1" s="1"/>
  <c r="AX6" i="1" s="1"/>
  <c r="AQ6" i="1"/>
  <c r="AR6" i="1" s="1"/>
  <c r="AS6" i="1" s="1"/>
  <c r="AL6" i="1"/>
  <c r="AM6" i="1" s="1"/>
  <c r="AN6" i="1" s="1"/>
  <c r="AG6" i="1"/>
  <c r="AH6" i="1" s="1"/>
  <c r="AI6" i="1" s="1"/>
  <c r="AB6" i="1"/>
  <c r="AC6" i="1" s="1"/>
  <c r="AD6" i="1" s="1"/>
  <c r="W6" i="1"/>
  <c r="X6" i="1" s="1"/>
  <c r="Y6" i="1" s="1"/>
  <c r="T6" i="1"/>
  <c r="O6" i="1"/>
  <c r="J6" i="1"/>
  <c r="PX5" i="1"/>
  <c r="PS5" i="1"/>
  <c r="PN5" i="1"/>
  <c r="PI5" i="1"/>
  <c r="PD5" i="1"/>
  <c r="OY5" i="1"/>
  <c r="OT5" i="1"/>
  <c r="OO5" i="1"/>
  <c r="OJ5" i="1"/>
  <c r="OE5" i="1"/>
  <c r="NZ5" i="1"/>
  <c r="NU5" i="1"/>
  <c r="NP5" i="1"/>
  <c r="NK5" i="1"/>
  <c r="NF5" i="1"/>
  <c r="NA5" i="1"/>
  <c r="MV5" i="1"/>
  <c r="MQ5" i="1"/>
  <c r="ML5" i="1"/>
  <c r="ME5" i="1"/>
  <c r="MF5" i="1" s="1"/>
  <c r="MG5" i="1" s="1"/>
  <c r="MB5" i="1"/>
  <c r="LW5" i="1"/>
  <c r="LR5" i="1"/>
  <c r="LK5" i="1"/>
  <c r="LL5" i="1" s="1"/>
  <c r="LM5" i="1" s="1"/>
  <c r="LH5" i="1"/>
  <c r="LC5" i="1"/>
  <c r="KV5" i="1"/>
  <c r="KW5" i="1" s="1"/>
  <c r="KX5" i="1" s="1"/>
  <c r="KS5" i="1"/>
  <c r="KL5" i="1"/>
  <c r="KM5" i="1" s="1"/>
  <c r="KN5" i="1" s="1"/>
  <c r="KI5" i="1"/>
  <c r="KD5" i="1"/>
  <c r="JY5" i="1"/>
  <c r="JT5" i="1"/>
  <c r="JO5" i="1"/>
  <c r="JJ5" i="1"/>
  <c r="JE5" i="1"/>
  <c r="IX5" i="1"/>
  <c r="IY5" i="1" s="1"/>
  <c r="IZ5" i="1" s="1"/>
  <c r="IS5" i="1"/>
  <c r="IT5" i="1" s="1"/>
  <c r="IU5" i="1" s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T5" i="1"/>
  <c r="HU5" i="1" s="1"/>
  <c r="HV5" i="1" s="1"/>
  <c r="HQ5" i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H5" i="1"/>
  <c r="EI5" i="1" s="1"/>
  <c r="EJ5" i="1" s="1"/>
  <c r="EC5" i="1"/>
  <c r="ED5" i="1" s="1"/>
  <c r="EE5" i="1" s="1"/>
  <c r="DX5" i="1"/>
  <c r="DY5" i="1" s="1"/>
  <c r="DZ5" i="1" s="1"/>
  <c r="DS5" i="1"/>
  <c r="DT5" i="1" s="1"/>
  <c r="DU5" i="1" s="1"/>
  <c r="DN5" i="1"/>
  <c r="DO5" i="1" s="1"/>
  <c r="DP5" i="1" s="1"/>
  <c r="DI5" i="1"/>
  <c r="DJ5" i="1" s="1"/>
  <c r="DK5" i="1" s="1"/>
  <c r="DD5" i="1"/>
  <c r="DE5" i="1" s="1"/>
  <c r="DF5" i="1" s="1"/>
  <c r="CY5" i="1"/>
  <c r="CZ5" i="1" s="1"/>
  <c r="DA5" i="1" s="1"/>
  <c r="CT5" i="1"/>
  <c r="CU5" i="1" s="1"/>
  <c r="CV5" i="1" s="1"/>
  <c r="CO5" i="1"/>
  <c r="CP5" i="1" s="1"/>
  <c r="CQ5" i="1" s="1"/>
  <c r="CJ5" i="1"/>
  <c r="CK5" i="1" s="1"/>
  <c r="CL5" i="1" s="1"/>
  <c r="CE5" i="1"/>
  <c r="CF5" i="1" s="1"/>
  <c r="CG5" i="1" s="1"/>
  <c r="BZ5" i="1"/>
  <c r="CA5" i="1" s="1"/>
  <c r="CB5" i="1" s="1"/>
  <c r="BU5" i="1"/>
  <c r="BV5" i="1" s="1"/>
  <c r="BW5" i="1" s="1"/>
  <c r="BP5" i="1"/>
  <c r="BQ5" i="1" s="1"/>
  <c r="BR5" i="1" s="1"/>
  <c r="BK5" i="1"/>
  <c r="BL5" i="1" s="1"/>
  <c r="BM5" i="1" s="1"/>
  <c r="BF5" i="1"/>
  <c r="BG5" i="1" s="1"/>
  <c r="BH5" i="1" s="1"/>
  <c r="BA5" i="1"/>
  <c r="BB5" i="1" s="1"/>
  <c r="BC5" i="1" s="1"/>
  <c r="AV5" i="1"/>
  <c r="AW5" i="1" s="1"/>
  <c r="AX5" i="1" s="1"/>
  <c r="AQ5" i="1"/>
  <c r="AR5" i="1" s="1"/>
  <c r="AS5" i="1" s="1"/>
  <c r="AL5" i="1"/>
  <c r="AM5" i="1" s="1"/>
  <c r="AN5" i="1" s="1"/>
  <c r="AG5" i="1"/>
  <c r="AH5" i="1" s="1"/>
  <c r="AI5" i="1" s="1"/>
  <c r="AB5" i="1"/>
  <c r="AC5" i="1" s="1"/>
  <c r="AD5" i="1" s="1"/>
  <c r="W5" i="1"/>
  <c r="X5" i="1" s="1"/>
  <c r="Y5" i="1" s="1"/>
  <c r="T5" i="1"/>
  <c r="O5" i="1"/>
  <c r="J5" i="1"/>
  <c r="PX4" i="1"/>
  <c r="PS4" i="1"/>
  <c r="PN4" i="1"/>
  <c r="PI4" i="1"/>
  <c r="PD4" i="1"/>
  <c r="OY4" i="1"/>
  <c r="OT4" i="1"/>
  <c r="OO4" i="1"/>
  <c r="OJ4" i="1"/>
  <c r="OE4" i="1"/>
  <c r="NZ4" i="1"/>
  <c r="NU4" i="1"/>
  <c r="NP4" i="1"/>
  <c r="NK4" i="1"/>
  <c r="NF4" i="1"/>
  <c r="NA4" i="1"/>
  <c r="MV4" i="1"/>
  <c r="MQ4" i="1"/>
  <c r="ML4" i="1"/>
  <c r="MG4" i="1"/>
  <c r="LZ4" i="1"/>
  <c r="MA4" i="1" s="1"/>
  <c r="MB4" i="1" s="1"/>
  <c r="LU4" i="1"/>
  <c r="LV4" i="1" s="1"/>
  <c r="LW4" i="1" s="1"/>
  <c r="LP4" i="1"/>
  <c r="LQ4" i="1" s="1"/>
  <c r="LR4" i="1" s="1"/>
  <c r="LK4" i="1"/>
  <c r="LL4" i="1" s="1"/>
  <c r="LM4" i="1" s="1"/>
  <c r="LH4" i="1"/>
  <c r="LA4" i="1"/>
  <c r="LB4" i="1" s="1"/>
  <c r="LC4" i="1" s="1"/>
  <c r="KV4" i="1"/>
  <c r="KW4" i="1" s="1"/>
  <c r="KX4" i="1" s="1"/>
  <c r="KQ4" i="1"/>
  <c r="KR4" i="1" s="1"/>
  <c r="KS4" i="1" s="1"/>
  <c r="KN4" i="1"/>
  <c r="KG4" i="1"/>
  <c r="KH4" i="1" s="1"/>
  <c r="KI4" i="1" s="1"/>
  <c r="KD4" i="1"/>
  <c r="JY4" i="1"/>
  <c r="JT4" i="1"/>
  <c r="JO4" i="1"/>
  <c r="JJ4" i="1"/>
  <c r="JE4" i="1"/>
  <c r="IZ4" i="1"/>
  <c r="IU4" i="1"/>
  <c r="IP4" i="1"/>
  <c r="IK4" i="1"/>
  <c r="IF4" i="1"/>
  <c r="IA4" i="1"/>
  <c r="HV4" i="1"/>
  <c r="HQ4" i="1"/>
  <c r="HL4" i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H4" i="1"/>
  <c r="EI4" i="1" s="1"/>
  <c r="EJ4" i="1" s="1"/>
  <c r="EC4" i="1"/>
  <c r="ED4" i="1" s="1"/>
  <c r="EE4" i="1" s="1"/>
  <c r="DX4" i="1"/>
  <c r="DY4" i="1" s="1"/>
  <c r="DZ4" i="1" s="1"/>
  <c r="DS4" i="1"/>
  <c r="DT4" i="1" s="1"/>
  <c r="DU4" i="1" s="1"/>
  <c r="DN4" i="1"/>
  <c r="DO4" i="1" s="1"/>
  <c r="DP4" i="1" s="1"/>
  <c r="DI4" i="1"/>
  <c r="DJ4" i="1" s="1"/>
  <c r="DK4" i="1" s="1"/>
  <c r="DD4" i="1"/>
  <c r="DE4" i="1" s="1"/>
  <c r="DF4" i="1" s="1"/>
  <c r="CY4" i="1"/>
  <c r="CZ4" i="1" s="1"/>
  <c r="DA4" i="1" s="1"/>
  <c r="CT4" i="1"/>
  <c r="CU4" i="1" s="1"/>
  <c r="CV4" i="1" s="1"/>
  <c r="CO4" i="1"/>
  <c r="CP4" i="1" s="1"/>
  <c r="CQ4" i="1" s="1"/>
  <c r="CJ4" i="1"/>
  <c r="CK4" i="1" s="1"/>
  <c r="CL4" i="1" s="1"/>
  <c r="CE4" i="1"/>
  <c r="CF4" i="1" s="1"/>
  <c r="CG4" i="1" s="1"/>
  <c r="BZ4" i="1"/>
  <c r="CA4" i="1" s="1"/>
  <c r="CB4" i="1" s="1"/>
  <c r="BU4" i="1"/>
  <c r="BV4" i="1" s="1"/>
  <c r="BW4" i="1" s="1"/>
  <c r="BP4" i="1"/>
  <c r="BQ4" i="1" s="1"/>
  <c r="BR4" i="1" s="1"/>
  <c r="BK4" i="1"/>
  <c r="BL4" i="1" s="1"/>
  <c r="BM4" i="1" s="1"/>
  <c r="BF4" i="1"/>
  <c r="BG4" i="1" s="1"/>
  <c r="BH4" i="1" s="1"/>
  <c r="BA4" i="1"/>
  <c r="BB4" i="1" s="1"/>
  <c r="BC4" i="1" s="1"/>
  <c r="AV4" i="1"/>
  <c r="AW4" i="1" s="1"/>
  <c r="AX4" i="1" s="1"/>
  <c r="AQ4" i="1"/>
  <c r="AR4" i="1" s="1"/>
  <c r="AS4" i="1" s="1"/>
  <c r="AL4" i="1"/>
  <c r="AM4" i="1" s="1"/>
  <c r="AN4" i="1" s="1"/>
  <c r="AG4" i="1"/>
  <c r="AH4" i="1" s="1"/>
  <c r="AI4" i="1" s="1"/>
  <c r="AB4" i="1"/>
  <c r="AC4" i="1" s="1"/>
  <c r="AD4" i="1" s="1"/>
  <c r="W4" i="1"/>
  <c r="X4" i="1" s="1"/>
  <c r="Y4" i="1" s="1"/>
  <c r="R4" i="1"/>
  <c r="S4" i="1" s="1"/>
  <c r="T4" i="1" s="1"/>
  <c r="O4" i="1"/>
  <c r="J4" i="1"/>
  <c r="JE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O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U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J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I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I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J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H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W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V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AY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H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M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W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L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V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U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D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I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O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U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L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D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J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O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AY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M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R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W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V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U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T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J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X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L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O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O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I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W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U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Q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J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M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B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D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U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E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E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O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O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O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D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I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G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U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N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M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G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L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A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O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M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J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E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AY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D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R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W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V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A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D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J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Y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X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M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B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G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L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A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K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P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I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H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M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A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J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T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AY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D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G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A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U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E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W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Z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H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G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L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A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P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O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FY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D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H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W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L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K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J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X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W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U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Y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I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S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G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Q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P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U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Y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O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O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FY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D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O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D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S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H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G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Q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K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O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W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E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Y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I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G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U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T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R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G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J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Y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X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H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V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P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O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D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M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G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V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A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U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FY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I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S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H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W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Z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AY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I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S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M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L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J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AY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FY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I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Y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S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R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G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U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O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S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M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O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O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D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X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L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I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H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W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U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T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X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U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T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D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H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M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G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E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W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U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U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D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J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T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L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E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D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I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U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O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T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N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X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M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Q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U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I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Y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X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G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E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I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O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W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A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D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P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Y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W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G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U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U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O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T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Q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P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O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D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I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D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E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O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E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T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D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M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D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H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V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E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AY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S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P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E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Y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J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D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I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M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J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Y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I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G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V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A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D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I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I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X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U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D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E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X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G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E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O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X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R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G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L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E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J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T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I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L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I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E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H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M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L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K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X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J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H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G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Q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V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U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FY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O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D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H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M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U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J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W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G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J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X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H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M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Q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J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K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FY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P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D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AY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Y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I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H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M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R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B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G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V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A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K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U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O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I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E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T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AY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H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L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K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Y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D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O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W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E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X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T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B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G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A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O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X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X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G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V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FY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O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I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S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M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K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FY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O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H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L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FY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W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E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J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T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Y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N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S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H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R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G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Q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U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O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T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D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I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Y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M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R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B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G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L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V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A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E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Y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J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AY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I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X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H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M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V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E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Y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B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A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I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X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U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EZ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E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G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I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X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W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E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Y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H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G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P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I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B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E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Y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G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J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T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AY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D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I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L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Y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J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I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X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L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EZ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D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S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H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L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Q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U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O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D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R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L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J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D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V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E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Y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M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G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V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P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L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A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J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D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I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I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A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U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E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T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Y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X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M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J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I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Y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N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M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Q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X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B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U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EZ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J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J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T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D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G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I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D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<sst xmlns="http://schemas.openxmlformats.org/spreadsheetml/2006/main" count="1794" uniqueCount="784">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</sst>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29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Y246"/>
  <sheetViews>
    <sheetView tabSelected="1" zoomScale="130" zoomScaleNormal="130" workbookViewId="0">
      <selection activeCell="A241" sqref="A241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1" max="21" width="17" bestFit="1" customWidth="1"/>
    <col min="26" max="26" width="17.21875" bestFit="1" customWidth="1"/>
    <col min="81" max="81" width="38.21875" bestFit="1" customWidth="1"/>
  </cols>
  <sheetData>
    <row r="1" spans="1:440" ht="15.6" thickTop="1" thickBot="1" x14ac:dyDescent="0.35">
      <c r="A1" s="108" t="s">
        <v>0</v>
      </c>
      <c r="B1" s="109"/>
      <c r="C1" s="109"/>
      <c r="D1" s="109"/>
      <c r="E1" s="110"/>
      <c r="F1" s="76" t="s">
        <v>1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8"/>
      <c r="U1" s="79" t="s">
        <v>2</v>
      </c>
      <c r="V1" s="80"/>
      <c r="W1" s="80"/>
      <c r="X1" s="80"/>
      <c r="Y1" s="80"/>
      <c r="Z1" s="80"/>
      <c r="AA1" s="80"/>
      <c r="AB1" s="80"/>
      <c r="AC1" s="80"/>
      <c r="AD1" s="81"/>
      <c r="AE1" s="38" t="s">
        <v>3</v>
      </c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40" t="s">
        <v>4</v>
      </c>
      <c r="CD1" s="40"/>
      <c r="CE1" s="40"/>
      <c r="CF1" s="40"/>
      <c r="CG1" s="40"/>
      <c r="CH1" s="39" t="s">
        <v>5</v>
      </c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41"/>
      <c r="EQ1" s="39"/>
      <c r="ER1" s="39"/>
      <c r="ES1" s="39"/>
      <c r="ET1" s="39"/>
      <c r="EU1" s="39"/>
      <c r="EV1" s="39"/>
      <c r="EW1" s="39"/>
      <c r="EX1" s="39"/>
      <c r="EY1" s="39"/>
      <c r="EZ1" s="39"/>
      <c r="FA1" s="39"/>
      <c r="FB1" s="39"/>
      <c r="FC1" s="39"/>
      <c r="FD1" s="39"/>
      <c r="FE1" s="39"/>
      <c r="FF1" s="39"/>
      <c r="FG1" s="39"/>
      <c r="FH1" s="39"/>
      <c r="FI1" s="39"/>
      <c r="FJ1" s="39"/>
      <c r="FK1" s="39"/>
      <c r="FL1" s="39"/>
      <c r="FM1" s="39"/>
      <c r="FN1" s="39"/>
      <c r="FO1" s="39"/>
      <c r="FP1" s="39"/>
      <c r="FQ1" s="39"/>
      <c r="FR1" s="39"/>
      <c r="FS1" s="39"/>
      <c r="FT1" s="39"/>
      <c r="FU1" s="39"/>
      <c r="FV1" s="39"/>
      <c r="FW1" s="39"/>
      <c r="FX1" s="39"/>
      <c r="FY1" s="39"/>
      <c r="FZ1" s="39"/>
      <c r="GA1" s="39"/>
      <c r="GB1" s="39"/>
      <c r="GC1" s="39"/>
      <c r="GD1" s="39"/>
      <c r="GE1" s="39"/>
      <c r="GF1" s="39"/>
      <c r="GG1" s="39"/>
      <c r="GH1" s="39"/>
      <c r="GI1" s="63"/>
      <c r="GJ1" s="64"/>
      <c r="GK1" s="64"/>
      <c r="GL1" s="64"/>
      <c r="GM1" s="64"/>
      <c r="GN1" s="65" t="s">
        <v>6</v>
      </c>
      <c r="GO1" s="66"/>
      <c r="GP1" s="66"/>
      <c r="GQ1" s="66"/>
      <c r="GR1" s="66"/>
      <c r="GS1" s="66"/>
      <c r="GT1" s="66"/>
      <c r="GU1" s="66"/>
      <c r="GV1" s="66"/>
      <c r="GW1" s="66"/>
      <c r="GX1" s="66"/>
      <c r="GY1" s="66"/>
      <c r="GZ1" s="66"/>
      <c r="HA1" s="66"/>
      <c r="HB1" s="66"/>
      <c r="HC1" s="66"/>
      <c r="HD1" s="66"/>
      <c r="HE1" s="66"/>
      <c r="HF1" s="66"/>
      <c r="HG1" s="67"/>
      <c r="HH1" s="68" t="s">
        <v>7</v>
      </c>
      <c r="HI1" s="69"/>
      <c r="HJ1" s="69"/>
      <c r="HK1" s="69"/>
      <c r="HL1" s="70"/>
      <c r="HM1" s="71" t="s">
        <v>8</v>
      </c>
      <c r="HN1" s="72"/>
      <c r="HO1" s="72"/>
      <c r="HP1" s="72"/>
      <c r="HQ1" s="73"/>
      <c r="HR1" s="74" t="s">
        <v>9</v>
      </c>
      <c r="HS1" s="74"/>
      <c r="HT1" s="74"/>
      <c r="HU1" s="74"/>
      <c r="HV1" s="74"/>
      <c r="HW1" s="74"/>
      <c r="HX1" s="74"/>
      <c r="HY1" s="74"/>
      <c r="HZ1" s="74"/>
      <c r="IA1" s="74"/>
      <c r="IB1" s="75" t="s">
        <v>10</v>
      </c>
      <c r="IC1" s="75"/>
      <c r="ID1" s="75"/>
      <c r="IE1" s="75"/>
      <c r="IF1" s="75"/>
      <c r="IG1" s="57" t="s">
        <v>11</v>
      </c>
      <c r="IH1" s="57"/>
      <c r="II1" s="57"/>
      <c r="IJ1" s="57"/>
      <c r="IK1" s="57"/>
      <c r="IL1" s="57"/>
      <c r="IM1" s="57"/>
      <c r="IN1" s="57"/>
      <c r="IO1" s="57"/>
      <c r="IP1" s="57"/>
      <c r="IQ1" s="57"/>
      <c r="IR1" s="57"/>
      <c r="IS1" s="57"/>
      <c r="IT1" s="57"/>
      <c r="IU1" s="57"/>
      <c r="IV1" s="57"/>
      <c r="IW1" s="57"/>
      <c r="IX1" s="57"/>
      <c r="IY1" s="57"/>
      <c r="IZ1" s="57"/>
      <c r="JA1" s="58" t="s">
        <v>12</v>
      </c>
      <c r="JB1" s="59"/>
      <c r="JC1" s="59"/>
      <c r="JD1" s="59"/>
      <c r="JE1" s="59"/>
      <c r="JF1" s="59"/>
      <c r="JG1" s="59"/>
      <c r="JH1" s="59"/>
      <c r="JI1" s="59"/>
      <c r="JJ1" s="59"/>
      <c r="JK1" s="59"/>
      <c r="JL1" s="59"/>
      <c r="JM1" s="59"/>
      <c r="JN1" s="59"/>
      <c r="JO1" s="59"/>
      <c r="JP1" s="59"/>
      <c r="JQ1" s="59"/>
      <c r="JR1" s="59"/>
      <c r="JS1" s="59"/>
      <c r="JT1" s="60"/>
      <c r="JU1" s="58"/>
      <c r="JV1" s="59"/>
      <c r="JW1" s="59"/>
      <c r="JX1" s="59"/>
      <c r="JY1" s="60"/>
      <c r="JZ1" s="111" t="s">
        <v>13</v>
      </c>
      <c r="KA1" s="112"/>
      <c r="KB1" s="112"/>
      <c r="KC1" s="112"/>
      <c r="KD1" s="112"/>
      <c r="KE1" s="112"/>
      <c r="KF1" s="112"/>
      <c r="KG1" s="112"/>
      <c r="KH1" s="112"/>
      <c r="KI1" s="113"/>
      <c r="KJ1" s="55" t="s">
        <v>14</v>
      </c>
      <c r="KK1" s="56"/>
      <c r="KL1" s="56"/>
      <c r="KM1" s="56"/>
      <c r="KN1" s="56"/>
      <c r="KO1" s="56"/>
      <c r="KP1" s="56"/>
      <c r="KQ1" s="56"/>
      <c r="KR1" s="56"/>
      <c r="KS1" s="56"/>
      <c r="KT1" s="56"/>
      <c r="KU1" s="56"/>
      <c r="KV1" s="56"/>
      <c r="KW1" s="56"/>
      <c r="KX1" s="56"/>
      <c r="KY1" s="56"/>
      <c r="KZ1" s="56"/>
      <c r="LA1" s="56"/>
      <c r="LB1" s="56"/>
      <c r="LC1" s="56"/>
      <c r="LD1" s="56"/>
      <c r="LE1" s="56"/>
      <c r="LF1" s="56"/>
      <c r="LG1" s="56"/>
      <c r="LH1" s="56"/>
      <c r="LI1" s="61" t="s">
        <v>15</v>
      </c>
      <c r="LJ1" s="61"/>
      <c r="LK1" s="61"/>
      <c r="LL1" s="61"/>
      <c r="LM1" s="61"/>
      <c r="LN1" s="61"/>
      <c r="LO1" s="61"/>
      <c r="LP1" s="61"/>
      <c r="LQ1" s="61"/>
      <c r="LR1" s="62"/>
      <c r="LS1" s="50" t="s">
        <v>16</v>
      </c>
      <c r="LT1" s="50"/>
      <c r="LU1" s="50"/>
      <c r="LV1" s="50"/>
      <c r="LW1" s="50"/>
      <c r="LX1" s="50"/>
      <c r="LY1" s="50"/>
      <c r="LZ1" s="50"/>
      <c r="MA1" s="50"/>
      <c r="MB1" s="50"/>
      <c r="MC1" s="50"/>
      <c r="MD1" s="50"/>
      <c r="ME1" s="50"/>
      <c r="MF1" s="50"/>
      <c r="MG1" s="50"/>
      <c r="MH1" s="50"/>
      <c r="MI1" s="50"/>
      <c r="MJ1" s="50"/>
      <c r="MK1" s="50"/>
      <c r="ML1" s="50"/>
      <c r="MM1" s="120" t="s">
        <v>17</v>
      </c>
      <c r="MN1" s="121"/>
      <c r="MO1" s="121"/>
      <c r="MP1" s="121"/>
      <c r="MQ1" s="121"/>
      <c r="MR1" s="121"/>
      <c r="MS1" s="121"/>
      <c r="MT1" s="121"/>
      <c r="MU1" s="121"/>
      <c r="MV1" s="122"/>
      <c r="MW1" s="51" t="s">
        <v>18</v>
      </c>
      <c r="MX1" s="51"/>
      <c r="MY1" s="51"/>
      <c r="MZ1" s="51"/>
      <c r="NA1" s="51"/>
      <c r="NB1" s="51"/>
      <c r="NC1" s="51"/>
      <c r="ND1" s="51"/>
      <c r="NE1" s="51"/>
      <c r="NF1" s="51"/>
      <c r="NG1" s="52" t="s">
        <v>19</v>
      </c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3" t="s">
        <v>20</v>
      </c>
      <c r="NW1" s="54"/>
      <c r="NX1" s="54"/>
      <c r="NY1" s="54"/>
      <c r="NZ1" s="54"/>
      <c r="OA1" s="54"/>
      <c r="OB1" s="54"/>
      <c r="OC1" s="54"/>
      <c r="OD1" s="54"/>
      <c r="OE1" s="54"/>
      <c r="OF1" s="55" t="s">
        <v>21</v>
      </c>
      <c r="OG1" s="56"/>
      <c r="OH1" s="56"/>
      <c r="OI1" s="56"/>
      <c r="OJ1" s="56"/>
      <c r="OK1" s="56"/>
      <c r="OL1" s="56"/>
      <c r="OM1" s="56"/>
      <c r="ON1" s="56"/>
      <c r="OO1" s="56"/>
      <c r="OP1" s="43" t="s">
        <v>22</v>
      </c>
      <c r="OQ1" s="43"/>
      <c r="OR1" s="43"/>
      <c r="OS1" s="43"/>
      <c r="OT1" s="43"/>
      <c r="OU1" s="43"/>
      <c r="OV1" s="43"/>
      <c r="OW1" s="43"/>
      <c r="OX1" s="43"/>
      <c r="OY1" s="43"/>
      <c r="OZ1" s="43"/>
      <c r="PA1" s="43"/>
      <c r="PB1" s="43"/>
      <c r="PC1" s="43"/>
      <c r="PD1" s="43"/>
      <c r="PE1" s="43"/>
      <c r="PF1" s="43"/>
      <c r="PG1" s="43"/>
      <c r="PH1" s="43"/>
      <c r="PI1" s="43"/>
      <c r="PJ1" s="43"/>
      <c r="PK1" s="43"/>
      <c r="PL1" s="43"/>
      <c r="PM1" s="43"/>
      <c r="PN1" s="43"/>
      <c r="PO1" s="43"/>
      <c r="PP1" s="43"/>
      <c r="PQ1" s="43"/>
      <c r="PR1" s="43"/>
      <c r="PS1" s="43"/>
      <c r="PT1" s="43"/>
      <c r="PU1" s="43"/>
      <c r="PV1" s="43"/>
      <c r="PW1" s="43"/>
      <c r="PX1" s="43"/>
    </row>
    <row r="2" spans="1:440" s="36" customFormat="1" ht="37.799999999999997" customHeight="1" thickTop="1" thickBot="1" x14ac:dyDescent="0.35">
      <c r="A2" s="44" t="s">
        <v>23</v>
      </c>
      <c r="B2" s="44" t="s">
        <v>705</v>
      </c>
      <c r="C2" s="46" t="s">
        <v>704</v>
      </c>
      <c r="D2" s="47" t="s">
        <v>24</v>
      </c>
      <c r="E2" s="48" t="s">
        <v>25</v>
      </c>
      <c r="F2" s="83" t="s">
        <v>26</v>
      </c>
      <c r="G2" s="83"/>
      <c r="H2" s="83"/>
      <c r="I2" s="83"/>
      <c r="J2" s="83"/>
      <c r="K2" s="83" t="s">
        <v>27</v>
      </c>
      <c r="L2" s="83"/>
      <c r="M2" s="83"/>
      <c r="N2" s="83"/>
      <c r="O2" s="83"/>
      <c r="P2" s="83" t="s">
        <v>28</v>
      </c>
      <c r="Q2" s="83"/>
      <c r="R2" s="83"/>
      <c r="S2" s="83"/>
      <c r="T2" s="83"/>
      <c r="U2" s="84" t="s">
        <v>29</v>
      </c>
      <c r="V2" s="84"/>
      <c r="W2" s="84"/>
      <c r="X2" s="84"/>
      <c r="Y2" s="84"/>
      <c r="Z2" s="84" t="s">
        <v>30</v>
      </c>
      <c r="AA2" s="84"/>
      <c r="AB2" s="84"/>
      <c r="AC2" s="84"/>
      <c r="AD2" s="84"/>
      <c r="AE2" s="82" t="s">
        <v>5</v>
      </c>
      <c r="AF2" s="82"/>
      <c r="AG2" s="82"/>
      <c r="AH2" s="82"/>
      <c r="AI2" s="82"/>
      <c r="AJ2" s="82" t="s">
        <v>31</v>
      </c>
      <c r="AK2" s="82"/>
      <c r="AL2" s="82"/>
      <c r="AM2" s="82"/>
      <c r="AN2" s="82"/>
      <c r="AO2" s="82" t="s">
        <v>32</v>
      </c>
      <c r="AP2" s="82"/>
      <c r="AQ2" s="82"/>
      <c r="AR2" s="82"/>
      <c r="AS2" s="82"/>
      <c r="AT2" s="82" t="s">
        <v>33</v>
      </c>
      <c r="AU2" s="82"/>
      <c r="AV2" s="82"/>
      <c r="AW2" s="82"/>
      <c r="AX2" s="82"/>
      <c r="AY2" s="82" t="s">
        <v>34</v>
      </c>
      <c r="AZ2" s="82"/>
      <c r="BA2" s="82"/>
      <c r="BB2" s="82"/>
      <c r="BC2" s="82"/>
      <c r="BD2" s="82" t="s">
        <v>35</v>
      </c>
      <c r="BE2" s="82"/>
      <c r="BF2" s="82"/>
      <c r="BG2" s="82"/>
      <c r="BH2" s="82"/>
      <c r="BI2" s="82" t="s">
        <v>36</v>
      </c>
      <c r="BJ2" s="82"/>
      <c r="BK2" s="82"/>
      <c r="BL2" s="82"/>
      <c r="BM2" s="82"/>
      <c r="BN2" s="82" t="s">
        <v>37</v>
      </c>
      <c r="BO2" s="82"/>
      <c r="BP2" s="82"/>
      <c r="BQ2" s="82"/>
      <c r="BR2" s="82"/>
      <c r="BS2" s="82" t="s">
        <v>38</v>
      </c>
      <c r="BT2" s="82"/>
      <c r="BU2" s="82"/>
      <c r="BV2" s="82"/>
      <c r="BW2" s="82"/>
      <c r="BX2" s="82" t="s">
        <v>39</v>
      </c>
      <c r="BY2" s="82"/>
      <c r="BZ2" s="82"/>
      <c r="CA2" s="82"/>
      <c r="CB2" s="85"/>
      <c r="CC2" s="42" t="s">
        <v>40</v>
      </c>
      <c r="CD2" s="42"/>
      <c r="CE2" s="42"/>
      <c r="CF2" s="42"/>
      <c r="CG2" s="42"/>
      <c r="CH2" s="86" t="s">
        <v>41</v>
      </c>
      <c r="CI2" s="82"/>
      <c r="CJ2" s="82"/>
      <c r="CK2" s="82"/>
      <c r="CL2" s="82"/>
      <c r="CM2" s="82" t="s">
        <v>42</v>
      </c>
      <c r="CN2" s="82"/>
      <c r="CO2" s="82"/>
      <c r="CP2" s="82"/>
      <c r="CQ2" s="82"/>
      <c r="CR2" s="82" t="s">
        <v>43</v>
      </c>
      <c r="CS2" s="82"/>
      <c r="CT2" s="82"/>
      <c r="CU2" s="82"/>
      <c r="CV2" s="82"/>
      <c r="CW2" s="82" t="s">
        <v>44</v>
      </c>
      <c r="CX2" s="82"/>
      <c r="CY2" s="82"/>
      <c r="CZ2" s="82"/>
      <c r="DA2" s="82"/>
      <c r="DB2" s="82" t="s">
        <v>45</v>
      </c>
      <c r="DC2" s="82"/>
      <c r="DD2" s="82"/>
      <c r="DE2" s="82"/>
      <c r="DF2" s="82"/>
      <c r="DG2" s="82" t="s">
        <v>46</v>
      </c>
      <c r="DH2" s="82"/>
      <c r="DI2" s="82"/>
      <c r="DJ2" s="82"/>
      <c r="DK2" s="82"/>
      <c r="DL2" s="82" t="s">
        <v>47</v>
      </c>
      <c r="DM2" s="82"/>
      <c r="DN2" s="82"/>
      <c r="DO2" s="82"/>
      <c r="DP2" s="82"/>
      <c r="DQ2" s="82" t="s">
        <v>48</v>
      </c>
      <c r="DR2" s="82"/>
      <c r="DS2" s="82"/>
      <c r="DT2" s="82"/>
      <c r="DU2" s="82"/>
      <c r="DV2" s="82" t="s">
        <v>49</v>
      </c>
      <c r="DW2" s="82"/>
      <c r="DX2" s="82"/>
      <c r="DY2" s="82"/>
      <c r="DZ2" s="82"/>
      <c r="EA2" s="82" t="s">
        <v>50</v>
      </c>
      <c r="EB2" s="82"/>
      <c r="EC2" s="82"/>
      <c r="ED2" s="82"/>
      <c r="EE2" s="82"/>
      <c r="EF2" s="87" t="s">
        <v>51</v>
      </c>
      <c r="EG2" s="87"/>
      <c r="EH2" s="87"/>
      <c r="EI2" s="87"/>
      <c r="EJ2" s="86"/>
      <c r="EK2" s="82" t="s">
        <v>52</v>
      </c>
      <c r="EL2" s="82"/>
      <c r="EM2" s="82"/>
      <c r="EN2" s="82"/>
      <c r="EO2" s="82"/>
      <c r="EP2" s="88" t="s">
        <v>53</v>
      </c>
      <c r="EQ2" s="82"/>
      <c r="ER2" s="82"/>
      <c r="ES2" s="82"/>
      <c r="ET2" s="82"/>
      <c r="EU2" s="82" t="s">
        <v>54</v>
      </c>
      <c r="EV2" s="82"/>
      <c r="EW2" s="82"/>
      <c r="EX2" s="82"/>
      <c r="EY2" s="82"/>
      <c r="EZ2" s="82" t="s">
        <v>55</v>
      </c>
      <c r="FA2" s="82"/>
      <c r="FB2" s="82"/>
      <c r="FC2" s="82"/>
      <c r="FD2" s="82"/>
      <c r="FE2" s="82" t="s">
        <v>56</v>
      </c>
      <c r="FF2" s="82"/>
      <c r="FG2" s="82"/>
      <c r="FH2" s="82"/>
      <c r="FI2" s="82"/>
      <c r="FJ2" s="82" t="s">
        <v>57</v>
      </c>
      <c r="FK2" s="82"/>
      <c r="FL2" s="82"/>
      <c r="FM2" s="82"/>
      <c r="FN2" s="82"/>
      <c r="FO2" s="82" t="s">
        <v>58</v>
      </c>
      <c r="FP2" s="82"/>
      <c r="FQ2" s="82"/>
      <c r="FR2" s="82"/>
      <c r="FS2" s="82"/>
      <c r="FT2" s="82" t="s">
        <v>59</v>
      </c>
      <c r="FU2" s="82"/>
      <c r="FV2" s="82"/>
      <c r="FW2" s="82"/>
      <c r="FX2" s="82"/>
      <c r="FY2" s="82" t="s">
        <v>60</v>
      </c>
      <c r="FZ2" s="82"/>
      <c r="GA2" s="82"/>
      <c r="GB2" s="82"/>
      <c r="GC2" s="82"/>
      <c r="GD2" s="82" t="s">
        <v>61</v>
      </c>
      <c r="GE2" s="82"/>
      <c r="GF2" s="82"/>
      <c r="GG2" s="82"/>
      <c r="GH2" s="82"/>
      <c r="GI2" s="82" t="s">
        <v>62</v>
      </c>
      <c r="GJ2" s="82"/>
      <c r="GK2" s="82"/>
      <c r="GL2" s="82"/>
      <c r="GM2" s="82"/>
      <c r="GN2" s="89" t="s">
        <v>711</v>
      </c>
      <c r="GO2" s="89"/>
      <c r="GP2" s="89"/>
      <c r="GQ2" s="89"/>
      <c r="GR2" s="89"/>
      <c r="GS2" s="89" t="s">
        <v>712</v>
      </c>
      <c r="GT2" s="89"/>
      <c r="GU2" s="89"/>
      <c r="GV2" s="89"/>
      <c r="GW2" s="89"/>
      <c r="GX2" s="89" t="s">
        <v>713</v>
      </c>
      <c r="GY2" s="89"/>
      <c r="GZ2" s="89"/>
      <c r="HA2" s="89"/>
      <c r="HB2" s="89"/>
      <c r="HC2" s="89" t="s">
        <v>714</v>
      </c>
      <c r="HD2" s="89"/>
      <c r="HE2" s="89"/>
      <c r="HF2" s="89"/>
      <c r="HG2" s="89"/>
      <c r="HH2" s="82" t="s">
        <v>715</v>
      </c>
      <c r="HI2" s="82"/>
      <c r="HJ2" s="82"/>
      <c r="HK2" s="82"/>
      <c r="HL2" s="82"/>
      <c r="HM2" s="90" t="s">
        <v>716</v>
      </c>
      <c r="HN2" s="90"/>
      <c r="HO2" s="90"/>
      <c r="HP2" s="90"/>
      <c r="HQ2" s="90"/>
      <c r="HR2" s="91" t="s">
        <v>717</v>
      </c>
      <c r="HS2" s="91"/>
      <c r="HT2" s="91"/>
      <c r="HU2" s="91"/>
      <c r="HV2" s="91"/>
      <c r="HW2" s="91" t="s">
        <v>718</v>
      </c>
      <c r="HX2" s="91"/>
      <c r="HY2" s="91"/>
      <c r="HZ2" s="91"/>
      <c r="IA2" s="91"/>
      <c r="IB2" s="92" t="s">
        <v>719</v>
      </c>
      <c r="IC2" s="92"/>
      <c r="ID2" s="92"/>
      <c r="IE2" s="92"/>
      <c r="IF2" s="92"/>
      <c r="IG2" s="97" t="s">
        <v>720</v>
      </c>
      <c r="IH2" s="97"/>
      <c r="II2" s="97"/>
      <c r="IJ2" s="97"/>
      <c r="IK2" s="97"/>
      <c r="IL2" s="97" t="s">
        <v>721</v>
      </c>
      <c r="IM2" s="97"/>
      <c r="IN2" s="97"/>
      <c r="IO2" s="97"/>
      <c r="IP2" s="97"/>
      <c r="IQ2" s="97" t="s">
        <v>722</v>
      </c>
      <c r="IR2" s="97"/>
      <c r="IS2" s="97"/>
      <c r="IT2" s="97"/>
      <c r="IU2" s="97"/>
      <c r="IV2" s="97" t="s">
        <v>723</v>
      </c>
      <c r="IW2" s="97"/>
      <c r="IX2" s="97"/>
      <c r="IY2" s="97"/>
      <c r="IZ2" s="97"/>
      <c r="JA2" s="93" t="s">
        <v>724</v>
      </c>
      <c r="JB2" s="93"/>
      <c r="JC2" s="93"/>
      <c r="JD2" s="93"/>
      <c r="JE2" s="93"/>
      <c r="JF2" s="93" t="s">
        <v>725</v>
      </c>
      <c r="JG2" s="93"/>
      <c r="JH2" s="93"/>
      <c r="JI2" s="93"/>
      <c r="JJ2" s="93"/>
      <c r="JK2" s="93" t="s">
        <v>726</v>
      </c>
      <c r="JL2" s="93"/>
      <c r="JM2" s="93"/>
      <c r="JN2" s="93"/>
      <c r="JO2" s="93"/>
      <c r="JP2" s="93" t="s">
        <v>727</v>
      </c>
      <c r="JQ2" s="93"/>
      <c r="JR2" s="93"/>
      <c r="JS2" s="93"/>
      <c r="JT2" s="93"/>
      <c r="JU2" s="94" t="s">
        <v>728</v>
      </c>
      <c r="JV2" s="95"/>
      <c r="JW2" s="95"/>
      <c r="JX2" s="95"/>
      <c r="JY2" s="96"/>
      <c r="JZ2" s="114" t="s">
        <v>729</v>
      </c>
      <c r="KA2" s="115"/>
      <c r="KB2" s="115"/>
      <c r="KC2" s="115"/>
      <c r="KD2" s="116"/>
      <c r="KE2" s="114" t="s">
        <v>730</v>
      </c>
      <c r="KF2" s="115"/>
      <c r="KG2" s="115"/>
      <c r="KH2" s="115"/>
      <c r="KI2" s="116"/>
      <c r="KJ2" s="117" t="s">
        <v>731</v>
      </c>
      <c r="KK2" s="118"/>
      <c r="KL2" s="118"/>
      <c r="KM2" s="118"/>
      <c r="KN2" s="119"/>
      <c r="KO2" s="117" t="s">
        <v>732</v>
      </c>
      <c r="KP2" s="118"/>
      <c r="KQ2" s="118"/>
      <c r="KR2" s="118"/>
      <c r="KS2" s="119"/>
      <c r="KT2" s="102" t="s">
        <v>733</v>
      </c>
      <c r="KU2" s="102"/>
      <c r="KV2" s="102"/>
      <c r="KW2" s="102"/>
      <c r="KX2" s="102"/>
      <c r="KY2" s="117" t="s">
        <v>734</v>
      </c>
      <c r="KZ2" s="118"/>
      <c r="LA2" s="118"/>
      <c r="LB2" s="118"/>
      <c r="LC2" s="119"/>
      <c r="LD2" s="102" t="s">
        <v>735</v>
      </c>
      <c r="LE2" s="103"/>
      <c r="LF2" s="103"/>
      <c r="LG2" s="102"/>
      <c r="LH2" s="102"/>
      <c r="LI2" s="104" t="s">
        <v>736</v>
      </c>
      <c r="LJ2" s="104"/>
      <c r="LK2" s="104"/>
      <c r="LL2" s="104"/>
      <c r="LM2" s="104"/>
      <c r="LN2" s="104" t="s">
        <v>737</v>
      </c>
      <c r="LO2" s="104"/>
      <c r="LP2" s="104"/>
      <c r="LQ2" s="104"/>
      <c r="LR2" s="104"/>
      <c r="LS2" s="100" t="s">
        <v>738</v>
      </c>
      <c r="LT2" s="101"/>
      <c r="LU2" s="101"/>
      <c r="LV2" s="100"/>
      <c r="LW2" s="100"/>
      <c r="LX2" s="100" t="s">
        <v>741</v>
      </c>
      <c r="LY2" s="101"/>
      <c r="LZ2" s="101"/>
      <c r="MA2" s="100"/>
      <c r="MB2" s="100"/>
      <c r="MC2" s="100" t="s">
        <v>740</v>
      </c>
      <c r="MD2" s="100"/>
      <c r="ME2" s="100"/>
      <c r="MF2" s="100"/>
      <c r="MG2" s="100"/>
      <c r="MH2" s="100" t="s">
        <v>739</v>
      </c>
      <c r="MI2" s="100"/>
      <c r="MJ2" s="100"/>
      <c r="MK2" s="100"/>
      <c r="ML2" s="100"/>
      <c r="MM2" s="98" t="s">
        <v>742</v>
      </c>
      <c r="MN2" s="98"/>
      <c r="MO2" s="98"/>
      <c r="MP2" s="98"/>
      <c r="MQ2" s="98"/>
      <c r="MR2" s="123" t="s">
        <v>743</v>
      </c>
      <c r="MS2" s="124"/>
      <c r="MT2" s="124"/>
      <c r="MU2" s="124"/>
      <c r="MV2" s="125"/>
      <c r="MW2" s="128" t="s">
        <v>744</v>
      </c>
      <c r="MX2" s="128"/>
      <c r="MY2" s="128"/>
      <c r="MZ2" s="128"/>
      <c r="NA2" s="128"/>
      <c r="NB2" s="128" t="s">
        <v>745</v>
      </c>
      <c r="NC2" s="128"/>
      <c r="ND2" s="128"/>
      <c r="NE2" s="128"/>
      <c r="NF2" s="128"/>
      <c r="NG2" s="98" t="s">
        <v>746</v>
      </c>
      <c r="NH2" s="98"/>
      <c r="NI2" s="98"/>
      <c r="NJ2" s="98"/>
      <c r="NK2" s="98"/>
      <c r="NL2" s="98" t="s">
        <v>747</v>
      </c>
      <c r="NM2" s="98"/>
      <c r="NN2" s="98"/>
      <c r="NO2" s="98"/>
      <c r="NP2" s="98"/>
      <c r="NQ2" s="98" t="s">
        <v>748</v>
      </c>
      <c r="NR2" s="98"/>
      <c r="NS2" s="98"/>
      <c r="NT2" s="98"/>
      <c r="NU2" s="98"/>
      <c r="NV2" s="99" t="s">
        <v>749</v>
      </c>
      <c r="NW2" s="99"/>
      <c r="NX2" s="99"/>
      <c r="NY2" s="99"/>
      <c r="NZ2" s="99"/>
      <c r="OA2" s="99" t="s">
        <v>750</v>
      </c>
      <c r="OB2" s="99"/>
      <c r="OC2" s="99"/>
      <c r="OD2" s="99"/>
      <c r="OE2" s="99"/>
      <c r="OF2" s="127" t="s">
        <v>751</v>
      </c>
      <c r="OG2" s="127"/>
      <c r="OH2" s="127"/>
      <c r="OI2" s="127"/>
      <c r="OJ2" s="127"/>
      <c r="OK2" s="102" t="s">
        <v>752</v>
      </c>
      <c r="OL2" s="102"/>
      <c r="OM2" s="102"/>
      <c r="ON2" s="102"/>
      <c r="OO2" s="102"/>
      <c r="OP2" s="126" t="s">
        <v>753</v>
      </c>
      <c r="OQ2" s="126"/>
      <c r="OR2" s="126"/>
      <c r="OS2" s="126"/>
      <c r="OT2" s="126"/>
      <c r="OU2" s="126" t="s">
        <v>754</v>
      </c>
      <c r="OV2" s="126"/>
      <c r="OW2" s="126"/>
      <c r="OX2" s="126"/>
      <c r="OY2" s="126"/>
      <c r="OZ2" s="126" t="s">
        <v>755</v>
      </c>
      <c r="PA2" s="126"/>
      <c r="PB2" s="126"/>
      <c r="PC2" s="126"/>
      <c r="PD2" s="126"/>
      <c r="PE2" s="126" t="s">
        <v>756</v>
      </c>
      <c r="PF2" s="126"/>
      <c r="PG2" s="126"/>
      <c r="PH2" s="126"/>
      <c r="PI2" s="126"/>
      <c r="PJ2" s="105" t="s">
        <v>757</v>
      </c>
      <c r="PK2" s="106"/>
      <c r="PL2" s="106"/>
      <c r="PM2" s="106"/>
      <c r="PN2" s="107"/>
      <c r="PO2" s="126" t="s">
        <v>758</v>
      </c>
      <c r="PP2" s="126"/>
      <c r="PQ2" s="126"/>
      <c r="PR2" s="126"/>
      <c r="PS2" s="126"/>
      <c r="PT2" s="105" t="s">
        <v>759</v>
      </c>
      <c r="PU2" s="106"/>
      <c r="PV2" s="106"/>
      <c r="PW2" s="106"/>
      <c r="PX2" s="107"/>
    </row>
    <row r="3" spans="1:440" ht="15.6" thickTop="1" thickBot="1" x14ac:dyDescent="0.35">
      <c r="A3" s="45"/>
      <c r="B3" s="45"/>
      <c r="C3" s="45"/>
      <c r="D3" s="44"/>
      <c r="E3" s="49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707</v>
      </c>
      <c r="W3" s="11" t="s">
        <v>708</v>
      </c>
      <c r="X3" s="12" t="s">
        <v>709</v>
      </c>
      <c r="Y3" s="11" t="s">
        <v>710</v>
      </c>
      <c r="Z3" s="11" t="s">
        <v>706</v>
      </c>
      <c r="AA3" s="11" t="s">
        <v>707</v>
      </c>
      <c r="AB3" s="11" t="s">
        <v>708</v>
      </c>
      <c r="AC3" s="11" t="s">
        <v>709</v>
      </c>
      <c r="AD3" s="11" t="s">
        <v>710</v>
      </c>
      <c r="AE3" s="1" t="s">
        <v>706</v>
      </c>
      <c r="AF3" s="1" t="s">
        <v>707</v>
      </c>
      <c r="AG3" s="1" t="s">
        <v>708</v>
      </c>
      <c r="AH3" s="1" t="s">
        <v>709</v>
      </c>
      <c r="AI3" s="1" t="s">
        <v>710</v>
      </c>
      <c r="AJ3" s="1" t="s">
        <v>706</v>
      </c>
      <c r="AK3" s="1" t="s">
        <v>707</v>
      </c>
      <c r="AL3" s="1" t="s">
        <v>708</v>
      </c>
      <c r="AM3" s="1" t="s">
        <v>709</v>
      </c>
      <c r="AN3" s="1" t="s">
        <v>710</v>
      </c>
      <c r="AO3" s="1" t="s">
        <v>706</v>
      </c>
      <c r="AP3" s="1" t="s">
        <v>707</v>
      </c>
      <c r="AQ3" s="1" t="s">
        <v>708</v>
      </c>
      <c r="AR3" s="1" t="s">
        <v>709</v>
      </c>
      <c r="AS3" s="1" t="s">
        <v>710</v>
      </c>
      <c r="AT3" s="1" t="s">
        <v>706</v>
      </c>
      <c r="AU3" s="1" t="s">
        <v>707</v>
      </c>
      <c r="AV3" s="1" t="s">
        <v>708</v>
      </c>
      <c r="AW3" s="1" t="s">
        <v>709</v>
      </c>
      <c r="AX3" s="1" t="s">
        <v>710</v>
      </c>
      <c r="AY3" s="1" t="s">
        <v>706</v>
      </c>
      <c r="AZ3" s="1" t="s">
        <v>707</v>
      </c>
      <c r="BA3" s="1" t="s">
        <v>708</v>
      </c>
      <c r="BB3" s="1" t="s">
        <v>709</v>
      </c>
      <c r="BC3" s="1" t="s">
        <v>710</v>
      </c>
      <c r="BD3" s="1" t="s">
        <v>706</v>
      </c>
      <c r="BE3" s="1" t="s">
        <v>707</v>
      </c>
      <c r="BF3" s="1" t="s">
        <v>708</v>
      </c>
      <c r="BG3" s="1" t="s">
        <v>709</v>
      </c>
      <c r="BH3" s="1" t="s">
        <v>710</v>
      </c>
      <c r="BI3" s="1" t="s">
        <v>706</v>
      </c>
      <c r="BJ3" s="1" t="s">
        <v>707</v>
      </c>
      <c r="BK3" s="1" t="s">
        <v>708</v>
      </c>
      <c r="BL3" s="1" t="s">
        <v>709</v>
      </c>
      <c r="BM3" s="1" t="s">
        <v>710</v>
      </c>
      <c r="BN3" s="1" t="s">
        <v>706</v>
      </c>
      <c r="BO3" s="1" t="s">
        <v>707</v>
      </c>
      <c r="BP3" s="1" t="s">
        <v>708</v>
      </c>
      <c r="BQ3" s="1" t="s">
        <v>709</v>
      </c>
      <c r="BR3" s="1" t="s">
        <v>710</v>
      </c>
      <c r="BS3" s="1" t="s">
        <v>706</v>
      </c>
      <c r="BT3" s="1" t="s">
        <v>707</v>
      </c>
      <c r="BU3" s="1" t="s">
        <v>708</v>
      </c>
      <c r="BV3" s="1" t="s">
        <v>709</v>
      </c>
      <c r="BW3" s="1" t="s">
        <v>710</v>
      </c>
      <c r="BX3" s="1" t="s">
        <v>706</v>
      </c>
      <c r="BY3" s="1" t="s">
        <v>707</v>
      </c>
      <c r="BZ3" s="1" t="s">
        <v>708</v>
      </c>
      <c r="CA3" s="1" t="s">
        <v>709</v>
      </c>
      <c r="CB3" s="1" t="s">
        <v>710</v>
      </c>
      <c r="CC3" s="35" t="s">
        <v>706</v>
      </c>
      <c r="CD3" s="35" t="s">
        <v>707</v>
      </c>
      <c r="CE3" s="35" t="s">
        <v>708</v>
      </c>
      <c r="CF3" s="35" t="s">
        <v>709</v>
      </c>
      <c r="CG3" s="35" t="s">
        <v>710</v>
      </c>
      <c r="CH3" s="1" t="s">
        <v>706</v>
      </c>
      <c r="CI3" s="1" t="s">
        <v>707</v>
      </c>
      <c r="CJ3" s="1" t="s">
        <v>708</v>
      </c>
      <c r="CK3" s="1" t="s">
        <v>709</v>
      </c>
      <c r="CL3" s="1" t="s">
        <v>710</v>
      </c>
      <c r="CM3" s="1" t="s">
        <v>706</v>
      </c>
      <c r="CN3" s="1" t="s">
        <v>707</v>
      </c>
      <c r="CO3" s="1" t="s">
        <v>708</v>
      </c>
      <c r="CP3" s="1" t="s">
        <v>709</v>
      </c>
      <c r="CQ3" s="1" t="s">
        <v>710</v>
      </c>
      <c r="CR3" s="1" t="s">
        <v>706</v>
      </c>
      <c r="CS3" s="1" t="s">
        <v>707</v>
      </c>
      <c r="CT3" s="1" t="s">
        <v>708</v>
      </c>
      <c r="CU3" s="1" t="s">
        <v>709</v>
      </c>
      <c r="CV3" s="1" t="s">
        <v>710</v>
      </c>
      <c r="CW3" s="1" t="s">
        <v>706</v>
      </c>
      <c r="CX3" s="1" t="s">
        <v>707</v>
      </c>
      <c r="CY3" s="1" t="s">
        <v>708</v>
      </c>
      <c r="CZ3" s="1" t="s">
        <v>709</v>
      </c>
      <c r="DA3" s="1" t="s">
        <v>710</v>
      </c>
      <c r="DB3" s="1" t="s">
        <v>706</v>
      </c>
      <c r="DC3" s="1" t="s">
        <v>707</v>
      </c>
      <c r="DD3" s="1" t="s">
        <v>708</v>
      </c>
      <c r="DE3" s="1" t="s">
        <v>709</v>
      </c>
      <c r="DF3" s="1" t="s">
        <v>710</v>
      </c>
      <c r="DG3" s="1" t="s">
        <v>706</v>
      </c>
      <c r="DH3" s="1" t="s">
        <v>707</v>
      </c>
      <c r="DI3" s="1" t="s">
        <v>708</v>
      </c>
      <c r="DJ3" s="1" t="s">
        <v>709</v>
      </c>
      <c r="DK3" s="1" t="s">
        <v>710</v>
      </c>
      <c r="DL3" s="1" t="s">
        <v>706</v>
      </c>
      <c r="DM3" s="1" t="s">
        <v>707</v>
      </c>
      <c r="DN3" s="1" t="s">
        <v>708</v>
      </c>
      <c r="DO3" s="1" t="s">
        <v>709</v>
      </c>
      <c r="DP3" s="1" t="s">
        <v>710</v>
      </c>
      <c r="DQ3" s="1" t="s">
        <v>706</v>
      </c>
      <c r="DR3" s="1" t="s">
        <v>707</v>
      </c>
      <c r="DS3" s="1" t="s">
        <v>708</v>
      </c>
      <c r="DT3" s="1" t="s">
        <v>709</v>
      </c>
      <c r="DU3" s="1" t="s">
        <v>710</v>
      </c>
      <c r="DV3" s="1" t="s">
        <v>706</v>
      </c>
      <c r="DW3" s="1" t="s">
        <v>707</v>
      </c>
      <c r="DX3" s="1" t="s">
        <v>708</v>
      </c>
      <c r="DY3" s="1" t="s">
        <v>709</v>
      </c>
      <c r="DZ3" s="1" t="s">
        <v>710</v>
      </c>
      <c r="EA3" s="1" t="s">
        <v>706</v>
      </c>
      <c r="EB3" s="1" t="s">
        <v>707</v>
      </c>
      <c r="EC3" s="1" t="s">
        <v>708</v>
      </c>
      <c r="ED3" s="1" t="s">
        <v>709</v>
      </c>
      <c r="EE3" s="1" t="s">
        <v>710</v>
      </c>
      <c r="EF3" s="1" t="s">
        <v>706</v>
      </c>
      <c r="EG3" s="1" t="s">
        <v>707</v>
      </c>
      <c r="EH3" s="1" t="s">
        <v>708</v>
      </c>
      <c r="EI3" s="1" t="s">
        <v>709</v>
      </c>
      <c r="EJ3" s="1" t="s">
        <v>710</v>
      </c>
      <c r="EK3" s="1" t="s">
        <v>706</v>
      </c>
      <c r="EL3" s="1" t="s">
        <v>707</v>
      </c>
      <c r="EM3" s="1" t="s">
        <v>708</v>
      </c>
      <c r="EN3" s="1" t="s">
        <v>709</v>
      </c>
      <c r="EO3" s="1" t="s">
        <v>710</v>
      </c>
      <c r="EP3" s="1" t="s">
        <v>706</v>
      </c>
      <c r="EQ3" s="1" t="s">
        <v>707</v>
      </c>
      <c r="ER3" s="1" t="s">
        <v>708</v>
      </c>
      <c r="ES3" s="1" t="s">
        <v>709</v>
      </c>
      <c r="ET3" s="1" t="s">
        <v>710</v>
      </c>
      <c r="EU3" s="1" t="s">
        <v>706</v>
      </c>
      <c r="EV3" s="1" t="s">
        <v>707</v>
      </c>
      <c r="EW3" s="1" t="s">
        <v>708</v>
      </c>
      <c r="EX3" s="1" t="s">
        <v>709</v>
      </c>
      <c r="EY3" s="1" t="s">
        <v>710</v>
      </c>
      <c r="EZ3" s="1" t="s">
        <v>706</v>
      </c>
      <c r="FA3" s="1" t="s">
        <v>707</v>
      </c>
      <c r="FB3" s="1" t="s">
        <v>708</v>
      </c>
      <c r="FC3" s="1" t="s">
        <v>709</v>
      </c>
      <c r="FD3" s="1" t="s">
        <v>710</v>
      </c>
      <c r="FE3" s="1" t="s">
        <v>706</v>
      </c>
      <c r="FF3" s="1" t="s">
        <v>707</v>
      </c>
      <c r="FG3" s="1" t="s">
        <v>708</v>
      </c>
      <c r="FH3" s="1" t="s">
        <v>709</v>
      </c>
      <c r="FI3" s="1" t="s">
        <v>710</v>
      </c>
      <c r="FJ3" s="1" t="s">
        <v>706</v>
      </c>
      <c r="FK3" s="1" t="s">
        <v>707</v>
      </c>
      <c r="FL3" s="1" t="s">
        <v>708</v>
      </c>
      <c r="FM3" s="1" t="s">
        <v>709</v>
      </c>
      <c r="FN3" s="1" t="s">
        <v>710</v>
      </c>
      <c r="FO3" s="1" t="s">
        <v>706</v>
      </c>
      <c r="FP3" s="1" t="s">
        <v>707</v>
      </c>
      <c r="FQ3" s="1" t="s">
        <v>708</v>
      </c>
      <c r="FR3" s="1" t="s">
        <v>709</v>
      </c>
      <c r="FS3" s="1" t="s">
        <v>710</v>
      </c>
      <c r="FT3" s="1" t="s">
        <v>706</v>
      </c>
      <c r="FU3" s="1" t="s">
        <v>707</v>
      </c>
      <c r="FV3" s="1" t="s">
        <v>708</v>
      </c>
      <c r="FW3" s="1" t="s">
        <v>709</v>
      </c>
      <c r="FX3" s="1" t="s">
        <v>710</v>
      </c>
      <c r="FY3" s="1" t="s">
        <v>706</v>
      </c>
      <c r="FZ3" s="1" t="s">
        <v>707</v>
      </c>
      <c r="GA3" s="1" t="s">
        <v>708</v>
      </c>
      <c r="GB3" s="1" t="s">
        <v>709</v>
      </c>
      <c r="GC3" s="1" t="s">
        <v>710</v>
      </c>
      <c r="GD3" s="1" t="s">
        <v>706</v>
      </c>
      <c r="GE3" s="1" t="s">
        <v>707</v>
      </c>
      <c r="GF3" s="1" t="s">
        <v>708</v>
      </c>
      <c r="GG3" s="1" t="s">
        <v>709</v>
      </c>
      <c r="GH3" s="1" t="s">
        <v>710</v>
      </c>
      <c r="GI3" s="1" t="s">
        <v>706</v>
      </c>
      <c r="GJ3" s="1" t="s">
        <v>707</v>
      </c>
      <c r="GK3" s="1" t="s">
        <v>708</v>
      </c>
      <c r="GL3" s="1" t="s">
        <v>709</v>
      </c>
      <c r="GM3" s="1" t="s">
        <v>710</v>
      </c>
      <c r="GN3" s="13" t="s">
        <v>706</v>
      </c>
      <c r="GO3" s="14" t="s">
        <v>707</v>
      </c>
      <c r="GP3" s="14" t="s">
        <v>708</v>
      </c>
      <c r="GQ3" s="14" t="s">
        <v>709</v>
      </c>
      <c r="GR3" s="14" t="s">
        <v>710</v>
      </c>
      <c r="GS3" s="13" t="s">
        <v>706</v>
      </c>
      <c r="GT3" s="14" t="s">
        <v>707</v>
      </c>
      <c r="GU3" s="14" t="s">
        <v>708</v>
      </c>
      <c r="GV3" s="14" t="s">
        <v>709</v>
      </c>
      <c r="GW3" s="14" t="s">
        <v>710</v>
      </c>
      <c r="GX3" s="13" t="s">
        <v>706</v>
      </c>
      <c r="GY3" s="14" t="s">
        <v>707</v>
      </c>
      <c r="GZ3" s="14" t="s">
        <v>708</v>
      </c>
      <c r="HA3" s="14" t="s">
        <v>709</v>
      </c>
      <c r="HB3" s="14" t="s">
        <v>710</v>
      </c>
      <c r="HC3" s="13" t="s">
        <v>706</v>
      </c>
      <c r="HD3" s="14" t="s">
        <v>707</v>
      </c>
      <c r="HE3" s="14" t="s">
        <v>708</v>
      </c>
      <c r="HF3" s="14" t="s">
        <v>709</v>
      </c>
      <c r="HG3" s="14" t="s">
        <v>710</v>
      </c>
      <c r="HH3" s="13" t="s">
        <v>706</v>
      </c>
      <c r="HI3" s="14" t="s">
        <v>707</v>
      </c>
      <c r="HJ3" s="14" t="s">
        <v>708</v>
      </c>
      <c r="HK3" s="14" t="s">
        <v>709</v>
      </c>
      <c r="HL3" s="14" t="s">
        <v>710</v>
      </c>
      <c r="HM3" s="13" t="s">
        <v>706</v>
      </c>
      <c r="HN3" s="14" t="s">
        <v>707</v>
      </c>
      <c r="HO3" s="14" t="s">
        <v>708</v>
      </c>
      <c r="HP3" s="14" t="s">
        <v>709</v>
      </c>
      <c r="HQ3" s="14" t="s">
        <v>710</v>
      </c>
      <c r="HR3" s="13" t="s">
        <v>706</v>
      </c>
      <c r="HS3" s="14" t="s">
        <v>707</v>
      </c>
      <c r="HT3" s="14" t="s">
        <v>708</v>
      </c>
      <c r="HU3" s="14" t="s">
        <v>709</v>
      </c>
      <c r="HV3" s="14" t="s">
        <v>710</v>
      </c>
      <c r="HW3" s="13" t="s">
        <v>706</v>
      </c>
      <c r="HX3" s="14" t="s">
        <v>707</v>
      </c>
      <c r="HY3" s="14" t="s">
        <v>708</v>
      </c>
      <c r="HZ3" s="14" t="s">
        <v>709</v>
      </c>
      <c r="IA3" s="14" t="s">
        <v>710</v>
      </c>
      <c r="IB3" s="13" t="s">
        <v>706</v>
      </c>
      <c r="IC3" s="14" t="s">
        <v>707</v>
      </c>
      <c r="ID3" s="14" t="s">
        <v>708</v>
      </c>
      <c r="IE3" s="14" t="s">
        <v>709</v>
      </c>
      <c r="IF3" s="14" t="s">
        <v>710</v>
      </c>
      <c r="IG3" s="13" t="s">
        <v>706</v>
      </c>
      <c r="IH3" s="14" t="s">
        <v>707</v>
      </c>
      <c r="II3" s="14" t="s">
        <v>708</v>
      </c>
      <c r="IJ3" s="14" t="s">
        <v>709</v>
      </c>
      <c r="IK3" s="14" t="s">
        <v>710</v>
      </c>
      <c r="IL3" s="13" t="s">
        <v>706</v>
      </c>
      <c r="IM3" s="14" t="s">
        <v>707</v>
      </c>
      <c r="IN3" s="14" t="s">
        <v>708</v>
      </c>
      <c r="IO3" s="14" t="s">
        <v>709</v>
      </c>
      <c r="IP3" s="14" t="s">
        <v>710</v>
      </c>
      <c r="IQ3" s="13" t="s">
        <v>706</v>
      </c>
      <c r="IR3" s="14" t="s">
        <v>707</v>
      </c>
      <c r="IS3" s="14" t="s">
        <v>708</v>
      </c>
      <c r="IT3" s="14" t="s">
        <v>709</v>
      </c>
      <c r="IU3" s="14" t="s">
        <v>710</v>
      </c>
      <c r="IV3" s="13" t="s">
        <v>706</v>
      </c>
      <c r="IW3" s="14" t="s">
        <v>707</v>
      </c>
      <c r="IX3" s="14" t="s">
        <v>708</v>
      </c>
      <c r="IY3" s="14" t="s">
        <v>709</v>
      </c>
      <c r="IZ3" s="14" t="s">
        <v>710</v>
      </c>
      <c r="JA3" s="16" t="s">
        <v>706</v>
      </c>
      <c r="JB3" s="16" t="s">
        <v>707</v>
      </c>
      <c r="JC3" s="16" t="s">
        <v>708</v>
      </c>
      <c r="JD3" s="16" t="s">
        <v>709</v>
      </c>
      <c r="JE3" s="16" t="s">
        <v>710</v>
      </c>
      <c r="JF3" s="16" t="s">
        <v>706</v>
      </c>
      <c r="JG3" s="16" t="s">
        <v>707</v>
      </c>
      <c r="JH3" s="16" t="s">
        <v>708</v>
      </c>
      <c r="JI3" s="16" t="s">
        <v>709</v>
      </c>
      <c r="JJ3" s="16" t="s">
        <v>710</v>
      </c>
      <c r="JK3" s="16" t="s">
        <v>706</v>
      </c>
      <c r="JL3" s="16" t="s">
        <v>707</v>
      </c>
      <c r="JM3" s="16" t="s">
        <v>708</v>
      </c>
      <c r="JN3" s="16" t="s">
        <v>709</v>
      </c>
      <c r="JO3" s="16" t="s">
        <v>710</v>
      </c>
      <c r="JP3" s="16" t="s">
        <v>706</v>
      </c>
      <c r="JQ3" s="16" t="s">
        <v>707</v>
      </c>
      <c r="JR3" s="16" t="s">
        <v>708</v>
      </c>
      <c r="JS3" s="16" t="s">
        <v>709</v>
      </c>
      <c r="JT3" s="16" t="s">
        <v>710</v>
      </c>
      <c r="JU3" s="16" t="s">
        <v>706</v>
      </c>
      <c r="JV3" s="16" t="s">
        <v>707</v>
      </c>
      <c r="JW3" s="16" t="s">
        <v>708</v>
      </c>
      <c r="JX3" s="16" t="s">
        <v>709</v>
      </c>
      <c r="JY3" s="16" t="s">
        <v>710</v>
      </c>
      <c r="JZ3" s="17" t="s">
        <v>706</v>
      </c>
      <c r="KA3" s="17" t="s">
        <v>707</v>
      </c>
      <c r="KB3" s="17" t="s">
        <v>708</v>
      </c>
      <c r="KC3" s="17" t="s">
        <v>709</v>
      </c>
      <c r="KD3" s="17" t="s">
        <v>710</v>
      </c>
      <c r="KE3" s="17" t="s">
        <v>706</v>
      </c>
      <c r="KF3" s="17" t="s">
        <v>707</v>
      </c>
      <c r="KG3" s="17" t="s">
        <v>708</v>
      </c>
      <c r="KH3" s="17" t="s">
        <v>709</v>
      </c>
      <c r="KI3" s="17" t="s">
        <v>710</v>
      </c>
      <c r="KJ3" s="18" t="s">
        <v>706</v>
      </c>
      <c r="KK3" s="18" t="s">
        <v>707</v>
      </c>
      <c r="KL3" s="18" t="s">
        <v>708</v>
      </c>
      <c r="KM3" s="18" t="s">
        <v>709</v>
      </c>
      <c r="KN3" s="18" t="s">
        <v>710</v>
      </c>
      <c r="KO3" s="18" t="s">
        <v>706</v>
      </c>
      <c r="KP3" s="18" t="s">
        <v>707</v>
      </c>
      <c r="KQ3" s="18" t="s">
        <v>708</v>
      </c>
      <c r="KR3" s="18" t="s">
        <v>709</v>
      </c>
      <c r="KS3" s="18" t="s">
        <v>710</v>
      </c>
      <c r="KT3" s="18" t="s">
        <v>706</v>
      </c>
      <c r="KU3" s="18" t="s">
        <v>707</v>
      </c>
      <c r="KV3" s="18" t="s">
        <v>708</v>
      </c>
      <c r="KW3" s="18" t="s">
        <v>709</v>
      </c>
      <c r="KX3" s="18" t="s">
        <v>710</v>
      </c>
      <c r="KY3" s="18" t="s">
        <v>706</v>
      </c>
      <c r="KZ3" s="18" t="s">
        <v>707</v>
      </c>
      <c r="LA3" s="18" t="s">
        <v>708</v>
      </c>
      <c r="LB3" s="18" t="s">
        <v>709</v>
      </c>
      <c r="LC3" s="18" t="s">
        <v>710</v>
      </c>
      <c r="LD3" s="18" t="s">
        <v>706</v>
      </c>
      <c r="LE3" s="18" t="s">
        <v>707</v>
      </c>
      <c r="LF3" s="18" t="s">
        <v>708</v>
      </c>
      <c r="LG3" s="18" t="s">
        <v>709</v>
      </c>
      <c r="LH3" s="18" t="s">
        <v>710</v>
      </c>
      <c r="LI3" s="37" t="s">
        <v>706</v>
      </c>
      <c r="LJ3" s="37" t="s">
        <v>707</v>
      </c>
      <c r="LK3" s="37" t="s">
        <v>708</v>
      </c>
      <c r="LL3" s="37" t="s">
        <v>709</v>
      </c>
      <c r="LM3" s="37" t="s">
        <v>710</v>
      </c>
      <c r="LN3" s="37" t="s">
        <v>706</v>
      </c>
      <c r="LO3" s="37" t="s">
        <v>707</v>
      </c>
      <c r="LP3" s="37" t="s">
        <v>708</v>
      </c>
      <c r="LQ3" s="37" t="s">
        <v>709</v>
      </c>
      <c r="LR3" s="37" t="s">
        <v>710</v>
      </c>
      <c r="LS3" s="37" t="s">
        <v>706</v>
      </c>
      <c r="LT3" s="37" t="s">
        <v>707</v>
      </c>
      <c r="LU3" s="37" t="s">
        <v>708</v>
      </c>
      <c r="LV3" s="37" t="s">
        <v>709</v>
      </c>
      <c r="LW3" s="37" t="s">
        <v>710</v>
      </c>
      <c r="LX3" s="37" t="s">
        <v>706</v>
      </c>
      <c r="LY3" s="37" t="s">
        <v>707</v>
      </c>
      <c r="LZ3" s="37" t="s">
        <v>708</v>
      </c>
      <c r="MA3" s="37" t="s">
        <v>709</v>
      </c>
      <c r="MB3" s="37" t="s">
        <v>710</v>
      </c>
      <c r="MC3" s="37" t="s">
        <v>706</v>
      </c>
      <c r="MD3" s="37" t="s">
        <v>707</v>
      </c>
      <c r="ME3" s="37" t="s">
        <v>708</v>
      </c>
      <c r="MF3" s="37" t="s">
        <v>709</v>
      </c>
      <c r="MG3" s="37" t="s">
        <v>710</v>
      </c>
      <c r="MH3" s="37" t="s">
        <v>706</v>
      </c>
      <c r="MI3" s="37" t="s">
        <v>707</v>
      </c>
      <c r="MJ3" s="37" t="s">
        <v>708</v>
      </c>
      <c r="MK3" s="37" t="s">
        <v>709</v>
      </c>
      <c r="ML3" s="37" t="s">
        <v>710</v>
      </c>
      <c r="MM3" s="14" t="s">
        <v>706</v>
      </c>
      <c r="MN3" s="14" t="s">
        <v>707</v>
      </c>
      <c r="MO3" s="14" t="s">
        <v>708</v>
      </c>
      <c r="MP3" s="14" t="s">
        <v>709</v>
      </c>
      <c r="MQ3" s="14" t="s">
        <v>710</v>
      </c>
      <c r="MR3" s="14" t="s">
        <v>706</v>
      </c>
      <c r="MS3" s="14" t="s">
        <v>707</v>
      </c>
      <c r="MT3" s="14" t="s">
        <v>708</v>
      </c>
      <c r="MU3" s="14" t="s">
        <v>709</v>
      </c>
      <c r="MV3" s="14" t="s">
        <v>710</v>
      </c>
      <c r="MW3" s="1" t="s">
        <v>706</v>
      </c>
      <c r="MX3" s="1" t="s">
        <v>707</v>
      </c>
      <c r="MY3" s="1" t="s">
        <v>708</v>
      </c>
      <c r="MZ3" s="1" t="s">
        <v>709</v>
      </c>
      <c r="NA3" s="1" t="s">
        <v>710</v>
      </c>
      <c r="NB3" s="1" t="s">
        <v>706</v>
      </c>
      <c r="NC3" s="1" t="s">
        <v>707</v>
      </c>
      <c r="ND3" s="1" t="s">
        <v>708</v>
      </c>
      <c r="NE3" s="1" t="s">
        <v>709</v>
      </c>
      <c r="NF3" s="1" t="s">
        <v>710</v>
      </c>
      <c r="NG3" s="19" t="s">
        <v>706</v>
      </c>
      <c r="NH3" s="19" t="s">
        <v>707</v>
      </c>
      <c r="NI3" s="19" t="s">
        <v>708</v>
      </c>
      <c r="NJ3" s="19" t="s">
        <v>709</v>
      </c>
      <c r="NK3" s="19" t="s">
        <v>710</v>
      </c>
      <c r="NL3" s="19" t="s">
        <v>706</v>
      </c>
      <c r="NM3" s="19" t="s">
        <v>707</v>
      </c>
      <c r="NN3" s="19" t="s">
        <v>708</v>
      </c>
      <c r="NO3" s="19" t="s">
        <v>709</v>
      </c>
      <c r="NP3" s="19" t="s">
        <v>710</v>
      </c>
      <c r="NQ3" s="19" t="s">
        <v>706</v>
      </c>
      <c r="NR3" s="19" t="s">
        <v>707</v>
      </c>
      <c r="NS3" s="19" t="s">
        <v>708</v>
      </c>
      <c r="NT3" s="19" t="s">
        <v>709</v>
      </c>
      <c r="NU3" s="19" t="s">
        <v>710</v>
      </c>
      <c r="NV3" s="20" t="s">
        <v>706</v>
      </c>
      <c r="NW3" s="20" t="s">
        <v>707</v>
      </c>
      <c r="NX3" s="20" t="s">
        <v>708</v>
      </c>
      <c r="NY3" s="20" t="s">
        <v>709</v>
      </c>
      <c r="NZ3" s="20" t="s">
        <v>710</v>
      </c>
      <c r="OA3" s="20" t="s">
        <v>706</v>
      </c>
      <c r="OB3" s="20" t="s">
        <v>707</v>
      </c>
      <c r="OC3" s="20" t="s">
        <v>708</v>
      </c>
      <c r="OD3" s="20" t="s">
        <v>709</v>
      </c>
      <c r="OE3" s="20" t="s">
        <v>710</v>
      </c>
      <c r="OF3" s="18" t="s">
        <v>706</v>
      </c>
      <c r="OG3" s="18" t="s">
        <v>707</v>
      </c>
      <c r="OH3" s="18" t="s">
        <v>708</v>
      </c>
      <c r="OI3" s="18" t="s">
        <v>709</v>
      </c>
      <c r="OJ3" s="18" t="s">
        <v>710</v>
      </c>
      <c r="OK3" s="18" t="s">
        <v>706</v>
      </c>
      <c r="OL3" s="18" t="s">
        <v>707</v>
      </c>
      <c r="OM3" s="18" t="s">
        <v>708</v>
      </c>
      <c r="ON3" s="18" t="s">
        <v>709</v>
      </c>
      <c r="OO3" s="18" t="s">
        <v>710</v>
      </c>
      <c r="OP3" s="15" t="s">
        <v>706</v>
      </c>
      <c r="OQ3" s="15" t="s">
        <v>707</v>
      </c>
      <c r="OR3" s="15" t="s">
        <v>708</v>
      </c>
      <c r="OS3" s="15" t="s">
        <v>709</v>
      </c>
      <c r="OT3" s="15" t="s">
        <v>710</v>
      </c>
      <c r="OU3" s="15" t="s">
        <v>706</v>
      </c>
      <c r="OV3" s="15" t="s">
        <v>707</v>
      </c>
      <c r="OW3" s="15" t="s">
        <v>708</v>
      </c>
      <c r="OX3" s="15" t="s">
        <v>709</v>
      </c>
      <c r="OY3" s="15" t="s">
        <v>710</v>
      </c>
      <c r="OZ3" s="15" t="s">
        <v>706</v>
      </c>
      <c r="PA3" s="15" t="s">
        <v>707</v>
      </c>
      <c r="PB3" s="15" t="s">
        <v>708</v>
      </c>
      <c r="PC3" s="15" t="s">
        <v>709</v>
      </c>
      <c r="PD3" s="15" t="s">
        <v>710</v>
      </c>
      <c r="PE3" s="15" t="s">
        <v>706</v>
      </c>
      <c r="PF3" s="15" t="s">
        <v>707</v>
      </c>
      <c r="PG3" s="15" t="s">
        <v>708</v>
      </c>
      <c r="PH3" s="15" t="s">
        <v>709</v>
      </c>
      <c r="PI3" s="15" t="s">
        <v>710</v>
      </c>
      <c r="PJ3" s="15" t="s">
        <v>706</v>
      </c>
      <c r="PK3" s="15" t="s">
        <v>707</v>
      </c>
      <c r="PL3" s="15" t="s">
        <v>708</v>
      </c>
      <c r="PM3" s="15" t="s">
        <v>709</v>
      </c>
      <c r="PN3" s="15" t="s">
        <v>710</v>
      </c>
      <c r="PO3" s="15" t="s">
        <v>706</v>
      </c>
      <c r="PP3" s="15" t="s">
        <v>707</v>
      </c>
      <c r="PQ3" s="15" t="s">
        <v>708</v>
      </c>
      <c r="PR3" s="15" t="s">
        <v>709</v>
      </c>
      <c r="PS3" s="15" t="s">
        <v>710</v>
      </c>
      <c r="PT3" s="15" t="s">
        <v>706</v>
      </c>
      <c r="PU3" s="15" t="s">
        <v>707</v>
      </c>
      <c r="PV3" s="15" t="s">
        <v>708</v>
      </c>
      <c r="PW3" s="15" t="s">
        <v>709</v>
      </c>
      <c r="PX3" s="15" t="s">
        <v>710</v>
      </c>
    </row>
    <row r="4" spans="1:440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353</v>
      </c>
      <c r="T4" s="5" t="str">
        <f ca="1">IF(S4&gt;=61,"VIGENTE",IF(S4&gt;=1,"POR VENCER",IF(S4&lt;=-1,"VENCIDA",IF(S4=0,"NO APLICA"))))</f>
        <v>VIGENTE</v>
      </c>
      <c r="U4" s="2" t="s">
        <v>66</v>
      </c>
      <c r="V4" s="4">
        <v>45078</v>
      </c>
      <c r="W4" s="4">
        <f t="shared" ref="W4:W67" si="2">DATE(YEAR(V4)+5,MONTH(V4),DAY(V4))</f>
        <v>46905</v>
      </c>
      <c r="X4" s="8">
        <f t="shared" ref="X4:X67" ca="1" si="3">W4-TODAY()</f>
        <v>771</v>
      </c>
      <c r="Y4" s="5" t="str">
        <f t="shared" ref="Y4:Y67" ca="1" si="4">IF(X4&gt;=90,"VIGENTE",IF(X4&gt;=1,"POR VENCER",IF(X4&lt;=-1,"VENCIDA",IF(V4=0,"NO APLICA"))))</f>
        <v>VIGENTE</v>
      </c>
      <c r="Z4" s="2" t="s">
        <v>67</v>
      </c>
      <c r="AA4" s="4">
        <v>45190</v>
      </c>
      <c r="AB4" s="4">
        <f t="shared" ref="AB4:AB17" si="5">DATE(YEAR(AA4)+5,MONTH(AA4),DAY(AA4))</f>
        <v>47017</v>
      </c>
      <c r="AC4" s="8">
        <f t="shared" ref="AC4:AC17" ca="1" si="6">AB4-TODAY()</f>
        <v>883</v>
      </c>
      <c r="AD4" s="5" t="str">
        <f t="shared" ref="AD4:AD67" ca="1" si="7">IF(AC4&gt;=91,"VIGENTE",IF(AC4&gt;=1,"POR VENCER",IF(AC4&lt;=-1,"VENCIDA",IF(AA4=0,"NO APLICA"))))</f>
        <v>VIGENTE</v>
      </c>
      <c r="AE4" s="3"/>
      <c r="AF4" s="4">
        <v>45609</v>
      </c>
      <c r="AG4" s="4">
        <f>DATE(YEAR(AF4)+2,MONTH(AF4),DAY(AF4)-1)</f>
        <v>46338</v>
      </c>
      <c r="AH4" s="8">
        <f t="shared" ref="AH4:AH67" ca="1" si="8">AG4-TODAY()</f>
        <v>204</v>
      </c>
      <c r="AI4" s="5" t="str">
        <f t="shared" ref="AI4:AI42" ca="1" si="9">IF(AH4&gt;=91,"VIGENTE",IF(AH4&gt;=1,"POR VENCER",IF(AH4&lt;=-1,"VENCIDA",IF(AF4=0,"NO APLICA"))))</f>
        <v>VIGENTE</v>
      </c>
      <c r="AJ4" s="3"/>
      <c r="AK4" s="4">
        <v>45937</v>
      </c>
      <c r="AL4" s="4">
        <f>DATE(YEAR(AK4)+2,MONTH(AK4),DAY(AK4))</f>
        <v>46667</v>
      </c>
      <c r="AM4" s="8">
        <f t="shared" ref="AM4:AM67" ca="1" si="10">AL4-TODAY()</f>
        <v>533</v>
      </c>
      <c r="AN4" s="5" t="str">
        <f t="shared" ref="AN4:AN67" ca="1" si="11">IF(AM4&gt;=91,"VIGENTE",IF(AM4&gt;=1,"POR VENCER",IF(AM4&lt;=-1,"VENCIDA",IF(AK4=0,"NO APLICA"))))</f>
        <v>VIGENTE</v>
      </c>
      <c r="AO4" s="3"/>
      <c r="AP4" s="4">
        <v>45887</v>
      </c>
      <c r="AQ4" s="4">
        <f>DATE(YEAR(AP4)+2,MONTH(AP4),DAY(AP4))</f>
        <v>46617</v>
      </c>
      <c r="AR4" s="8">
        <f t="shared" ref="AR4:AR67" ca="1" si="12">AQ4-TODAY()</f>
        <v>483</v>
      </c>
      <c r="AS4" s="5" t="str">
        <f t="shared" ref="AS4:AS67" ca="1" si="13">IF(AR4&gt;=91,"VIGENTE",IF(AR4&gt;=1,"POR VENCER",IF(AR4&lt;=-1,"VENCIDA",IF(AP4=0,"NO APLICA"))))</f>
        <v>VIGENTE</v>
      </c>
      <c r="AT4" s="3"/>
      <c r="AU4" s="4">
        <v>45927</v>
      </c>
      <c r="AV4" s="4">
        <f t="shared" ref="AV4:AV10" si="14">DATE(YEAR(AU4)+2,MONTH(AU4),DAY(AU4))</f>
        <v>46657</v>
      </c>
      <c r="AW4" s="8">
        <f t="shared" ref="AW4:AW67" ca="1" si="15">AV4-TODAY()</f>
        <v>523</v>
      </c>
      <c r="AX4" s="5" t="str">
        <f t="shared" ref="AX4:AX67" ca="1" si="16">IF(AW4&gt;=91,"VIGENTE",IF(AW4&gt;=1,"POR VENCER",IF(AW4&lt;=-1,"VENCIDA",IF(AU4=0,"NO APLICA"))))</f>
        <v>VIGENTE</v>
      </c>
      <c r="AY4" s="3"/>
      <c r="AZ4" s="4">
        <v>45901</v>
      </c>
      <c r="BA4" s="4">
        <f>DATE(YEAR(AZ4)+2,MONTH(AZ4),DAY(AZ4))</f>
        <v>46631</v>
      </c>
      <c r="BB4" s="8">
        <f t="shared" ref="BB4:BB67" ca="1" si="17">BA4-TODAY()</f>
        <v>497</v>
      </c>
      <c r="BC4" s="5" t="str">
        <f t="shared" ref="BC4:BC67" ca="1" si="18">IF(BB4&gt;=91,"VIGENTE",IF(BB4&gt;=1,"POR VENCER",IF(BB4&lt;=-1,"VENCIDA",IF(AZ4=0,"NO APLICA"))))</f>
        <v>VIGENTE</v>
      </c>
      <c r="BD4" s="3"/>
      <c r="BE4" s="4">
        <v>45997</v>
      </c>
      <c r="BF4" s="4">
        <f>DATE(YEAR(BE4)+2,MONTH(BE4),DAY(BE4))</f>
        <v>46727</v>
      </c>
      <c r="BG4" s="8">
        <f t="shared" ref="BG4:BG67" ca="1" si="19">BF4-TODAY()</f>
        <v>593</v>
      </c>
      <c r="BH4" s="5" t="str">
        <f t="shared" ref="BH4:BH67" ca="1" si="20">IF(BG4&gt;=91,"VIGENTE",IF(BG4&gt;=1,"POR VENCER",IF(BG4&lt;=-1,"VENCIDA",IF(BE4=0,"NO APLICA"))))</f>
        <v>VIGENTE</v>
      </c>
      <c r="BI4" s="3"/>
      <c r="BJ4" s="4">
        <v>46035</v>
      </c>
      <c r="BK4" s="4">
        <f>DATE(YEAR(BJ4)+2,MONTH(BJ4),DAY(BJ4))</f>
        <v>46765</v>
      </c>
      <c r="BL4" s="8">
        <f t="shared" ref="BL4:BL67" ca="1" si="21">BK4-TODAY()</f>
        <v>631</v>
      </c>
      <c r="BM4" s="5" t="str">
        <f t="shared" ref="BM4:BM67" ca="1" si="22">IF(BL4&gt;=91,"VIGENTE",IF(BL4&gt;=1,"POR VENCER",IF(BL4&lt;=-1,"VENCIDA",IF(BJ4=0,"NO APLICA"))))</f>
        <v>VIGENTE</v>
      </c>
      <c r="BN4" s="3"/>
      <c r="BO4" s="4">
        <v>46050</v>
      </c>
      <c r="BP4" s="4">
        <f>DATE(YEAR(BO4)+2,MONTH(BO4),DAY(BO4))</f>
        <v>46780</v>
      </c>
      <c r="BQ4" s="8">
        <f t="shared" ref="BQ4:BQ67" ca="1" si="23">BP4-TODAY()</f>
        <v>646</v>
      </c>
      <c r="BR4" s="5" t="str">
        <f t="shared" ref="BR4:BR67" ca="1" si="24">IF(BQ4&gt;=91,"VIGENTE",IF(BQ4&gt;=1,"POR VENCER",IF(BQ4&lt;=-1,"VENCIDA",IF(BO4=0,"NO APLICA"))))</f>
        <v>VIGENTE</v>
      </c>
      <c r="BS4" s="3"/>
      <c r="BT4" s="4">
        <v>45449</v>
      </c>
      <c r="BU4" s="4">
        <f>DATE(YEAR(BT4)+2,MONTH(BT4),DAY(BT4)-1)</f>
        <v>46178</v>
      </c>
      <c r="BV4" s="8">
        <f t="shared" ref="BV4:BV67" ca="1" si="25">BU4-TODAY()</f>
        <v>44</v>
      </c>
      <c r="BW4" s="5" t="str">
        <f t="shared" ref="BW4:BW67" ca="1" si="26">IF(BV4&gt;=91,"VIGENTE",IF(BV4&gt;=1,"POR VENCER",IF(BV4&lt;=-1,"VENCIDA",IF(BT4=0,"NO APLICA"))))</f>
        <v>POR VENCER</v>
      </c>
      <c r="BX4" s="3"/>
      <c r="BY4" s="4">
        <v>45944</v>
      </c>
      <c r="BZ4" s="4">
        <f>DATE(YEAR(BY4)+2,MONTH(BY4),DAY(BY4))</f>
        <v>46674</v>
      </c>
      <c r="CA4" s="8">
        <f t="shared" ref="CA4:CA67" ca="1" si="27">BZ4-TODAY()</f>
        <v>540</v>
      </c>
      <c r="CB4" s="5" t="str">
        <f t="shared" ref="CB4:CB67" ca="1" si="28">IF(CA4&gt;=91,"VIGENTE",IF(CA4&gt;=1,"POR VENCER",IF(CA4&lt;=-1,"VENCIDA",IF(BY4=0,"NO APLICA"))))</f>
        <v>VIGENTE</v>
      </c>
      <c r="CC4" s="6" t="s">
        <v>68</v>
      </c>
      <c r="CD4" s="4">
        <v>45832</v>
      </c>
      <c r="CE4" s="4">
        <f t="shared" ref="CE4:CE67" si="29">DATE(YEAR(CD4)+4,MONTH(CD4),DAY(CD4))</f>
        <v>47293</v>
      </c>
      <c r="CF4" s="8">
        <f t="shared" ref="CF4:CF67" ca="1" si="30">CE4-TODAY()</f>
        <v>1159</v>
      </c>
      <c r="CG4" s="5" t="str">
        <f t="shared" ref="CG4:CG67" ca="1" si="31">IF(CF4&gt;=90,"VIGENTE",IF(CF4&gt;=1,"POR VENCER",IF(CF4&lt;=-1,"VENCIDA",IF(CF4=0,"NO APLICA"))))</f>
        <v>VIGENTE</v>
      </c>
      <c r="CH4" s="4"/>
      <c r="CI4" s="4">
        <v>45929</v>
      </c>
      <c r="CJ4" s="4">
        <f>DATE(YEAR(CI4)+2,MONTH(CI4),DAY(CI4))</f>
        <v>46659</v>
      </c>
      <c r="CK4" s="8">
        <f t="shared" ref="CK4:CK67" ca="1" si="32">CJ4-TODAY()</f>
        <v>525</v>
      </c>
      <c r="CL4" s="5" t="str">
        <f t="shared" ref="CL4:CL67" ca="1" si="33">IF(CK4&gt;=91,"VIGENTE",IF(CK4&gt;=1,"POR VENCER",IF(CK4&lt;=-1,"VENCIDA",IF(CI4=0,"NO APLICA"))))</f>
        <v>VIGENTE</v>
      </c>
      <c r="CM4" s="3"/>
      <c r="CN4" s="4">
        <v>45888</v>
      </c>
      <c r="CO4" s="4">
        <f>DATE(YEAR(CN4)+2,MONTH(CN4),DAY(CN4))</f>
        <v>46618</v>
      </c>
      <c r="CP4" s="8">
        <f t="shared" ref="CP4:CP67" ca="1" si="34">CO4-TODAY()</f>
        <v>484</v>
      </c>
      <c r="CQ4" s="5" t="str">
        <f t="shared" ref="CQ4:CQ67" ca="1" si="35">IF(CP4&gt;=91,"VIGENTE",IF(CP4&gt;=1,"POR VENCER",IF(CP4&lt;=-1,"VENCIDA",IF(CN4=0,"NO APLICA"))))</f>
        <v>VIGENTE</v>
      </c>
      <c r="CR4" s="3"/>
      <c r="CS4" s="4">
        <v>45905</v>
      </c>
      <c r="CT4" s="4">
        <f>DATE(YEAR(CS4)+2,MONTH(CS4),DAY(CS4))</f>
        <v>46635</v>
      </c>
      <c r="CU4" s="8">
        <f t="shared" ref="CU4:CU67" ca="1" si="36">CT4-TODAY()</f>
        <v>501</v>
      </c>
      <c r="CV4" s="5" t="str">
        <f t="shared" ref="CV4:CV67" ca="1" si="37">IF(CU4&gt;=91,"VIGENTE",IF(CU4&gt;=1,"POR VENCER",IF(CU4&lt;=-1,"VENCIDA",IF(CS4=0,"NO APLICA"))))</f>
        <v>VIGENTE</v>
      </c>
      <c r="CW4" s="3"/>
      <c r="CX4" s="4">
        <v>46028</v>
      </c>
      <c r="CY4" s="4">
        <f>DATE(YEAR(CX4)+2,MONTH(CX4),DAY(CX4))</f>
        <v>46758</v>
      </c>
      <c r="CZ4" s="8">
        <f t="shared" ref="CZ4:CZ67" ca="1" si="38">CY4-TODAY()</f>
        <v>624</v>
      </c>
      <c r="DA4" s="5" t="str">
        <f t="shared" ref="DA4:DA67" ca="1" si="39">IF(CZ4&gt;=91,"VIGENTE",IF(CZ4&gt;=1,"POR VENCER",IF(CZ4&lt;=-1,"VENCIDA",IF(CX4=0,"NO APLICA"))))</f>
        <v>VIGENTE</v>
      </c>
      <c r="DB4" s="3"/>
      <c r="DC4" s="4">
        <v>45689</v>
      </c>
      <c r="DD4" s="4">
        <f>DATE(YEAR(DC4)+2,MONTH(DC4),DAY(DC4)-1)</f>
        <v>46418</v>
      </c>
      <c r="DE4" s="8">
        <f t="shared" ref="DE4:DE67" ca="1" si="40">DD4-TODAY()</f>
        <v>284</v>
      </c>
      <c r="DF4" s="5" t="str">
        <f t="shared" ref="DF4:DF67" ca="1" si="41">IF(DE4&gt;=91,"VIGENTE",IF(DE4&gt;=1,"POR VENCER",IF(DE4&lt;=-1,"VENCIDA",IF(DC4=0,"NO APLICA"))))</f>
        <v>VIGENTE</v>
      </c>
      <c r="DG4" s="3"/>
      <c r="DH4" s="4">
        <v>45696</v>
      </c>
      <c r="DI4" s="4">
        <f t="shared" ref="DI4:DI10" si="42">DATE(YEAR(DH4)+2,MONTH(DH4),DAY(DH4)-1)</f>
        <v>46425</v>
      </c>
      <c r="DJ4" s="8">
        <f t="shared" ref="DJ4:DJ67" ca="1" si="43">DI4-TODAY()</f>
        <v>291</v>
      </c>
      <c r="DK4" s="5" t="str">
        <f t="shared" ref="DK4:DK67" ca="1" si="44">IF(DJ4&gt;=91,"VIGENTE",IF(DJ4&gt;=1,"POR VENCER",IF(DJ4&lt;=-1,"VENCIDA",IF(DH4=0,"NO APLICA"))))</f>
        <v>VIGENTE</v>
      </c>
      <c r="DL4" s="3"/>
      <c r="DM4" s="4">
        <v>45731</v>
      </c>
      <c r="DN4" s="4">
        <f t="shared" ref="DN4:DN10" si="45">DATE(YEAR(DM4)+2,MONTH(DM4),DAY(DM4)-1)</f>
        <v>46460</v>
      </c>
      <c r="DO4" s="8">
        <f t="shared" ref="DO4:DO67" ca="1" si="46">DN4-TODAY()</f>
        <v>326</v>
      </c>
      <c r="DP4" s="5" t="str">
        <f t="shared" ref="DP4:DP67" ca="1" si="47">IF(DO4&gt;=91,"VIGENTE",IF(DO4&gt;=1,"POR VENCER",IF(DO4&lt;=-1,"VENCIDA",IF(DM4=0,"NO APLICA"))))</f>
        <v>VIGENTE</v>
      </c>
      <c r="DQ4" s="3"/>
      <c r="DR4" s="4">
        <v>45685</v>
      </c>
      <c r="DS4" s="4">
        <f>DATE(YEAR(DR4)+2,MONTH(DR4),DAY(DR4)-1)</f>
        <v>46414</v>
      </c>
      <c r="DT4" s="8">
        <f t="shared" ref="DT4:DT67" ca="1" si="48">DS4-TODAY()</f>
        <v>280</v>
      </c>
      <c r="DU4" s="5" t="str">
        <f t="shared" ref="DU4:DU67" ca="1" si="49">IF(DT4&gt;=91,"VIGENTE",IF(DT4&gt;=1,"POR VENCER",IF(DT4&lt;=-1,"VENCIDA",IF(DR4=0,"NO APLICA"))))</f>
        <v>VIGENTE</v>
      </c>
      <c r="DV4" s="3"/>
      <c r="DW4" s="4">
        <v>45582</v>
      </c>
      <c r="DX4" s="4">
        <f>DATE(YEAR(DW4)+2,MONTH(DW4),DAY(DW4)-1)</f>
        <v>46311</v>
      </c>
      <c r="DY4" s="8">
        <f t="shared" ref="DY4:DY67" ca="1" si="50">DX4-TODAY()</f>
        <v>177</v>
      </c>
      <c r="DZ4" s="5" t="str">
        <f t="shared" ref="DZ4:DZ67" ca="1" si="51">IF(DY4&gt;=91,"VIGENTE",IF(DY4&gt;=1,"POR VENCER",IF(DY4&lt;=-1,"VENCIDA",IF(DW4=0,"NO APLICA"))))</f>
        <v>VIGENTE</v>
      </c>
      <c r="EA4" s="3"/>
      <c r="EB4" s="4">
        <v>45602</v>
      </c>
      <c r="EC4" s="4">
        <f>DATE(YEAR(EB4)+2,MONTH(EB4),DAY(EB4)-1)</f>
        <v>46331</v>
      </c>
      <c r="ED4" s="8">
        <f t="shared" ref="ED4:ED67" ca="1" si="52">EC4-TODAY()</f>
        <v>197</v>
      </c>
      <c r="EE4" s="5" t="str">
        <f t="shared" ref="EE4:EE67" ca="1" si="53">IF(ED4&gt;=91,"VIGENTE",IF(ED4&gt;=1,"POR VENCER",IF(ED4&lt;=-1,"VENCIDA",IF(EB4=0,"NO APLICA"))))</f>
        <v>VIGENTE</v>
      </c>
      <c r="EF4" s="3"/>
      <c r="EG4" s="3">
        <v>45911</v>
      </c>
      <c r="EH4" s="4">
        <f>DATE(YEAR(EG4)+1,MONTH(EG4),DAY(EG4))</f>
        <v>46276</v>
      </c>
      <c r="EI4" s="8">
        <f t="shared" ref="EI4:EI67" ca="1" si="54">EH4-TODAY()</f>
        <v>142</v>
      </c>
      <c r="EJ4" s="5" t="str">
        <f t="shared" ref="EJ4:EJ67" ca="1" si="55">IF(EI4&gt;=91,"VIGENTE",IF(EI4&gt;=1,"POR VENCER",IF(EI4&lt;=-1,"VENCIDA",IF(EG4=0,"NO APLICA"))))</f>
        <v>VIGENTE</v>
      </c>
      <c r="EK4" s="3"/>
      <c r="EL4" s="4">
        <v>45940</v>
      </c>
      <c r="EM4" s="4">
        <f>DATE(YEAR(EL4)+2,MONTH(EL4),DAY(EL4))</f>
        <v>46670</v>
      </c>
      <c r="EN4" s="8">
        <f t="shared" ref="EN4:EN67" ca="1" si="56">EM4-TODAY()</f>
        <v>536</v>
      </c>
      <c r="EO4" s="5" t="str">
        <f t="shared" ref="EO4:EO67" ca="1" si="57">IF(EN4&gt;=91,"VIGENTE",IF(EN4&gt;=1,"POR VENCER",IF(EN4&lt;=-1,"VENCIDA",IF(EL4=0,"NO APLICA"))))</f>
        <v>VIGENTE</v>
      </c>
      <c r="EP4" s="3"/>
      <c r="EQ4" s="4">
        <v>45922</v>
      </c>
      <c r="ER4" s="4">
        <f>DATE(YEAR(EQ4)+2,MONTH(EQ4),DAY(EQ4))</f>
        <v>46652</v>
      </c>
      <c r="ES4" s="8">
        <f t="shared" ref="ES4:ES67" ca="1" si="58">ER4-TODAY()</f>
        <v>518</v>
      </c>
      <c r="ET4" s="5" t="str">
        <f t="shared" ref="ET4:ET67" ca="1" si="59">IF(ES4&gt;=91,"VIGENTE",IF(ES4&gt;=1,"POR VENCER",IF(ES4&lt;=-1,"VENCIDA",IF(EQ4=0,"NO APLICA"))))</f>
        <v>VIGENTE</v>
      </c>
      <c r="EU4" s="3"/>
      <c r="EV4" s="4">
        <v>45917</v>
      </c>
      <c r="EW4" s="4">
        <f>DATE(YEAR(EV4)+2,MONTH(EV4),DAY(EV4))</f>
        <v>46647</v>
      </c>
      <c r="EX4" s="8">
        <f t="shared" ref="EX4:EX67" ca="1" si="60">EW4-TODAY()</f>
        <v>513</v>
      </c>
      <c r="EY4" s="5" t="str">
        <f t="shared" ref="EY4:EY67" ca="1" si="61">IF(EX4&gt;=91,"VIGENTE",IF(EX4&gt;=1,"POR VENCER",IF(EX4&lt;=-1,"VENCIDA",IF(EV4=0,"NO APLICA"))))</f>
        <v>VIGENTE</v>
      </c>
      <c r="EZ4" s="3"/>
      <c r="FA4" s="4">
        <v>45931</v>
      </c>
      <c r="FB4" s="4">
        <f>DATE(YEAR(FA4)+2,MONTH(FA4),DAY(FA4))</f>
        <v>46661</v>
      </c>
      <c r="FC4" s="8">
        <f t="shared" ref="FC4:FC67" ca="1" si="62">FB4-TODAY()</f>
        <v>527</v>
      </c>
      <c r="FD4" s="5" t="str">
        <f t="shared" ref="FD4:FD67" ca="1" si="63">IF(FC4&gt;=91,"VIGENTE",IF(FC4&gt;=1,"POR VENCER",IF(FC4&lt;=-1,"VENCIDA",IF(FA4=0,"NO APLICA"))))</f>
        <v>VIGENTE</v>
      </c>
      <c r="FE4" s="3"/>
      <c r="FF4" s="4">
        <v>45919</v>
      </c>
      <c r="FG4" s="4">
        <f>DATE(YEAR(FF4)+2,MONTH(FF4),DAY(FF4))</f>
        <v>46649</v>
      </c>
      <c r="FH4" s="8">
        <f t="shared" ref="FH4:FH67" ca="1" si="64">FG4-TODAY()</f>
        <v>515</v>
      </c>
      <c r="FI4" s="5" t="str">
        <f t="shared" ref="FI4:FI67" ca="1" si="65">IF(FH4&gt;=91,"VIGENTE",IF(FH4&gt;=1,"POR VENCER",IF(FH4&lt;=-1,"VENCIDA",IF(FF4=0,"NO APLICA"))))</f>
        <v>VIGENTE</v>
      </c>
      <c r="FJ4" s="3"/>
      <c r="FK4" s="4">
        <v>45588</v>
      </c>
      <c r="FL4" s="4">
        <f t="shared" ref="FL4:FL10" si="66">DATE(YEAR(FK4)+2,MONTH(FK4),DAY(FK4)-1)</f>
        <v>46317</v>
      </c>
      <c r="FM4" s="8">
        <f t="shared" ref="FM4:FM67" ca="1" si="67">FL4-TODAY()</f>
        <v>183</v>
      </c>
      <c r="FN4" s="5" t="str">
        <f t="shared" ref="FN4:FN67" ca="1" si="68">IF(FM4&gt;=91,"VIGENTE",IF(FM4&gt;=1,"POR VENCER",IF(FM4&lt;=-1,"VENCIDA",IF(FK4=0,"NO APLICA"))))</f>
        <v>VIGENTE</v>
      </c>
      <c r="FO4" s="3"/>
      <c r="FP4" s="4">
        <v>45724</v>
      </c>
      <c r="FQ4" s="4">
        <f>DATE(YEAR(FP4)+2,MONTH(FP4),DAY(FP4)-1)</f>
        <v>46453</v>
      </c>
      <c r="FR4" s="8">
        <f t="shared" ref="FR4:FR67" ca="1" si="69">FQ4-TODAY()</f>
        <v>319</v>
      </c>
      <c r="FS4" s="5" t="str">
        <f t="shared" ref="FS4:FS67" ca="1" si="70">IF(FR4&gt;=91,"VIGENTE",IF(FR4&gt;=1,"POR VENCER",IF(FR4&lt;=-1,"VENCIDA",IF(FP4=0,"NO APLICA"))))</f>
        <v>VIGENTE</v>
      </c>
      <c r="FT4" s="3"/>
      <c r="FU4" s="4">
        <v>45941</v>
      </c>
      <c r="FV4" s="4">
        <f>DATE(YEAR(FU4)+2,MONTH(FU4),DAY(FU4))</f>
        <v>46671</v>
      </c>
      <c r="FW4" s="8">
        <f t="shared" ref="FW4:FW67" ca="1" si="71">FV4-TODAY()</f>
        <v>537</v>
      </c>
      <c r="FX4" s="5" t="str">
        <f t="shared" ref="FX4:FX67" ca="1" si="72">IF(FW4&gt;=91,"VIGENTE",IF(FW4&gt;=1,"POR VENCER",IF(FW4&lt;=-1,"VENCIDA",IF(FU4=0,"NO APLICA"))))</f>
        <v>VIGENTE</v>
      </c>
      <c r="FY4" s="3"/>
      <c r="FZ4" s="4">
        <v>45667</v>
      </c>
      <c r="GA4" s="4">
        <f>DATE(YEAR(FZ4)+2,MONTH(FZ4),DAY(FZ4)-1)</f>
        <v>46396</v>
      </c>
      <c r="GB4" s="8">
        <f t="shared" ref="GB4:GB67" ca="1" si="73">GA4-TODAY()</f>
        <v>262</v>
      </c>
      <c r="GC4" s="5" t="str">
        <f t="shared" ref="GC4:GC67" ca="1" si="74">IF(GB4&gt;=91,"VIGENTE",IF(GB4&gt;=1,"POR VENCER",IF(GB4&lt;=-1,"VENCIDA",IF(FZ4=0,"NO APLICA"))))</f>
        <v>VIGENTE</v>
      </c>
      <c r="GD4" s="3"/>
      <c r="GE4" s="4">
        <v>45912</v>
      </c>
      <c r="GF4" s="4">
        <f>DATE(YEAR(GE4)+2,MONTH(GE4),DAY(GE4))</f>
        <v>46642</v>
      </c>
      <c r="GG4" s="8">
        <f t="shared" ref="GG4:GG67" ca="1" si="75">GF4-TODAY()</f>
        <v>508</v>
      </c>
      <c r="GH4" s="5" t="str">
        <f t="shared" ref="GH4:GH67" ca="1" si="76">IF(GG4&gt;=91,"VIGENTE",IF(GG4&gt;=1,"POR VENCER",IF(GG4&lt;=-1,"VENCIDA",IF(GE4=0,"NO APLICA"))))</f>
        <v>VIGENTE</v>
      </c>
      <c r="GI4" s="3"/>
      <c r="GJ4" s="4">
        <v>45608</v>
      </c>
      <c r="GK4" s="4">
        <f>DATE(YEAR(GJ4)+2,MONTH(GJ4),DAY(GJ4)-1)</f>
        <v>46337</v>
      </c>
      <c r="GL4" s="8">
        <f t="shared" ref="GL4:GL67" ca="1" si="77">GK4-TODAY()</f>
        <v>203</v>
      </c>
      <c r="GM4" s="5" t="str">
        <f t="shared" ref="GM4:GM67" ca="1" si="78">IF(GL4&gt;=61,"VIGENTE",IF(GL4&gt;=1,"POR VENCER",IF(GL4&lt;=-1,"VENCIDA",IF(GJ4=0,"NO APLICA"))))</f>
        <v>VIGENTE</v>
      </c>
      <c r="GN4" s="4"/>
      <c r="GO4" s="4">
        <v>45244</v>
      </c>
      <c r="GP4" s="4">
        <f t="shared" ref="GP4:GP67" si="79">DATE(YEAR(GO4)+5,MONTH(GO4),DAY(GO4))</f>
        <v>47071</v>
      </c>
      <c r="GQ4" s="8">
        <f t="shared" ref="GQ4:GQ13" ca="1" si="80">GP4-TODAY()</f>
        <v>937</v>
      </c>
      <c r="GR4" s="5" t="str">
        <f t="shared" ref="GR4:GR67" ca="1" si="81">IF(GQ4&gt;=91,"VIGENTE",IF(GQ4&gt;=1,"POR VENCER",IF(GQ4&lt;=-1,"VENCIDA",IF(GO4=0,"NO APLICA"))))</f>
        <v>VIGENTE</v>
      </c>
      <c r="GS4" s="3"/>
      <c r="GT4" s="4">
        <v>44952</v>
      </c>
      <c r="GU4" s="4">
        <f t="shared" ref="GU4:GU67" si="82">DATE(YEAR(GT4)+5,MONTH(GT4),DAY(GT4))</f>
        <v>46778</v>
      </c>
      <c r="GV4" s="8">
        <f t="shared" ref="GV4:GV67" ca="1" si="83">GU4-TODAY()</f>
        <v>644</v>
      </c>
      <c r="GW4" s="5" t="str">
        <f t="shared" ref="GW4:GW67" ca="1" si="84">IF(GV4&gt;=91,"VIGENTE",IF(GV4&gt;=1,"POR VENCER",IF(GV4&lt;=-1,"VENCIDA",IF(GT4=0,"NO APLICA"))))</f>
        <v>VIGENTE</v>
      </c>
      <c r="GX4" s="3"/>
      <c r="GY4" s="4">
        <v>45251</v>
      </c>
      <c r="GZ4" s="4">
        <f t="shared" ref="GZ4:GZ67" si="85">DATE(YEAR(GY4)+5,MONTH(GY4),DAY(GY4))</f>
        <v>47078</v>
      </c>
      <c r="HA4" s="8">
        <f t="shared" ref="HA4:HA67" ca="1" si="86">GZ4-TODAY()</f>
        <v>944</v>
      </c>
      <c r="HB4" s="5" t="str">
        <f t="shared" ref="HB4:HB67" ca="1" si="87">IF(HA4&gt;=91,"VIGENTE",IF(HA4&gt;=1,"POR VENCER",IF(HA4&lt;=-1,"VENCIDA",IF(GY4=0,"NO APLICA"))))</f>
        <v>VIGENTE</v>
      </c>
      <c r="HC4" s="6"/>
      <c r="HD4" s="4">
        <v>44880</v>
      </c>
      <c r="HE4" s="4">
        <f t="shared" ref="HE4:HE17" si="88">DATE(YEAR(HD4)+5,MONTH(HD4),DAY(HD4))</f>
        <v>46706</v>
      </c>
      <c r="HF4" s="8">
        <f t="shared" ref="HF4:HF17" ca="1" si="89">HE4-TODAY()</f>
        <v>572</v>
      </c>
      <c r="HG4" s="5" t="str">
        <f t="shared" ref="HG4:HG10" ca="1" si="90">IF(HF4&gt;=61,"VIGENTE",IF(HF4&gt;=1,"POR VENCER",IF(HF4&lt;=-1,"VENCIDA",IF(HD4=0,"NO APLICA"))))</f>
        <v>VIGENTE</v>
      </c>
      <c r="HH4" s="2"/>
      <c r="HI4" s="6"/>
      <c r="HJ4" s="4"/>
      <c r="HK4" s="8"/>
      <c r="HL4" s="5" t="str">
        <f t="shared" ref="HL4:HL30" si="91">IF(HK4&gt;=61,"VIGENTE",IF(HK4&gt;=1,"POR VENCER",IF(HK4&lt;=-1,"VENCIDA",IF(HI4=0,"NO APLICA"))))</f>
        <v>NO APLICA</v>
      </c>
      <c r="HM4" s="2"/>
      <c r="HN4" s="2"/>
      <c r="HO4" s="4"/>
      <c r="HP4" s="2"/>
      <c r="HQ4" s="5" t="str">
        <f t="shared" ref="HQ4:HQ67" si="92">IF(HP4&gt;=61,"VIGENTE",IF(HP4&gt;=1,"POR VENCER",IF(HP4&lt;=-1,"VENCIDA",IF(HN4=0,"NO APLICA"))))</f>
        <v>NO APLICA</v>
      </c>
      <c r="HR4" s="2"/>
      <c r="HS4" s="6"/>
      <c r="HT4" s="4"/>
      <c r="HU4" s="8"/>
      <c r="HV4" s="5" t="str">
        <f t="shared" ref="HV4:HV67" si="93">IF(HU4&gt;=61,"VIGENTE",IF(HU4&gt;=1,"POR VENCER",IF(HU4&lt;=-1,"VENCIDA",IF(HS4=0,"NO APLICA"))))</f>
        <v>NO APLICA</v>
      </c>
      <c r="HW4" s="2"/>
      <c r="HX4" s="6"/>
      <c r="HY4" s="4"/>
      <c r="HZ4" s="8"/>
      <c r="IA4" s="5" t="str">
        <f t="shared" ref="IA4:IA67" si="94">IF(HZ4&gt;=61,"VIGENTE",IF(HZ4&gt;=1,"POR VENCER",IF(HZ4&lt;=-1,"VENCIDA",IF(HX4=0,"NO APLICA"))))</f>
        <v>NO APLICA</v>
      </c>
      <c r="IB4" s="2"/>
      <c r="IC4" s="6"/>
      <c r="ID4" s="4"/>
      <c r="IE4" s="8"/>
      <c r="IF4" s="5" t="str">
        <f t="shared" ref="IF4:IF67" si="95">IF(IE4&gt;=61,"VIGENTE",IF(IE4&gt;=1,"POR VENCER",IF(IE4&lt;=-1,"VENCIDA",IF(IC4=0,"NO APLICA"))))</f>
        <v>NO APLICA</v>
      </c>
      <c r="IG4" s="6"/>
      <c r="IH4" s="6"/>
      <c r="II4" s="4"/>
      <c r="IJ4" s="8"/>
      <c r="IK4" s="5" t="str">
        <f t="shared" ref="IK4:IK67" si="96">IF(IJ4&gt;=61,"VIGENTE",IF(IJ4&gt;=1,"POR VENCER",IF(IJ4&lt;=-1,"VENCIDA",IF(IH4=0,"NO APLICA"))))</f>
        <v>NO APLICA</v>
      </c>
      <c r="IL4" s="2"/>
      <c r="IM4" s="6"/>
      <c r="IN4" s="4"/>
      <c r="IO4" s="8"/>
      <c r="IP4" s="5" t="str">
        <f t="shared" ref="IP4:IP67" si="97">IF(IO4&gt;=61,"VIGENTE",IF(IO4&gt;=1,"POR VENCER",IF(IO4&lt;=-1,"VENCIDA",IF(IM4=0,"NO APLICA"))))</f>
        <v>NO APLICA</v>
      </c>
      <c r="IQ4" s="2"/>
      <c r="IR4" s="6"/>
      <c r="IS4" s="4"/>
      <c r="IT4" s="8"/>
      <c r="IU4" s="5" t="str">
        <f t="shared" ref="IU4:IU67" si="98">IF(IT4&gt;=61,"VIGENTE",IF(IT4&gt;=1,"POR VENCER",IF(IT4&lt;=-1,"VENCIDA",IF(IR4=0,"NO APLICA"))))</f>
        <v>NO APLICA</v>
      </c>
      <c r="IV4" s="2"/>
      <c r="IW4" s="6"/>
      <c r="IX4" s="4"/>
      <c r="IY4" s="8"/>
      <c r="IZ4" s="5" t="str">
        <f t="shared" ref="IZ4:IZ67" si="99">IF(IY4&gt;=61,"VIGENTE",IF(IY4&gt;=1,"POR VENCER",IF(IY4&lt;=-1,"VENCIDA",IF(IW4=0,"NO APLICA"))))</f>
        <v>NO APLICA</v>
      </c>
      <c r="JA4" s="3"/>
      <c r="JB4" s="3"/>
      <c r="JC4" s="4"/>
      <c r="JD4" s="8"/>
      <c r="JE4" s="5" t="str">
        <f t="shared" ref="JE4:JE67" si="100">IF(JD4&gt;=61,"VIGENTE",IF(JD4&gt;=1,"POR VENCER",IF(JD4&lt;=-1,"VENCIDA",IF(JB4=0,"NO APLICA"))))</f>
        <v>NO APLICA</v>
      </c>
      <c r="JF4" s="6"/>
      <c r="JG4" s="6"/>
      <c r="JH4" s="6"/>
      <c r="JI4" s="6"/>
      <c r="JJ4" s="5" t="str">
        <f t="shared" ref="JJ4:JJ67" si="101">IF(JI4&gt;=61,"VIGENTE",IF(JI4&gt;=1,"POR VENCER",IF(JI4&lt;=-1,"VENCIDA",IF(JF4=0,"NO APLICA"))))</f>
        <v>NO APLICA</v>
      </c>
      <c r="JK4" s="6"/>
      <c r="JL4" s="6"/>
      <c r="JM4" s="6"/>
      <c r="JN4" s="6"/>
      <c r="JO4" s="5" t="str">
        <f t="shared" ref="JO4:JO67" si="102">IF(JN4&gt;=61,"VIGENTE",IF(JN4&gt;=1,"POR VENCER",IF(JN4&lt;=-1,"VENCIDA",IF(JK4=0,"NO APLICA"))))</f>
        <v>NO APLICA</v>
      </c>
      <c r="JP4" s="6"/>
      <c r="JQ4" s="6"/>
      <c r="JR4" s="6"/>
      <c r="JS4" s="6"/>
      <c r="JT4" s="5" t="str">
        <f t="shared" ref="JT4:JT67" si="103">IF(JS4&gt;=61,"VIGENTE",IF(JS4&gt;=1,"POR VENCER",IF(JS4&lt;=-1,"VENCIDA",IF(JQ4=0,"NO APLICA"))))</f>
        <v>NO APLICA</v>
      </c>
      <c r="JU4" s="5"/>
      <c r="JV4" s="5"/>
      <c r="JW4" s="5"/>
      <c r="JX4" s="5"/>
      <c r="JY4" s="5" t="str">
        <f t="shared" ref="JY4:JY67" si="104">IF(JX4&gt;=61,"VIGENTE",IF(JX4&gt;=1,"POR VENCER",IF(JX4&lt;=-1,"VENCIDA",IF(JV4=0,"NO APLICA"))))</f>
        <v>NO APLICA</v>
      </c>
      <c r="JZ4" s="5"/>
      <c r="KA4" s="2"/>
      <c r="KB4" s="4"/>
      <c r="KC4" s="8"/>
      <c r="KD4" s="5" t="str">
        <f t="shared" ref="KD4:KD67" si="105">IF(KC4&gt;=61,"VIGENTE",IF(KC4&gt;=1,"POR VENCER",IF(KC4&lt;=-1,"VENCIDA",IF(KA4=0,"NO APLICA"))))</f>
        <v>NO APLICA</v>
      </c>
      <c r="KE4" s="5"/>
      <c r="KF4" s="3">
        <v>45328</v>
      </c>
      <c r="KG4" s="4">
        <f>DATE(YEAR(KF4)+5,MONTH(KF4),DAY(KF4)-1)</f>
        <v>47154</v>
      </c>
      <c r="KH4" s="8">
        <f ca="1">KG4-TODAY()</f>
        <v>1020</v>
      </c>
      <c r="KI4" s="5" t="str">
        <f ca="1">IF(KH4&gt;=61,"VIGENTE",IF(KH4&gt;=1,"POR VENCER",IF(KH4&lt;=-1,"VENCIDA",IF(KF4=0,"NO APLICA"))))</f>
        <v>VIGENTE</v>
      </c>
      <c r="KJ4" s="5"/>
      <c r="KK4" s="2"/>
      <c r="KL4" s="4"/>
      <c r="KM4" s="8"/>
      <c r="KN4" s="5" t="str">
        <f t="shared" ref="KN4:KN67" si="106">IF(KM4&gt;=61,"VIGENTE",IF(KM4&gt;=1,"POR VENCER",IF(KM4&lt;=-1,"VENCIDA",IF(KK4=0,"NO APLICA"))))</f>
        <v>NO APLICA</v>
      </c>
      <c r="KO4" s="5"/>
      <c r="KP4" s="3">
        <v>45346</v>
      </c>
      <c r="KQ4" s="4">
        <f>DATE(YEAR(KP4)+5,MONTH(KP4),DAY(KP4))</f>
        <v>47173</v>
      </c>
      <c r="KR4" s="8">
        <f ca="1">KQ4-TODAY()</f>
        <v>1039</v>
      </c>
      <c r="KS4" s="5" t="str">
        <f ca="1">IF(KR4&gt;=61,"VIGENTE",IF(KR4&gt;=1,"POR VENCER",IF(KR4&lt;=-1,"VENCIDA",IF(KP4=0,"NO APLICA"))))</f>
        <v>VIGENTE</v>
      </c>
      <c r="KT4" s="3"/>
      <c r="KU4" s="4">
        <v>44651</v>
      </c>
      <c r="KV4" s="4">
        <f>DATE(YEAR(KU4)+5,MONTH(KU4),DAY(KU4))</f>
        <v>46477</v>
      </c>
      <c r="KW4" s="8">
        <f ca="1">KV4-TODAY()</f>
        <v>343</v>
      </c>
      <c r="KX4" s="5" t="str">
        <f ca="1">IF(KW4&gt;=61,"VIGENTE",IF(KW4&gt;=1,"POR VENCER",IF(KW4&lt;=-1,"VENCIDA",IF(KU4=0,"NO APLICA"))))</f>
        <v>VIGENTE</v>
      </c>
      <c r="KY4" s="5"/>
      <c r="KZ4" s="4">
        <v>44608</v>
      </c>
      <c r="LA4" s="4">
        <f>DATE(YEAR(KZ4)+5,MONTH(KZ4),DAY(KZ4))</f>
        <v>46434</v>
      </c>
      <c r="LB4" s="8">
        <f ca="1">LA4-TODAY()</f>
        <v>300</v>
      </c>
      <c r="LC4" s="5" t="str">
        <f ca="1">IF(LB4&gt;=61,"VIGENTE",IF(LB4&gt;=1,"POR VENCER",IF(LB4&lt;=-1,"VENCIDA",IF(KZ4=0,"NO APLICA"))))</f>
        <v>VIGENTE</v>
      </c>
      <c r="LD4" s="6"/>
      <c r="LE4" s="6"/>
      <c r="LF4" s="4"/>
      <c r="LG4" s="8"/>
      <c r="LH4" s="5" t="str">
        <f t="shared" ref="LH4:LH67" si="107">IF(LG4&gt;=61,"VIGENTE",IF(LG4&gt;=1,"POR VENCER",IF(LG4&lt;=-1,"VENCIDA",IF(LE4=0,"NO APLICA"))))</f>
        <v>NO APLICA</v>
      </c>
      <c r="LI4" s="3"/>
      <c r="LJ4" s="3">
        <v>44218</v>
      </c>
      <c r="LK4" s="4">
        <f>DATE(YEAR(LJ4)+5,MONTH(LJ4),DAY(LJ4))</f>
        <v>46044</v>
      </c>
      <c r="LL4" s="8">
        <f ca="1">LK4-TODAY()</f>
        <v>-90</v>
      </c>
      <c r="LM4" s="5" t="str">
        <f ca="1">IF(LL4&gt;=61,"VIGENTE",IF(LL4&gt;=1,"POR VENCER",IF(LL4&lt;=-1,"VENCIDA",IF(LJ4=0,"NO APLICA"))))</f>
        <v>VENCIDA</v>
      </c>
      <c r="LN4" s="3"/>
      <c r="LO4" s="4">
        <v>44377</v>
      </c>
      <c r="LP4" s="4">
        <f>DATE(YEAR(LO4)+5,MONTH(LO4),DAY(LO4))</f>
        <v>46203</v>
      </c>
      <c r="LQ4" s="8">
        <f ca="1">LP4-TODAY()</f>
        <v>69</v>
      </c>
      <c r="LR4" s="5" t="str">
        <f ca="1">IF(LQ4&gt;=61,"VIGENTE",IF(LQ4&gt;=1,"POR VENCER",IF(LQ4&lt;=-1,"VENCIDA",IF(LO4=0,"NO APLICA"))))</f>
        <v>VIGENTE</v>
      </c>
      <c r="LS4" s="4"/>
      <c r="LT4" s="4">
        <v>44986</v>
      </c>
      <c r="LU4" s="4">
        <f>DATE(YEAR(LT4)+5,MONTH(LT4),DAY(LT4))</f>
        <v>46813</v>
      </c>
      <c r="LV4" s="8">
        <f ca="1">LU4-TODAY()</f>
        <v>679</v>
      </c>
      <c r="LW4" s="5" t="str">
        <f ca="1">IF(LV4&gt;=61,"VIGENTE",IF(LV4&gt;=1,"POR VENCER",IF(LV4&lt;=-1,"VENCIDA",IF(LT4=0,"NO APLICA"))))</f>
        <v>VIGENTE</v>
      </c>
      <c r="LX4" s="4"/>
      <c r="LY4" s="4">
        <v>44988</v>
      </c>
      <c r="LZ4" s="4">
        <f>DATE(YEAR(LY4)+5,MONTH(LY4),DAY(LY4))</f>
        <v>46815</v>
      </c>
      <c r="MA4" s="8">
        <f ca="1">LZ4-TODAY()</f>
        <v>681</v>
      </c>
      <c r="MB4" s="5" t="str">
        <f ca="1">IF(MA4&gt;=61,"VIGENTE",IF(MA4&gt;=1,"POR VENCER",IF(MA4&lt;=-1,"VENCIDA",IF(LY4=0,"NO APLICA"))))</f>
        <v>VIGENTE</v>
      </c>
      <c r="MC4" s="2"/>
      <c r="MD4" s="2"/>
      <c r="ME4" s="4"/>
      <c r="MF4" s="8"/>
      <c r="MG4" s="5" t="str">
        <f t="shared" ref="MG4:MG67" si="108">IF(MF4&gt;=61,"VIGENTE",IF(MF4&gt;=1,"POR VENCER",IF(MF4&lt;=-1,"VENCIDA",IF(MD4=0,"NO APLICA"))))</f>
        <v>NO APLICA</v>
      </c>
      <c r="MH4" s="2"/>
      <c r="MI4" s="2"/>
      <c r="MJ4" s="4"/>
      <c r="MK4" s="8"/>
      <c r="ML4" s="5" t="str">
        <f t="shared" ref="ML4:ML67" si="109">IF(MK4&gt;=61,"VIGENTE",IF(MK4&gt;=1,"POR VENCER",IF(MK4&lt;=-1,"VENCIDA",IF(MI4=0,"NO APLICA"))))</f>
        <v>NO APLICA</v>
      </c>
      <c r="MM4" s="5"/>
      <c r="MN4" s="2"/>
      <c r="MO4" s="4"/>
      <c r="MP4" s="8"/>
      <c r="MQ4" s="5" t="str">
        <f t="shared" ref="MQ4:MQ67" si="110">IF(MP4&gt;=61,"VIGENTE",IF(MP4&gt;=1,"POR VENCER",IF(MP4&lt;=-1,"VENCIDA",IF(MN4=0,"NO APLICA"))))</f>
        <v>NO APLICA</v>
      </c>
      <c r="MR4" s="5"/>
      <c r="MS4" s="2"/>
      <c r="MT4" s="4"/>
      <c r="MU4" s="2"/>
      <c r="MV4" s="5" t="str">
        <f t="shared" ref="MV4:MV67" si="111">IF(MU4&gt;=61,"VIGENTE",IF(MU4&gt;=1,"POR VENCER",IF(MU4&lt;=-1,"VENCIDA",IF(MS4=0,"NO APLICA"))))</f>
        <v>NO APLICA</v>
      </c>
      <c r="MW4" s="2"/>
      <c r="MX4" s="6"/>
      <c r="MY4" s="4"/>
      <c r="MZ4" s="8"/>
      <c r="NA4" s="5" t="str">
        <f t="shared" ref="NA4:NA67" si="112">IF(MZ4&gt;=61,"VIGENTE",IF(MZ4&gt;=1,"POR VENCER",IF(MZ4&lt;=-1,"VENCIDA",IF(MX4=0,"NO APLICA"))))</f>
        <v>NO APLICA</v>
      </c>
      <c r="NB4" s="2"/>
      <c r="NC4" s="6"/>
      <c r="ND4" s="4"/>
      <c r="NE4" s="8"/>
      <c r="NF4" s="5" t="str">
        <f t="shared" ref="NF4:NF67" si="113">IF(NE4&gt;=61,"VIGENTE",IF(NE4&gt;=1,"POR VENCER",IF(NE4&lt;=-1,"VENCIDA",IF(NC4=0,"NO APLICA"))))</f>
        <v>NO APLICA</v>
      </c>
      <c r="NG4" s="2"/>
      <c r="NH4" s="6"/>
      <c r="NI4" s="4"/>
      <c r="NJ4" s="8"/>
      <c r="NK4" s="5" t="str">
        <f t="shared" ref="NK4:NK67" si="114">IF(NJ4&gt;=61,"VIGENTE",IF(NJ4&gt;=1,"POR VENCER",IF(NJ4&lt;=-1,"VENCIDA",IF(NH4=0,"NO APLICA"))))</f>
        <v>NO APLICA</v>
      </c>
      <c r="NL4" s="2"/>
      <c r="NM4" s="2"/>
      <c r="NN4" s="4"/>
      <c r="NO4" s="8"/>
      <c r="NP4" s="5" t="str">
        <f t="shared" ref="NP4:NP67" si="115">IF(NO4&gt;=61,"VIGENTE",IF(NO4&gt;=1,"POR VENCER",IF(NO4&lt;=-1,"VENCIDA",IF(NM4=0,"NO APLICA"))))</f>
        <v>NO APLICA</v>
      </c>
      <c r="NQ4" s="2"/>
      <c r="NR4" s="2"/>
      <c r="NS4" s="4"/>
      <c r="NT4" s="2"/>
      <c r="NU4" s="5" t="str">
        <f t="shared" ref="NU4:NU67" si="116">IF(NT4&gt;=61,"VIGENTE",IF(NT4&gt;=1,"POR VENCER",IF(NT4&lt;=-1,"VENCIDA",IF(NR4=0,"NO APLICA"))))</f>
        <v>NO APLICA</v>
      </c>
      <c r="NV4" s="6"/>
      <c r="NW4" s="6"/>
      <c r="NX4" s="4"/>
      <c r="NY4" s="8"/>
      <c r="NZ4" s="5" t="str">
        <f t="shared" ref="NZ4:NZ67" si="117">IF(NY4&gt;=61,"VIGENTE",IF(NY4&gt;=1,"POR VENCER",IF(NY4&lt;=-1,"VENCIDA",IF(NW4=0,"NO APLICA"))))</f>
        <v>NO APLICA</v>
      </c>
      <c r="OA4" s="6"/>
      <c r="OB4" s="6"/>
      <c r="OC4" s="6"/>
      <c r="OD4" s="6"/>
      <c r="OE4" s="5" t="str">
        <f t="shared" ref="OE4:OE67" si="118">IF(OD4&gt;=61,"VIGENTE",IF(OD4&gt;=1,"POR VENCER",IF(OD4&lt;=-1,"VENCIDA",IF(OB4=0,"NO APLICA"))))</f>
        <v>NO APLICA</v>
      </c>
      <c r="OF4" s="2"/>
      <c r="OG4" s="2"/>
      <c r="OH4" s="4"/>
      <c r="OI4" s="8"/>
      <c r="OJ4" s="5" t="str">
        <f t="shared" ref="OJ4:OJ67" si="119">IF(OI4&gt;=61,"VIGENTE",IF(OI4&gt;=1,"POR VENCER",IF(OI4&lt;=-1,"VENCIDA",IF(OG4=0,"NO APLICA"))))</f>
        <v>NO APLICA</v>
      </c>
      <c r="OK4" s="6"/>
      <c r="OL4" s="6"/>
      <c r="OM4" s="6"/>
      <c r="ON4" s="6"/>
      <c r="OO4" s="5" t="str">
        <f t="shared" ref="OO4:OO67" si="120">IF(ON4&gt;=61,"VIGENTE",IF(ON4&gt;=1,"POR VENCER",IF(ON4&lt;=-1,"VENCIDA",IF(OL4=0,"NO APLICA"))))</f>
        <v>NO APLICA</v>
      </c>
      <c r="OP4" s="6"/>
      <c r="OQ4" s="6"/>
      <c r="OR4" s="6"/>
      <c r="OS4" s="6"/>
      <c r="OT4" s="5" t="str">
        <f t="shared" ref="OT4:OT67" si="121">IF(OS4&gt;=61,"VIGENTE",IF(OS4&gt;=1,"POR VENCER",IF(OS4&lt;=-1,"VENCIDA",IF(OQ4=0,"NO APLICA"))))</f>
        <v>NO APLICA</v>
      </c>
      <c r="OU4" s="6"/>
      <c r="OV4" s="6"/>
      <c r="OW4" s="6"/>
      <c r="OX4" s="6"/>
      <c r="OY4" s="5" t="str">
        <f t="shared" ref="OY4:OY67" si="122">IF(OX4&gt;=61,"VIGENTE",IF(OX4&gt;=1,"POR VENCER",IF(OX4&lt;=-1,"VENCIDA",IF(OV4=0,"NO APLICA"))))</f>
        <v>NO APLICA</v>
      </c>
      <c r="OZ4" s="6"/>
      <c r="PA4" s="6"/>
      <c r="PB4" s="6"/>
      <c r="PC4" s="6"/>
      <c r="PD4" s="5" t="str">
        <f t="shared" ref="PD4:PD67" si="123">IF(PC4&gt;=61,"VIGENTE",IF(PC4&gt;=1,"POR VENCER",IF(PC4&lt;=-1,"VENCIDA",IF(PA4=0,"NO APLICA"))))</f>
        <v>NO APLICA</v>
      </c>
      <c r="PE4" s="6"/>
      <c r="PF4" s="6"/>
      <c r="PG4" s="6"/>
      <c r="PH4" s="6"/>
      <c r="PI4" s="5" t="str">
        <f t="shared" ref="PI4:PI67" si="124">IF(PH4&gt;=61,"VIGENTE",IF(PH4&gt;=1,"POR VENCER",IF(PH4&lt;=-1,"VENCIDA",IF(PF4=0,"NO APLICA"))))</f>
        <v>NO APLICA</v>
      </c>
      <c r="PJ4" s="5"/>
      <c r="PK4" s="6"/>
      <c r="PL4" s="4"/>
      <c r="PM4" s="8"/>
      <c r="PN4" s="5" t="str">
        <f t="shared" ref="PN4:PN67" si="125">IF(PM4&gt;=61,"VIGENTE",IF(PM4&gt;=1,"POR VENCER",IF(PM4&lt;=-1,"VENCIDA",IF(PK4=0,"NO APLICA"))))</f>
        <v>NO APLICA</v>
      </c>
      <c r="PO4" s="6"/>
      <c r="PP4" s="6"/>
      <c r="PQ4" s="6"/>
      <c r="PR4" s="6"/>
      <c r="PS4" s="5" t="str">
        <f t="shared" ref="PS4:PS67" si="126">IF(PR4&gt;=61,"VIGENTE",IF(PR4&gt;=1,"POR VENCER",IF(PR4&lt;=-1,"VENCIDA",IF(PP4=0,"NO APLICA"))))</f>
        <v>NO APLICA</v>
      </c>
      <c r="PT4" s="5"/>
      <c r="PU4" s="6"/>
      <c r="PV4" s="6"/>
      <c r="PW4" s="6"/>
      <c r="PX4" s="5" t="str">
        <f t="shared" ref="PX4:PX67" si="127">IF(PW4&gt;=61,"VIGENTE",IF(PW4&gt;=1,"POR VENCER",IF(PW4&lt;=-1,"VENCIDA",IF(PU4=0,"NO APLICA"))))</f>
        <v>NO APLICA</v>
      </c>
    </row>
    <row r="5" spans="1:440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71</v>
      </c>
      <c r="V5" s="4">
        <v>45097</v>
      </c>
      <c r="W5" s="4">
        <f t="shared" si="2"/>
        <v>46924</v>
      </c>
      <c r="X5" s="8">
        <f t="shared" ca="1" si="3"/>
        <v>790</v>
      </c>
      <c r="Y5" s="5" t="str">
        <f t="shared" ca="1" si="4"/>
        <v>VIGENTE</v>
      </c>
      <c r="Z5" s="2" t="s">
        <v>72</v>
      </c>
      <c r="AA5" s="4">
        <v>44828</v>
      </c>
      <c r="AB5" s="4">
        <f t="shared" si="5"/>
        <v>46654</v>
      </c>
      <c r="AC5" s="8">
        <f t="shared" ca="1" si="6"/>
        <v>520</v>
      </c>
      <c r="AD5" s="5" t="str">
        <f t="shared" ca="1" si="7"/>
        <v>VIGENTE</v>
      </c>
      <c r="AE5" s="3"/>
      <c r="AF5" s="4">
        <v>45617</v>
      </c>
      <c r="AG5" s="4">
        <f t="shared" ref="AG5:AG7" si="129">DATE(YEAR(AF5)+2,MONTH(AF5),DAY(AF5)-1)</f>
        <v>46346</v>
      </c>
      <c r="AH5" s="8">
        <f t="shared" ca="1" si="8"/>
        <v>212</v>
      </c>
      <c r="AI5" s="5" t="str">
        <f t="shared" ca="1" si="9"/>
        <v>VIGENTE</v>
      </c>
      <c r="AJ5" s="3"/>
      <c r="AK5" s="4">
        <v>45926</v>
      </c>
      <c r="AL5" s="4">
        <f t="shared" ref="AL5:AL9" si="130">DATE(YEAR(AK5)+2,MONTH(AK5),DAY(AK5))</f>
        <v>46656</v>
      </c>
      <c r="AM5" s="8">
        <f t="shared" ca="1" si="10"/>
        <v>522</v>
      </c>
      <c r="AN5" s="5" t="str">
        <f t="shared" ca="1" si="11"/>
        <v>VIGENTE</v>
      </c>
      <c r="AO5" s="3"/>
      <c r="AP5" s="4">
        <v>45904</v>
      </c>
      <c r="AQ5" s="4">
        <f t="shared" ref="AQ5:AQ10" si="131">DATE(YEAR(AP5)+2,MONTH(AP5),DAY(AP5))</f>
        <v>46634</v>
      </c>
      <c r="AR5" s="8">
        <f t="shared" ca="1" si="12"/>
        <v>500</v>
      </c>
      <c r="AS5" s="5" t="str">
        <f t="shared" ca="1" si="13"/>
        <v>VIGENTE</v>
      </c>
      <c r="AT5" s="3"/>
      <c r="AU5" s="4">
        <v>45952</v>
      </c>
      <c r="AV5" s="4">
        <f t="shared" si="14"/>
        <v>46682</v>
      </c>
      <c r="AW5" s="8">
        <f t="shared" ca="1" si="15"/>
        <v>548</v>
      </c>
      <c r="AX5" s="5" t="str">
        <f t="shared" ca="1" si="16"/>
        <v>VIGENTE</v>
      </c>
      <c r="AY5" s="3"/>
      <c r="AZ5" s="4">
        <v>45717</v>
      </c>
      <c r="BA5" s="4">
        <f>DATE(YEAR(AZ5)+2,MONTH(AZ5),DAY(AZ5)-1)</f>
        <v>46446</v>
      </c>
      <c r="BB5" s="8">
        <f t="shared" ca="1" si="17"/>
        <v>312</v>
      </c>
      <c r="BC5" s="5" t="str">
        <f t="shared" ca="1" si="18"/>
        <v>VIGENTE</v>
      </c>
      <c r="BD5" s="3"/>
      <c r="BE5" s="4">
        <v>45987</v>
      </c>
      <c r="BF5" s="4">
        <f>DATE(YEAR(BE5)+2,MONTH(BE5),DAY(BE5))</f>
        <v>46717</v>
      </c>
      <c r="BG5" s="8">
        <f t="shared" ca="1" si="19"/>
        <v>583</v>
      </c>
      <c r="BH5" s="5" t="str">
        <f t="shared" ca="1" si="20"/>
        <v>VIGENTE</v>
      </c>
      <c r="BI5" s="3"/>
      <c r="BJ5" s="4">
        <v>46035</v>
      </c>
      <c r="BK5" s="4">
        <f t="shared" ref="BK5:BK7" si="132">DATE(YEAR(BJ5)+2,MONTH(BJ5),DAY(BJ5))</f>
        <v>46765</v>
      </c>
      <c r="BL5" s="8">
        <f t="shared" ca="1" si="21"/>
        <v>631</v>
      </c>
      <c r="BM5" s="5" t="str">
        <f t="shared" ca="1" si="22"/>
        <v>VIGENTE</v>
      </c>
      <c r="BN5" s="3"/>
      <c r="BO5" s="4">
        <v>46069</v>
      </c>
      <c r="BP5" s="4">
        <f>DATE(YEAR(BO5)+2,MONTH(BO5),DAY(BO5))</f>
        <v>46799</v>
      </c>
      <c r="BQ5" s="8">
        <f t="shared" ca="1" si="23"/>
        <v>665</v>
      </c>
      <c r="BR5" s="5" t="str">
        <f t="shared" ca="1" si="24"/>
        <v>VIGENTE</v>
      </c>
      <c r="BS5" s="3"/>
      <c r="BT5" s="4">
        <v>45449</v>
      </c>
      <c r="BU5" s="4">
        <f>DATE(YEAR(BT5)+2,MONTH(BT5),DAY(BT5)-1)</f>
        <v>46178</v>
      </c>
      <c r="BV5" s="8">
        <f t="shared" ca="1" si="25"/>
        <v>44</v>
      </c>
      <c r="BW5" s="5" t="str">
        <f t="shared" ca="1" si="26"/>
        <v>POR VENCER</v>
      </c>
      <c r="BX5" s="3"/>
      <c r="BY5" s="4">
        <v>45485</v>
      </c>
      <c r="BZ5" s="4">
        <f t="shared" ref="BZ5:BZ10" si="133">DATE(YEAR(BY5)+2,MONTH(BY5),DAY(BY5)-1)</f>
        <v>46214</v>
      </c>
      <c r="CA5" s="8">
        <f t="shared" ca="1" si="27"/>
        <v>80</v>
      </c>
      <c r="CB5" s="5" t="str">
        <f t="shared" ca="1" si="28"/>
        <v>POR VENCER</v>
      </c>
      <c r="CC5" s="6" t="s">
        <v>73</v>
      </c>
      <c r="CD5" s="4">
        <v>45211</v>
      </c>
      <c r="CE5" s="4">
        <f t="shared" si="29"/>
        <v>46672</v>
      </c>
      <c r="CF5" s="8">
        <f t="shared" ca="1" si="30"/>
        <v>538</v>
      </c>
      <c r="CG5" s="5" t="str">
        <f t="shared" ca="1" si="31"/>
        <v>VIGENTE</v>
      </c>
      <c r="CH5" s="4"/>
      <c r="CI5" s="4">
        <v>45504</v>
      </c>
      <c r="CJ5" s="4">
        <f t="shared" ref="CJ5:CJ10" si="134">DATE(YEAR(CI5)+2,MONTH(CI5),DAY(CI5)-1)</f>
        <v>46233</v>
      </c>
      <c r="CK5" s="8">
        <f t="shared" ca="1" si="32"/>
        <v>99</v>
      </c>
      <c r="CL5" s="5" t="str">
        <f t="shared" ca="1" si="33"/>
        <v>VIGENTE</v>
      </c>
      <c r="CM5" s="3"/>
      <c r="CN5" s="4">
        <v>45517</v>
      </c>
      <c r="CO5" s="4">
        <f>DATE(YEAR(CN5)+2,MONTH(CN5),DAY(CN5)-1)</f>
        <v>46246</v>
      </c>
      <c r="CP5" s="8">
        <f t="shared" ca="1" si="34"/>
        <v>112</v>
      </c>
      <c r="CQ5" s="5" t="str">
        <f t="shared" ca="1" si="35"/>
        <v>VIGENTE</v>
      </c>
      <c r="CR5" s="3"/>
      <c r="CS5" s="4">
        <v>45639</v>
      </c>
      <c r="CT5" s="4">
        <f t="shared" ref="CT5:CT10" si="135">DATE(YEAR(CS5)+2,MONTH(CS5),DAY(CS5)-1)</f>
        <v>46368</v>
      </c>
      <c r="CU5" s="8">
        <f t="shared" ca="1" si="36"/>
        <v>234</v>
      </c>
      <c r="CV5" s="5" t="str">
        <f t="shared" ca="1" si="37"/>
        <v>VIGENTE</v>
      </c>
      <c r="CW5" s="3"/>
      <c r="CX5" s="4">
        <v>45661</v>
      </c>
      <c r="CY5" s="4">
        <f t="shared" ref="CY5:CY10" si="136">DATE(YEAR(CX5)+2,MONTH(CX5),DAY(CX5)-1)</f>
        <v>46390</v>
      </c>
      <c r="CZ5" s="8">
        <f t="shared" ca="1" si="38"/>
        <v>256</v>
      </c>
      <c r="DA5" s="5" t="str">
        <f t="shared" ca="1" si="39"/>
        <v>VIGENTE</v>
      </c>
      <c r="DB5" s="3"/>
      <c r="DC5" s="4">
        <v>45689</v>
      </c>
      <c r="DD5" s="4">
        <f>DATE(YEAR(DC5)+2,MONTH(DC5),DAY(DC5)-1)</f>
        <v>46418</v>
      </c>
      <c r="DE5" s="8">
        <f t="shared" ca="1" si="40"/>
        <v>284</v>
      </c>
      <c r="DF5" s="5" t="str">
        <f t="shared" ca="1" si="41"/>
        <v>VIGENTE</v>
      </c>
      <c r="DG5" s="3"/>
      <c r="DH5" s="4">
        <v>45696</v>
      </c>
      <c r="DI5" s="4">
        <f t="shared" si="42"/>
        <v>46425</v>
      </c>
      <c r="DJ5" s="8">
        <f t="shared" ca="1" si="43"/>
        <v>291</v>
      </c>
      <c r="DK5" s="5" t="str">
        <f t="shared" ca="1" si="44"/>
        <v>VIGENTE</v>
      </c>
      <c r="DL5" s="3"/>
      <c r="DM5" s="4">
        <v>46007</v>
      </c>
      <c r="DN5" s="4">
        <f>DATE(YEAR(DM5)+2,MONTH(DM5),DAY(DM5))</f>
        <v>46737</v>
      </c>
      <c r="DO5" s="8">
        <f t="shared" ca="1" si="46"/>
        <v>603</v>
      </c>
      <c r="DP5" s="5" t="str">
        <f t="shared" ca="1" si="47"/>
        <v>VIGENTE</v>
      </c>
      <c r="DQ5" s="3"/>
      <c r="DR5" s="4">
        <v>45685</v>
      </c>
      <c r="DS5" s="4">
        <f>DATE(YEAR(DR5)+2,MONTH(DR5),DAY(DR5)-1)</f>
        <v>46414</v>
      </c>
      <c r="DT5" s="8">
        <f t="shared" ca="1" si="48"/>
        <v>280</v>
      </c>
      <c r="DU5" s="5" t="str">
        <f t="shared" ca="1" si="49"/>
        <v>VIGENTE</v>
      </c>
      <c r="DV5" s="3"/>
      <c r="DW5" s="4">
        <v>45663</v>
      </c>
      <c r="DX5" s="4">
        <f>DATE(YEAR(DW5)+2,MONTH(DW5),DAY(DW5)-1)</f>
        <v>46392</v>
      </c>
      <c r="DY5" s="8">
        <f t="shared" ca="1" si="50"/>
        <v>258</v>
      </c>
      <c r="DZ5" s="5" t="str">
        <f t="shared" ca="1" si="51"/>
        <v>VIGENTE</v>
      </c>
      <c r="EA5" s="3"/>
      <c r="EB5" s="4">
        <v>45674</v>
      </c>
      <c r="EC5" s="4">
        <f>DATE(YEAR(EB5)+2,MONTH(EB5),DAY(EB5)-1)</f>
        <v>46403</v>
      </c>
      <c r="ED5" s="8">
        <f t="shared" ca="1" si="52"/>
        <v>269</v>
      </c>
      <c r="EE5" s="5" t="str">
        <f t="shared" ca="1" si="53"/>
        <v>VIGENTE</v>
      </c>
      <c r="EF5" s="3"/>
      <c r="EG5" s="3">
        <v>46002</v>
      </c>
      <c r="EH5" s="4">
        <f t="shared" ref="EH5:EH68" si="137">DATE(YEAR(EG5)+1,MONTH(EG5),DAY(EG5))</f>
        <v>46367</v>
      </c>
      <c r="EI5" s="8">
        <f t="shared" ca="1" si="54"/>
        <v>233</v>
      </c>
      <c r="EJ5" s="5" t="str">
        <f t="shared" ca="1" si="55"/>
        <v>VIGENTE</v>
      </c>
      <c r="EK5" s="3"/>
      <c r="EL5" s="4">
        <v>45660</v>
      </c>
      <c r="EM5" s="4">
        <f>DATE(YEAR(EL5)+2,MONTH(EL5),DAY(EL5)-1)</f>
        <v>46389</v>
      </c>
      <c r="EN5" s="8">
        <f t="shared" ca="1" si="56"/>
        <v>255</v>
      </c>
      <c r="EO5" s="5" t="str">
        <f t="shared" ca="1" si="57"/>
        <v>VIGENTE</v>
      </c>
      <c r="EP5" s="3"/>
      <c r="EQ5" s="4">
        <v>45677</v>
      </c>
      <c r="ER5" s="4">
        <f>DATE(YEAR(EQ5)+2,MONTH(EQ5),DAY(EQ5)-1)</f>
        <v>46406</v>
      </c>
      <c r="ES5" s="8">
        <f t="shared" ca="1" si="58"/>
        <v>272</v>
      </c>
      <c r="ET5" s="5" t="str">
        <f t="shared" ca="1" si="59"/>
        <v>VIGENTE</v>
      </c>
      <c r="EU5" s="3"/>
      <c r="EV5" s="4">
        <v>45694</v>
      </c>
      <c r="EW5" s="4">
        <f t="shared" ref="EW5" si="138">DATE(YEAR(EV5)+2,MONTH(EV5),DAY(EV5)-1)</f>
        <v>46423</v>
      </c>
      <c r="EX5" s="8">
        <f t="shared" ca="1" si="60"/>
        <v>289</v>
      </c>
      <c r="EY5" s="5" t="str">
        <f t="shared" ca="1" si="61"/>
        <v>VIGENTE</v>
      </c>
      <c r="EZ5" s="3"/>
      <c r="FA5" s="4">
        <v>45666</v>
      </c>
      <c r="FB5" s="4">
        <f>DATE(YEAR(FA5)+2,MONTH(FA5),DAY(FA5)-1)</f>
        <v>46395</v>
      </c>
      <c r="FC5" s="8">
        <f t="shared" ca="1" si="62"/>
        <v>261</v>
      </c>
      <c r="FD5" s="5" t="str">
        <f t="shared" ca="1" si="63"/>
        <v>VIGENTE</v>
      </c>
      <c r="FE5" s="3"/>
      <c r="FF5" s="4">
        <v>45668</v>
      </c>
      <c r="FG5" s="4">
        <f>DATE(YEAR(FF5)+2,MONTH(FF5),DAY(FF5)-1)</f>
        <v>46397</v>
      </c>
      <c r="FH5" s="8">
        <f t="shared" ca="1" si="64"/>
        <v>263</v>
      </c>
      <c r="FI5" s="5" t="str">
        <f t="shared" ca="1" si="65"/>
        <v>VIGENTE</v>
      </c>
      <c r="FJ5" s="3"/>
      <c r="FK5" s="4">
        <v>45670</v>
      </c>
      <c r="FL5" s="4">
        <f t="shared" si="66"/>
        <v>46399</v>
      </c>
      <c r="FM5" s="8">
        <f t="shared" ca="1" si="67"/>
        <v>265</v>
      </c>
      <c r="FN5" s="5" t="str">
        <f t="shared" ca="1" si="68"/>
        <v>VIGENTE</v>
      </c>
      <c r="FO5" s="3"/>
      <c r="FP5" s="4">
        <v>45678</v>
      </c>
      <c r="FQ5" s="4">
        <f>DATE(YEAR(FP5)+2,MONTH(FP5),DAY(FP5)-1)</f>
        <v>46407</v>
      </c>
      <c r="FR5" s="8">
        <f t="shared" ca="1" si="69"/>
        <v>273</v>
      </c>
      <c r="FS5" s="5" t="str">
        <f t="shared" ca="1" si="70"/>
        <v>VIGENTE</v>
      </c>
      <c r="FT5" s="3"/>
      <c r="FU5" s="4">
        <v>45581</v>
      </c>
      <c r="FV5" s="4">
        <f t="shared" ref="FV5:FV10" si="139">DATE(YEAR(FU5)+2,MONTH(FU5),DAY(FU5)-1)</f>
        <v>46310</v>
      </c>
      <c r="FW5" s="8">
        <f t="shared" ca="1" si="71"/>
        <v>176</v>
      </c>
      <c r="FX5" s="5" t="str">
        <f t="shared" ca="1" si="72"/>
        <v>VIGENTE</v>
      </c>
      <c r="FY5" s="3"/>
      <c r="FZ5" s="4">
        <v>45667</v>
      </c>
      <c r="GA5" s="4">
        <f>DATE(YEAR(FZ5)+2,MONTH(FZ5),DAY(FZ5)-1)</f>
        <v>46396</v>
      </c>
      <c r="GB5" s="8">
        <f t="shared" ca="1" si="73"/>
        <v>262</v>
      </c>
      <c r="GC5" s="5" t="str">
        <f t="shared" ca="1" si="74"/>
        <v>VIGENTE</v>
      </c>
      <c r="GD5" s="3"/>
      <c r="GE5" s="4">
        <v>45752</v>
      </c>
      <c r="GF5" s="4">
        <f t="shared" ref="GF5:GF8" si="140">DATE(YEAR(GE5)+2,MONTH(GE5),DAY(GE5)-1)</f>
        <v>46481</v>
      </c>
      <c r="GG5" s="8">
        <f t="shared" ca="1" si="75"/>
        <v>347</v>
      </c>
      <c r="GH5" s="5" t="str">
        <f t="shared" ca="1" si="76"/>
        <v>VIGENTE</v>
      </c>
      <c r="GI5" s="3"/>
      <c r="GJ5" s="4">
        <v>45958</v>
      </c>
      <c r="GK5" s="4">
        <f>DATE(YEAR(GJ5)+2,MONTH(GJ5),DAY(GJ5))</f>
        <v>46688</v>
      </c>
      <c r="GL5" s="8">
        <f t="shared" ca="1" si="77"/>
        <v>554</v>
      </c>
      <c r="GM5" s="5" t="str">
        <f t="shared" ca="1" si="78"/>
        <v>VIGENTE</v>
      </c>
      <c r="GN5" s="4"/>
      <c r="GO5" s="4">
        <v>45017</v>
      </c>
      <c r="GP5" s="4">
        <f t="shared" si="79"/>
        <v>46844</v>
      </c>
      <c r="GQ5" s="8">
        <f t="shared" ca="1" si="80"/>
        <v>710</v>
      </c>
      <c r="GR5" s="5" t="str">
        <f t="shared" ca="1" si="81"/>
        <v>VIGENTE</v>
      </c>
      <c r="GS5" s="3"/>
      <c r="GT5" s="4">
        <v>45220</v>
      </c>
      <c r="GU5" s="4">
        <f t="shared" si="82"/>
        <v>47047</v>
      </c>
      <c r="GV5" s="8">
        <f t="shared" ca="1" si="83"/>
        <v>913</v>
      </c>
      <c r="GW5" s="5" t="str">
        <f t="shared" ca="1" si="84"/>
        <v>VIGENTE</v>
      </c>
      <c r="GX5" s="2"/>
      <c r="GY5" s="4">
        <v>45008</v>
      </c>
      <c r="GZ5" s="4">
        <f t="shared" si="85"/>
        <v>46835</v>
      </c>
      <c r="HA5" s="8">
        <f t="shared" ca="1" si="86"/>
        <v>701</v>
      </c>
      <c r="HB5" s="5" t="str">
        <f t="shared" ca="1" si="87"/>
        <v>VIGENTE</v>
      </c>
      <c r="HC5" s="6"/>
      <c r="HD5" s="4">
        <v>44879</v>
      </c>
      <c r="HE5" s="4">
        <f t="shared" si="88"/>
        <v>46705</v>
      </c>
      <c r="HF5" s="8">
        <f t="shared" ca="1" si="89"/>
        <v>571</v>
      </c>
      <c r="HG5" s="5" t="str">
        <f t="shared" ca="1" si="90"/>
        <v>VIGENTE</v>
      </c>
      <c r="HH5" s="3"/>
      <c r="HI5" s="4">
        <v>45480</v>
      </c>
      <c r="HJ5" s="4">
        <f>DATE(YEAR(HI5)+5,MONTH(HI5),DAY(HI5))</f>
        <v>47306</v>
      </c>
      <c r="HK5" s="8">
        <f ca="1">HJ5-TODAY()</f>
        <v>1172</v>
      </c>
      <c r="HL5" s="5" t="str">
        <f ca="1">IF(HK5&gt;=61,"VIGENTE",IF(HK5&gt;=1,"POR VENCER",IF(HK5&lt;=-1,"VENCIDA",IF(HI5=0,"NO APLICA"))))</f>
        <v>VIGENTE</v>
      </c>
      <c r="HM5" s="2"/>
      <c r="HN5" s="5"/>
      <c r="HO5" s="4"/>
      <c r="HP5" s="5"/>
      <c r="HQ5" s="5" t="str">
        <f t="shared" si="92"/>
        <v>NO APLICA</v>
      </c>
      <c r="HR5" s="3"/>
      <c r="HS5" s="4">
        <v>45208</v>
      </c>
      <c r="HT5" s="4">
        <f>DATE(YEAR(HS5)+5,MONTH(HS5),DAY(HS5))</f>
        <v>47035</v>
      </c>
      <c r="HU5" s="8">
        <f ca="1">HT5-TODAY()</f>
        <v>901</v>
      </c>
      <c r="HV5" s="5" t="str">
        <f ca="1">IF(HU5&gt;=61,"VIGENTE",IF(HU5&gt;=1,"POR VENCER",IF(HU5&lt;=-1,"VENCIDA",IF(HS5=0,"NO APLICA"))))</f>
        <v>VIGENTE</v>
      </c>
      <c r="HW5" s="3"/>
      <c r="HX5" s="4">
        <v>45241</v>
      </c>
      <c r="HY5" s="4">
        <f>DATE(YEAR(HX5)+5,MONTH(HX5),DAY(HX5))</f>
        <v>47068</v>
      </c>
      <c r="HZ5" s="8">
        <f ca="1">HY5-TODAY()</f>
        <v>934</v>
      </c>
      <c r="IA5" s="5" t="str">
        <f ca="1">IF(HZ5&gt;=61,"VIGENTE",IF(HZ5&gt;=1,"POR VENCER",IF(HZ5&lt;=-1,"VENCIDA",IF(HX5=0,"NO APLICA"))))</f>
        <v>VIGENTE</v>
      </c>
      <c r="IB5" s="3"/>
      <c r="IC5" s="4">
        <v>45192</v>
      </c>
      <c r="ID5" s="4">
        <f>DATE(YEAR(IC5)+5,MONTH(IC5),DAY(IC5))</f>
        <v>47019</v>
      </c>
      <c r="IE5" s="8">
        <f ca="1">ID5-TODAY()</f>
        <v>885</v>
      </c>
      <c r="IF5" s="5" t="str">
        <f ca="1">IF(IE5&gt;=61,"VIGENTE",IF(IE5&gt;=1,"POR VENCER",IF(IE5&lt;=-1,"VENCIDA",IF(IC5=0,"NO APLICA"))))</f>
        <v>VIGENTE</v>
      </c>
      <c r="IG5" s="4"/>
      <c r="IH5" s="4">
        <v>45262</v>
      </c>
      <c r="II5" s="4">
        <f>DATE(YEAR(IH5)+5,MONTH(IH5),DAY(IH5))</f>
        <v>47089</v>
      </c>
      <c r="IJ5" s="8">
        <f ca="1">II5-TODAY()</f>
        <v>955</v>
      </c>
      <c r="IK5" s="5" t="str">
        <f ca="1">IF(IJ5&gt;=61,"VIGENTE",IF(IJ5&gt;=1,"POR VENCER",IF(IJ5&lt;=-1,"VENCIDA",IF(IH5=0,"NO APLICA"))))</f>
        <v>VIGENTE</v>
      </c>
      <c r="IL5" s="3"/>
      <c r="IM5" s="4">
        <v>45304</v>
      </c>
      <c r="IN5" s="4">
        <f>DATE(YEAR(IM5)+5,MONTH(IM5),DAY(IM5))</f>
        <v>47131</v>
      </c>
      <c r="IO5" s="8">
        <f ca="1">IN5-TODAY()</f>
        <v>997</v>
      </c>
      <c r="IP5" s="5" t="str">
        <f ca="1">IF(IO5&gt;=61,"VIGENTE",IF(IO5&gt;=1,"POR VENCER",IF(IO5&lt;=-1,"VENCIDA",IF(IM5=0,"NO APLICA"))))</f>
        <v>VIGENTE</v>
      </c>
      <c r="IQ5" s="3"/>
      <c r="IR5" s="4">
        <v>45240</v>
      </c>
      <c r="IS5" s="4">
        <f>DATE(YEAR(IR5)+5,MONTH(IR5),DAY(IR5))</f>
        <v>47067</v>
      </c>
      <c r="IT5" s="8">
        <f ca="1">IS5-TODAY()</f>
        <v>933</v>
      </c>
      <c r="IU5" s="5" t="str">
        <f ca="1">IF(IT5&gt;=61,"VIGENTE",IF(IT5&gt;=1,"POR VENCER",IF(IT5&lt;=-1,"VENCIDA",IF(IR5=0,"NO APLICA"))))</f>
        <v>VIGENTE</v>
      </c>
      <c r="IV5" s="3"/>
      <c r="IW5" s="4">
        <v>45206</v>
      </c>
      <c r="IX5" s="4">
        <f>DATE(YEAR(IW5)+5,MONTH(IW5),DAY(IW5))</f>
        <v>47033</v>
      </c>
      <c r="IY5" s="8">
        <f ca="1">IX5-TODAY()</f>
        <v>899</v>
      </c>
      <c r="IZ5" s="5" t="str">
        <f ca="1">IF(IY5&gt;=61,"VIGENTE",IF(IY5&gt;=1,"POR VENCER",IF(IY5&lt;=-1,"VENCIDA",IF(IW5=0,"NO APLICA"))))</f>
        <v>VIGENTE</v>
      </c>
      <c r="JA5" s="3"/>
      <c r="JB5" s="3"/>
      <c r="JC5" s="4"/>
      <c r="JD5" s="8"/>
      <c r="JE5" s="5" t="str">
        <f t="shared" si="100"/>
        <v>NO APLICA</v>
      </c>
      <c r="JF5" s="6"/>
      <c r="JG5" s="6"/>
      <c r="JH5" s="6"/>
      <c r="JI5" s="6"/>
      <c r="JJ5" s="5" t="str">
        <f t="shared" si="101"/>
        <v>NO APLICA</v>
      </c>
      <c r="JK5" s="6"/>
      <c r="JL5" s="6"/>
      <c r="JM5" s="6"/>
      <c r="JN5" s="6"/>
      <c r="JO5" s="5" t="str">
        <f t="shared" si="102"/>
        <v>NO APLICA</v>
      </c>
      <c r="JP5" s="6"/>
      <c r="JQ5" s="6"/>
      <c r="JR5" s="6"/>
      <c r="JS5" s="6"/>
      <c r="JT5" s="5" t="str">
        <f t="shared" si="103"/>
        <v>NO APLICA</v>
      </c>
      <c r="JU5" s="5"/>
      <c r="JV5" s="3"/>
      <c r="JW5" s="4"/>
      <c r="JX5" s="8"/>
      <c r="JY5" s="5" t="str">
        <f>IF(JX5&gt;=61,"VIGENTE",IF(JX5&gt;=1,"POR VENCER",IF(JX5&lt;=-1,"VENCIDA",IF(JV5=0,"NO APLICA"))))</f>
        <v>NO APLICA</v>
      </c>
      <c r="JZ5" s="5"/>
      <c r="KA5" s="5"/>
      <c r="KB5" s="4"/>
      <c r="KC5" s="8"/>
      <c r="KD5" s="5" t="str">
        <f t="shared" si="105"/>
        <v>NO APLICA</v>
      </c>
      <c r="KE5" s="5"/>
      <c r="KF5" s="5"/>
      <c r="KG5" s="4"/>
      <c r="KH5" s="8"/>
      <c r="KI5" s="5" t="str">
        <f t="shared" ref="KI5:KI68" si="141">IF(KH5&gt;=61,"VIGENTE",IF(KH5&gt;=1,"POR VENCER",IF(KH5&lt;=-1,"VENCIDA",IF(KF5=0,"NO APLICA"))))</f>
        <v>NO APLICA</v>
      </c>
      <c r="KJ5" s="5"/>
      <c r="KK5" s="3">
        <v>45364</v>
      </c>
      <c r="KL5" s="4">
        <f>DATE(YEAR(KK5)+5,MONTH(KK5),DAY(KK5))</f>
        <v>47190</v>
      </c>
      <c r="KM5" s="8">
        <f ca="1">KL5-TODAY()</f>
        <v>1056</v>
      </c>
      <c r="KN5" s="5" t="str">
        <f ca="1">IF(KM5&gt;=61,"VIGENTE",IF(KM5&gt;=1,"POR VENCER",IF(KM5&lt;=-1,"VENCIDA",IF(KK5=0,"NO APLICA"))))</f>
        <v>VIGENTE</v>
      </c>
      <c r="KO5" s="5"/>
      <c r="KP5" s="2"/>
      <c r="KQ5" s="4"/>
      <c r="KR5" s="8"/>
      <c r="KS5" s="5" t="str">
        <f t="shared" ref="KS5:KS68" si="142">IF(KR5&gt;=61,"VIGENTE",IF(KR5&gt;=1,"POR VENCER",IF(KR5&lt;=-1,"VENCIDA",IF(KP5=0,"NO APLICA"))))</f>
        <v>NO APLICA</v>
      </c>
      <c r="KT5" s="3"/>
      <c r="KU5" s="4">
        <v>44653</v>
      </c>
      <c r="KV5" s="4">
        <f>DATE(YEAR(KU5)+5,MONTH(KU5),DAY(KU5))</f>
        <v>46479</v>
      </c>
      <c r="KW5" s="8">
        <f ca="1">KV5-TODAY()</f>
        <v>345</v>
      </c>
      <c r="KX5" s="5" t="str">
        <f ca="1">IF(KW5&gt;=61,"VIGENTE",IF(KW5&gt;=1,"POR VENCER",IF(KW5&lt;=-1,"VENCIDA",IF(KU5=0,"NO APLICA"))))</f>
        <v>VIGENTE</v>
      </c>
      <c r="KY5" s="5"/>
      <c r="KZ5" s="6"/>
      <c r="LA5" s="4"/>
      <c r="LB5" s="8"/>
      <c r="LC5" s="5" t="str">
        <f t="shared" ref="LC5:LC68" si="143">IF(LB5&gt;=61,"VIGENTE",IF(LB5&gt;=1,"POR VENCER",IF(LB5&lt;=-1,"VENCIDA",IF(KZ5=0,"NO APLICA"))))</f>
        <v>NO APLICA</v>
      </c>
      <c r="LD5" s="4"/>
      <c r="LE5" s="4"/>
      <c r="LF5" s="4"/>
      <c r="LG5" s="8"/>
      <c r="LH5" s="5" t="str">
        <f>IF(LG5&gt;=61,"VIGENTE",IF(LG5&gt;=1,"POR VENCER",IF(LG5&lt;=-1,"VENCIDA",IF(LE5=0,"NO APLICA"))))</f>
        <v>NO APLICA</v>
      </c>
      <c r="LI5" s="5"/>
      <c r="LJ5" s="3">
        <v>44218</v>
      </c>
      <c r="LK5" s="4">
        <f>DATE(YEAR(LJ5)+5,MONTH(LJ5),DAY(LJ5))</f>
        <v>46044</v>
      </c>
      <c r="LL5" s="8">
        <f ca="1">LK5-TODAY()</f>
        <v>-90</v>
      </c>
      <c r="LM5" s="5" t="str">
        <f ca="1">IF(LL5&gt;=61,"VIGENTE",IF(LL5&gt;=1,"POR VENCER",IF(LL5&lt;=-1,"VENCIDA",IF(LJ5=0,"NO APLICA"))))</f>
        <v>VENCIDA</v>
      </c>
      <c r="LN5" s="5"/>
      <c r="LO5" s="6"/>
      <c r="LP5" s="4"/>
      <c r="LQ5" s="8"/>
      <c r="LR5" s="5" t="str">
        <f t="shared" ref="LR5:LR68" si="144">IF(LQ5&gt;=61,"VIGENTE",IF(LQ5&gt;=1,"POR VENCER",IF(LQ5&lt;=-1,"VENCIDA",IF(LO5=0,"NO APLICA"))))</f>
        <v>NO APLICA</v>
      </c>
      <c r="LS5" s="6"/>
      <c r="LT5" s="6"/>
      <c r="LU5" s="4"/>
      <c r="LV5" s="8"/>
      <c r="LW5" s="5" t="str">
        <f t="shared" ref="LW5:LW68" si="145">IF(LV5&gt;=61,"VIGENTE",IF(LV5&gt;=1,"POR VENCER",IF(LV5&lt;=-1,"VENCIDA",IF(LT5=0,"NO APLICA"))))</f>
        <v>NO APLICA</v>
      </c>
      <c r="LX5" s="6"/>
      <c r="LY5" s="6"/>
      <c r="LZ5" s="4"/>
      <c r="MA5" s="8"/>
      <c r="MB5" s="5" t="str">
        <f t="shared" ref="MB5:MB68" si="146">IF(MA5&gt;=61,"VIGENTE",IF(MA5&gt;=1,"POR VENCER",IF(MA5&lt;=-1,"VENCIDA",IF(LY5=0,"NO APLICA"))))</f>
        <v>NO APLICA</v>
      </c>
      <c r="MC5" s="4"/>
      <c r="MD5" s="4">
        <v>45010</v>
      </c>
      <c r="ME5" s="4">
        <f>DATE(YEAR(MD5)+5,MONTH(MD5),DAY(MD5))</f>
        <v>46837</v>
      </c>
      <c r="MF5" s="8">
        <f ca="1">ME5-TODAY()</f>
        <v>703</v>
      </c>
      <c r="MG5" s="5" t="str">
        <f ca="1">IF(MF5&gt;=61,"VIGENTE",IF(MF5&gt;=1,"POR VENCER",IF(MF5&lt;=-1,"VENCIDA",IF(MD5=0,"NO APLICA"))))</f>
        <v>VIGENTE</v>
      </c>
      <c r="MH5" s="5"/>
      <c r="MI5" s="5"/>
      <c r="MJ5" s="4"/>
      <c r="MK5" s="8"/>
      <c r="ML5" s="5" t="str">
        <f t="shared" si="109"/>
        <v>NO APLICA</v>
      </c>
      <c r="MM5" s="5"/>
      <c r="MN5" s="5"/>
      <c r="MO5" s="4"/>
      <c r="MP5" s="8"/>
      <c r="MQ5" s="5" t="str">
        <f t="shared" si="110"/>
        <v>NO APLICA</v>
      </c>
      <c r="MR5" s="5"/>
      <c r="MS5" s="5"/>
      <c r="MT5" s="4"/>
      <c r="MU5" s="5"/>
      <c r="MV5" s="5" t="str">
        <f t="shared" si="111"/>
        <v>NO APLICA</v>
      </c>
      <c r="MW5" s="5"/>
      <c r="MX5" s="6"/>
      <c r="MY5" s="4"/>
      <c r="MZ5" s="8"/>
      <c r="NA5" s="5" t="str">
        <f t="shared" si="112"/>
        <v>NO APLICA</v>
      </c>
      <c r="NB5" s="5"/>
      <c r="NC5" s="6"/>
      <c r="ND5" s="4"/>
      <c r="NE5" s="8"/>
      <c r="NF5" s="5" t="str">
        <f t="shared" si="113"/>
        <v>NO APLICA</v>
      </c>
      <c r="NG5" s="5"/>
      <c r="NH5" s="6"/>
      <c r="NI5" s="4"/>
      <c r="NJ5" s="8"/>
      <c r="NK5" s="5" t="str">
        <f t="shared" si="114"/>
        <v>NO APLICA</v>
      </c>
      <c r="NL5" s="5"/>
      <c r="NM5" s="5"/>
      <c r="NN5" s="4"/>
      <c r="NO5" s="8"/>
      <c r="NP5" s="5" t="str">
        <f t="shared" si="115"/>
        <v>NO APLICA</v>
      </c>
      <c r="NQ5" s="5"/>
      <c r="NR5" s="5"/>
      <c r="NS5" s="5"/>
      <c r="NT5" s="5"/>
      <c r="NU5" s="5" t="str">
        <f t="shared" si="116"/>
        <v>NO APLICA</v>
      </c>
      <c r="NV5" s="6"/>
      <c r="NW5" s="6"/>
      <c r="NX5" s="4"/>
      <c r="NY5" s="8"/>
      <c r="NZ5" s="5" t="str">
        <f t="shared" si="117"/>
        <v>NO APLICA</v>
      </c>
      <c r="OA5" s="6"/>
      <c r="OB5" s="6"/>
      <c r="OC5" s="6"/>
      <c r="OD5" s="6"/>
      <c r="OE5" s="5" t="str">
        <f t="shared" si="118"/>
        <v>NO APLICA</v>
      </c>
      <c r="OF5" s="5"/>
      <c r="OG5" s="5"/>
      <c r="OH5" s="4"/>
      <c r="OI5" s="8"/>
      <c r="OJ5" s="5" t="str">
        <f t="shared" si="119"/>
        <v>NO APLICA</v>
      </c>
      <c r="OK5" s="6"/>
      <c r="OL5" s="6"/>
      <c r="OM5" s="6"/>
      <c r="ON5" s="6"/>
      <c r="OO5" s="5" t="str">
        <f t="shared" si="120"/>
        <v>NO APLICA</v>
      </c>
      <c r="OP5" s="6"/>
      <c r="OQ5" s="6"/>
      <c r="OR5" s="6"/>
      <c r="OS5" s="6"/>
      <c r="OT5" s="5" t="str">
        <f t="shared" si="121"/>
        <v>NO APLICA</v>
      </c>
      <c r="OU5" s="6"/>
      <c r="OV5" s="6"/>
      <c r="OW5" s="6"/>
      <c r="OX5" s="6"/>
      <c r="OY5" s="5" t="str">
        <f t="shared" si="122"/>
        <v>NO APLICA</v>
      </c>
      <c r="OZ5" s="6"/>
      <c r="PA5" s="6"/>
      <c r="PB5" s="6"/>
      <c r="PC5" s="6"/>
      <c r="PD5" s="5" t="str">
        <f t="shared" si="123"/>
        <v>NO APLICA</v>
      </c>
      <c r="PE5" s="6"/>
      <c r="PF5" s="6"/>
      <c r="PG5" s="6"/>
      <c r="PH5" s="6"/>
      <c r="PI5" s="5" t="str">
        <f t="shared" si="124"/>
        <v>NO APLICA</v>
      </c>
      <c r="PJ5" s="5"/>
      <c r="PK5" s="6"/>
      <c r="PL5" s="4"/>
      <c r="PM5" s="8"/>
      <c r="PN5" s="5" t="str">
        <f t="shared" si="125"/>
        <v>NO APLICA</v>
      </c>
      <c r="PO5" s="6"/>
      <c r="PP5" s="6"/>
      <c r="PQ5" s="6"/>
      <c r="PR5" s="6"/>
      <c r="PS5" s="5" t="str">
        <f t="shared" si="126"/>
        <v>NO APLICA</v>
      </c>
      <c r="PT5" s="5"/>
      <c r="PU5" s="6"/>
      <c r="PV5" s="6"/>
      <c r="PW5" s="6"/>
      <c r="PX5" s="5" t="str">
        <f t="shared" si="127"/>
        <v>NO APLICA</v>
      </c>
    </row>
    <row r="6" spans="1:440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76</v>
      </c>
      <c r="V6" s="4">
        <v>45500</v>
      </c>
      <c r="W6" s="4">
        <f t="shared" si="2"/>
        <v>47326</v>
      </c>
      <c r="X6" s="8">
        <f t="shared" ca="1" si="3"/>
        <v>1192</v>
      </c>
      <c r="Y6" s="5" t="str">
        <f t="shared" ca="1" si="4"/>
        <v>VIGENTE</v>
      </c>
      <c r="Z6" s="2" t="s">
        <v>77</v>
      </c>
      <c r="AA6" s="4">
        <v>44828</v>
      </c>
      <c r="AB6" s="4">
        <f t="shared" si="5"/>
        <v>46654</v>
      </c>
      <c r="AC6" s="8">
        <f t="shared" ca="1" si="6"/>
        <v>520</v>
      </c>
      <c r="AD6" s="5" t="str">
        <f t="shared" ca="1" si="7"/>
        <v>VIGENTE</v>
      </c>
      <c r="AE6" s="3"/>
      <c r="AF6" s="4">
        <v>45594</v>
      </c>
      <c r="AG6" s="4">
        <f t="shared" si="129"/>
        <v>46323</v>
      </c>
      <c r="AH6" s="8">
        <f t="shared" ca="1" si="8"/>
        <v>189</v>
      </c>
      <c r="AI6" s="5" t="str">
        <f t="shared" ca="1" si="9"/>
        <v>VIGENTE</v>
      </c>
      <c r="AJ6" s="3"/>
      <c r="AK6" s="4">
        <v>45926</v>
      </c>
      <c r="AL6" s="4">
        <f t="shared" si="130"/>
        <v>46656</v>
      </c>
      <c r="AM6" s="8">
        <f t="shared" ca="1" si="10"/>
        <v>522</v>
      </c>
      <c r="AN6" s="5" t="str">
        <f t="shared" ca="1" si="11"/>
        <v>VIGENTE</v>
      </c>
      <c r="AO6" s="3"/>
      <c r="AP6" s="4">
        <v>46048</v>
      </c>
      <c r="AQ6" s="4">
        <f t="shared" si="131"/>
        <v>46778</v>
      </c>
      <c r="AR6" s="8">
        <f t="shared" ca="1" si="12"/>
        <v>644</v>
      </c>
      <c r="AS6" s="5" t="str">
        <f t="shared" ca="1" si="13"/>
        <v>VIGENTE</v>
      </c>
      <c r="AT6" s="3"/>
      <c r="AU6" s="4">
        <v>45952</v>
      </c>
      <c r="AV6" s="4">
        <f t="shared" si="14"/>
        <v>46682</v>
      </c>
      <c r="AW6" s="8">
        <f t="shared" ca="1" si="15"/>
        <v>548</v>
      </c>
      <c r="AX6" s="5" t="str">
        <f t="shared" ca="1" si="16"/>
        <v>VIGENTE</v>
      </c>
      <c r="AY6" s="3"/>
      <c r="AZ6" s="4">
        <v>46041</v>
      </c>
      <c r="BA6" s="4">
        <f t="shared" ref="BA6:BA7" si="147">DATE(YEAR(AZ6)+2,MONTH(AZ6),DAY(AZ6))</f>
        <v>46771</v>
      </c>
      <c r="BB6" s="8">
        <f t="shared" ca="1" si="17"/>
        <v>637</v>
      </c>
      <c r="BC6" s="5" t="str">
        <f t="shared" ca="1" si="18"/>
        <v>VIGENTE</v>
      </c>
      <c r="BD6" s="3"/>
      <c r="BE6" s="4">
        <v>45997</v>
      </c>
      <c r="BF6" s="4">
        <f>DATE(YEAR(BE6)+2,MONTH(BE6),DAY(BE6))</f>
        <v>46727</v>
      </c>
      <c r="BG6" s="8">
        <f t="shared" ca="1" si="19"/>
        <v>593</v>
      </c>
      <c r="BH6" s="5" t="str">
        <f t="shared" ca="1" si="20"/>
        <v>VIGENTE</v>
      </c>
      <c r="BI6" s="3"/>
      <c r="BJ6" s="4">
        <v>46035</v>
      </c>
      <c r="BK6" s="4">
        <f t="shared" si="132"/>
        <v>46765</v>
      </c>
      <c r="BL6" s="8">
        <f t="shared" ca="1" si="21"/>
        <v>631</v>
      </c>
      <c r="BM6" s="5" t="str">
        <f t="shared" ca="1" si="22"/>
        <v>VIGENTE</v>
      </c>
      <c r="BN6" s="3"/>
      <c r="BO6" s="4">
        <v>46069</v>
      </c>
      <c r="BP6" s="4">
        <f>DATE(YEAR(BO6)+2,MONTH(BO6),DAY(BO6))</f>
        <v>46799</v>
      </c>
      <c r="BQ6" s="8">
        <f t="shared" ca="1" si="23"/>
        <v>665</v>
      </c>
      <c r="BR6" s="5" t="str">
        <f t="shared" ca="1" si="24"/>
        <v>VIGENTE</v>
      </c>
      <c r="BS6" s="3"/>
      <c r="BT6" s="4">
        <v>45449</v>
      </c>
      <c r="BU6" s="4">
        <f>DATE(YEAR(BT6)+2,MONTH(BT6),DAY(BT6)-1)</f>
        <v>46178</v>
      </c>
      <c r="BV6" s="8">
        <f t="shared" ca="1" si="25"/>
        <v>44</v>
      </c>
      <c r="BW6" s="5" t="str">
        <f t="shared" ca="1" si="26"/>
        <v>POR VENCER</v>
      </c>
      <c r="BX6" s="3"/>
      <c r="BY6" s="4">
        <v>45944</v>
      </c>
      <c r="BZ6" s="4">
        <f t="shared" ref="BZ6:BZ9" si="148">DATE(YEAR(BY6)+2,MONTH(BY6),DAY(BY6))</f>
        <v>46674</v>
      </c>
      <c r="CA6" s="8">
        <f t="shared" ca="1" si="27"/>
        <v>540</v>
      </c>
      <c r="CB6" s="5" t="str">
        <f t="shared" ca="1" si="28"/>
        <v>VIGENTE</v>
      </c>
      <c r="CC6" s="6" t="s">
        <v>73</v>
      </c>
      <c r="CD6" s="4">
        <v>45301</v>
      </c>
      <c r="CE6" s="4">
        <f t="shared" si="29"/>
        <v>46762</v>
      </c>
      <c r="CF6" s="8">
        <f t="shared" ca="1" si="30"/>
        <v>628</v>
      </c>
      <c r="CG6" s="5" t="str">
        <f t="shared" ca="1" si="31"/>
        <v>VIGENTE</v>
      </c>
      <c r="CH6" s="4"/>
      <c r="CI6" s="4">
        <v>46018</v>
      </c>
      <c r="CJ6" s="4">
        <f>DATE(YEAR(CI6)+2,MONTH(CI6),DAY(CI6))</f>
        <v>46748</v>
      </c>
      <c r="CK6" s="8">
        <f t="shared" ca="1" si="32"/>
        <v>614</v>
      </c>
      <c r="CL6" s="5" t="str">
        <f t="shared" ca="1" si="33"/>
        <v>VIGENTE</v>
      </c>
      <c r="CM6" s="3"/>
      <c r="CN6" s="4">
        <v>45517</v>
      </c>
      <c r="CO6" s="4">
        <f>DATE(YEAR(CN6)+2,MONTH(CN6),DAY(CN6)-1)</f>
        <v>46246</v>
      </c>
      <c r="CP6" s="8">
        <f t="shared" ca="1" si="34"/>
        <v>112</v>
      </c>
      <c r="CQ6" s="5" t="str">
        <f t="shared" ca="1" si="35"/>
        <v>VIGENTE</v>
      </c>
      <c r="CR6" s="3"/>
      <c r="CS6" s="4">
        <v>45631</v>
      </c>
      <c r="CT6" s="4">
        <f t="shared" si="135"/>
        <v>46360</v>
      </c>
      <c r="CU6" s="8">
        <f t="shared" ca="1" si="36"/>
        <v>226</v>
      </c>
      <c r="CV6" s="5" t="str">
        <f t="shared" ca="1" si="37"/>
        <v>VIGENTE</v>
      </c>
      <c r="CW6" s="3"/>
      <c r="CX6" s="4">
        <v>45661</v>
      </c>
      <c r="CY6" s="4">
        <f t="shared" si="136"/>
        <v>46390</v>
      </c>
      <c r="CZ6" s="8">
        <f t="shared" ca="1" si="38"/>
        <v>256</v>
      </c>
      <c r="DA6" s="5" t="str">
        <f t="shared" ca="1" si="39"/>
        <v>VIGENTE</v>
      </c>
      <c r="DB6" s="3"/>
      <c r="DC6" s="4">
        <v>45689</v>
      </c>
      <c r="DD6" s="4">
        <f>DATE(YEAR(DC6)+2,MONTH(DC6),DAY(DC6)-1)</f>
        <v>46418</v>
      </c>
      <c r="DE6" s="8">
        <f t="shared" ca="1" si="40"/>
        <v>284</v>
      </c>
      <c r="DF6" s="5" t="str">
        <f t="shared" ca="1" si="41"/>
        <v>VIGENTE</v>
      </c>
      <c r="DG6" s="3"/>
      <c r="DH6" s="4">
        <v>45975</v>
      </c>
      <c r="DI6" s="4">
        <f>DATE(YEAR(DH6)+2,MONTH(DH6),DAY(DH6))</f>
        <v>46705</v>
      </c>
      <c r="DJ6" s="8">
        <f t="shared" ca="1" si="43"/>
        <v>571</v>
      </c>
      <c r="DK6" s="5" t="str">
        <f t="shared" ca="1" si="44"/>
        <v>VIGENTE</v>
      </c>
      <c r="DL6" s="3"/>
      <c r="DM6" s="4">
        <v>46008</v>
      </c>
      <c r="DN6" s="4">
        <f t="shared" ref="DN6:DN9" si="149">DATE(YEAR(DM6)+2,MONTH(DM6),DAY(DM6))</f>
        <v>46738</v>
      </c>
      <c r="DO6" s="8">
        <f t="shared" ca="1" si="46"/>
        <v>604</v>
      </c>
      <c r="DP6" s="5" t="str">
        <f t="shared" ca="1" si="47"/>
        <v>VIGENTE</v>
      </c>
      <c r="DQ6" s="3"/>
      <c r="DR6" s="4">
        <v>46053</v>
      </c>
      <c r="DS6" s="4">
        <f>DATE(YEAR(DR6)+2,MONTH(DR6),DAY(DR6))</f>
        <v>46783</v>
      </c>
      <c r="DT6" s="8">
        <f t="shared" ca="1" si="48"/>
        <v>649</v>
      </c>
      <c r="DU6" s="5" t="str">
        <f t="shared" ca="1" si="49"/>
        <v>VIGENTE</v>
      </c>
      <c r="DV6" s="3"/>
      <c r="DW6" s="4">
        <v>45934</v>
      </c>
      <c r="DX6" s="4">
        <f>DATE(YEAR(DW6)+2,MONTH(DW6),DAY(DW6))</f>
        <v>46664</v>
      </c>
      <c r="DY6" s="8">
        <f t="shared" ca="1" si="50"/>
        <v>530</v>
      </c>
      <c r="DZ6" s="5" t="str">
        <f t="shared" ca="1" si="51"/>
        <v>VIGENTE</v>
      </c>
      <c r="EA6" s="3"/>
      <c r="EB6" s="4">
        <v>45494</v>
      </c>
      <c r="EC6" s="4">
        <f>DATE(YEAR(EB6)+2,MONTH(EB6),DAY(EB6)-1)</f>
        <v>46223</v>
      </c>
      <c r="ED6" s="8">
        <f t="shared" ca="1" si="52"/>
        <v>89</v>
      </c>
      <c r="EE6" s="5" t="str">
        <f t="shared" ca="1" si="53"/>
        <v>POR VENCER</v>
      </c>
      <c r="EF6" s="3"/>
      <c r="EG6" s="4">
        <v>45948</v>
      </c>
      <c r="EH6" s="4">
        <f t="shared" si="137"/>
        <v>46313</v>
      </c>
      <c r="EI6" s="8">
        <f t="shared" ca="1" si="54"/>
        <v>179</v>
      </c>
      <c r="EJ6" s="5" t="str">
        <f t="shared" ca="1" si="55"/>
        <v>VIGENTE</v>
      </c>
      <c r="EK6" s="3"/>
      <c r="EL6" s="4">
        <v>45966</v>
      </c>
      <c r="EM6" s="4">
        <f t="shared" ref="EM6:EM7" si="150">DATE(YEAR(EL6)+2,MONTH(EL6),DAY(EL6))</f>
        <v>46696</v>
      </c>
      <c r="EN6" s="8">
        <f t="shared" ca="1" si="56"/>
        <v>562</v>
      </c>
      <c r="EO6" s="5" t="str">
        <f t="shared" ca="1" si="57"/>
        <v>VIGENTE</v>
      </c>
      <c r="EP6" s="3"/>
      <c r="EQ6" s="4">
        <v>45524</v>
      </c>
      <c r="ER6" s="4">
        <f>DATE(YEAR(EQ6)+2,MONTH(EQ6),DAY(EQ6)-1)</f>
        <v>46253</v>
      </c>
      <c r="ES6" s="8">
        <f t="shared" ca="1" si="58"/>
        <v>119</v>
      </c>
      <c r="ET6" s="5" t="str">
        <f t="shared" ca="1" si="59"/>
        <v>VIGENTE</v>
      </c>
      <c r="EU6" s="3"/>
      <c r="EV6" s="4">
        <v>45973</v>
      </c>
      <c r="EW6" s="4">
        <f t="shared" ref="EW6:EW18" si="151">DATE(YEAR(EV6)+2,MONTH(EV6),DAY(EV6))</f>
        <v>46703</v>
      </c>
      <c r="EX6" s="8">
        <f t="shared" ca="1" si="60"/>
        <v>569</v>
      </c>
      <c r="EY6" s="5" t="str">
        <f t="shared" ca="1" si="61"/>
        <v>VIGENTE</v>
      </c>
      <c r="EZ6" s="3"/>
      <c r="FA6" s="4">
        <v>45922</v>
      </c>
      <c r="FB6" s="4">
        <f t="shared" ref="FB6:FB7" si="152">DATE(YEAR(FA6)+2,MONTH(FA6),DAY(FA6))</f>
        <v>46652</v>
      </c>
      <c r="FC6" s="8">
        <f t="shared" ca="1" si="62"/>
        <v>518</v>
      </c>
      <c r="FD6" s="5" t="str">
        <f t="shared" ca="1" si="63"/>
        <v>VIGENTE</v>
      </c>
      <c r="FE6" s="3"/>
      <c r="FF6" s="4">
        <v>45962</v>
      </c>
      <c r="FG6" s="4">
        <f t="shared" ref="FG6:FG18" si="153">DATE(YEAR(FF6)+2,MONTH(FF6),DAY(FF6))</f>
        <v>46692</v>
      </c>
      <c r="FH6" s="8">
        <f t="shared" ca="1" si="64"/>
        <v>558</v>
      </c>
      <c r="FI6" s="5" t="str">
        <f t="shared" ca="1" si="65"/>
        <v>VIGENTE</v>
      </c>
      <c r="FJ6" s="3"/>
      <c r="FK6" s="4">
        <v>45479</v>
      </c>
      <c r="FL6" s="4">
        <f t="shared" si="66"/>
        <v>46208</v>
      </c>
      <c r="FM6" s="8">
        <f t="shared" ca="1" si="67"/>
        <v>74</v>
      </c>
      <c r="FN6" s="5" t="str">
        <f t="shared" ca="1" si="68"/>
        <v>POR VENCER</v>
      </c>
      <c r="FO6" s="3"/>
      <c r="FP6" s="4">
        <v>45724</v>
      </c>
      <c r="FQ6" s="4">
        <f>DATE(YEAR(FP6)+2,MONTH(FP6),DAY(FP6)-1)</f>
        <v>46453</v>
      </c>
      <c r="FR6" s="8">
        <f t="shared" ca="1" si="69"/>
        <v>319</v>
      </c>
      <c r="FS6" s="5" t="str">
        <f t="shared" ca="1" si="70"/>
        <v>VIGENTE</v>
      </c>
      <c r="FT6" s="3"/>
      <c r="FU6" s="4">
        <v>45574</v>
      </c>
      <c r="FV6" s="4">
        <f t="shared" si="139"/>
        <v>46303</v>
      </c>
      <c r="FW6" s="8">
        <f t="shared" ca="1" si="71"/>
        <v>169</v>
      </c>
      <c r="FX6" s="5" t="str">
        <f t="shared" ca="1" si="72"/>
        <v>VIGENTE</v>
      </c>
      <c r="FY6" s="3"/>
      <c r="FZ6" s="4">
        <v>46073</v>
      </c>
      <c r="GA6" s="4">
        <f>DATE(YEAR(FZ6)+2,MONTH(FZ6),DAY(FZ6))</f>
        <v>46803</v>
      </c>
      <c r="GB6" s="8">
        <f t="shared" ca="1" si="73"/>
        <v>669</v>
      </c>
      <c r="GC6" s="5" t="str">
        <f t="shared" ca="1" si="74"/>
        <v>VIGENTE</v>
      </c>
      <c r="GD6" s="3"/>
      <c r="GE6" s="4">
        <v>46092</v>
      </c>
      <c r="GF6" s="4">
        <f t="shared" ref="GF6:GF7" si="154">DATE(YEAR(GE6)+2,MONTH(GE6),DAY(GE6))</f>
        <v>46823</v>
      </c>
      <c r="GG6" s="8">
        <f t="shared" ca="1" si="75"/>
        <v>689</v>
      </c>
      <c r="GH6" s="5" t="str">
        <f t="shared" ca="1" si="76"/>
        <v>VIGENTE</v>
      </c>
      <c r="GI6" s="3"/>
      <c r="GJ6" s="4">
        <v>45923</v>
      </c>
      <c r="GK6" s="4">
        <f t="shared" ref="GK6:GK7" si="155">DATE(YEAR(GJ6)+2,MONTH(GJ6),DAY(GJ6))</f>
        <v>46653</v>
      </c>
      <c r="GL6" s="8">
        <f t="shared" ca="1" si="77"/>
        <v>519</v>
      </c>
      <c r="GM6" s="5" t="str">
        <f t="shared" ca="1" si="78"/>
        <v>VIGENTE</v>
      </c>
      <c r="GN6" s="4"/>
      <c r="GO6" s="4">
        <v>45219</v>
      </c>
      <c r="GP6" s="4">
        <f t="shared" si="79"/>
        <v>47046</v>
      </c>
      <c r="GQ6" s="8">
        <f t="shared" ca="1" si="80"/>
        <v>912</v>
      </c>
      <c r="GR6" s="5" t="str">
        <f t="shared" ca="1" si="81"/>
        <v>VIGENTE</v>
      </c>
      <c r="GS6" s="3"/>
      <c r="GT6" s="4">
        <v>45252</v>
      </c>
      <c r="GU6" s="4">
        <f t="shared" si="82"/>
        <v>47079</v>
      </c>
      <c r="GV6" s="8">
        <f t="shared" ca="1" si="83"/>
        <v>945</v>
      </c>
      <c r="GW6" s="5" t="str">
        <f t="shared" ca="1" si="84"/>
        <v>VIGENTE</v>
      </c>
      <c r="GX6" s="3"/>
      <c r="GY6" s="4">
        <v>45251</v>
      </c>
      <c r="GZ6" s="4">
        <f t="shared" si="85"/>
        <v>47078</v>
      </c>
      <c r="HA6" s="8">
        <f t="shared" ca="1" si="86"/>
        <v>944</v>
      </c>
      <c r="HB6" s="5" t="str">
        <f t="shared" ca="1" si="87"/>
        <v>VIGENTE</v>
      </c>
      <c r="HC6" s="6"/>
      <c r="HD6" s="4">
        <v>44880</v>
      </c>
      <c r="HE6" s="4">
        <f t="shared" si="88"/>
        <v>46706</v>
      </c>
      <c r="HF6" s="8">
        <f t="shared" ca="1" si="89"/>
        <v>572</v>
      </c>
      <c r="HG6" s="5" t="str">
        <f t="shared" ca="1" si="90"/>
        <v>VIGENTE</v>
      </c>
      <c r="HH6" s="3"/>
      <c r="HI6" s="4">
        <v>45480</v>
      </c>
      <c r="HJ6" s="4">
        <f>DATE(YEAR(HI6)+5,MONTH(HI6),DAY(HI6))</f>
        <v>47306</v>
      </c>
      <c r="HK6" s="8">
        <f ca="1">HJ6-TODAY()</f>
        <v>1172</v>
      </c>
      <c r="HL6" s="5" t="str">
        <f ca="1">IF(HK6&gt;=61,"VIGENTE",IF(HK6&gt;=1,"POR VENCER",IF(HK6&lt;=-1,"VENCIDA",IF(HI6=0,"NO APLICA"))))</f>
        <v>VIGENTE</v>
      </c>
      <c r="HM6" s="2"/>
      <c r="HN6" s="2"/>
      <c r="HO6" s="4"/>
      <c r="HP6" s="2"/>
      <c r="HQ6" s="5" t="str">
        <f t="shared" si="92"/>
        <v>NO APLICA</v>
      </c>
      <c r="HR6" s="3"/>
      <c r="HS6" s="4">
        <v>45208</v>
      </c>
      <c r="HT6" s="4">
        <f>DATE(YEAR(HS6)+5,MONTH(HS6),DAY(HS6))</f>
        <v>47035</v>
      </c>
      <c r="HU6" s="8">
        <f ca="1">HT6-TODAY()</f>
        <v>901</v>
      </c>
      <c r="HV6" s="5" t="str">
        <f ca="1">IF(HU6&gt;=61,"VIGENTE",IF(HU6&gt;=1,"POR VENCER",IF(HU6&lt;=-1,"VENCIDA",IF(HS6=0,"NO APLICA"))))</f>
        <v>VIGENTE</v>
      </c>
      <c r="HW6" s="3"/>
      <c r="HX6" s="4">
        <v>45447</v>
      </c>
      <c r="HY6" s="4">
        <f>DATE(YEAR(HX6)+5,MONTH(HX6),DAY(HX6))</f>
        <v>47273</v>
      </c>
      <c r="HZ6" s="8">
        <f ca="1">HY6-TODAY()</f>
        <v>1139</v>
      </c>
      <c r="IA6" s="5" t="str">
        <f ca="1">IF(HZ6&gt;=61,"VIGENTE",IF(HZ6&gt;=1,"POR VENCER",IF(HZ6&lt;=-1,"VENCIDA",IF(HX6=0,"NO APLICA"))))</f>
        <v>VIGENTE</v>
      </c>
      <c r="IB6" s="3"/>
      <c r="IC6" s="4">
        <v>45444</v>
      </c>
      <c r="ID6" s="4">
        <f>DATE(YEAR(IC6)+5,MONTH(IC6),DAY(IC6))</f>
        <v>47270</v>
      </c>
      <c r="IE6" s="8">
        <f ca="1">ID6-TODAY()</f>
        <v>1136</v>
      </c>
      <c r="IF6" s="5" t="str">
        <f ca="1">IF(IE6&gt;=61,"VIGENTE",IF(IE6&gt;=1,"POR VENCER",IF(IE6&lt;=-1,"VENCIDA",IF(IC6=0,"NO APLICA"))))</f>
        <v>VIGENTE</v>
      </c>
      <c r="IG6" s="4"/>
      <c r="IH6" s="4">
        <v>45455</v>
      </c>
      <c r="II6" s="4">
        <f>DATE(YEAR(IH6)+5,MONTH(IH6),DAY(IH6))</f>
        <v>47281</v>
      </c>
      <c r="IJ6" s="8">
        <f ca="1">II6-TODAY()</f>
        <v>1147</v>
      </c>
      <c r="IK6" s="5" t="str">
        <f ca="1">IF(IJ6&gt;=61,"VIGENTE",IF(IJ6&gt;=1,"POR VENCER",IF(IJ6&lt;=-1,"VENCIDA",IF(IH6=0,"NO APLICA"))))</f>
        <v>VIGENTE</v>
      </c>
      <c r="IL6" s="3"/>
      <c r="IM6" s="4">
        <v>45433</v>
      </c>
      <c r="IN6" s="4">
        <f>DATE(YEAR(IM6)+5,MONTH(IM6),DAY(IM6))</f>
        <v>47259</v>
      </c>
      <c r="IO6" s="8">
        <f ca="1">IN6-TODAY()</f>
        <v>1125</v>
      </c>
      <c r="IP6" s="5" t="str">
        <f ca="1">IF(IO6&gt;=61,"VIGENTE",IF(IO6&gt;=1,"POR VENCER",IF(IO6&lt;=-1,"VENCIDA",IF(IM6=0,"NO APLICA"))))</f>
        <v>VIGENTE</v>
      </c>
      <c r="IQ6" s="3"/>
      <c r="IR6" s="4">
        <v>45435</v>
      </c>
      <c r="IS6" s="4">
        <f>DATE(YEAR(IR6)+5,MONTH(IR6),DAY(IR6))</f>
        <v>47261</v>
      </c>
      <c r="IT6" s="8">
        <f ca="1">IS6-TODAY()</f>
        <v>1127</v>
      </c>
      <c r="IU6" s="5" t="str">
        <f ca="1">IF(IT6&gt;=61,"VIGENTE",IF(IT6&gt;=1,"POR VENCER",IF(IT6&lt;=-1,"VENCIDA",IF(IR6=0,"NO APLICA"))))</f>
        <v>VIGENTE</v>
      </c>
      <c r="IV6" s="3"/>
      <c r="IW6" s="4">
        <v>45446</v>
      </c>
      <c r="IX6" s="4">
        <f>DATE(YEAR(IW6)+5,MONTH(IW6),DAY(IW6))</f>
        <v>47272</v>
      </c>
      <c r="IY6" s="8">
        <f ca="1">IX6-TODAY()</f>
        <v>1138</v>
      </c>
      <c r="IZ6" s="5" t="str">
        <f ca="1">IF(IY6&gt;=61,"VIGENTE",IF(IY6&gt;=1,"POR VENCER",IF(IY6&lt;=-1,"VENCIDA",IF(IW6=0,"NO APLICA"))))</f>
        <v>VIGENTE</v>
      </c>
      <c r="JA6" s="3"/>
      <c r="JB6" s="3"/>
      <c r="JC6" s="4"/>
      <c r="JD6" s="8"/>
      <c r="JE6" s="5" t="str">
        <f t="shared" si="100"/>
        <v>NO APLICA</v>
      </c>
      <c r="JF6" s="6"/>
      <c r="JG6" s="6"/>
      <c r="JH6" s="6"/>
      <c r="JI6" s="6"/>
      <c r="JJ6" s="5" t="str">
        <f t="shared" si="101"/>
        <v>NO APLICA</v>
      </c>
      <c r="JK6" s="6"/>
      <c r="JL6" s="6"/>
      <c r="JM6" s="6"/>
      <c r="JN6" s="6"/>
      <c r="JO6" s="5" t="str">
        <f t="shared" si="102"/>
        <v>NO APLICA</v>
      </c>
      <c r="JP6" s="6"/>
      <c r="JQ6" s="6"/>
      <c r="JR6" s="6"/>
      <c r="JS6" s="6"/>
      <c r="JT6" s="5" t="str">
        <f t="shared" si="103"/>
        <v>NO APLICA</v>
      </c>
      <c r="JU6" s="5"/>
      <c r="JV6" s="5"/>
      <c r="JW6" s="5"/>
      <c r="JX6" s="5"/>
      <c r="JY6" s="5" t="str">
        <f t="shared" si="104"/>
        <v>NO APLICA</v>
      </c>
      <c r="JZ6" s="5"/>
      <c r="KA6" s="2"/>
      <c r="KB6" s="4"/>
      <c r="KC6" s="8"/>
      <c r="KD6" s="5" t="str">
        <f t="shared" si="105"/>
        <v>NO APLICA</v>
      </c>
      <c r="KE6" s="5"/>
      <c r="KF6" s="2"/>
      <c r="KG6" s="4"/>
      <c r="KH6" s="8"/>
      <c r="KI6" s="5" t="str">
        <f t="shared" si="141"/>
        <v>NO APLICA</v>
      </c>
      <c r="KJ6" s="5"/>
      <c r="KK6" s="2"/>
      <c r="KL6" s="4"/>
      <c r="KM6" s="8"/>
      <c r="KN6" s="5" t="str">
        <f t="shared" si="106"/>
        <v>NO APLICA</v>
      </c>
      <c r="KO6" s="5"/>
      <c r="KP6" s="2"/>
      <c r="KQ6" s="4"/>
      <c r="KR6" s="8"/>
      <c r="KS6" s="5" t="str">
        <f t="shared" si="142"/>
        <v>NO APLICA</v>
      </c>
      <c r="KT6" s="2"/>
      <c r="KU6" s="6"/>
      <c r="KV6" s="4"/>
      <c r="KW6" s="8"/>
      <c r="KX6" s="5" t="str">
        <f t="shared" ref="KX6:KX69" si="156">IF(KW6&gt;=61,"VIGENTE",IF(KW6&gt;=1,"POR VENCER",IF(KW6&lt;=-1,"VENCIDA",IF(KU6=0,"NO APLICA"))))</f>
        <v>NO APLICA</v>
      </c>
      <c r="KY6" s="5"/>
      <c r="KZ6" s="4">
        <v>44613</v>
      </c>
      <c r="LA6" s="4">
        <f>DATE(YEAR(KZ6)+5,MONTH(KZ6),DAY(KZ6))</f>
        <v>46439</v>
      </c>
      <c r="LB6" s="8">
        <f ca="1">LA6-TODAY()</f>
        <v>305</v>
      </c>
      <c r="LC6" s="5" t="str">
        <f ca="1">IF(LB6&gt;=61,"VIGENTE",IF(LB6&gt;=1,"POR VENCER",IF(LB6&lt;=-1,"VENCIDA",IF(KZ6=0,"NO APLICA"))))</f>
        <v>VIGENTE</v>
      </c>
      <c r="LD6" s="6"/>
      <c r="LE6" s="4"/>
      <c r="LF6" s="4"/>
      <c r="LG6" s="8"/>
      <c r="LH6" s="5" t="str">
        <f>IF(LG6&gt;=61,"VIGENTE",IF(LG6&gt;=1,"POR VENCER",IF(LG6&lt;=-1,"VENCIDA",IF(LE6=0,"NO APLICA"))))</f>
        <v>NO APLICA</v>
      </c>
      <c r="LI6" s="5"/>
      <c r="LJ6" s="5"/>
      <c r="LK6" s="4"/>
      <c r="LL6" s="8"/>
      <c r="LM6" s="5" t="str">
        <f t="shared" ref="LM6:LM69" si="157">IF(LL6&gt;=61,"VIGENTE",IF(LL6&gt;=1,"POR VENCER",IF(LL6&lt;=-1,"VENCIDA",IF(LJ6=0,"NO APLICA"))))</f>
        <v>NO APLICA</v>
      </c>
      <c r="LN6" s="2"/>
      <c r="LO6" s="6"/>
      <c r="LP6" s="4"/>
      <c r="LQ6" s="8"/>
      <c r="LR6" s="5" t="str">
        <f t="shared" si="144"/>
        <v>NO APLICA</v>
      </c>
      <c r="LS6" s="6"/>
      <c r="LT6" s="6"/>
      <c r="LU6" s="4"/>
      <c r="LV6" s="8"/>
      <c r="LW6" s="5" t="str">
        <f t="shared" si="145"/>
        <v>NO APLICA</v>
      </c>
      <c r="LX6" s="6"/>
      <c r="LY6" s="6"/>
      <c r="LZ6" s="4"/>
      <c r="MA6" s="8"/>
      <c r="MB6" s="5" t="str">
        <f t="shared" si="146"/>
        <v>NO APLICA</v>
      </c>
      <c r="MC6" s="2"/>
      <c r="MD6" s="2"/>
      <c r="ME6" s="4"/>
      <c r="MF6" s="8"/>
      <c r="MG6" s="5" t="str">
        <f t="shared" si="108"/>
        <v>NO APLICA</v>
      </c>
      <c r="MH6" s="2"/>
      <c r="MI6" s="2"/>
      <c r="MJ6" s="4"/>
      <c r="MK6" s="8"/>
      <c r="ML6" s="5" t="str">
        <f t="shared" si="109"/>
        <v>NO APLICA</v>
      </c>
      <c r="MM6" s="5"/>
      <c r="MN6" s="2"/>
      <c r="MO6" s="4"/>
      <c r="MP6" s="8"/>
      <c r="MQ6" s="5" t="str">
        <f t="shared" si="110"/>
        <v>NO APLICA</v>
      </c>
      <c r="MR6" s="5"/>
      <c r="MS6" s="2"/>
      <c r="MT6" s="4"/>
      <c r="MU6" s="2"/>
      <c r="MV6" s="5" t="str">
        <f t="shared" si="111"/>
        <v>NO APLICA</v>
      </c>
      <c r="MW6" s="2"/>
      <c r="MX6" s="6"/>
      <c r="MY6" s="4"/>
      <c r="MZ6" s="8"/>
      <c r="NA6" s="5" t="str">
        <f t="shared" si="112"/>
        <v>NO APLICA</v>
      </c>
      <c r="NB6" s="2"/>
      <c r="NC6" s="6"/>
      <c r="ND6" s="4"/>
      <c r="NE6" s="8"/>
      <c r="NF6" s="5" t="str">
        <f t="shared" si="113"/>
        <v>NO APLICA</v>
      </c>
      <c r="NG6" s="2"/>
      <c r="NH6" s="6"/>
      <c r="NI6" s="4"/>
      <c r="NJ6" s="8"/>
      <c r="NK6" s="5" t="str">
        <f t="shared" si="114"/>
        <v>NO APLICA</v>
      </c>
      <c r="NL6" s="2"/>
      <c r="NM6" s="2"/>
      <c r="NN6" s="4"/>
      <c r="NO6" s="8"/>
      <c r="NP6" s="5" t="str">
        <f t="shared" si="115"/>
        <v>NO APLICA</v>
      </c>
      <c r="NQ6" s="2"/>
      <c r="NR6" s="2"/>
      <c r="NS6" s="4"/>
      <c r="NT6" s="2"/>
      <c r="NU6" s="5" t="str">
        <f t="shared" si="116"/>
        <v>NO APLICA</v>
      </c>
      <c r="NV6" s="6"/>
      <c r="NW6" s="6"/>
      <c r="NX6" s="4"/>
      <c r="NY6" s="8"/>
      <c r="NZ6" s="5" t="str">
        <f t="shared" si="117"/>
        <v>NO APLICA</v>
      </c>
      <c r="OA6" s="6"/>
      <c r="OB6" s="6"/>
      <c r="OC6" s="6"/>
      <c r="OD6" s="6"/>
      <c r="OE6" s="5" t="str">
        <f t="shared" si="118"/>
        <v>NO APLICA</v>
      </c>
      <c r="OF6" s="2"/>
      <c r="OG6" s="2"/>
      <c r="OH6" s="4"/>
      <c r="OI6" s="8"/>
      <c r="OJ6" s="5" t="str">
        <f t="shared" si="119"/>
        <v>NO APLICA</v>
      </c>
      <c r="OK6" s="6"/>
      <c r="OL6" s="6"/>
      <c r="OM6" s="6"/>
      <c r="ON6" s="6"/>
      <c r="OO6" s="5" t="str">
        <f t="shared" si="120"/>
        <v>NO APLICA</v>
      </c>
      <c r="OP6" s="6"/>
      <c r="OQ6" s="6"/>
      <c r="OR6" s="6"/>
      <c r="OS6" s="6"/>
      <c r="OT6" s="5" t="str">
        <f t="shared" si="121"/>
        <v>NO APLICA</v>
      </c>
      <c r="OU6" s="6"/>
      <c r="OV6" s="6"/>
      <c r="OW6" s="6"/>
      <c r="OX6" s="6"/>
      <c r="OY6" s="5" t="str">
        <f t="shared" si="122"/>
        <v>NO APLICA</v>
      </c>
      <c r="OZ6" s="6"/>
      <c r="PA6" s="6"/>
      <c r="PB6" s="6"/>
      <c r="PC6" s="6"/>
      <c r="PD6" s="5" t="str">
        <f t="shared" si="123"/>
        <v>NO APLICA</v>
      </c>
      <c r="PE6" s="6"/>
      <c r="PF6" s="6"/>
      <c r="PG6" s="6"/>
      <c r="PH6" s="6"/>
      <c r="PI6" s="5" t="str">
        <f t="shared" si="124"/>
        <v>NO APLICA</v>
      </c>
      <c r="PJ6" s="5"/>
      <c r="PK6" s="6"/>
      <c r="PL6" s="4"/>
      <c r="PM6" s="8"/>
      <c r="PN6" s="5" t="str">
        <f t="shared" si="125"/>
        <v>NO APLICA</v>
      </c>
      <c r="PO6" s="6"/>
      <c r="PP6" s="6"/>
      <c r="PQ6" s="6"/>
      <c r="PR6" s="6"/>
      <c r="PS6" s="5" t="str">
        <f t="shared" si="126"/>
        <v>NO APLICA</v>
      </c>
      <c r="PT6" s="5"/>
      <c r="PU6" s="6"/>
      <c r="PV6" s="6"/>
      <c r="PW6" s="6"/>
      <c r="PX6" s="5" t="str">
        <f t="shared" si="127"/>
        <v>NO APLICA</v>
      </c>
    </row>
    <row r="7" spans="1:440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353</v>
      </c>
      <c r="T7" s="5" t="str">
        <f ca="1">IF(S7&gt;=61,"VIGENTE",IF(S7&gt;=1,"POR VENCER",IF(S7&lt;=-1,"VENCIDA",IF(S7=0,"NO APLICA"))))</f>
        <v>VIGENTE</v>
      </c>
      <c r="U7" s="2" t="s">
        <v>80</v>
      </c>
      <c r="V7" s="4">
        <v>44786</v>
      </c>
      <c r="W7" s="4">
        <f t="shared" si="2"/>
        <v>46612</v>
      </c>
      <c r="X7" s="8">
        <f t="shared" ca="1" si="3"/>
        <v>478</v>
      </c>
      <c r="Y7" s="5" t="str">
        <f t="shared" ca="1" si="4"/>
        <v>VIGENTE</v>
      </c>
      <c r="Z7" s="2" t="s">
        <v>81</v>
      </c>
      <c r="AA7" s="4">
        <v>44828</v>
      </c>
      <c r="AB7" s="4">
        <f t="shared" si="5"/>
        <v>46654</v>
      </c>
      <c r="AC7" s="8">
        <f t="shared" ca="1" si="6"/>
        <v>520</v>
      </c>
      <c r="AD7" s="5" t="str">
        <f t="shared" ca="1" si="7"/>
        <v>VIGENTE</v>
      </c>
      <c r="AE7" s="3"/>
      <c r="AF7" s="3">
        <v>45594</v>
      </c>
      <c r="AG7" s="4">
        <f t="shared" si="129"/>
        <v>46323</v>
      </c>
      <c r="AH7" s="8">
        <f t="shared" ca="1" si="8"/>
        <v>189</v>
      </c>
      <c r="AI7" s="5" t="str">
        <f t="shared" ca="1" si="9"/>
        <v>VIGENTE</v>
      </c>
      <c r="AJ7" s="3"/>
      <c r="AK7" s="4">
        <v>45926</v>
      </c>
      <c r="AL7" s="4">
        <f t="shared" si="130"/>
        <v>46656</v>
      </c>
      <c r="AM7" s="8">
        <f t="shared" ca="1" si="10"/>
        <v>522</v>
      </c>
      <c r="AN7" s="5" t="str">
        <f t="shared" ca="1" si="11"/>
        <v>VIGENTE</v>
      </c>
      <c r="AO7" s="4"/>
      <c r="AP7" s="4">
        <v>45820</v>
      </c>
      <c r="AQ7" s="4">
        <f t="shared" si="131"/>
        <v>46550</v>
      </c>
      <c r="AR7" s="8">
        <f t="shared" ca="1" si="12"/>
        <v>416</v>
      </c>
      <c r="AS7" s="5" t="str">
        <f t="shared" ca="1" si="13"/>
        <v>VIGENTE</v>
      </c>
      <c r="AT7" s="4"/>
      <c r="AU7" s="4">
        <v>45786</v>
      </c>
      <c r="AV7" s="4">
        <f t="shared" si="14"/>
        <v>46516</v>
      </c>
      <c r="AW7" s="8">
        <f t="shared" ca="1" si="15"/>
        <v>382</v>
      </c>
      <c r="AX7" s="5" t="str">
        <f t="shared" ca="1" si="16"/>
        <v>VIGENTE</v>
      </c>
      <c r="AY7" s="4"/>
      <c r="AZ7" s="4">
        <v>45855</v>
      </c>
      <c r="BA7" s="4">
        <f t="shared" si="147"/>
        <v>46585</v>
      </c>
      <c r="BB7" s="8">
        <f t="shared" ca="1" si="17"/>
        <v>451</v>
      </c>
      <c r="BC7" s="5" t="str">
        <f t="shared" ca="1" si="18"/>
        <v>VIGENTE</v>
      </c>
      <c r="BD7" s="3"/>
      <c r="BE7" s="4">
        <v>45968</v>
      </c>
      <c r="BF7" s="4">
        <f>DATE(YEAR(BE7)+2,MONTH(BE7),DAY(BE7))</f>
        <v>46698</v>
      </c>
      <c r="BG7" s="8">
        <f t="shared" ca="1" si="19"/>
        <v>564</v>
      </c>
      <c r="BH7" s="5" t="str">
        <f t="shared" ca="1" si="20"/>
        <v>VIGENTE</v>
      </c>
      <c r="BI7" s="3"/>
      <c r="BJ7" s="4">
        <v>46035</v>
      </c>
      <c r="BK7" s="4">
        <f t="shared" si="132"/>
        <v>46765</v>
      </c>
      <c r="BL7" s="8">
        <f t="shared" ca="1" si="21"/>
        <v>631</v>
      </c>
      <c r="BM7" s="5" t="str">
        <f t="shared" ca="1" si="22"/>
        <v>VIGENTE</v>
      </c>
      <c r="BN7" s="4"/>
      <c r="BO7" s="4">
        <v>45841</v>
      </c>
      <c r="BP7" s="4">
        <f>DATE(YEAR(BO7)+2,MONTH(BO7),DAY(BO7))</f>
        <v>46571</v>
      </c>
      <c r="BQ7" s="8">
        <f t="shared" ca="1" si="23"/>
        <v>437</v>
      </c>
      <c r="BR7" s="5" t="str">
        <f t="shared" ca="1" si="24"/>
        <v>VIGENTE</v>
      </c>
      <c r="BS7" s="4"/>
      <c r="BT7" s="4">
        <v>45853</v>
      </c>
      <c r="BU7" s="4">
        <f>DATE(YEAR(BT7)+2,MONTH(BT7),DAY(BT7))</f>
        <v>46583</v>
      </c>
      <c r="BV7" s="8">
        <f t="shared" ca="1" si="25"/>
        <v>449</v>
      </c>
      <c r="BW7" s="5" t="str">
        <f t="shared" ca="1" si="26"/>
        <v>VIGENTE</v>
      </c>
      <c r="BX7" s="3"/>
      <c r="BY7" s="4">
        <v>45944</v>
      </c>
      <c r="BZ7" s="4">
        <f t="shared" si="148"/>
        <v>46674</v>
      </c>
      <c r="CA7" s="8">
        <f t="shared" ca="1" si="27"/>
        <v>540</v>
      </c>
      <c r="CB7" s="5" t="str">
        <f t="shared" ca="1" si="28"/>
        <v>VIGENTE</v>
      </c>
      <c r="CC7" s="6" t="s">
        <v>73</v>
      </c>
      <c r="CD7" s="4">
        <v>45247</v>
      </c>
      <c r="CE7" s="4">
        <f t="shared" si="29"/>
        <v>46708</v>
      </c>
      <c r="CF7" s="8">
        <f t="shared" ca="1" si="30"/>
        <v>574</v>
      </c>
      <c r="CG7" s="5" t="str">
        <f t="shared" ca="1" si="31"/>
        <v>VIGENTE</v>
      </c>
      <c r="CH7" s="4"/>
      <c r="CI7" s="4">
        <v>45801</v>
      </c>
      <c r="CJ7" s="4">
        <f t="shared" si="134"/>
        <v>46530</v>
      </c>
      <c r="CK7" s="8">
        <f t="shared" ca="1" si="32"/>
        <v>396</v>
      </c>
      <c r="CL7" s="5" t="str">
        <f t="shared" ca="1" si="33"/>
        <v>VIGENTE</v>
      </c>
      <c r="CM7" s="4"/>
      <c r="CN7" s="4">
        <v>45882</v>
      </c>
      <c r="CO7" s="4">
        <f>DATE(YEAR(CN7)+2,MONTH(CN7),DAY(CN7))</f>
        <v>46612</v>
      </c>
      <c r="CP7" s="8">
        <f t="shared" ca="1" si="34"/>
        <v>478</v>
      </c>
      <c r="CQ7" s="5" t="str">
        <f t="shared" ca="1" si="35"/>
        <v>VIGENTE</v>
      </c>
      <c r="CR7" s="3"/>
      <c r="CS7" s="4">
        <v>45631</v>
      </c>
      <c r="CT7" s="4">
        <f t="shared" si="135"/>
        <v>46360</v>
      </c>
      <c r="CU7" s="8">
        <f t="shared" ca="1" si="36"/>
        <v>226</v>
      </c>
      <c r="CV7" s="5" t="str">
        <f t="shared" ca="1" si="37"/>
        <v>VIGENTE</v>
      </c>
      <c r="CW7" s="3"/>
      <c r="CX7" s="4">
        <v>45661</v>
      </c>
      <c r="CY7" s="4">
        <f t="shared" si="136"/>
        <v>46390</v>
      </c>
      <c r="CZ7" s="8">
        <f t="shared" ca="1" si="38"/>
        <v>256</v>
      </c>
      <c r="DA7" s="5" t="str">
        <f t="shared" ca="1" si="39"/>
        <v>VIGENTE</v>
      </c>
      <c r="DB7" s="3"/>
      <c r="DC7" s="4">
        <v>45689</v>
      </c>
      <c r="DD7" s="4">
        <f>DATE(YEAR(DC7)+2,MONTH(DC7),DAY(DC7)-1)</f>
        <v>46418</v>
      </c>
      <c r="DE7" s="8">
        <f t="shared" ca="1" si="40"/>
        <v>284</v>
      </c>
      <c r="DF7" s="5" t="str">
        <f t="shared" ca="1" si="41"/>
        <v>VIGENTE</v>
      </c>
      <c r="DG7" s="3"/>
      <c r="DH7" s="4">
        <v>45696</v>
      </c>
      <c r="DI7" s="4">
        <f t="shared" si="42"/>
        <v>46425</v>
      </c>
      <c r="DJ7" s="8">
        <f t="shared" ca="1" si="43"/>
        <v>291</v>
      </c>
      <c r="DK7" s="5" t="str">
        <f t="shared" ca="1" si="44"/>
        <v>VIGENTE</v>
      </c>
      <c r="DL7" s="3"/>
      <c r="DM7" s="4">
        <v>45982</v>
      </c>
      <c r="DN7" s="4">
        <f t="shared" si="149"/>
        <v>46712</v>
      </c>
      <c r="DO7" s="8">
        <f t="shared" ca="1" si="46"/>
        <v>578</v>
      </c>
      <c r="DP7" s="5" t="str">
        <f t="shared" ca="1" si="47"/>
        <v>VIGENTE</v>
      </c>
      <c r="DQ7" s="4"/>
      <c r="DR7" s="4">
        <v>45852</v>
      </c>
      <c r="DS7" s="4">
        <f>DATE(YEAR(DR7)+2,MONTH(DR7),DAY(DR7))</f>
        <v>46582</v>
      </c>
      <c r="DT7" s="8">
        <f t="shared" ca="1" si="48"/>
        <v>448</v>
      </c>
      <c r="DU7" s="5" t="str">
        <f t="shared" ca="1" si="49"/>
        <v>VIGENTE</v>
      </c>
      <c r="DV7" s="4"/>
      <c r="DW7" s="4">
        <v>45847</v>
      </c>
      <c r="DX7" s="4">
        <f>DATE(YEAR(DW7)+2,MONTH(DW7),DAY(DW7))</f>
        <v>46577</v>
      </c>
      <c r="DY7" s="8">
        <f t="shared" ca="1" si="50"/>
        <v>443</v>
      </c>
      <c r="DZ7" s="5" t="str">
        <f t="shared" ca="1" si="51"/>
        <v>VIGENTE</v>
      </c>
      <c r="EA7" s="4"/>
      <c r="EB7" s="4">
        <v>45829</v>
      </c>
      <c r="EC7" s="4">
        <f>DATE(YEAR(EB7)+2,MONTH(EB7),DAY(EB7))</f>
        <v>46559</v>
      </c>
      <c r="ED7" s="8">
        <f t="shared" ca="1" si="52"/>
        <v>425</v>
      </c>
      <c r="EE7" s="5" t="str">
        <f t="shared" ca="1" si="53"/>
        <v>VIGENTE</v>
      </c>
      <c r="EF7" s="4"/>
      <c r="EG7" s="4">
        <v>45812</v>
      </c>
      <c r="EH7" s="4">
        <f t="shared" si="137"/>
        <v>46177</v>
      </c>
      <c r="EI7" s="8">
        <f t="shared" ca="1" si="54"/>
        <v>43</v>
      </c>
      <c r="EJ7" s="5" t="str">
        <f t="shared" ca="1" si="55"/>
        <v>POR VENCER</v>
      </c>
      <c r="EK7" s="4"/>
      <c r="EL7" s="4">
        <v>45840</v>
      </c>
      <c r="EM7" s="4">
        <f t="shared" si="150"/>
        <v>46570</v>
      </c>
      <c r="EN7" s="8">
        <f t="shared" ca="1" si="56"/>
        <v>436</v>
      </c>
      <c r="EO7" s="5" t="str">
        <f t="shared" ca="1" si="57"/>
        <v>VIGENTE</v>
      </c>
      <c r="EP7" s="4"/>
      <c r="EQ7" s="4">
        <v>45796</v>
      </c>
      <c r="ER7" s="4">
        <f>DATE(YEAR(EQ7)+2,MONTH(EQ7),DAY(EQ7))</f>
        <v>46526</v>
      </c>
      <c r="ES7" s="8">
        <f t="shared" ca="1" si="58"/>
        <v>392</v>
      </c>
      <c r="ET7" s="5" t="str">
        <f t="shared" ca="1" si="59"/>
        <v>VIGENTE</v>
      </c>
      <c r="EU7" s="3"/>
      <c r="EV7" s="4">
        <v>45953</v>
      </c>
      <c r="EW7" s="4">
        <f t="shared" si="151"/>
        <v>46683</v>
      </c>
      <c r="EX7" s="8">
        <f t="shared" ca="1" si="60"/>
        <v>549</v>
      </c>
      <c r="EY7" s="5" t="str">
        <f t="shared" ca="1" si="61"/>
        <v>VIGENTE</v>
      </c>
      <c r="EZ7" s="3"/>
      <c r="FA7" s="4">
        <v>45951</v>
      </c>
      <c r="FB7" s="4">
        <f t="shared" si="152"/>
        <v>46681</v>
      </c>
      <c r="FC7" s="8">
        <f t="shared" ca="1" si="62"/>
        <v>547</v>
      </c>
      <c r="FD7" s="5" t="str">
        <f t="shared" ca="1" si="63"/>
        <v>VIGENTE</v>
      </c>
      <c r="FE7" s="3"/>
      <c r="FF7" s="4">
        <v>45932</v>
      </c>
      <c r="FG7" s="4">
        <f t="shared" si="153"/>
        <v>46662</v>
      </c>
      <c r="FH7" s="8">
        <f t="shared" ca="1" si="64"/>
        <v>528</v>
      </c>
      <c r="FI7" s="5" t="str">
        <f t="shared" ca="1" si="65"/>
        <v>VIGENTE</v>
      </c>
      <c r="FJ7" s="4"/>
      <c r="FK7" s="4">
        <v>45784</v>
      </c>
      <c r="FL7" s="4">
        <f>DATE(YEAR(FK7)+2,MONTH(FK7),DAY(FK7))</f>
        <v>46514</v>
      </c>
      <c r="FM7" s="8">
        <f t="shared" ca="1" si="67"/>
        <v>380</v>
      </c>
      <c r="FN7" s="5" t="str">
        <f t="shared" ca="1" si="68"/>
        <v>VIGENTE</v>
      </c>
      <c r="FO7" s="4"/>
      <c r="FP7" s="4">
        <v>45782</v>
      </c>
      <c r="FQ7" s="4">
        <f>DATE(YEAR(FP7)+2,MONTH(FP7),DAY(FP7))</f>
        <v>46512</v>
      </c>
      <c r="FR7" s="8">
        <f t="shared" ca="1" si="69"/>
        <v>378</v>
      </c>
      <c r="FS7" s="5" t="str">
        <f t="shared" ca="1" si="70"/>
        <v>VIGENTE</v>
      </c>
      <c r="FT7" s="3"/>
      <c r="FU7" s="4">
        <v>45941</v>
      </c>
      <c r="FV7" s="4">
        <f t="shared" ref="FV7:FV9" si="158">DATE(YEAR(FU7)+2,MONTH(FU7),DAY(FU7))</f>
        <v>46671</v>
      </c>
      <c r="FW7" s="8">
        <f t="shared" ca="1" si="71"/>
        <v>537</v>
      </c>
      <c r="FX7" s="5" t="str">
        <f t="shared" ca="1" si="72"/>
        <v>VIGENTE</v>
      </c>
      <c r="FY7" s="4"/>
      <c r="FZ7" s="4">
        <v>45821</v>
      </c>
      <c r="GA7" s="4">
        <f>DATE(YEAR(FZ7)+2,MONTH(FZ7),DAY(FZ7))</f>
        <v>46551</v>
      </c>
      <c r="GB7" s="8">
        <f t="shared" ca="1" si="73"/>
        <v>417</v>
      </c>
      <c r="GC7" s="5" t="str">
        <f t="shared" ca="1" si="74"/>
        <v>VIGENTE</v>
      </c>
      <c r="GD7" s="4"/>
      <c r="GE7" s="4">
        <v>45814</v>
      </c>
      <c r="GF7" s="4">
        <f t="shared" si="154"/>
        <v>46544</v>
      </c>
      <c r="GG7" s="8">
        <f t="shared" ca="1" si="75"/>
        <v>410</v>
      </c>
      <c r="GH7" s="5" t="str">
        <f t="shared" ca="1" si="76"/>
        <v>VIGENTE</v>
      </c>
      <c r="GI7" s="3"/>
      <c r="GJ7" s="4">
        <v>45958</v>
      </c>
      <c r="GK7" s="4">
        <f t="shared" si="155"/>
        <v>46688</v>
      </c>
      <c r="GL7" s="8">
        <f t="shared" ca="1" si="77"/>
        <v>554</v>
      </c>
      <c r="GM7" s="5" t="str">
        <f t="shared" ca="1" si="78"/>
        <v>VIGENTE</v>
      </c>
      <c r="GN7" s="4"/>
      <c r="GO7" s="4">
        <v>45459</v>
      </c>
      <c r="GP7" s="4">
        <f t="shared" si="79"/>
        <v>47285</v>
      </c>
      <c r="GQ7" s="8">
        <f t="shared" ca="1" si="80"/>
        <v>1151</v>
      </c>
      <c r="GR7" s="5" t="str">
        <f t="shared" ca="1" si="81"/>
        <v>VIGENTE</v>
      </c>
      <c r="GS7" s="3"/>
      <c r="GT7" s="4">
        <v>45464</v>
      </c>
      <c r="GU7" s="4">
        <f t="shared" si="82"/>
        <v>47290</v>
      </c>
      <c r="GV7" s="8">
        <f t="shared" ca="1" si="83"/>
        <v>1156</v>
      </c>
      <c r="GW7" s="5" t="str">
        <f t="shared" ca="1" si="84"/>
        <v>VIGENTE</v>
      </c>
      <c r="GX7" s="3"/>
      <c r="GY7" s="4">
        <v>45454</v>
      </c>
      <c r="GZ7" s="4">
        <f t="shared" si="85"/>
        <v>47280</v>
      </c>
      <c r="HA7" s="8">
        <f t="shared" ca="1" si="86"/>
        <v>1146</v>
      </c>
      <c r="HB7" s="5" t="str">
        <f t="shared" ca="1" si="87"/>
        <v>VIGENTE</v>
      </c>
      <c r="HC7" s="6"/>
      <c r="HD7" s="4">
        <v>44956</v>
      </c>
      <c r="HE7" s="4">
        <f t="shared" si="88"/>
        <v>46782</v>
      </c>
      <c r="HF7" s="8">
        <f t="shared" ca="1" si="89"/>
        <v>648</v>
      </c>
      <c r="HG7" s="5" t="str">
        <f t="shared" ca="1" si="90"/>
        <v>VIGENTE</v>
      </c>
      <c r="HH7" s="3"/>
      <c r="HI7" s="4">
        <v>45368</v>
      </c>
      <c r="HJ7" s="4">
        <f>DATE(YEAR(HI7)+5,MONTH(HI7),DAY(HI7))</f>
        <v>47194</v>
      </c>
      <c r="HK7" s="8">
        <f ca="1">HJ7-TODAY()</f>
        <v>1060</v>
      </c>
      <c r="HL7" s="5" t="str">
        <f ca="1">IF(HK7&gt;=61,"VIGENTE",IF(HK7&gt;=1,"POR VENCER",IF(HK7&lt;=-1,"VENCIDA",IF(HI7=0,"NO APLICA"))))</f>
        <v>VIGENTE</v>
      </c>
      <c r="HM7" s="2"/>
      <c r="HN7" s="5"/>
      <c r="HO7" s="5"/>
      <c r="HP7" s="5"/>
      <c r="HQ7" s="5" t="str">
        <f t="shared" si="92"/>
        <v>NO APLICA</v>
      </c>
      <c r="HR7" s="3"/>
      <c r="HS7" s="4">
        <v>45274</v>
      </c>
      <c r="HT7" s="4">
        <f>DATE(YEAR(HS7)+5,MONTH(HS7),DAY(HS7))</f>
        <v>47101</v>
      </c>
      <c r="HU7" s="8">
        <f ca="1">HT7-TODAY()</f>
        <v>967</v>
      </c>
      <c r="HV7" s="5" t="str">
        <f ca="1">IF(HU7&gt;=61,"VIGENTE",IF(HU7&gt;=1,"POR VENCER",IF(HU7&lt;=-1,"VENCIDA",IF(HS7=0,"NO APLICA"))))</f>
        <v>VIGENTE</v>
      </c>
      <c r="HW7" s="3"/>
      <c r="HX7" s="4">
        <v>45223</v>
      </c>
      <c r="HY7" s="4">
        <f>DATE(YEAR(HX7)+5,MONTH(HX7),DAY(HX7))</f>
        <v>47050</v>
      </c>
      <c r="HZ7" s="8">
        <f ca="1">HY7-TODAY()</f>
        <v>916</v>
      </c>
      <c r="IA7" s="5" t="str">
        <f ca="1">IF(HZ7&gt;=61,"VIGENTE",IF(HZ7&gt;=1,"POR VENCER",IF(HZ7&lt;=-1,"VENCIDA",IF(HX7=0,"NO APLICA"))))</f>
        <v>VIGENTE</v>
      </c>
      <c r="IB7" s="3"/>
      <c r="IC7" s="4">
        <v>45264</v>
      </c>
      <c r="ID7" s="4">
        <f>DATE(YEAR(IC7)+5,MONTH(IC7),DAY(IC7))</f>
        <v>47091</v>
      </c>
      <c r="IE7" s="8">
        <f ca="1">ID7-TODAY()</f>
        <v>957</v>
      </c>
      <c r="IF7" s="5" t="str">
        <f ca="1">IF(IE7&gt;=61,"VIGENTE",IF(IE7&gt;=1,"POR VENCER",IF(IE7&lt;=-1,"VENCIDA",IF(IC7=0,"NO APLICA"))))</f>
        <v>VIGENTE</v>
      </c>
      <c r="IG7" s="4"/>
      <c r="IH7" s="4">
        <v>45262</v>
      </c>
      <c r="II7" s="4">
        <f>DATE(YEAR(IH7)+5,MONTH(IH7),DAY(IH7))</f>
        <v>47089</v>
      </c>
      <c r="IJ7" s="8">
        <f ca="1">II7-TODAY()</f>
        <v>955</v>
      </c>
      <c r="IK7" s="5" t="str">
        <f ca="1">IF(IJ7&gt;=61,"VIGENTE",IF(IJ7&gt;=1,"POR VENCER",IF(IJ7&lt;=-1,"VENCIDA",IF(IH7=0,"NO APLICA"))))</f>
        <v>VIGENTE</v>
      </c>
      <c r="IL7" s="3"/>
      <c r="IM7" s="4">
        <v>45273</v>
      </c>
      <c r="IN7" s="4">
        <f>DATE(YEAR(IM7)+5,MONTH(IM7),DAY(IM7))</f>
        <v>47100</v>
      </c>
      <c r="IO7" s="8">
        <f ca="1">IN7-TODAY()</f>
        <v>966</v>
      </c>
      <c r="IP7" s="5" t="str">
        <f ca="1">IF(IO7&gt;=61,"VIGENTE",IF(IO7&gt;=1,"POR VENCER",IF(IO7&lt;=-1,"VENCIDA",IF(IM7=0,"NO APLICA"))))</f>
        <v>VIGENTE</v>
      </c>
      <c r="IQ7" s="3"/>
      <c r="IR7" s="4">
        <v>45240</v>
      </c>
      <c r="IS7" s="4">
        <f>DATE(YEAR(IR7)+5,MONTH(IR7),DAY(IR7))</f>
        <v>47067</v>
      </c>
      <c r="IT7" s="8">
        <f ca="1">IS7-TODAY()</f>
        <v>933</v>
      </c>
      <c r="IU7" s="5" t="str">
        <f ca="1">IF(IT7&gt;=61,"VIGENTE",IF(IT7&gt;=1,"POR VENCER",IF(IT7&lt;=-1,"VENCIDA",IF(IR7=0,"NO APLICA"))))</f>
        <v>VIGENTE</v>
      </c>
      <c r="IV7" s="3"/>
      <c r="IW7" s="4">
        <v>45261</v>
      </c>
      <c r="IX7" s="4">
        <f>DATE(YEAR(IW7)+5,MONTH(IW7),DAY(IW7))</f>
        <v>47088</v>
      </c>
      <c r="IY7" s="8">
        <f ca="1">IX7-TODAY()</f>
        <v>954</v>
      </c>
      <c r="IZ7" s="5" t="str">
        <f ca="1">IF(IY7&gt;=61,"VIGENTE",IF(IY7&gt;=1,"POR VENCER",IF(IY7&lt;=-1,"VENCIDA",IF(IW7=0,"NO APLICA"))))</f>
        <v>VIGENTE</v>
      </c>
      <c r="JA7" s="3"/>
      <c r="JB7" s="3"/>
      <c r="JC7" s="4"/>
      <c r="JD7" s="8"/>
      <c r="JE7" s="5" t="str">
        <f t="shared" si="100"/>
        <v>NO APLICA</v>
      </c>
      <c r="JF7" s="6"/>
      <c r="JG7" s="6"/>
      <c r="JH7" s="6"/>
      <c r="JI7" s="6"/>
      <c r="JJ7" s="5" t="str">
        <f t="shared" si="101"/>
        <v>NO APLICA</v>
      </c>
      <c r="JK7" s="6"/>
      <c r="JL7" s="6"/>
      <c r="JM7" s="6"/>
      <c r="JN7" s="6"/>
      <c r="JO7" s="5" t="str">
        <f t="shared" si="102"/>
        <v>NO APLICA</v>
      </c>
      <c r="JP7" s="6"/>
      <c r="JQ7" s="6"/>
      <c r="JR7" s="6"/>
      <c r="JS7" s="6"/>
      <c r="JT7" s="5" t="str">
        <f t="shared" si="103"/>
        <v>NO APLICA</v>
      </c>
      <c r="JU7" s="5"/>
      <c r="JV7" s="3"/>
      <c r="JW7" s="4"/>
      <c r="JX7" s="8"/>
      <c r="JY7" s="5" t="str">
        <f>IF(JX7&gt;=61,"VIGENTE",IF(JX7&gt;=1,"POR VENCER",IF(JX7&lt;=-1,"VENCIDA",IF(JV7=0,"NO APLICA"))))</f>
        <v>NO APLICA</v>
      </c>
      <c r="JZ7" s="5"/>
      <c r="KA7" s="5"/>
      <c r="KB7" s="4"/>
      <c r="KC7" s="8"/>
      <c r="KD7" s="5" t="str">
        <f t="shared" si="105"/>
        <v>NO APLICA</v>
      </c>
      <c r="KE7" s="5"/>
      <c r="KF7" s="5"/>
      <c r="KG7" s="4"/>
      <c r="KH7" s="8"/>
      <c r="KI7" s="5" t="str">
        <f t="shared" si="141"/>
        <v>NO APLICA</v>
      </c>
      <c r="KJ7" s="5"/>
      <c r="KK7" s="3">
        <v>45364</v>
      </c>
      <c r="KL7" s="4">
        <f>DATE(YEAR(KK7)+5,MONTH(KK7),DAY(KK7))</f>
        <v>47190</v>
      </c>
      <c r="KM7" s="8">
        <f ca="1">KL7-TODAY()</f>
        <v>1056</v>
      </c>
      <c r="KN7" s="5" t="str">
        <f ca="1">IF(KM7&gt;=61,"VIGENTE",IF(KM7&gt;=1,"POR VENCER",IF(KM7&lt;=-1,"VENCIDA",IF(KK7=0,"NO APLICA"))))</f>
        <v>VIGENTE</v>
      </c>
      <c r="KO7" s="5"/>
      <c r="KP7" s="2"/>
      <c r="KQ7" s="4"/>
      <c r="KR7" s="8"/>
      <c r="KS7" s="5" t="str">
        <f t="shared" si="142"/>
        <v>NO APLICA</v>
      </c>
      <c r="KT7" s="2"/>
      <c r="KU7" s="6"/>
      <c r="KV7" s="4"/>
      <c r="KW7" s="8"/>
      <c r="KX7" s="5" t="str">
        <f t="shared" si="156"/>
        <v>NO APLICA</v>
      </c>
      <c r="KY7" s="5"/>
      <c r="KZ7" s="4">
        <v>44545</v>
      </c>
      <c r="LA7" s="4">
        <f>DATE(YEAR(KZ7)+5,MONTH(KZ7),DAY(KZ7))</f>
        <v>46371</v>
      </c>
      <c r="LB7" s="8">
        <f ca="1">LA7-TODAY()</f>
        <v>237</v>
      </c>
      <c r="LC7" s="5" t="str">
        <f ca="1">IF(LB7&gt;=61,"VIGENTE",IF(LB7&gt;=1,"POR VENCER",IF(LB7&lt;=-1,"VENCIDA",IF(KZ7=0,"NO APLICA"))))</f>
        <v>VIGENTE</v>
      </c>
      <c r="LD7" s="4"/>
      <c r="LE7" s="4"/>
      <c r="LF7" s="4"/>
      <c r="LG7" s="8"/>
      <c r="LH7" s="5" t="str">
        <f t="shared" si="107"/>
        <v>NO APLICA</v>
      </c>
      <c r="LI7" s="5"/>
      <c r="LJ7" s="5"/>
      <c r="LK7" s="4"/>
      <c r="LL7" s="8"/>
      <c r="LM7" s="5" t="str">
        <f t="shared" si="157"/>
        <v>NO APLICA</v>
      </c>
      <c r="LN7" s="3"/>
      <c r="LO7" s="4">
        <v>44379</v>
      </c>
      <c r="LP7" s="4">
        <f>DATE(YEAR(LO7)+5,MONTH(LO7),DAY(LO7))</f>
        <v>46205</v>
      </c>
      <c r="LQ7" s="8">
        <f ca="1">LP7-TODAY()</f>
        <v>71</v>
      </c>
      <c r="LR7" s="5" t="str">
        <f ca="1">IF(LQ7&gt;=61,"VIGENTE",IF(LQ7&gt;=1,"POR VENCER",IF(LQ7&lt;=-1,"VENCIDA",IF(LO7=0,"NO APLICA"))))</f>
        <v>VIGENTE</v>
      </c>
      <c r="LS7" s="6"/>
      <c r="LT7" s="6"/>
      <c r="LU7" s="4"/>
      <c r="LV7" s="8"/>
      <c r="LW7" s="5" t="str">
        <f t="shared" si="145"/>
        <v>NO APLICA</v>
      </c>
      <c r="LX7" s="6"/>
      <c r="LY7" s="6"/>
      <c r="LZ7" s="4"/>
      <c r="MA7" s="8"/>
      <c r="MB7" s="5" t="str">
        <f t="shared" si="146"/>
        <v>NO APLICA</v>
      </c>
      <c r="MC7" s="5"/>
      <c r="MD7" s="5"/>
      <c r="ME7" s="4"/>
      <c r="MF7" s="8"/>
      <c r="MG7" s="5" t="str">
        <f t="shared" si="108"/>
        <v>NO APLICA</v>
      </c>
      <c r="MH7" s="5"/>
      <c r="MI7" s="5"/>
      <c r="MJ7" s="4"/>
      <c r="MK7" s="8"/>
      <c r="ML7" s="5" t="str">
        <f t="shared" si="109"/>
        <v>NO APLICA</v>
      </c>
      <c r="MM7" s="5"/>
      <c r="MN7" s="5"/>
      <c r="MO7" s="4"/>
      <c r="MP7" s="8"/>
      <c r="MQ7" s="5" t="str">
        <f t="shared" si="110"/>
        <v>NO APLICA</v>
      </c>
      <c r="MR7" s="5"/>
      <c r="MS7" s="5"/>
      <c r="MT7" s="4"/>
      <c r="MU7" s="5"/>
      <c r="MV7" s="5" t="str">
        <f t="shared" si="111"/>
        <v>NO APLICA</v>
      </c>
      <c r="MW7" s="5"/>
      <c r="MX7" s="6"/>
      <c r="MY7" s="4"/>
      <c r="MZ7" s="8"/>
      <c r="NA7" s="5" t="str">
        <f t="shared" si="112"/>
        <v>NO APLICA</v>
      </c>
      <c r="NB7" s="5"/>
      <c r="NC7" s="6"/>
      <c r="ND7" s="4"/>
      <c r="NE7" s="8"/>
      <c r="NF7" s="5" t="str">
        <f t="shared" si="113"/>
        <v>NO APLICA</v>
      </c>
      <c r="NG7" s="5"/>
      <c r="NH7" s="6"/>
      <c r="NI7" s="4"/>
      <c r="NJ7" s="8"/>
      <c r="NK7" s="5" t="str">
        <f t="shared" si="114"/>
        <v>NO APLICA</v>
      </c>
      <c r="NL7" s="5"/>
      <c r="NM7" s="5"/>
      <c r="NN7" s="4"/>
      <c r="NO7" s="8"/>
      <c r="NP7" s="5" t="str">
        <f t="shared" si="115"/>
        <v>NO APLICA</v>
      </c>
      <c r="NQ7" s="5"/>
      <c r="NR7" s="5"/>
      <c r="NS7" s="5"/>
      <c r="NT7" s="5"/>
      <c r="NU7" s="5" t="str">
        <f t="shared" si="116"/>
        <v>NO APLICA</v>
      </c>
      <c r="NV7" s="6"/>
      <c r="NW7" s="6"/>
      <c r="NX7" s="6"/>
      <c r="NY7" s="6"/>
      <c r="NZ7" s="5" t="str">
        <f t="shared" si="117"/>
        <v>NO APLICA</v>
      </c>
      <c r="OA7" s="6"/>
      <c r="OB7" s="6"/>
      <c r="OC7" s="6"/>
      <c r="OD7" s="6"/>
      <c r="OE7" s="5" t="str">
        <f t="shared" si="118"/>
        <v>NO APLICA</v>
      </c>
      <c r="OF7" s="5"/>
      <c r="OG7" s="5"/>
      <c r="OH7" s="4"/>
      <c r="OI7" s="8"/>
      <c r="OJ7" s="5" t="str">
        <f t="shared" si="119"/>
        <v>NO APLICA</v>
      </c>
      <c r="OK7" s="6"/>
      <c r="OL7" s="6"/>
      <c r="OM7" s="6"/>
      <c r="ON7" s="6"/>
      <c r="OO7" s="5" t="str">
        <f t="shared" si="120"/>
        <v>NO APLICA</v>
      </c>
      <c r="OP7" s="6"/>
      <c r="OQ7" s="6"/>
      <c r="OR7" s="6"/>
      <c r="OS7" s="6"/>
      <c r="OT7" s="5" t="str">
        <f t="shared" si="121"/>
        <v>NO APLICA</v>
      </c>
      <c r="OU7" s="6"/>
      <c r="OV7" s="6"/>
      <c r="OW7" s="6"/>
      <c r="OX7" s="6"/>
      <c r="OY7" s="5" t="str">
        <f t="shared" si="122"/>
        <v>NO APLICA</v>
      </c>
      <c r="OZ7" s="6"/>
      <c r="PA7" s="6"/>
      <c r="PB7" s="6"/>
      <c r="PC7" s="6"/>
      <c r="PD7" s="5" t="str">
        <f t="shared" si="123"/>
        <v>NO APLICA</v>
      </c>
      <c r="PE7" s="6"/>
      <c r="PF7" s="6"/>
      <c r="PG7" s="6"/>
      <c r="PH7" s="6"/>
      <c r="PI7" s="5" t="str">
        <f t="shared" si="124"/>
        <v>NO APLICA</v>
      </c>
      <c r="PJ7" s="5"/>
      <c r="PK7" s="6"/>
      <c r="PL7" s="4"/>
      <c r="PM7" s="8"/>
      <c r="PN7" s="5" t="str">
        <f t="shared" si="125"/>
        <v>NO APLICA</v>
      </c>
      <c r="PO7" s="6"/>
      <c r="PP7" s="6"/>
      <c r="PQ7" s="6"/>
      <c r="PR7" s="6"/>
      <c r="PS7" s="5" t="str">
        <f t="shared" si="126"/>
        <v>NO APLICA</v>
      </c>
      <c r="PT7" s="5"/>
      <c r="PU7" s="6"/>
      <c r="PV7" s="6"/>
      <c r="PW7" s="6"/>
      <c r="PX7" s="5" t="str">
        <f t="shared" si="127"/>
        <v>NO APLICA</v>
      </c>
    </row>
    <row r="8" spans="1:440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178</v>
      </c>
      <c r="T8" s="5" t="str">
        <f ca="1">IF(S8&gt;=61,"VIGENTE",IF(S8&gt;=1,"POR VENCER",IF(S8&lt;=-1,"VENCIDA",IF(S8=0,"NO APLICA"))))</f>
        <v>VIGENTE</v>
      </c>
      <c r="U8" s="2" t="s">
        <v>84</v>
      </c>
      <c r="V8" s="4">
        <v>46069</v>
      </c>
      <c r="W8" s="4">
        <f t="shared" si="2"/>
        <v>47895</v>
      </c>
      <c r="X8" s="8">
        <f t="shared" ca="1" si="3"/>
        <v>1761</v>
      </c>
      <c r="Y8" s="5" t="str">
        <f t="shared" ca="1" si="4"/>
        <v>VIGENTE</v>
      </c>
      <c r="Z8" s="2" t="s">
        <v>85</v>
      </c>
      <c r="AA8" s="4">
        <v>45190</v>
      </c>
      <c r="AB8" s="4">
        <f t="shared" si="5"/>
        <v>47017</v>
      </c>
      <c r="AC8" s="8">
        <f t="shared" ca="1" si="6"/>
        <v>883</v>
      </c>
      <c r="AD8" s="5" t="str">
        <f t="shared" ca="1" si="7"/>
        <v>VIGENTE</v>
      </c>
      <c r="AE8" s="3"/>
      <c r="AF8" s="4">
        <v>45936</v>
      </c>
      <c r="AG8" s="4">
        <f>DATE(YEAR(AF8)+2,MONTH(AF8),DAY(AF8))</f>
        <v>46666</v>
      </c>
      <c r="AH8" s="8">
        <f t="shared" ca="1" si="8"/>
        <v>532</v>
      </c>
      <c r="AI8" s="5" t="str">
        <f t="shared" ca="1" si="9"/>
        <v>VIGENTE</v>
      </c>
      <c r="AJ8" s="3"/>
      <c r="AK8" s="4">
        <v>45937</v>
      </c>
      <c r="AL8" s="4">
        <f t="shared" si="130"/>
        <v>46667</v>
      </c>
      <c r="AM8" s="8">
        <f t="shared" ca="1" si="10"/>
        <v>533</v>
      </c>
      <c r="AN8" s="5" t="str">
        <f t="shared" ca="1" si="11"/>
        <v>VIGENTE</v>
      </c>
      <c r="AO8" s="3"/>
      <c r="AP8" s="4">
        <v>45989</v>
      </c>
      <c r="AQ8" s="4">
        <f t="shared" si="131"/>
        <v>46719</v>
      </c>
      <c r="AR8" s="8">
        <f t="shared" ca="1" si="12"/>
        <v>585</v>
      </c>
      <c r="AS8" s="5" t="str">
        <f t="shared" ca="1" si="13"/>
        <v>VIGENTE</v>
      </c>
      <c r="AT8" s="3"/>
      <c r="AU8" s="4">
        <v>45990</v>
      </c>
      <c r="AV8" s="4">
        <f t="shared" si="14"/>
        <v>46720</v>
      </c>
      <c r="AW8" s="8">
        <f t="shared" ca="1" si="15"/>
        <v>586</v>
      </c>
      <c r="AX8" s="5" t="str">
        <f t="shared" ca="1" si="16"/>
        <v>VIGENTE</v>
      </c>
      <c r="AY8" s="3"/>
      <c r="AZ8" s="4">
        <v>45603</v>
      </c>
      <c r="BA8" s="4">
        <f t="shared" ref="BA8:BA10" si="159">DATE(YEAR(AZ8)+2,MONTH(AZ8),DAY(AZ8)-1)</f>
        <v>46332</v>
      </c>
      <c r="BB8" s="8">
        <f t="shared" ca="1" si="17"/>
        <v>198</v>
      </c>
      <c r="BC8" s="5" t="str">
        <f t="shared" ca="1" si="18"/>
        <v>VIGENTE</v>
      </c>
      <c r="BD8" s="3"/>
      <c r="BE8" s="4">
        <v>45698</v>
      </c>
      <c r="BF8" s="4">
        <f t="shared" ref="BF8:BF10" si="160">DATE(YEAR(BE8)+2,MONTH(BE8),DAY(BE8)-1)</f>
        <v>46427</v>
      </c>
      <c r="BG8" s="8">
        <f t="shared" ca="1" si="19"/>
        <v>293</v>
      </c>
      <c r="BH8" s="5" t="str">
        <f t="shared" ca="1" si="20"/>
        <v>VIGENTE</v>
      </c>
      <c r="BI8" s="3"/>
      <c r="BJ8" s="4">
        <v>45600</v>
      </c>
      <c r="BK8" s="4">
        <f t="shared" ref="BK8:BK10" si="161">DATE(YEAR(BJ8)+2,MONTH(BJ8),DAY(BJ8)-1)</f>
        <v>46329</v>
      </c>
      <c r="BL8" s="8">
        <f t="shared" ca="1" si="21"/>
        <v>195</v>
      </c>
      <c r="BM8" s="5" t="str">
        <f t="shared" ca="1" si="22"/>
        <v>VIGENTE</v>
      </c>
      <c r="BN8" s="3"/>
      <c r="BO8" s="4">
        <v>45701</v>
      </c>
      <c r="BP8" s="4">
        <f t="shared" ref="BP8:BP10" si="162">DATE(YEAR(BO8)+2,MONTH(BO8),DAY(BO8)-1)</f>
        <v>46430</v>
      </c>
      <c r="BQ8" s="8">
        <f t="shared" ca="1" si="23"/>
        <v>296</v>
      </c>
      <c r="BR8" s="5" t="str">
        <f t="shared" ca="1" si="24"/>
        <v>VIGENTE</v>
      </c>
      <c r="BS8" s="3"/>
      <c r="BT8" s="4">
        <v>45568</v>
      </c>
      <c r="BU8" s="4">
        <f t="shared" ref="BU8:BU10" si="163">DATE(YEAR(BT8)+2,MONTH(BT8),DAY(BT8)-1)</f>
        <v>46297</v>
      </c>
      <c r="BV8" s="8">
        <f t="shared" ca="1" si="25"/>
        <v>163</v>
      </c>
      <c r="BW8" s="5" t="str">
        <f t="shared" ca="1" si="26"/>
        <v>VIGENTE</v>
      </c>
      <c r="BX8" s="3"/>
      <c r="BY8" s="4">
        <v>45911</v>
      </c>
      <c r="BZ8" s="4">
        <f t="shared" si="148"/>
        <v>46641</v>
      </c>
      <c r="CA8" s="8">
        <f t="shared" ca="1" si="27"/>
        <v>507</v>
      </c>
      <c r="CB8" s="5" t="str">
        <f t="shared" ca="1" si="28"/>
        <v>VIGENTE</v>
      </c>
      <c r="CC8" s="6" t="s">
        <v>68</v>
      </c>
      <c r="CD8" s="4">
        <v>45723</v>
      </c>
      <c r="CE8" s="4">
        <f t="shared" si="29"/>
        <v>47184</v>
      </c>
      <c r="CF8" s="8">
        <f t="shared" ca="1" si="30"/>
        <v>1050</v>
      </c>
      <c r="CG8" s="5" t="str">
        <f t="shared" ca="1" si="31"/>
        <v>VIGENTE</v>
      </c>
      <c r="CH8" s="4"/>
      <c r="CI8" s="4">
        <v>45601</v>
      </c>
      <c r="CJ8" s="4">
        <f t="shared" si="134"/>
        <v>46330</v>
      </c>
      <c r="CK8" s="8">
        <f t="shared" ca="1" si="32"/>
        <v>196</v>
      </c>
      <c r="CL8" s="5" t="str">
        <f t="shared" ca="1" si="33"/>
        <v>VIGENTE</v>
      </c>
      <c r="CM8" s="3"/>
      <c r="CN8" s="4">
        <v>45684</v>
      </c>
      <c r="CO8" s="4">
        <f t="shared" ref="CO8:CO10" si="164">DATE(YEAR(CN8)+2,MONTH(CN8),DAY(CN8)-1)</f>
        <v>46413</v>
      </c>
      <c r="CP8" s="8">
        <f t="shared" ca="1" si="34"/>
        <v>279</v>
      </c>
      <c r="CQ8" s="5" t="str">
        <f t="shared" ca="1" si="35"/>
        <v>VIGENTE</v>
      </c>
      <c r="CR8" s="3"/>
      <c r="CS8" s="4">
        <v>45905</v>
      </c>
      <c r="CT8" s="4">
        <f t="shared" ref="CT8:CT9" si="165">DATE(YEAR(CS8)+2,MONTH(CS8),DAY(CS8))</f>
        <v>46635</v>
      </c>
      <c r="CU8" s="8">
        <f t="shared" ca="1" si="36"/>
        <v>501</v>
      </c>
      <c r="CV8" s="5" t="str">
        <f t="shared" ca="1" si="37"/>
        <v>VIGENTE</v>
      </c>
      <c r="CW8" s="3"/>
      <c r="CX8" s="4">
        <v>46000</v>
      </c>
      <c r="CY8" s="4">
        <f t="shared" ref="CY8:CY9" si="166">DATE(YEAR(CX8)+2,MONTH(CX8),DAY(CX8))</f>
        <v>46730</v>
      </c>
      <c r="CZ8" s="8">
        <f t="shared" ca="1" si="38"/>
        <v>596</v>
      </c>
      <c r="DA8" s="5" t="str">
        <f t="shared" ca="1" si="39"/>
        <v>VIGENTE</v>
      </c>
      <c r="DB8" s="3"/>
      <c r="DC8" s="4">
        <v>45761</v>
      </c>
      <c r="DD8" s="4">
        <f>DATE(YEAR(DC8)+2,MONTH(DC8),DAY(DC8))</f>
        <v>46491</v>
      </c>
      <c r="DE8" s="8">
        <f t="shared" ca="1" si="40"/>
        <v>357</v>
      </c>
      <c r="DF8" s="5" t="str">
        <f t="shared" ca="1" si="41"/>
        <v>VIGENTE</v>
      </c>
      <c r="DG8" s="3"/>
      <c r="DH8" s="4">
        <v>45975</v>
      </c>
      <c r="DI8" s="4">
        <f t="shared" ref="DI8:DI9" si="167">DATE(YEAR(DH8)+2,MONTH(DH8),DAY(DH8))</f>
        <v>46705</v>
      </c>
      <c r="DJ8" s="8">
        <f t="shared" ca="1" si="43"/>
        <v>571</v>
      </c>
      <c r="DK8" s="5" t="str">
        <f t="shared" ca="1" si="44"/>
        <v>VIGENTE</v>
      </c>
      <c r="DL8" s="3"/>
      <c r="DM8" s="4">
        <v>46008</v>
      </c>
      <c r="DN8" s="4">
        <f t="shared" si="149"/>
        <v>46738</v>
      </c>
      <c r="DO8" s="8">
        <f t="shared" ca="1" si="46"/>
        <v>604</v>
      </c>
      <c r="DP8" s="5" t="str">
        <f t="shared" ca="1" si="47"/>
        <v>VIGENTE</v>
      </c>
      <c r="DQ8" s="3"/>
      <c r="DR8" s="4">
        <v>45625</v>
      </c>
      <c r="DS8" s="4">
        <f t="shared" ref="DS8:DS10" si="168">DATE(YEAR(DR8)+2,MONTH(DR8),DAY(DR8)-1)</f>
        <v>46354</v>
      </c>
      <c r="DT8" s="8">
        <f t="shared" ca="1" si="48"/>
        <v>220</v>
      </c>
      <c r="DU8" s="5" t="str">
        <f t="shared" ca="1" si="49"/>
        <v>VIGENTE</v>
      </c>
      <c r="DV8" s="3"/>
      <c r="DW8" s="4">
        <v>45612</v>
      </c>
      <c r="DX8" s="4">
        <f>DATE(YEAR(DW8)+2,MONTH(DW8),DAY(DW8)-1)</f>
        <v>46341</v>
      </c>
      <c r="DY8" s="8">
        <f t="shared" ca="1" si="50"/>
        <v>207</v>
      </c>
      <c r="DZ8" s="5" t="str">
        <f t="shared" ca="1" si="51"/>
        <v>VIGENTE</v>
      </c>
      <c r="EA8" s="3"/>
      <c r="EB8" s="4">
        <v>45730</v>
      </c>
      <c r="EC8" s="4">
        <f>DATE(YEAR(EB8)+2,MONTH(EB8),DAY(EB8)-1)</f>
        <v>46459</v>
      </c>
      <c r="ED8" s="8">
        <f t="shared" ca="1" si="52"/>
        <v>325</v>
      </c>
      <c r="EE8" s="5" t="str">
        <f t="shared" ca="1" si="53"/>
        <v>VIGENTE</v>
      </c>
      <c r="EF8" s="3"/>
      <c r="EG8" s="3">
        <v>46107</v>
      </c>
      <c r="EH8" s="4">
        <f t="shared" si="137"/>
        <v>46472</v>
      </c>
      <c r="EI8" s="8">
        <f t="shared" ca="1" si="54"/>
        <v>338</v>
      </c>
      <c r="EJ8" s="5" t="str">
        <f t="shared" ca="1" si="55"/>
        <v>VIGENTE</v>
      </c>
      <c r="EK8" s="3"/>
      <c r="EL8" s="4">
        <v>45584</v>
      </c>
      <c r="EM8" s="4">
        <f t="shared" ref="EM8:EM10" si="169">DATE(YEAR(EL8)+2,MONTH(EL8),DAY(EL8)-1)</f>
        <v>46313</v>
      </c>
      <c r="EN8" s="8">
        <f t="shared" ca="1" si="56"/>
        <v>179</v>
      </c>
      <c r="EO8" s="5" t="str">
        <f t="shared" ca="1" si="57"/>
        <v>VIGENTE</v>
      </c>
      <c r="EP8" s="3"/>
      <c r="EQ8" s="4">
        <v>45575</v>
      </c>
      <c r="ER8" s="4">
        <f t="shared" ref="ER8:ER10" si="170">DATE(YEAR(EQ8)+2,MONTH(EQ8),DAY(EQ8)-1)</f>
        <v>46304</v>
      </c>
      <c r="ES8" s="8">
        <f t="shared" ca="1" si="58"/>
        <v>170</v>
      </c>
      <c r="ET8" s="5" t="str">
        <f t="shared" ca="1" si="59"/>
        <v>VIGENTE</v>
      </c>
      <c r="EU8" s="3"/>
      <c r="EV8" s="4">
        <v>45917</v>
      </c>
      <c r="EW8" s="4">
        <f t="shared" si="151"/>
        <v>46647</v>
      </c>
      <c r="EX8" s="8">
        <f t="shared" ca="1" si="60"/>
        <v>513</v>
      </c>
      <c r="EY8" s="5" t="str">
        <f t="shared" ca="1" si="61"/>
        <v>VIGENTE</v>
      </c>
      <c r="EZ8" s="3"/>
      <c r="FA8" s="4">
        <v>45638</v>
      </c>
      <c r="FB8" s="4">
        <f>DATE(YEAR(FA8)+2,MONTH(FA8),DAY(FA8)-1)</f>
        <v>46367</v>
      </c>
      <c r="FC8" s="8">
        <f t="shared" ca="1" si="62"/>
        <v>233</v>
      </c>
      <c r="FD8" s="5" t="str">
        <f t="shared" ca="1" si="63"/>
        <v>VIGENTE</v>
      </c>
      <c r="FE8" s="3"/>
      <c r="FF8" s="4">
        <v>45919</v>
      </c>
      <c r="FG8" s="4">
        <f t="shared" si="153"/>
        <v>46649</v>
      </c>
      <c r="FH8" s="8">
        <f t="shared" ca="1" si="64"/>
        <v>515</v>
      </c>
      <c r="FI8" s="5" t="str">
        <f t="shared" ca="1" si="65"/>
        <v>VIGENTE</v>
      </c>
      <c r="FJ8" s="3"/>
      <c r="FK8" s="4">
        <v>45588</v>
      </c>
      <c r="FL8" s="4">
        <f t="shared" si="66"/>
        <v>46317</v>
      </c>
      <c r="FM8" s="8">
        <f t="shared" ca="1" si="67"/>
        <v>183</v>
      </c>
      <c r="FN8" s="5" t="str">
        <f t="shared" ca="1" si="68"/>
        <v>VIGENTE</v>
      </c>
      <c r="FO8" s="3"/>
      <c r="FP8" s="4">
        <v>45664</v>
      </c>
      <c r="FQ8" s="4">
        <f>DATE(YEAR(FP8)+2,MONTH(FP8),DAY(FP8)-1)</f>
        <v>46393</v>
      </c>
      <c r="FR8" s="8">
        <f t="shared" ca="1" si="69"/>
        <v>259</v>
      </c>
      <c r="FS8" s="5" t="str">
        <f t="shared" ca="1" si="70"/>
        <v>VIGENTE</v>
      </c>
      <c r="FT8" s="3"/>
      <c r="FU8" s="4">
        <v>46014</v>
      </c>
      <c r="FV8" s="4">
        <f t="shared" si="158"/>
        <v>46744</v>
      </c>
      <c r="FW8" s="8">
        <f t="shared" ca="1" si="71"/>
        <v>610</v>
      </c>
      <c r="FX8" s="5" t="str">
        <f t="shared" ca="1" si="72"/>
        <v>VIGENTE</v>
      </c>
      <c r="FY8" s="3"/>
      <c r="FZ8" s="4">
        <v>45667</v>
      </c>
      <c r="GA8" s="4">
        <f>DATE(YEAR(FZ8)+2,MONTH(FZ8),DAY(FZ8)-1)</f>
        <v>46396</v>
      </c>
      <c r="GB8" s="8">
        <f t="shared" ca="1" si="73"/>
        <v>262</v>
      </c>
      <c r="GC8" s="5" t="str">
        <f t="shared" ca="1" si="74"/>
        <v>VIGENTE</v>
      </c>
      <c r="GD8" s="3"/>
      <c r="GE8" s="4">
        <v>45731</v>
      </c>
      <c r="GF8" s="4">
        <f t="shared" si="140"/>
        <v>46460</v>
      </c>
      <c r="GG8" s="8">
        <f t="shared" ca="1" si="75"/>
        <v>326</v>
      </c>
      <c r="GH8" s="5" t="str">
        <f t="shared" ca="1" si="76"/>
        <v>VIGENTE</v>
      </c>
      <c r="GI8" s="3"/>
      <c r="GJ8" s="4">
        <v>45608</v>
      </c>
      <c r="GK8" s="4">
        <f>DATE(YEAR(GJ8)+2,MONTH(GJ8),DAY(GJ8)-1)</f>
        <v>46337</v>
      </c>
      <c r="GL8" s="8">
        <f t="shared" ca="1" si="77"/>
        <v>203</v>
      </c>
      <c r="GM8" s="5" t="str">
        <f t="shared" ca="1" si="78"/>
        <v>VIGENTE</v>
      </c>
      <c r="GN8" s="4"/>
      <c r="GO8" s="4">
        <v>44952</v>
      </c>
      <c r="GP8" s="4">
        <f t="shared" si="79"/>
        <v>46778</v>
      </c>
      <c r="GQ8" s="8">
        <f t="shared" ca="1" si="80"/>
        <v>644</v>
      </c>
      <c r="GR8" s="5" t="str">
        <f t="shared" ca="1" si="81"/>
        <v>VIGENTE</v>
      </c>
      <c r="GS8" s="3"/>
      <c r="GT8" s="4">
        <v>45099</v>
      </c>
      <c r="GU8" s="4">
        <f t="shared" si="82"/>
        <v>46926</v>
      </c>
      <c r="GV8" s="8">
        <f t="shared" ca="1" si="83"/>
        <v>792</v>
      </c>
      <c r="GW8" s="5" t="str">
        <f t="shared" ca="1" si="84"/>
        <v>VIGENTE</v>
      </c>
      <c r="GX8" s="2"/>
      <c r="GY8" s="4">
        <v>44980</v>
      </c>
      <c r="GZ8" s="4">
        <f t="shared" si="85"/>
        <v>46806</v>
      </c>
      <c r="HA8" s="8">
        <f t="shared" ca="1" si="86"/>
        <v>672</v>
      </c>
      <c r="HB8" s="5" t="str">
        <f t="shared" ca="1" si="87"/>
        <v>VIGENTE</v>
      </c>
      <c r="HC8" s="6"/>
      <c r="HD8" s="4">
        <v>44956</v>
      </c>
      <c r="HE8" s="4">
        <f t="shared" si="88"/>
        <v>46782</v>
      </c>
      <c r="HF8" s="8">
        <f t="shared" ca="1" si="89"/>
        <v>648</v>
      </c>
      <c r="HG8" s="5" t="str">
        <f t="shared" ca="1" si="90"/>
        <v>VIGENTE</v>
      </c>
      <c r="HH8" s="2"/>
      <c r="HI8" s="6"/>
      <c r="HJ8" s="4"/>
      <c r="HK8" s="8"/>
      <c r="HL8" s="5" t="str">
        <f t="shared" si="91"/>
        <v>NO APLICA</v>
      </c>
      <c r="HM8" s="2"/>
      <c r="HN8" s="2"/>
      <c r="HO8" s="4"/>
      <c r="HP8" s="2"/>
      <c r="HQ8" s="5" t="str">
        <f t="shared" si="92"/>
        <v>NO APLICA</v>
      </c>
      <c r="HR8" s="2"/>
      <c r="HS8" s="4">
        <v>44939</v>
      </c>
      <c r="HT8" s="4">
        <f>DATE(YEAR(HS8)+5,MONTH(HS8),DAY(HS8))</f>
        <v>46765</v>
      </c>
      <c r="HU8" s="8">
        <f ca="1">HT8-TODAY()</f>
        <v>631</v>
      </c>
      <c r="HV8" s="5" t="str">
        <f ca="1">IF(HU8&gt;=61,"VIGENTE",IF(HU8&gt;=1,"POR VENCER",IF(HU8&lt;=-1,"VENCIDA",IF(HS8=0,"NO APLICA"))))</f>
        <v>VIGENTE</v>
      </c>
      <c r="HW8" s="2"/>
      <c r="HX8" s="4">
        <v>45092</v>
      </c>
      <c r="HY8" s="4">
        <f>DATE(YEAR(HX8)+5,MONTH(HX8),DAY(HX8))</f>
        <v>46919</v>
      </c>
      <c r="HZ8" s="8">
        <f ca="1">HY8-TODAY()</f>
        <v>785</v>
      </c>
      <c r="IA8" s="5" t="str">
        <f ca="1">IF(HZ8&gt;=61,"VIGENTE",IF(HZ8&gt;=1,"POR VENCER",IF(HZ8&lt;=-1,"VENCIDA",IF(HX8=0,"NO APLICA"))))</f>
        <v>VIGENTE</v>
      </c>
      <c r="IB8" s="2"/>
      <c r="IC8" s="4">
        <v>44972</v>
      </c>
      <c r="ID8" s="4">
        <f>DATE(YEAR(IC8)+5,MONTH(IC8),DAY(IC8))</f>
        <v>46798</v>
      </c>
      <c r="IE8" s="8">
        <f ca="1">ID8-TODAY()</f>
        <v>664</v>
      </c>
      <c r="IF8" s="5" t="str">
        <f ca="1">IF(IE8&gt;=61,"VIGENTE",IF(IE8&gt;=1,"POR VENCER",IF(IE8&lt;=-1,"VENCIDA",IF(IC8=0,"NO APLICA"))))</f>
        <v>VIGENTE</v>
      </c>
      <c r="IG8" s="6"/>
      <c r="IH8" s="4">
        <v>45105</v>
      </c>
      <c r="II8" s="4">
        <f>DATE(YEAR(IH8)+5,MONTH(IH8),DAY(IH8))</f>
        <v>46932</v>
      </c>
      <c r="IJ8" s="8">
        <f ca="1">II8-TODAY()</f>
        <v>798</v>
      </c>
      <c r="IK8" s="5" t="str">
        <f ca="1">IF(IJ8&gt;=61,"VIGENTE",IF(IJ8&gt;=1,"POR VENCER",IF(IJ8&lt;=-1,"VENCIDA",IF(IH8=0,"NO APLICA"))))</f>
        <v>VIGENTE</v>
      </c>
      <c r="IL8" s="2"/>
      <c r="IM8" s="4">
        <v>45064</v>
      </c>
      <c r="IN8" s="4">
        <f>DATE(YEAR(IM8)+5,MONTH(IM8),DAY(IM8))</f>
        <v>46891</v>
      </c>
      <c r="IO8" s="8">
        <f ca="1">IN8-TODAY()</f>
        <v>757</v>
      </c>
      <c r="IP8" s="5" t="str">
        <f ca="1">IF(IO8&gt;=61,"VIGENTE",IF(IO8&gt;=1,"POR VENCER",IF(IO8&lt;=-1,"VENCIDA",IF(IM8=0,"NO APLICA"))))</f>
        <v>VIGENTE</v>
      </c>
      <c r="IQ8" s="2"/>
      <c r="IR8" s="4">
        <v>45062</v>
      </c>
      <c r="IS8" s="4">
        <f>DATE(YEAR(IR8)+5,MONTH(IR8),DAY(IR8))</f>
        <v>46889</v>
      </c>
      <c r="IT8" s="8">
        <f ca="1">IS8-TODAY()</f>
        <v>755</v>
      </c>
      <c r="IU8" s="5" t="str">
        <f ca="1">IF(IT8&gt;=61,"VIGENTE",IF(IT8&gt;=1,"POR VENCER",IF(IT8&lt;=-1,"VENCIDA",IF(IR8=0,"NO APLICA"))))</f>
        <v>VIGENTE</v>
      </c>
      <c r="IV8" s="2"/>
      <c r="IW8" s="4">
        <v>45101</v>
      </c>
      <c r="IX8" s="4">
        <f>DATE(YEAR(IW8)+5,MONTH(IW8),DAY(IW8))</f>
        <v>46928</v>
      </c>
      <c r="IY8" s="8">
        <f ca="1">IX8-TODAY()</f>
        <v>794</v>
      </c>
      <c r="IZ8" s="5" t="str">
        <f ca="1">IF(IY8&gt;=61,"VIGENTE",IF(IY8&gt;=1,"POR VENCER",IF(IY8&lt;=-1,"VENCIDA",IF(IW8=0,"NO APLICA"))))</f>
        <v>VIGENTE</v>
      </c>
      <c r="JA8" s="3"/>
      <c r="JB8" s="3"/>
      <c r="JC8" s="4"/>
      <c r="JD8" s="8"/>
      <c r="JE8" s="5" t="str">
        <f t="shared" si="100"/>
        <v>NO APLICA</v>
      </c>
      <c r="JF8" s="6"/>
      <c r="JG8" s="6"/>
      <c r="JH8" s="6"/>
      <c r="JI8" s="6"/>
      <c r="JJ8" s="5" t="str">
        <f t="shared" si="101"/>
        <v>NO APLICA</v>
      </c>
      <c r="JK8" s="6"/>
      <c r="JL8" s="6"/>
      <c r="JM8" s="6"/>
      <c r="JN8" s="6"/>
      <c r="JO8" s="5" t="str">
        <f t="shared" si="102"/>
        <v>NO APLICA</v>
      </c>
      <c r="JP8" s="6"/>
      <c r="JQ8" s="6"/>
      <c r="JR8" s="6"/>
      <c r="JS8" s="6"/>
      <c r="JT8" s="5" t="str">
        <f t="shared" si="103"/>
        <v>NO APLICA</v>
      </c>
      <c r="JU8" s="5"/>
      <c r="JV8" s="5"/>
      <c r="JW8" s="5"/>
      <c r="JX8" s="5"/>
      <c r="JY8" s="5" t="str">
        <f t="shared" si="104"/>
        <v>NO APLICA</v>
      </c>
      <c r="JZ8" s="5"/>
      <c r="KA8" s="2"/>
      <c r="KB8" s="4"/>
      <c r="KC8" s="8"/>
      <c r="KD8" s="5" t="str">
        <f t="shared" si="105"/>
        <v>NO APLICA</v>
      </c>
      <c r="KE8" s="5"/>
      <c r="KF8" s="2"/>
      <c r="KG8" s="4"/>
      <c r="KH8" s="8"/>
      <c r="KI8" s="5" t="str">
        <f t="shared" si="141"/>
        <v>NO APLICA</v>
      </c>
      <c r="KJ8" s="5"/>
      <c r="KK8" s="2"/>
      <c r="KL8" s="4"/>
      <c r="KM8" s="8"/>
      <c r="KN8" s="5" t="str">
        <f t="shared" si="106"/>
        <v>NO APLICA</v>
      </c>
      <c r="KO8" s="5"/>
      <c r="KP8" s="3">
        <v>45346</v>
      </c>
      <c r="KQ8" s="4">
        <f>DATE(YEAR(KP8)+5,MONTH(KP8),DAY(KP8))</f>
        <v>47173</v>
      </c>
      <c r="KR8" s="8">
        <f ca="1">KQ8-TODAY()</f>
        <v>1039</v>
      </c>
      <c r="KS8" s="5" t="str">
        <f ca="1">IF(KR8&gt;=61,"VIGENTE",IF(KR8&gt;=1,"POR VENCER",IF(KR8&lt;=-1,"VENCIDA",IF(KP8=0,"NO APLICA"))))</f>
        <v>VIGENTE</v>
      </c>
      <c r="KT8" s="3"/>
      <c r="KU8" s="4">
        <v>44656</v>
      </c>
      <c r="KV8" s="4">
        <f>DATE(YEAR(KU8)+5,MONTH(KU8),DAY(KU8))</f>
        <v>46482</v>
      </c>
      <c r="KW8" s="8">
        <f ca="1">KV8-TODAY()</f>
        <v>348</v>
      </c>
      <c r="KX8" s="5" t="str">
        <f ca="1">IF(KW8&gt;=61,"VIGENTE",IF(KW8&gt;=1,"POR VENCER",IF(KW8&lt;=-1,"VENCIDA",IF(KU8=0,"NO APLICA"))))</f>
        <v>VIGENTE</v>
      </c>
      <c r="KY8" s="5"/>
      <c r="KZ8" s="4">
        <v>44608</v>
      </c>
      <c r="LA8" s="4">
        <f>DATE(YEAR(KZ8)+5,MONTH(KZ8),DAY(KZ8))</f>
        <v>46434</v>
      </c>
      <c r="LB8" s="8">
        <f ca="1">LA8-TODAY()</f>
        <v>300</v>
      </c>
      <c r="LC8" s="5" t="str">
        <f ca="1">IF(LB8&gt;=61,"VIGENTE",IF(LB8&gt;=1,"POR VENCER",IF(LB8&lt;=-1,"VENCIDA",IF(KZ8=0,"NO APLICA"))))</f>
        <v>VIGENTE</v>
      </c>
      <c r="LD8" s="6"/>
      <c r="LE8" s="6"/>
      <c r="LF8" s="4"/>
      <c r="LG8" s="8"/>
      <c r="LH8" s="5" t="str">
        <f t="shared" si="107"/>
        <v>NO APLICA</v>
      </c>
      <c r="LI8" s="5"/>
      <c r="LJ8" s="5"/>
      <c r="LK8" s="5"/>
      <c r="LL8" s="5"/>
      <c r="LM8" s="5" t="str">
        <f t="shared" si="157"/>
        <v>NO APLICA</v>
      </c>
      <c r="LN8" s="2"/>
      <c r="LO8" s="6"/>
      <c r="LP8" s="4"/>
      <c r="LQ8" s="8"/>
      <c r="LR8" s="5" t="str">
        <f t="shared" si="144"/>
        <v>NO APLICA</v>
      </c>
      <c r="LS8" s="6"/>
      <c r="LT8" s="6"/>
      <c r="LU8" s="4"/>
      <c r="LV8" s="8"/>
      <c r="LW8" s="5" t="str">
        <f t="shared" si="145"/>
        <v>NO APLICA</v>
      </c>
      <c r="LX8" s="6"/>
      <c r="LY8" s="6"/>
      <c r="LZ8" s="4"/>
      <c r="MA8" s="8"/>
      <c r="MB8" s="5" t="str">
        <f t="shared" si="146"/>
        <v>NO APLICA</v>
      </c>
      <c r="MC8" s="3"/>
      <c r="MD8" s="3">
        <v>44998</v>
      </c>
      <c r="ME8" s="4">
        <f>DATE(YEAR(MD8)+5,MONTH(MD8),DAY(MD8))</f>
        <v>46825</v>
      </c>
      <c r="MF8" s="8">
        <f ca="1">ME8-TODAY()</f>
        <v>691</v>
      </c>
      <c r="MG8" s="5" t="str">
        <f ca="1">IF(MF8&gt;=61,"VIGENTE",IF(MF8&gt;=1,"POR VENCER",IF(MF8&lt;=-1,"VENCIDA",IF(MD8=0,"NO APLICA"))))</f>
        <v>VIGENTE</v>
      </c>
      <c r="MH8" s="2"/>
      <c r="MI8" s="2"/>
      <c r="MJ8" s="4"/>
      <c r="MK8" s="8"/>
      <c r="ML8" s="5" t="str">
        <f t="shared" si="109"/>
        <v>NO APLICA</v>
      </c>
      <c r="MM8" s="5"/>
      <c r="MN8" s="2"/>
      <c r="MO8" s="4"/>
      <c r="MP8" s="8"/>
      <c r="MQ8" s="5" t="str">
        <f t="shared" si="110"/>
        <v>NO APLICA</v>
      </c>
      <c r="MR8" s="5"/>
      <c r="MS8" s="2"/>
      <c r="MT8" s="4"/>
      <c r="MU8" s="2"/>
      <c r="MV8" s="5" t="str">
        <f t="shared" si="111"/>
        <v>NO APLICA</v>
      </c>
      <c r="MW8" s="2"/>
      <c r="MX8" s="6"/>
      <c r="MY8" s="4"/>
      <c r="MZ8" s="8"/>
      <c r="NA8" s="5" t="str">
        <f t="shared" si="112"/>
        <v>NO APLICA</v>
      </c>
      <c r="NB8" s="2"/>
      <c r="NC8" s="6"/>
      <c r="ND8" s="4"/>
      <c r="NE8" s="8"/>
      <c r="NF8" s="5" t="str">
        <f t="shared" si="113"/>
        <v>NO APLICA</v>
      </c>
      <c r="NG8" s="2"/>
      <c r="NH8" s="6"/>
      <c r="NI8" s="4"/>
      <c r="NJ8" s="8"/>
      <c r="NK8" s="5" t="str">
        <f t="shared" si="114"/>
        <v>NO APLICA</v>
      </c>
      <c r="NL8" s="2"/>
      <c r="NM8" s="2"/>
      <c r="NN8" s="4"/>
      <c r="NO8" s="2"/>
      <c r="NP8" s="5" t="str">
        <f t="shared" si="115"/>
        <v>NO APLICA</v>
      </c>
      <c r="NQ8" s="2"/>
      <c r="NR8" s="2"/>
      <c r="NS8" s="4"/>
      <c r="NT8" s="2"/>
      <c r="NU8" s="5" t="str">
        <f t="shared" si="116"/>
        <v>NO APLICA</v>
      </c>
      <c r="NV8" s="6"/>
      <c r="NW8" s="6"/>
      <c r="NX8" s="4"/>
      <c r="NY8" s="8"/>
      <c r="NZ8" s="5" t="str">
        <f t="shared" si="117"/>
        <v>NO APLICA</v>
      </c>
      <c r="OA8" s="6"/>
      <c r="OB8" s="6"/>
      <c r="OC8" s="6"/>
      <c r="OD8" s="6"/>
      <c r="OE8" s="5" t="str">
        <f t="shared" si="118"/>
        <v>NO APLICA</v>
      </c>
      <c r="OF8" s="6"/>
      <c r="OG8" s="6"/>
      <c r="OH8" s="4"/>
      <c r="OI8" s="8"/>
      <c r="OJ8" s="5" t="str">
        <f t="shared" si="119"/>
        <v>NO APLICA</v>
      </c>
      <c r="OK8" s="6"/>
      <c r="OL8" s="6"/>
      <c r="OM8" s="6"/>
      <c r="ON8" s="6"/>
      <c r="OO8" s="5" t="str">
        <f t="shared" si="120"/>
        <v>NO APLICA</v>
      </c>
      <c r="OP8" s="6"/>
      <c r="OQ8" s="6"/>
      <c r="OR8" s="6"/>
      <c r="OS8" s="6"/>
      <c r="OT8" s="5" t="str">
        <f t="shared" si="121"/>
        <v>NO APLICA</v>
      </c>
      <c r="OU8" s="6"/>
      <c r="OV8" s="6"/>
      <c r="OW8" s="6"/>
      <c r="OX8" s="6"/>
      <c r="OY8" s="5" t="str">
        <f t="shared" si="122"/>
        <v>NO APLICA</v>
      </c>
      <c r="OZ8" s="6"/>
      <c r="PA8" s="6"/>
      <c r="PB8" s="6"/>
      <c r="PC8" s="6"/>
      <c r="PD8" s="5" t="str">
        <f t="shared" si="123"/>
        <v>NO APLICA</v>
      </c>
      <c r="PE8" s="6"/>
      <c r="PF8" s="6"/>
      <c r="PG8" s="6"/>
      <c r="PH8" s="6"/>
      <c r="PI8" s="5" t="str">
        <f t="shared" si="124"/>
        <v>NO APLICA</v>
      </c>
      <c r="PJ8" s="5"/>
      <c r="PK8" s="6"/>
      <c r="PL8" s="4"/>
      <c r="PM8" s="8"/>
      <c r="PN8" s="5" t="str">
        <f t="shared" si="125"/>
        <v>NO APLICA</v>
      </c>
      <c r="PO8" s="6"/>
      <c r="PP8" s="6"/>
      <c r="PQ8" s="6"/>
      <c r="PR8" s="6"/>
      <c r="PS8" s="5" t="str">
        <f t="shared" si="126"/>
        <v>NO APLICA</v>
      </c>
      <c r="PT8" s="5"/>
      <c r="PU8" s="4">
        <v>46126</v>
      </c>
      <c r="PV8" s="4">
        <f>DATE(YEAR(PU8)+1,MONTH(PU8),DAY(PU8))</f>
        <v>46491</v>
      </c>
      <c r="PW8" s="8">
        <f ca="1">PV8-TODAY()</f>
        <v>357</v>
      </c>
      <c r="PX8" s="5" t="str">
        <f t="shared" ca="1" si="127"/>
        <v>VIGENTE</v>
      </c>
    </row>
    <row r="9" spans="1:440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192</v>
      </c>
      <c r="T9" s="5" t="str">
        <f ca="1">IF(S9&gt;=61,"VIGENTE",IF(S9&gt;=1,"POR VENCER",IF(S9&lt;=-1,"VENCIDA",IF(S9=0,"NO APLICA"))))</f>
        <v>VIGENTE</v>
      </c>
      <c r="U9" s="2" t="s">
        <v>86</v>
      </c>
      <c r="V9" s="4">
        <v>45216</v>
      </c>
      <c r="W9" s="4">
        <f t="shared" si="2"/>
        <v>47043</v>
      </c>
      <c r="X9" s="8">
        <f t="shared" ca="1" si="3"/>
        <v>909</v>
      </c>
      <c r="Y9" s="5" t="str">
        <f t="shared" ca="1" si="4"/>
        <v>VIGENTE</v>
      </c>
      <c r="Z9" s="2" t="s">
        <v>87</v>
      </c>
      <c r="AA9" s="4">
        <v>45233</v>
      </c>
      <c r="AB9" s="4">
        <f t="shared" si="5"/>
        <v>47060</v>
      </c>
      <c r="AC9" s="8">
        <f t="shared" ca="1" si="6"/>
        <v>926</v>
      </c>
      <c r="AD9" s="5" t="str">
        <f t="shared" ca="1" si="7"/>
        <v>VIGENTE</v>
      </c>
      <c r="AE9" s="2"/>
      <c r="AF9" s="4">
        <v>45936</v>
      </c>
      <c r="AG9" s="4">
        <f t="shared" ref="AG9:AG10" si="171">DATE(YEAR(AF9)+2,MONTH(AF9),DAY(AF9))</f>
        <v>46666</v>
      </c>
      <c r="AH9" s="8">
        <f t="shared" ca="1" si="8"/>
        <v>532</v>
      </c>
      <c r="AI9" s="5" t="str">
        <f t="shared" ca="1" si="9"/>
        <v>VIGENTE</v>
      </c>
      <c r="AJ9" s="2"/>
      <c r="AK9" s="4">
        <v>45937</v>
      </c>
      <c r="AL9" s="4">
        <f t="shared" si="130"/>
        <v>46667</v>
      </c>
      <c r="AM9" s="8">
        <f t="shared" ca="1" si="10"/>
        <v>533</v>
      </c>
      <c r="AN9" s="5" t="str">
        <f t="shared" ca="1" si="11"/>
        <v>VIGENTE</v>
      </c>
      <c r="AO9" s="2"/>
      <c r="AP9" s="4">
        <v>45904</v>
      </c>
      <c r="AQ9" s="4">
        <f t="shared" si="131"/>
        <v>46634</v>
      </c>
      <c r="AR9" s="8">
        <f t="shared" ca="1" si="12"/>
        <v>500</v>
      </c>
      <c r="AS9" s="5" t="str">
        <f t="shared" ca="1" si="13"/>
        <v>VIGENTE</v>
      </c>
      <c r="AT9" s="2"/>
      <c r="AU9" s="4">
        <v>45927</v>
      </c>
      <c r="AV9" s="4">
        <f t="shared" si="14"/>
        <v>46657</v>
      </c>
      <c r="AW9" s="8">
        <f t="shared" ca="1" si="15"/>
        <v>523</v>
      </c>
      <c r="AX9" s="5" t="str">
        <f t="shared" ca="1" si="16"/>
        <v>VIGENTE</v>
      </c>
      <c r="AY9" s="3"/>
      <c r="AZ9" s="4">
        <v>46041</v>
      </c>
      <c r="BA9" s="4">
        <f>DATE(YEAR(AZ9)+2,MONTH(AZ9),DAY(AZ9))</f>
        <v>46771</v>
      </c>
      <c r="BB9" s="8">
        <f t="shared" ca="1" si="17"/>
        <v>637</v>
      </c>
      <c r="BC9" s="5" t="str">
        <f t="shared" ca="1" si="18"/>
        <v>VIGENTE</v>
      </c>
      <c r="BD9" s="2"/>
      <c r="BE9" s="4">
        <v>45997</v>
      </c>
      <c r="BF9" s="4">
        <f>DATE(YEAR(BE9)+2,MONTH(BE9),DAY(BE9))</f>
        <v>46727</v>
      </c>
      <c r="BG9" s="8">
        <f t="shared" ca="1" si="19"/>
        <v>593</v>
      </c>
      <c r="BH9" s="5" t="str">
        <f t="shared" ca="1" si="20"/>
        <v>VIGENTE</v>
      </c>
      <c r="BI9" s="3"/>
      <c r="BJ9" s="4">
        <v>46017</v>
      </c>
      <c r="BK9" s="4">
        <f>DATE(YEAR(BJ9)+2,MONTH(BJ9),DAY(BJ9))</f>
        <v>46747</v>
      </c>
      <c r="BL9" s="8">
        <f t="shared" ca="1" si="21"/>
        <v>613</v>
      </c>
      <c r="BM9" s="5" t="str">
        <f t="shared" ca="1" si="22"/>
        <v>VIGENTE</v>
      </c>
      <c r="BN9" s="3"/>
      <c r="BO9" s="4">
        <v>45981</v>
      </c>
      <c r="BP9" s="4">
        <f>DATE(YEAR(BO9)+2,MONTH(BO9),DAY(BO9))</f>
        <v>46711</v>
      </c>
      <c r="BQ9" s="8">
        <f t="shared" ca="1" si="23"/>
        <v>577</v>
      </c>
      <c r="BR9" s="5" t="str">
        <f t="shared" ca="1" si="24"/>
        <v>VIGENTE</v>
      </c>
      <c r="BS9" s="3"/>
      <c r="BT9" s="4">
        <v>46031</v>
      </c>
      <c r="BU9" s="4">
        <f>DATE(YEAR(BT9)+2,MONTH(BT9),DAY(BT9))</f>
        <v>46761</v>
      </c>
      <c r="BV9" s="8">
        <f t="shared" ca="1" si="25"/>
        <v>627</v>
      </c>
      <c r="BW9" s="5" t="str">
        <f t="shared" ca="1" si="26"/>
        <v>VIGENTE</v>
      </c>
      <c r="BX9" s="2"/>
      <c r="BY9" s="4">
        <v>45986</v>
      </c>
      <c r="BZ9" s="4">
        <f t="shared" si="148"/>
        <v>46716</v>
      </c>
      <c r="CA9" s="8">
        <f t="shared" ca="1" si="27"/>
        <v>582</v>
      </c>
      <c r="CB9" s="5" t="str">
        <f t="shared" ca="1" si="28"/>
        <v>VIGENTE</v>
      </c>
      <c r="CC9" s="6" t="s">
        <v>73</v>
      </c>
      <c r="CD9" s="4">
        <v>45565</v>
      </c>
      <c r="CE9" s="4">
        <f t="shared" si="29"/>
        <v>47026</v>
      </c>
      <c r="CF9" s="8">
        <f t="shared" ca="1" si="30"/>
        <v>892</v>
      </c>
      <c r="CG9" s="5" t="str">
        <f t="shared" ca="1" si="31"/>
        <v>VIGENTE</v>
      </c>
      <c r="CH9" s="4"/>
      <c r="CI9" s="4">
        <v>46018</v>
      </c>
      <c r="CJ9" s="4">
        <f>DATE(YEAR(CI9)+2,MONTH(CI9),DAY(CI9))</f>
        <v>46748</v>
      </c>
      <c r="CK9" s="8">
        <f t="shared" ca="1" si="32"/>
        <v>614</v>
      </c>
      <c r="CL9" s="5" t="str">
        <f t="shared" ca="1" si="33"/>
        <v>VIGENTE</v>
      </c>
      <c r="CM9" s="4"/>
      <c r="CN9" s="4">
        <v>45979</v>
      </c>
      <c r="CO9" s="4">
        <f>DATE(YEAR(CN9)+2,MONTH(CN9),DAY(CN9))</f>
        <v>46709</v>
      </c>
      <c r="CP9" s="8">
        <f t="shared" ca="1" si="34"/>
        <v>575</v>
      </c>
      <c r="CQ9" s="5" t="str">
        <f t="shared" ca="1" si="35"/>
        <v>VIGENTE</v>
      </c>
      <c r="CR9" s="2"/>
      <c r="CS9" s="4">
        <v>45905</v>
      </c>
      <c r="CT9" s="4">
        <f t="shared" si="165"/>
        <v>46635</v>
      </c>
      <c r="CU9" s="8">
        <f t="shared" ca="1" si="36"/>
        <v>501</v>
      </c>
      <c r="CV9" s="5" t="str">
        <f t="shared" ca="1" si="37"/>
        <v>VIGENTE</v>
      </c>
      <c r="CW9" s="3"/>
      <c r="CX9" s="4">
        <v>46000</v>
      </c>
      <c r="CY9" s="4">
        <f t="shared" si="166"/>
        <v>46730</v>
      </c>
      <c r="CZ9" s="8">
        <f t="shared" ca="1" si="38"/>
        <v>596</v>
      </c>
      <c r="DA9" s="5" t="str">
        <f t="shared" ca="1" si="39"/>
        <v>VIGENTE</v>
      </c>
      <c r="DB9" s="3"/>
      <c r="DC9" s="4">
        <v>45996</v>
      </c>
      <c r="DD9" s="4">
        <f>DATE(YEAR(DC9)+2,MONTH(DC9),DAY(DC9))</f>
        <v>46726</v>
      </c>
      <c r="DE9" s="8">
        <f t="shared" ca="1" si="40"/>
        <v>592</v>
      </c>
      <c r="DF9" s="5" t="str">
        <f t="shared" ca="1" si="41"/>
        <v>VIGENTE</v>
      </c>
      <c r="DG9" s="3"/>
      <c r="DH9" s="4">
        <v>45975</v>
      </c>
      <c r="DI9" s="4">
        <f t="shared" si="167"/>
        <v>46705</v>
      </c>
      <c r="DJ9" s="8">
        <f t="shared" ca="1" si="43"/>
        <v>571</v>
      </c>
      <c r="DK9" s="5" t="str">
        <f t="shared" ca="1" si="44"/>
        <v>VIGENTE</v>
      </c>
      <c r="DL9" s="3"/>
      <c r="DM9" s="4">
        <v>45982</v>
      </c>
      <c r="DN9" s="4">
        <f t="shared" si="149"/>
        <v>46712</v>
      </c>
      <c r="DO9" s="8">
        <f t="shared" ca="1" si="46"/>
        <v>578</v>
      </c>
      <c r="DP9" s="5" t="str">
        <f t="shared" ca="1" si="47"/>
        <v>VIGENTE</v>
      </c>
      <c r="DQ9" s="3"/>
      <c r="DR9" s="3">
        <v>46009</v>
      </c>
      <c r="DS9" s="4">
        <f>DATE(YEAR(DR9)+2,MONTH(DR9),DAY(DR9))</f>
        <v>46739</v>
      </c>
      <c r="DT9" s="8">
        <f t="shared" ca="1" si="48"/>
        <v>605</v>
      </c>
      <c r="DU9" s="5" t="str">
        <f t="shared" ca="1" si="49"/>
        <v>VIGENTE</v>
      </c>
      <c r="DV9" s="4"/>
      <c r="DW9" s="4">
        <v>46032</v>
      </c>
      <c r="DX9" s="4">
        <f t="shared" ref="DX9:DX10" si="172">DATE(YEAR(DW9)+2,MONTH(DW9),DAY(DW9))</f>
        <v>46762</v>
      </c>
      <c r="DY9" s="8">
        <f t="shared" ca="1" si="50"/>
        <v>628</v>
      </c>
      <c r="DZ9" s="5" t="str">
        <f t="shared" ca="1" si="51"/>
        <v>VIGENTE</v>
      </c>
      <c r="EA9" s="4"/>
      <c r="EB9" s="4">
        <v>45994</v>
      </c>
      <c r="EC9" s="4">
        <f t="shared" ref="EC9:EC10" si="173">DATE(YEAR(EB9)+2,MONTH(EB9),DAY(EB9))</f>
        <v>46724</v>
      </c>
      <c r="ED9" s="8">
        <f t="shared" ca="1" si="52"/>
        <v>590</v>
      </c>
      <c r="EE9" s="5" t="str">
        <f t="shared" ca="1" si="53"/>
        <v>VIGENTE</v>
      </c>
      <c r="EF9" s="3"/>
      <c r="EG9" s="3">
        <v>46015</v>
      </c>
      <c r="EH9" s="4">
        <f t="shared" si="137"/>
        <v>46380</v>
      </c>
      <c r="EI9" s="8">
        <f t="shared" ca="1" si="54"/>
        <v>246</v>
      </c>
      <c r="EJ9" s="5" t="str">
        <f t="shared" ca="1" si="55"/>
        <v>VIGENTE</v>
      </c>
      <c r="EK9" s="3"/>
      <c r="EL9" s="4">
        <v>45995</v>
      </c>
      <c r="EM9" s="4">
        <f>DATE(YEAR(EL9)+2,MONTH(EL9),DAY(EL9))</f>
        <v>46725</v>
      </c>
      <c r="EN9" s="8">
        <f t="shared" ca="1" si="56"/>
        <v>591</v>
      </c>
      <c r="EO9" s="5" t="str">
        <f t="shared" ca="1" si="57"/>
        <v>VIGENTE</v>
      </c>
      <c r="EP9" s="2"/>
      <c r="EQ9" s="4">
        <v>45999</v>
      </c>
      <c r="ER9" s="4">
        <f>DATE(YEAR(EQ9)+2,MONTH(EQ9),DAY(EQ9))</f>
        <v>46729</v>
      </c>
      <c r="ES9" s="8">
        <f t="shared" ca="1" si="58"/>
        <v>595</v>
      </c>
      <c r="ET9" s="5" t="str">
        <f t="shared" ca="1" si="59"/>
        <v>VIGENTE</v>
      </c>
      <c r="EU9" s="3"/>
      <c r="EV9" s="4">
        <v>46037</v>
      </c>
      <c r="EW9" s="4">
        <f t="shared" si="151"/>
        <v>46767</v>
      </c>
      <c r="EX9" s="8">
        <f t="shared" ca="1" si="60"/>
        <v>633</v>
      </c>
      <c r="EY9" s="5" t="str">
        <f t="shared" ca="1" si="61"/>
        <v>VIGENTE</v>
      </c>
      <c r="EZ9" s="2"/>
      <c r="FA9" s="4">
        <v>45988</v>
      </c>
      <c r="FB9" s="4">
        <f>DATE(YEAR(FA9)+2,MONTH(FA9),DAY(FA9))</f>
        <v>46718</v>
      </c>
      <c r="FC9" s="8">
        <f t="shared" ca="1" si="62"/>
        <v>584</v>
      </c>
      <c r="FD9" s="5" t="str">
        <f t="shared" ca="1" si="63"/>
        <v>VIGENTE</v>
      </c>
      <c r="FE9" s="3"/>
      <c r="FF9" s="4">
        <v>45962</v>
      </c>
      <c r="FG9" s="4">
        <f t="shared" si="153"/>
        <v>46692</v>
      </c>
      <c r="FH9" s="8">
        <f t="shared" ca="1" si="64"/>
        <v>558</v>
      </c>
      <c r="FI9" s="5" t="str">
        <f t="shared" ca="1" si="65"/>
        <v>VIGENTE</v>
      </c>
      <c r="FJ9" s="4"/>
      <c r="FK9" s="4">
        <v>46039</v>
      </c>
      <c r="FL9" s="4">
        <f>DATE(YEAR(FK9)+2,MONTH(FK9),DAY(FK9))</f>
        <v>46769</v>
      </c>
      <c r="FM9" s="8">
        <f t="shared" ca="1" si="67"/>
        <v>635</v>
      </c>
      <c r="FN9" s="5" t="str">
        <f t="shared" ca="1" si="68"/>
        <v>VIGENTE</v>
      </c>
      <c r="FO9" s="3"/>
      <c r="FP9" s="4">
        <v>46034</v>
      </c>
      <c r="FQ9" s="4">
        <f t="shared" ref="FQ9:FQ10" si="174">DATE(YEAR(FP9)+2,MONTH(FP9),DAY(FP9))</f>
        <v>46764</v>
      </c>
      <c r="FR9" s="8">
        <f t="shared" ca="1" si="69"/>
        <v>630</v>
      </c>
      <c r="FS9" s="5" t="str">
        <f t="shared" ca="1" si="70"/>
        <v>VIGENTE</v>
      </c>
      <c r="FT9" s="4"/>
      <c r="FU9" s="4">
        <v>46004</v>
      </c>
      <c r="FV9" s="4">
        <f t="shared" si="158"/>
        <v>46734</v>
      </c>
      <c r="FW9" s="8">
        <f t="shared" ca="1" si="71"/>
        <v>600</v>
      </c>
      <c r="FX9" s="5" t="str">
        <f t="shared" ca="1" si="72"/>
        <v>VIGENTE</v>
      </c>
      <c r="FY9" s="3"/>
      <c r="FZ9" s="4">
        <v>45925</v>
      </c>
      <c r="GA9" s="4">
        <f t="shared" ref="GA9:GA10" si="175">DATE(YEAR(FZ9)+2,MONTH(FZ9),DAY(FZ9))</f>
        <v>46655</v>
      </c>
      <c r="GB9" s="8">
        <f t="shared" ca="1" si="73"/>
        <v>521</v>
      </c>
      <c r="GC9" s="5" t="str">
        <f t="shared" ca="1" si="74"/>
        <v>VIGENTE</v>
      </c>
      <c r="GD9" s="3"/>
      <c r="GE9" s="4">
        <v>45960</v>
      </c>
      <c r="GF9" s="4">
        <f t="shared" ref="GF9:GF10" si="176">DATE(YEAR(GE9)+2,MONTH(GE9),DAY(GE9))</f>
        <v>46690</v>
      </c>
      <c r="GG9" s="8">
        <f t="shared" ca="1" si="75"/>
        <v>556</v>
      </c>
      <c r="GH9" s="5" t="str">
        <f t="shared" ca="1" si="76"/>
        <v>VIGENTE</v>
      </c>
      <c r="GI9" s="3"/>
      <c r="GJ9" s="4">
        <v>45499</v>
      </c>
      <c r="GK9" s="4">
        <f>DATE(YEAR(GJ9)+2,MONTH(GJ9),DAY(GJ9)-1)</f>
        <v>46228</v>
      </c>
      <c r="GL9" s="8">
        <f t="shared" ca="1" si="77"/>
        <v>94</v>
      </c>
      <c r="GM9" s="5" t="str">
        <f t="shared" ca="1" si="78"/>
        <v>VIGENTE</v>
      </c>
      <c r="GN9" s="4"/>
      <c r="GO9" s="4">
        <v>45299</v>
      </c>
      <c r="GP9" s="4">
        <f t="shared" si="79"/>
        <v>47126</v>
      </c>
      <c r="GQ9" s="8">
        <f t="shared" ca="1" si="80"/>
        <v>992</v>
      </c>
      <c r="GR9" s="5" t="str">
        <f t="shared" ca="1" si="81"/>
        <v>VIGENTE</v>
      </c>
      <c r="GS9" s="3"/>
      <c r="GT9" s="4">
        <v>45329</v>
      </c>
      <c r="GU9" s="4">
        <f t="shared" si="82"/>
        <v>47156</v>
      </c>
      <c r="GV9" s="8">
        <f t="shared" ca="1" si="83"/>
        <v>1022</v>
      </c>
      <c r="GW9" s="5" t="str">
        <f t="shared" ca="1" si="84"/>
        <v>VIGENTE</v>
      </c>
      <c r="GX9" s="2"/>
      <c r="GY9" s="4">
        <v>45343</v>
      </c>
      <c r="GZ9" s="4">
        <f t="shared" si="85"/>
        <v>47170</v>
      </c>
      <c r="HA9" s="8">
        <f t="shared" ca="1" si="86"/>
        <v>1036</v>
      </c>
      <c r="HB9" s="5" t="str">
        <f t="shared" ca="1" si="87"/>
        <v>VIGENTE</v>
      </c>
      <c r="HC9" s="6"/>
      <c r="HD9" s="4">
        <v>45317</v>
      </c>
      <c r="HE9" s="4">
        <f t="shared" si="88"/>
        <v>47144</v>
      </c>
      <c r="HF9" s="8">
        <f t="shared" ca="1" si="89"/>
        <v>1010</v>
      </c>
      <c r="HG9" s="5" t="str">
        <f t="shared" ca="1" si="90"/>
        <v>VIGENTE</v>
      </c>
      <c r="HH9" s="2"/>
      <c r="HI9" s="6"/>
      <c r="HJ9" s="4"/>
      <c r="HK9" s="8"/>
      <c r="HL9" s="5" t="str">
        <f t="shared" si="91"/>
        <v>NO APLICA</v>
      </c>
      <c r="HM9" s="2"/>
      <c r="HN9" s="2"/>
      <c r="HO9" s="4"/>
      <c r="HP9" s="2"/>
      <c r="HQ9" s="5" t="str">
        <f t="shared" si="92"/>
        <v>NO APLICA</v>
      </c>
      <c r="HR9" s="2"/>
      <c r="HS9" s="6"/>
      <c r="HT9" s="4"/>
      <c r="HU9" s="8"/>
      <c r="HV9" s="5" t="str">
        <f t="shared" si="93"/>
        <v>NO APLICA</v>
      </c>
      <c r="HW9" s="2"/>
      <c r="HX9" s="6"/>
      <c r="HY9" s="4"/>
      <c r="HZ9" s="8"/>
      <c r="IA9" s="5" t="str">
        <f t="shared" si="94"/>
        <v>NO APLICA</v>
      </c>
      <c r="IB9" s="2"/>
      <c r="IC9" s="6"/>
      <c r="ID9" s="4"/>
      <c r="IE9" s="8"/>
      <c r="IF9" s="5" t="str">
        <f t="shared" si="95"/>
        <v>NO APLICA</v>
      </c>
      <c r="IG9" s="6"/>
      <c r="IH9" s="6"/>
      <c r="II9" s="4"/>
      <c r="IJ9" s="8"/>
      <c r="IK9" s="5" t="str">
        <f t="shared" si="96"/>
        <v>NO APLICA</v>
      </c>
      <c r="IL9" s="2"/>
      <c r="IM9" s="6"/>
      <c r="IN9" s="4"/>
      <c r="IO9" s="8"/>
      <c r="IP9" s="5" t="str">
        <f t="shared" si="97"/>
        <v>NO APLICA</v>
      </c>
      <c r="IQ9" s="2"/>
      <c r="IR9" s="6"/>
      <c r="IS9" s="4"/>
      <c r="IT9" s="8"/>
      <c r="IU9" s="5" t="str">
        <f t="shared" si="98"/>
        <v>NO APLICA</v>
      </c>
      <c r="IV9" s="2"/>
      <c r="IW9" s="6"/>
      <c r="IX9" s="4"/>
      <c r="IY9" s="8"/>
      <c r="IZ9" s="5" t="str">
        <f t="shared" si="99"/>
        <v>NO APLICA</v>
      </c>
      <c r="JA9" s="3"/>
      <c r="JB9" s="3"/>
      <c r="JC9" s="4"/>
      <c r="JD9" s="8"/>
      <c r="JE9" s="5" t="str">
        <f t="shared" si="100"/>
        <v>NO APLICA</v>
      </c>
      <c r="JF9" s="6"/>
      <c r="JG9" s="6"/>
      <c r="JH9" s="6"/>
      <c r="JI9" s="6"/>
      <c r="JJ9" s="5" t="str">
        <f t="shared" si="101"/>
        <v>NO APLICA</v>
      </c>
      <c r="JK9" s="6"/>
      <c r="JL9" s="6"/>
      <c r="JM9" s="6"/>
      <c r="JN9" s="6"/>
      <c r="JO9" s="5" t="str">
        <f t="shared" si="102"/>
        <v>NO APLICA</v>
      </c>
      <c r="JP9" s="6"/>
      <c r="JQ9" s="6"/>
      <c r="JR9" s="6"/>
      <c r="JS9" s="6"/>
      <c r="JT9" s="5" t="str">
        <f t="shared" si="103"/>
        <v>NO APLICA</v>
      </c>
      <c r="JU9" s="5"/>
      <c r="JV9" s="5"/>
      <c r="JW9" s="5"/>
      <c r="JX9" s="5"/>
      <c r="JY9" s="5" t="str">
        <f t="shared" si="104"/>
        <v>NO APLICA</v>
      </c>
      <c r="JZ9" s="5"/>
      <c r="KA9" s="2"/>
      <c r="KB9" s="4"/>
      <c r="KC9" s="8"/>
      <c r="KD9" s="5" t="str">
        <f t="shared" si="105"/>
        <v>NO APLICA</v>
      </c>
      <c r="KE9" s="5"/>
      <c r="KF9" s="2"/>
      <c r="KG9" s="4"/>
      <c r="KH9" s="8"/>
      <c r="KI9" s="5" t="str">
        <f t="shared" si="141"/>
        <v>NO APLICA</v>
      </c>
      <c r="KJ9" s="5"/>
      <c r="KK9" s="2"/>
      <c r="KL9" s="4"/>
      <c r="KM9" s="8"/>
      <c r="KN9" s="5" t="str">
        <f t="shared" si="106"/>
        <v>NO APLICA</v>
      </c>
      <c r="KO9" s="5"/>
      <c r="KP9" s="2"/>
      <c r="KQ9" s="4"/>
      <c r="KR9" s="8"/>
      <c r="KS9" s="5" t="str">
        <f t="shared" si="142"/>
        <v>NO APLICA</v>
      </c>
      <c r="KT9" s="2"/>
      <c r="KU9" s="6"/>
      <c r="KV9" s="4"/>
      <c r="KW9" s="8"/>
      <c r="KX9" s="5" t="str">
        <f t="shared" si="156"/>
        <v>NO APLICA</v>
      </c>
      <c r="KY9" s="5"/>
      <c r="KZ9" s="6"/>
      <c r="LA9" s="4"/>
      <c r="LB9" s="8"/>
      <c r="LC9" s="5" t="str">
        <f t="shared" si="143"/>
        <v>NO APLICA</v>
      </c>
      <c r="LD9" s="6"/>
      <c r="LE9" s="6"/>
      <c r="LF9" s="4"/>
      <c r="LG9" s="8"/>
      <c r="LH9" s="5" t="str">
        <f t="shared" si="107"/>
        <v>NO APLICA</v>
      </c>
      <c r="LI9" s="5"/>
      <c r="LJ9" s="5"/>
      <c r="LK9" s="5"/>
      <c r="LL9" s="5"/>
      <c r="LM9" s="5" t="str">
        <f t="shared" si="157"/>
        <v>NO APLICA</v>
      </c>
      <c r="LN9" s="2"/>
      <c r="LO9" s="6"/>
      <c r="LP9" s="4"/>
      <c r="LQ9" s="8"/>
      <c r="LR9" s="5" t="str">
        <f t="shared" si="144"/>
        <v>NO APLICA</v>
      </c>
      <c r="LS9" s="6"/>
      <c r="LT9" s="6"/>
      <c r="LU9" s="4"/>
      <c r="LV9" s="8"/>
      <c r="LW9" s="5" t="str">
        <f t="shared" si="145"/>
        <v>NO APLICA</v>
      </c>
      <c r="LX9" s="6"/>
      <c r="LY9" s="6"/>
      <c r="LZ9" s="4"/>
      <c r="MA9" s="8"/>
      <c r="MB9" s="5" t="str">
        <f t="shared" si="146"/>
        <v>NO APLICA</v>
      </c>
      <c r="MC9" s="2"/>
      <c r="MD9" s="2"/>
      <c r="ME9" s="4"/>
      <c r="MF9" s="8"/>
      <c r="MG9" s="5" t="str">
        <f t="shared" si="108"/>
        <v>NO APLICA</v>
      </c>
      <c r="MH9" s="2"/>
      <c r="MI9" s="2"/>
      <c r="MJ9" s="4"/>
      <c r="MK9" s="8"/>
      <c r="ML9" s="5" t="str">
        <f t="shared" si="109"/>
        <v>NO APLICA</v>
      </c>
      <c r="MM9" s="5"/>
      <c r="MN9" s="2"/>
      <c r="MO9" s="4"/>
      <c r="MP9" s="8"/>
      <c r="MQ9" s="5" t="str">
        <f t="shared" si="110"/>
        <v>NO APLICA</v>
      </c>
      <c r="MR9" s="5"/>
      <c r="MS9" s="2"/>
      <c r="MT9" s="2"/>
      <c r="MU9" s="2"/>
      <c r="MV9" s="5" t="str">
        <f t="shared" si="111"/>
        <v>NO APLICA</v>
      </c>
      <c r="MW9" s="2"/>
      <c r="MX9" s="6"/>
      <c r="MY9" s="4"/>
      <c r="MZ9" s="8"/>
      <c r="NA9" s="5" t="str">
        <f t="shared" si="112"/>
        <v>NO APLICA</v>
      </c>
      <c r="NB9" s="2"/>
      <c r="NC9" s="6"/>
      <c r="ND9" s="4"/>
      <c r="NE9" s="8"/>
      <c r="NF9" s="5" t="str">
        <f t="shared" si="113"/>
        <v>NO APLICA</v>
      </c>
      <c r="NG9" s="2"/>
      <c r="NH9" s="6"/>
      <c r="NI9" s="4"/>
      <c r="NJ9" s="8"/>
      <c r="NK9" s="5" t="str">
        <f t="shared" si="114"/>
        <v>NO APLICA</v>
      </c>
      <c r="NL9" s="2"/>
      <c r="NM9" s="2"/>
      <c r="NN9" s="4"/>
      <c r="NO9" s="8"/>
      <c r="NP9" s="5" t="str">
        <f t="shared" si="115"/>
        <v>NO APLICA</v>
      </c>
      <c r="NQ9" s="2"/>
      <c r="NR9" s="2"/>
      <c r="NS9" s="4"/>
      <c r="NT9" s="2"/>
      <c r="NU9" s="5" t="str">
        <f t="shared" si="116"/>
        <v>NO APLICA</v>
      </c>
      <c r="NV9" s="6"/>
      <c r="NW9" s="6"/>
      <c r="NX9" s="4"/>
      <c r="NY9" s="8"/>
      <c r="NZ9" s="5" t="str">
        <f t="shared" si="117"/>
        <v>NO APLICA</v>
      </c>
      <c r="OA9" s="6"/>
      <c r="OB9" s="6"/>
      <c r="OC9" s="6"/>
      <c r="OD9" s="6"/>
      <c r="OE9" s="5" t="str">
        <f t="shared" si="118"/>
        <v>NO APLICA</v>
      </c>
      <c r="OF9" s="6"/>
      <c r="OG9" s="6"/>
      <c r="OH9" s="4"/>
      <c r="OI9" s="8"/>
      <c r="OJ9" s="5" t="str">
        <f t="shared" si="119"/>
        <v>NO APLICA</v>
      </c>
      <c r="OK9" s="6"/>
      <c r="OL9" s="6"/>
      <c r="OM9" s="6"/>
      <c r="ON9" s="6"/>
      <c r="OO9" s="5" t="str">
        <f t="shared" si="120"/>
        <v>NO APLICA</v>
      </c>
      <c r="OP9" s="6"/>
      <c r="OQ9" s="6"/>
      <c r="OR9" s="6"/>
      <c r="OS9" s="6"/>
      <c r="OT9" s="5" t="str">
        <f t="shared" si="121"/>
        <v>NO APLICA</v>
      </c>
      <c r="OU9" s="6"/>
      <c r="OV9" s="6"/>
      <c r="OW9" s="6"/>
      <c r="OX9" s="6"/>
      <c r="OY9" s="5" t="str">
        <f t="shared" si="122"/>
        <v>NO APLICA</v>
      </c>
      <c r="OZ9" s="6"/>
      <c r="PA9" s="6"/>
      <c r="PB9" s="6"/>
      <c r="PC9" s="6"/>
      <c r="PD9" s="5" t="str">
        <f t="shared" si="123"/>
        <v>NO APLICA</v>
      </c>
      <c r="PE9" s="6"/>
      <c r="PF9" s="6"/>
      <c r="PG9" s="6"/>
      <c r="PH9" s="6"/>
      <c r="PI9" s="5" t="str">
        <f t="shared" si="124"/>
        <v>NO APLICA</v>
      </c>
      <c r="PJ9" s="5"/>
      <c r="PK9" s="6"/>
      <c r="PL9" s="4"/>
      <c r="PM9" s="8"/>
      <c r="PN9" s="5" t="str">
        <f t="shared" si="125"/>
        <v>NO APLICA</v>
      </c>
      <c r="PO9" s="6"/>
      <c r="PP9" s="6"/>
      <c r="PQ9" s="6"/>
      <c r="PR9" s="6"/>
      <c r="PS9" s="5" t="str">
        <f t="shared" si="126"/>
        <v>NO APLICA</v>
      </c>
      <c r="PT9" s="5"/>
      <c r="PU9" s="6"/>
      <c r="PV9" s="6"/>
      <c r="PW9" s="6"/>
      <c r="PX9" s="5" t="str">
        <f t="shared" si="127"/>
        <v>NO APLICA</v>
      </c>
    </row>
    <row r="10" spans="1:440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89</v>
      </c>
      <c r="V10" s="4">
        <v>44954</v>
      </c>
      <c r="W10" s="4">
        <f t="shared" si="2"/>
        <v>46780</v>
      </c>
      <c r="X10" s="8">
        <f t="shared" ca="1" si="3"/>
        <v>646</v>
      </c>
      <c r="Y10" s="5" t="str">
        <f t="shared" ca="1" si="4"/>
        <v>VIGENTE</v>
      </c>
      <c r="Z10" s="2" t="s">
        <v>90</v>
      </c>
      <c r="AA10" s="4">
        <v>45152</v>
      </c>
      <c r="AB10" s="4">
        <f t="shared" si="5"/>
        <v>46979</v>
      </c>
      <c r="AC10" s="8">
        <f t="shared" ca="1" si="6"/>
        <v>845</v>
      </c>
      <c r="AD10" s="5" t="str">
        <f t="shared" ca="1" si="7"/>
        <v>VIGENTE</v>
      </c>
      <c r="AE10" s="3"/>
      <c r="AF10" s="4">
        <v>45780</v>
      </c>
      <c r="AG10" s="4">
        <f t="shared" si="171"/>
        <v>46510</v>
      </c>
      <c r="AH10" s="8">
        <f t="shared" ca="1" si="8"/>
        <v>376</v>
      </c>
      <c r="AI10" s="5" t="str">
        <f t="shared" ca="1" si="9"/>
        <v>VIGENTE</v>
      </c>
      <c r="AJ10" s="3"/>
      <c r="AK10" s="4">
        <v>45710</v>
      </c>
      <c r="AL10" s="4">
        <f>DATE(YEAR(AK10)+2,MONTH(AK10),DAY(AK10)-1)</f>
        <v>46439</v>
      </c>
      <c r="AM10" s="8">
        <f t="shared" ca="1" si="10"/>
        <v>305</v>
      </c>
      <c r="AN10" s="5" t="str">
        <f t="shared" ca="1" si="11"/>
        <v>VIGENTE</v>
      </c>
      <c r="AO10" s="3"/>
      <c r="AP10" s="4">
        <v>45820</v>
      </c>
      <c r="AQ10" s="4">
        <f t="shared" si="131"/>
        <v>46550</v>
      </c>
      <c r="AR10" s="8">
        <f t="shared" ca="1" si="12"/>
        <v>416</v>
      </c>
      <c r="AS10" s="5" t="str">
        <f t="shared" ca="1" si="13"/>
        <v>VIGENTE</v>
      </c>
      <c r="AT10" s="3"/>
      <c r="AU10" s="4">
        <v>45856</v>
      </c>
      <c r="AV10" s="4">
        <f t="shared" si="14"/>
        <v>46586</v>
      </c>
      <c r="AW10" s="8">
        <f t="shared" ca="1" si="15"/>
        <v>452</v>
      </c>
      <c r="AX10" s="5" t="str">
        <f t="shared" ca="1" si="16"/>
        <v>VIGENTE</v>
      </c>
      <c r="AY10" s="3"/>
      <c r="AZ10" s="4">
        <v>45708</v>
      </c>
      <c r="BA10" s="4">
        <f t="shared" si="159"/>
        <v>46437</v>
      </c>
      <c r="BB10" s="8">
        <f t="shared" ca="1" si="17"/>
        <v>303</v>
      </c>
      <c r="BC10" s="5" t="str">
        <f t="shared" ca="1" si="18"/>
        <v>VIGENTE</v>
      </c>
      <c r="BD10" s="3"/>
      <c r="BE10" s="4">
        <v>45698</v>
      </c>
      <c r="BF10" s="4">
        <f t="shared" si="160"/>
        <v>46427</v>
      </c>
      <c r="BG10" s="8">
        <f t="shared" ca="1" si="19"/>
        <v>293</v>
      </c>
      <c r="BH10" s="5" t="str">
        <f t="shared" ca="1" si="20"/>
        <v>VIGENTE</v>
      </c>
      <c r="BI10" s="3"/>
      <c r="BJ10" s="4">
        <v>45699</v>
      </c>
      <c r="BK10" s="4">
        <f t="shared" si="161"/>
        <v>46428</v>
      </c>
      <c r="BL10" s="8">
        <f t="shared" ca="1" si="21"/>
        <v>294</v>
      </c>
      <c r="BM10" s="5" t="str">
        <f t="shared" ca="1" si="22"/>
        <v>VIGENTE</v>
      </c>
      <c r="BN10" s="3"/>
      <c r="BO10" s="4">
        <v>45815</v>
      </c>
      <c r="BP10" s="4">
        <f t="shared" si="162"/>
        <v>46544</v>
      </c>
      <c r="BQ10" s="8">
        <f t="shared" ca="1" si="23"/>
        <v>410</v>
      </c>
      <c r="BR10" s="5" t="str">
        <f t="shared" ca="1" si="24"/>
        <v>VIGENTE</v>
      </c>
      <c r="BS10" s="3"/>
      <c r="BT10" s="4">
        <v>45736</v>
      </c>
      <c r="BU10" s="4">
        <f t="shared" si="163"/>
        <v>46465</v>
      </c>
      <c r="BV10" s="8">
        <f t="shared" ca="1" si="25"/>
        <v>331</v>
      </c>
      <c r="BW10" s="5" t="str">
        <f t="shared" ca="1" si="26"/>
        <v>VIGENTE</v>
      </c>
      <c r="BX10" s="2"/>
      <c r="BY10" s="4">
        <v>45730</v>
      </c>
      <c r="BZ10" s="4">
        <f t="shared" si="133"/>
        <v>46459</v>
      </c>
      <c r="CA10" s="8">
        <f t="shared" ca="1" si="27"/>
        <v>325</v>
      </c>
      <c r="CB10" s="5" t="str">
        <f t="shared" ca="1" si="28"/>
        <v>VIGENTE</v>
      </c>
      <c r="CC10" s="6" t="s">
        <v>73</v>
      </c>
      <c r="CD10" s="4">
        <v>45301</v>
      </c>
      <c r="CE10" s="4">
        <f t="shared" si="29"/>
        <v>46762</v>
      </c>
      <c r="CF10" s="8">
        <f t="shared" ca="1" si="30"/>
        <v>628</v>
      </c>
      <c r="CG10" s="5" t="str">
        <f t="shared" ca="1" si="31"/>
        <v>VIGENTE</v>
      </c>
      <c r="CH10" s="4"/>
      <c r="CI10" s="4">
        <v>45723</v>
      </c>
      <c r="CJ10" s="4">
        <f t="shared" si="134"/>
        <v>46452</v>
      </c>
      <c r="CK10" s="8">
        <f t="shared" ca="1" si="32"/>
        <v>318</v>
      </c>
      <c r="CL10" s="5" t="str">
        <f t="shared" ca="1" si="33"/>
        <v>VIGENTE</v>
      </c>
      <c r="CM10" s="3"/>
      <c r="CN10" s="4">
        <v>45726</v>
      </c>
      <c r="CO10" s="4">
        <f t="shared" si="164"/>
        <v>46455</v>
      </c>
      <c r="CP10" s="8">
        <f t="shared" ca="1" si="34"/>
        <v>321</v>
      </c>
      <c r="CQ10" s="5" t="str">
        <f t="shared" ca="1" si="35"/>
        <v>VIGENTE</v>
      </c>
      <c r="CR10" s="3"/>
      <c r="CS10" s="4">
        <v>45727</v>
      </c>
      <c r="CT10" s="4">
        <f t="shared" si="135"/>
        <v>46456</v>
      </c>
      <c r="CU10" s="8">
        <f t="shared" ca="1" si="36"/>
        <v>322</v>
      </c>
      <c r="CV10" s="5" t="str">
        <f t="shared" ca="1" si="37"/>
        <v>VIGENTE</v>
      </c>
      <c r="CW10" s="3"/>
      <c r="CX10" s="4">
        <v>45681</v>
      </c>
      <c r="CY10" s="4">
        <f t="shared" si="136"/>
        <v>46410</v>
      </c>
      <c r="CZ10" s="8">
        <f t="shared" ca="1" si="38"/>
        <v>276</v>
      </c>
      <c r="DA10" s="5" t="str">
        <f t="shared" ca="1" si="39"/>
        <v>VIGENTE</v>
      </c>
      <c r="DB10" s="3"/>
      <c r="DC10" s="4">
        <v>45689</v>
      </c>
      <c r="DD10" s="4">
        <f>DATE(YEAR(DC10)+2,MONTH(DC10),DAY(DC10)-1)</f>
        <v>46418</v>
      </c>
      <c r="DE10" s="8">
        <f t="shared" ca="1" si="40"/>
        <v>284</v>
      </c>
      <c r="DF10" s="5" t="str">
        <f t="shared" ca="1" si="41"/>
        <v>VIGENTE</v>
      </c>
      <c r="DG10" s="3"/>
      <c r="DH10" s="4">
        <v>45696</v>
      </c>
      <c r="DI10" s="4">
        <f t="shared" si="42"/>
        <v>46425</v>
      </c>
      <c r="DJ10" s="8">
        <f t="shared" ca="1" si="43"/>
        <v>291</v>
      </c>
      <c r="DK10" s="5" t="str">
        <f t="shared" ca="1" si="44"/>
        <v>VIGENTE</v>
      </c>
      <c r="DL10" s="3"/>
      <c r="DM10" s="4">
        <v>45731</v>
      </c>
      <c r="DN10" s="4">
        <f t="shared" si="45"/>
        <v>46460</v>
      </c>
      <c r="DO10" s="8">
        <f t="shared" ca="1" si="46"/>
        <v>326</v>
      </c>
      <c r="DP10" s="5" t="str">
        <f t="shared" ca="1" si="47"/>
        <v>VIGENTE</v>
      </c>
      <c r="DQ10" s="2"/>
      <c r="DR10" s="4">
        <v>45712</v>
      </c>
      <c r="DS10" s="4">
        <f t="shared" si="168"/>
        <v>46441</v>
      </c>
      <c r="DT10" s="8">
        <f t="shared" ca="1" si="48"/>
        <v>307</v>
      </c>
      <c r="DU10" s="5" t="str">
        <f t="shared" ca="1" si="49"/>
        <v>VIGENTE</v>
      </c>
      <c r="DV10" s="3"/>
      <c r="DW10" s="4">
        <v>45847</v>
      </c>
      <c r="DX10" s="4">
        <f t="shared" si="172"/>
        <v>46577</v>
      </c>
      <c r="DY10" s="8">
        <f t="shared" ca="1" si="50"/>
        <v>443</v>
      </c>
      <c r="DZ10" s="5" t="str">
        <f t="shared" ca="1" si="51"/>
        <v>VIGENTE</v>
      </c>
      <c r="EA10" s="3"/>
      <c r="EB10" s="4">
        <v>45913</v>
      </c>
      <c r="EC10" s="4">
        <f t="shared" si="173"/>
        <v>46643</v>
      </c>
      <c r="ED10" s="8">
        <f t="shared" ca="1" si="52"/>
        <v>509</v>
      </c>
      <c r="EE10" s="5" t="str">
        <f t="shared" ca="1" si="53"/>
        <v>VIGENTE</v>
      </c>
      <c r="EF10" s="3"/>
      <c r="EG10" s="4">
        <v>45812</v>
      </c>
      <c r="EH10" s="4">
        <f t="shared" si="137"/>
        <v>46177</v>
      </c>
      <c r="EI10" s="8">
        <f t="shared" ca="1" si="54"/>
        <v>43</v>
      </c>
      <c r="EJ10" s="5" t="str">
        <f t="shared" ca="1" si="55"/>
        <v>POR VENCER</v>
      </c>
      <c r="EK10" s="3"/>
      <c r="EL10" s="4">
        <v>45671</v>
      </c>
      <c r="EM10" s="4">
        <f t="shared" si="169"/>
        <v>46400</v>
      </c>
      <c r="EN10" s="8">
        <f t="shared" ca="1" si="56"/>
        <v>266</v>
      </c>
      <c r="EO10" s="5" t="str">
        <f t="shared" ca="1" si="57"/>
        <v>VIGENTE</v>
      </c>
      <c r="EP10" s="3"/>
      <c r="EQ10" s="4">
        <v>45677</v>
      </c>
      <c r="ER10" s="4">
        <f t="shared" si="170"/>
        <v>46406</v>
      </c>
      <c r="ES10" s="8">
        <f t="shared" ca="1" si="58"/>
        <v>272</v>
      </c>
      <c r="ET10" s="5" t="str">
        <f t="shared" ca="1" si="59"/>
        <v>VIGENTE</v>
      </c>
      <c r="EU10" s="3"/>
      <c r="EV10" s="4">
        <v>45794</v>
      </c>
      <c r="EW10" s="4">
        <f t="shared" si="151"/>
        <v>46524</v>
      </c>
      <c r="EX10" s="8">
        <f t="shared" ca="1" si="60"/>
        <v>390</v>
      </c>
      <c r="EY10" s="5" t="str">
        <f t="shared" ca="1" si="61"/>
        <v>VIGENTE</v>
      </c>
      <c r="EZ10" s="3"/>
      <c r="FA10" s="4">
        <v>45666</v>
      </c>
      <c r="FB10" s="4">
        <f>DATE(YEAR(FA10)+2,MONTH(FA10),DAY(FA10)-1)</f>
        <v>46395</v>
      </c>
      <c r="FC10" s="8">
        <f t="shared" ca="1" si="62"/>
        <v>261</v>
      </c>
      <c r="FD10" s="5" t="str">
        <f t="shared" ca="1" si="63"/>
        <v>VIGENTE</v>
      </c>
      <c r="FE10" s="3"/>
      <c r="FF10" s="4">
        <v>45919</v>
      </c>
      <c r="FG10" s="4">
        <f t="shared" si="153"/>
        <v>46649</v>
      </c>
      <c r="FH10" s="8">
        <f t="shared" ca="1" si="64"/>
        <v>515</v>
      </c>
      <c r="FI10" s="5" t="str">
        <f t="shared" ca="1" si="65"/>
        <v>VIGENTE</v>
      </c>
      <c r="FJ10" s="3"/>
      <c r="FK10" s="4">
        <v>45738</v>
      </c>
      <c r="FL10" s="4">
        <f t="shared" si="66"/>
        <v>46467</v>
      </c>
      <c r="FM10" s="8">
        <f t="shared" ca="1" si="67"/>
        <v>333</v>
      </c>
      <c r="FN10" s="5" t="str">
        <f t="shared" ca="1" si="68"/>
        <v>VIGENTE</v>
      </c>
      <c r="FO10" s="3"/>
      <c r="FP10" s="4">
        <v>45782</v>
      </c>
      <c r="FQ10" s="4">
        <f t="shared" si="174"/>
        <v>46512</v>
      </c>
      <c r="FR10" s="8">
        <f t="shared" ca="1" si="69"/>
        <v>378</v>
      </c>
      <c r="FS10" s="5" t="str">
        <f t="shared" ca="1" si="70"/>
        <v>VIGENTE</v>
      </c>
      <c r="FT10" s="3"/>
      <c r="FU10" s="4">
        <v>45700</v>
      </c>
      <c r="FV10" s="4">
        <f t="shared" si="139"/>
        <v>46429</v>
      </c>
      <c r="FW10" s="8">
        <f t="shared" ca="1" si="71"/>
        <v>295</v>
      </c>
      <c r="FX10" s="5" t="str">
        <f t="shared" ca="1" si="72"/>
        <v>VIGENTE</v>
      </c>
      <c r="FY10" s="3"/>
      <c r="FZ10" s="4">
        <v>45821</v>
      </c>
      <c r="GA10" s="4">
        <f t="shared" si="175"/>
        <v>46551</v>
      </c>
      <c r="GB10" s="8">
        <f t="shared" ca="1" si="73"/>
        <v>417</v>
      </c>
      <c r="GC10" s="5" t="str">
        <f t="shared" ca="1" si="74"/>
        <v>VIGENTE</v>
      </c>
      <c r="GD10" s="3"/>
      <c r="GE10" s="4">
        <v>45814</v>
      </c>
      <c r="GF10" s="4">
        <f t="shared" si="176"/>
        <v>46544</v>
      </c>
      <c r="GG10" s="8">
        <f t="shared" ca="1" si="75"/>
        <v>410</v>
      </c>
      <c r="GH10" s="5" t="str">
        <f t="shared" ca="1" si="76"/>
        <v>VIGENTE</v>
      </c>
      <c r="GI10" s="3"/>
      <c r="GJ10" s="4">
        <v>45848</v>
      </c>
      <c r="GK10" s="4">
        <f t="shared" ref="GK10" si="177">DATE(YEAR(GJ10)+2,MONTH(GJ10),DAY(GJ10))</f>
        <v>46578</v>
      </c>
      <c r="GL10" s="8">
        <f t="shared" ca="1" si="77"/>
        <v>444</v>
      </c>
      <c r="GM10" s="5" t="str">
        <f t="shared" ca="1" si="78"/>
        <v>VIGENTE</v>
      </c>
      <c r="GN10" s="4"/>
      <c r="GO10" s="4">
        <v>45120</v>
      </c>
      <c r="GP10" s="4">
        <f t="shared" si="79"/>
        <v>46947</v>
      </c>
      <c r="GQ10" s="8">
        <f t="shared" ca="1" si="80"/>
        <v>813</v>
      </c>
      <c r="GR10" s="5" t="str">
        <f t="shared" ca="1" si="81"/>
        <v>VIGENTE</v>
      </c>
      <c r="GS10" s="3"/>
      <c r="GT10" s="4">
        <v>45029</v>
      </c>
      <c r="GU10" s="4">
        <f t="shared" si="82"/>
        <v>46856</v>
      </c>
      <c r="GV10" s="8">
        <f t="shared" ca="1" si="83"/>
        <v>722</v>
      </c>
      <c r="GW10" s="5" t="str">
        <f t="shared" ca="1" si="84"/>
        <v>VIGENTE</v>
      </c>
      <c r="GX10" s="2"/>
      <c r="GY10" s="4">
        <v>45119</v>
      </c>
      <c r="GZ10" s="4">
        <f t="shared" si="85"/>
        <v>46946</v>
      </c>
      <c r="HA10" s="8">
        <f t="shared" ca="1" si="86"/>
        <v>812</v>
      </c>
      <c r="HB10" s="5" t="str">
        <f t="shared" ca="1" si="87"/>
        <v>VIGENTE</v>
      </c>
      <c r="HC10" s="6"/>
      <c r="HD10" s="4">
        <v>45267</v>
      </c>
      <c r="HE10" s="4">
        <f t="shared" si="88"/>
        <v>47094</v>
      </c>
      <c r="HF10" s="8">
        <f t="shared" ca="1" si="89"/>
        <v>960</v>
      </c>
      <c r="HG10" s="5" t="str">
        <f t="shared" ca="1" si="90"/>
        <v>VIGENTE</v>
      </c>
      <c r="HH10" s="2"/>
      <c r="HI10" s="6"/>
      <c r="HJ10" s="4"/>
      <c r="HK10" s="8"/>
      <c r="HL10" s="5" t="str">
        <f t="shared" si="91"/>
        <v>NO APLICA</v>
      </c>
      <c r="HM10" s="2"/>
      <c r="HN10" s="2"/>
      <c r="HO10" s="4"/>
      <c r="HP10" s="2"/>
      <c r="HQ10" s="5" t="str">
        <f t="shared" si="92"/>
        <v>NO APLICA</v>
      </c>
      <c r="HR10" s="2"/>
      <c r="HS10" s="6"/>
      <c r="HT10" s="4"/>
      <c r="HU10" s="8"/>
      <c r="HV10" s="5" t="str">
        <f t="shared" si="93"/>
        <v>NO APLICA</v>
      </c>
      <c r="HW10" s="2"/>
      <c r="HX10" s="4">
        <v>45282</v>
      </c>
      <c r="HY10" s="4">
        <f>DATE(YEAR(HX10)+5,MONTH(HX10),DAY(HX10))</f>
        <v>47109</v>
      </c>
      <c r="HZ10" s="8">
        <f ca="1">HY10-TODAY()</f>
        <v>975</v>
      </c>
      <c r="IA10" s="5" t="str">
        <f t="shared" ca="1" si="94"/>
        <v>VIGENTE</v>
      </c>
      <c r="IB10" s="2"/>
      <c r="IC10" s="6"/>
      <c r="ID10" s="4"/>
      <c r="IE10" s="8"/>
      <c r="IF10" s="5" t="str">
        <f t="shared" si="95"/>
        <v>NO APLICA</v>
      </c>
      <c r="IG10" s="6"/>
      <c r="IH10" s="6"/>
      <c r="II10" s="4"/>
      <c r="IJ10" s="8"/>
      <c r="IK10" s="5" t="str">
        <f t="shared" si="96"/>
        <v>NO APLICA</v>
      </c>
      <c r="IL10" s="2"/>
      <c r="IM10" s="4">
        <v>45354</v>
      </c>
      <c r="IN10" s="4">
        <f>DATE(YEAR(IM10)+5,MONTH(IM10),DAY(IM10))</f>
        <v>47180</v>
      </c>
      <c r="IO10" s="8">
        <f ca="1">IN10-TODAY()</f>
        <v>1046</v>
      </c>
      <c r="IP10" s="5" t="str">
        <f t="shared" ca="1" si="97"/>
        <v>VIGENTE</v>
      </c>
      <c r="IQ10" s="2"/>
      <c r="IR10" s="4">
        <v>45171</v>
      </c>
      <c r="IS10" s="4">
        <f>DATE(YEAR(IR10)+5,MONTH(IR10),DAY(IR10))</f>
        <v>46998</v>
      </c>
      <c r="IT10" s="8">
        <f ca="1">IS10-TODAY()</f>
        <v>864</v>
      </c>
      <c r="IU10" s="5" t="str">
        <f t="shared" ca="1" si="98"/>
        <v>VIGENTE</v>
      </c>
      <c r="IV10" s="2"/>
      <c r="IW10" s="4">
        <v>45339</v>
      </c>
      <c r="IX10" s="4">
        <f>DATE(YEAR(IW10)+5,MONTH(IW10),DAY(IW10))</f>
        <v>47166</v>
      </c>
      <c r="IY10" s="8">
        <f ca="1">IX10-TODAY()</f>
        <v>1032</v>
      </c>
      <c r="IZ10" s="5" t="str">
        <f t="shared" ca="1" si="99"/>
        <v>VIGENTE</v>
      </c>
      <c r="JA10" s="3"/>
      <c r="JB10" s="3"/>
      <c r="JC10" s="4"/>
      <c r="JD10" s="8"/>
      <c r="JE10" s="5" t="str">
        <f t="shared" si="100"/>
        <v>NO APLICA</v>
      </c>
      <c r="JF10" s="6"/>
      <c r="JG10" s="6"/>
      <c r="JH10" s="6"/>
      <c r="JI10" s="6"/>
      <c r="JJ10" s="5" t="str">
        <f t="shared" si="101"/>
        <v>NO APLICA</v>
      </c>
      <c r="JK10" s="6"/>
      <c r="JL10" s="6"/>
      <c r="JM10" s="6"/>
      <c r="JN10" s="6"/>
      <c r="JO10" s="5" t="str">
        <f t="shared" si="102"/>
        <v>NO APLICA</v>
      </c>
      <c r="JP10" s="6"/>
      <c r="JQ10" s="6"/>
      <c r="JR10" s="6"/>
      <c r="JS10" s="6"/>
      <c r="JT10" s="5" t="str">
        <f t="shared" si="103"/>
        <v>NO APLICA</v>
      </c>
      <c r="JU10" s="5"/>
      <c r="JV10" s="5"/>
      <c r="JW10" s="5"/>
      <c r="JX10" s="5"/>
      <c r="JY10" s="5" t="str">
        <f t="shared" si="104"/>
        <v>NO APLICA</v>
      </c>
      <c r="JZ10" s="5"/>
      <c r="KA10" s="2"/>
      <c r="KB10" s="4"/>
      <c r="KC10" s="8"/>
      <c r="KD10" s="5" t="str">
        <f t="shared" si="105"/>
        <v>NO APLICA</v>
      </c>
      <c r="KE10" s="5"/>
      <c r="KF10" s="2"/>
      <c r="KG10" s="4"/>
      <c r="KH10" s="8"/>
      <c r="KI10" s="5" t="str">
        <f t="shared" si="141"/>
        <v>NO APLICA</v>
      </c>
      <c r="KJ10" s="5"/>
      <c r="KK10" s="2"/>
      <c r="KL10" s="4"/>
      <c r="KM10" s="8"/>
      <c r="KN10" s="5" t="str">
        <f t="shared" si="106"/>
        <v>NO APLICA</v>
      </c>
      <c r="KO10" s="5"/>
      <c r="KP10" s="2"/>
      <c r="KQ10" s="4"/>
      <c r="KR10" s="8"/>
      <c r="KS10" s="5" t="str">
        <f t="shared" si="142"/>
        <v>NO APLICA</v>
      </c>
      <c r="KT10" s="2"/>
      <c r="KU10" s="6"/>
      <c r="KV10" s="4"/>
      <c r="KW10" s="8"/>
      <c r="KX10" s="5" t="str">
        <f t="shared" si="156"/>
        <v>NO APLICA</v>
      </c>
      <c r="KY10" s="5"/>
      <c r="KZ10" s="6"/>
      <c r="LA10" s="4"/>
      <c r="LB10" s="8"/>
      <c r="LC10" s="5" t="str">
        <f t="shared" si="143"/>
        <v>NO APLICA</v>
      </c>
      <c r="LD10" s="6"/>
      <c r="LE10" s="4"/>
      <c r="LF10" s="4"/>
      <c r="LG10" s="8"/>
      <c r="LH10" s="5" t="str">
        <f t="shared" si="107"/>
        <v>NO APLICA</v>
      </c>
      <c r="LI10" s="5"/>
      <c r="LJ10" s="5"/>
      <c r="LK10" s="5"/>
      <c r="LL10" s="5"/>
      <c r="LM10" s="5" t="str">
        <f t="shared" si="157"/>
        <v>NO APLICA</v>
      </c>
      <c r="LN10" s="2"/>
      <c r="LO10" s="6"/>
      <c r="LP10" s="4"/>
      <c r="LQ10" s="8"/>
      <c r="LR10" s="5" t="str">
        <f t="shared" si="144"/>
        <v>NO APLICA</v>
      </c>
      <c r="LS10" s="6"/>
      <c r="LT10" s="6"/>
      <c r="LU10" s="4"/>
      <c r="LV10" s="8"/>
      <c r="LW10" s="5" t="str">
        <f t="shared" si="145"/>
        <v>NO APLICA</v>
      </c>
      <c r="LX10" s="6"/>
      <c r="LY10" s="6"/>
      <c r="LZ10" s="4"/>
      <c r="MA10" s="8"/>
      <c r="MB10" s="5" t="str">
        <f t="shared" si="146"/>
        <v>NO APLICA</v>
      </c>
      <c r="MC10" s="2"/>
      <c r="MD10" s="2"/>
      <c r="ME10" s="4"/>
      <c r="MF10" s="8"/>
      <c r="MG10" s="5" t="str">
        <f t="shared" si="108"/>
        <v>NO APLICA</v>
      </c>
      <c r="MH10" s="2"/>
      <c r="MI10" s="2"/>
      <c r="MJ10" s="4"/>
      <c r="MK10" s="8"/>
      <c r="ML10" s="5" t="str">
        <f t="shared" si="109"/>
        <v>NO APLICA</v>
      </c>
      <c r="MM10" s="5"/>
      <c r="MN10" s="2"/>
      <c r="MO10" s="4"/>
      <c r="MP10" s="8"/>
      <c r="MQ10" s="5" t="str">
        <f t="shared" si="110"/>
        <v>NO APLICA</v>
      </c>
      <c r="MR10" s="5"/>
      <c r="MS10" s="2"/>
      <c r="MT10" s="4"/>
      <c r="MU10" s="2"/>
      <c r="MV10" s="5" t="str">
        <f t="shared" si="111"/>
        <v>NO APLICA</v>
      </c>
      <c r="MW10" s="2"/>
      <c r="MX10" s="6"/>
      <c r="MY10" s="4"/>
      <c r="MZ10" s="8"/>
      <c r="NA10" s="5" t="str">
        <f t="shared" si="112"/>
        <v>NO APLICA</v>
      </c>
      <c r="NB10" s="2"/>
      <c r="NC10" s="6"/>
      <c r="ND10" s="4"/>
      <c r="NE10" s="8"/>
      <c r="NF10" s="5" t="str">
        <f t="shared" si="113"/>
        <v>NO APLICA</v>
      </c>
      <c r="NG10" s="2"/>
      <c r="NH10" s="6"/>
      <c r="NI10" s="4"/>
      <c r="NJ10" s="8"/>
      <c r="NK10" s="5" t="str">
        <f t="shared" si="114"/>
        <v>NO APLICA</v>
      </c>
      <c r="NL10" s="2"/>
      <c r="NM10" s="2"/>
      <c r="NN10" s="4"/>
      <c r="NO10" s="2"/>
      <c r="NP10" s="5" t="str">
        <f t="shared" si="115"/>
        <v>NO APLICA</v>
      </c>
      <c r="NQ10" s="2"/>
      <c r="NR10" s="2"/>
      <c r="NS10" s="4"/>
      <c r="NT10" s="2"/>
      <c r="NU10" s="5" t="str">
        <f t="shared" si="116"/>
        <v>NO APLICA</v>
      </c>
      <c r="NV10" s="6"/>
      <c r="NW10" s="6"/>
      <c r="NX10" s="4"/>
      <c r="NY10" s="8"/>
      <c r="NZ10" s="5" t="str">
        <f t="shared" si="117"/>
        <v>NO APLICA</v>
      </c>
      <c r="OA10" s="6"/>
      <c r="OB10" s="6"/>
      <c r="OC10" s="6"/>
      <c r="OD10" s="6"/>
      <c r="OE10" s="5" t="str">
        <f t="shared" si="118"/>
        <v>NO APLICA</v>
      </c>
      <c r="OF10" s="6"/>
      <c r="OG10" s="6"/>
      <c r="OH10" s="4"/>
      <c r="OI10" s="8"/>
      <c r="OJ10" s="5" t="str">
        <f t="shared" si="119"/>
        <v>NO APLICA</v>
      </c>
      <c r="OK10" s="6"/>
      <c r="OL10" s="6"/>
      <c r="OM10" s="6"/>
      <c r="ON10" s="6"/>
      <c r="OO10" s="5" t="str">
        <f t="shared" si="120"/>
        <v>NO APLICA</v>
      </c>
      <c r="OP10" s="6"/>
      <c r="OQ10" s="6"/>
      <c r="OR10" s="6"/>
      <c r="OS10" s="6"/>
      <c r="OT10" s="5" t="str">
        <f t="shared" si="121"/>
        <v>NO APLICA</v>
      </c>
      <c r="OU10" s="6"/>
      <c r="OV10" s="6"/>
      <c r="OW10" s="6"/>
      <c r="OX10" s="6"/>
      <c r="OY10" s="5" t="str">
        <f t="shared" si="122"/>
        <v>NO APLICA</v>
      </c>
      <c r="OZ10" s="6"/>
      <c r="PA10" s="6"/>
      <c r="PB10" s="6"/>
      <c r="PC10" s="6"/>
      <c r="PD10" s="5" t="str">
        <f t="shared" si="123"/>
        <v>NO APLICA</v>
      </c>
      <c r="PE10" s="6"/>
      <c r="PF10" s="6"/>
      <c r="PG10" s="6"/>
      <c r="PH10" s="6"/>
      <c r="PI10" s="5" t="str">
        <f t="shared" si="124"/>
        <v>NO APLICA</v>
      </c>
      <c r="PJ10" s="5"/>
      <c r="PK10" s="6"/>
      <c r="PL10" s="4"/>
      <c r="PM10" s="8"/>
      <c r="PN10" s="5" t="str">
        <f t="shared" si="125"/>
        <v>NO APLICA</v>
      </c>
      <c r="PO10" s="6"/>
      <c r="PP10" s="6"/>
      <c r="PQ10" s="6"/>
      <c r="PR10" s="6"/>
      <c r="PS10" s="5" t="str">
        <f t="shared" si="126"/>
        <v>NO APLICA</v>
      </c>
      <c r="PT10" s="5"/>
      <c r="PU10" s="6"/>
      <c r="PV10" s="6"/>
      <c r="PW10" s="6"/>
      <c r="PX10" s="5" t="str">
        <f t="shared" si="127"/>
        <v>NO APLICA</v>
      </c>
    </row>
    <row r="11" spans="1:440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199</v>
      </c>
      <c r="T11" s="5" t="str">
        <f t="shared" ca="1" si="128"/>
        <v>VIGENTE</v>
      </c>
      <c r="U11" s="2" t="s">
        <v>92</v>
      </c>
      <c r="V11" s="4">
        <v>45142</v>
      </c>
      <c r="W11" s="4">
        <f t="shared" si="2"/>
        <v>46969</v>
      </c>
      <c r="X11" s="8">
        <f t="shared" ca="1" si="3"/>
        <v>835</v>
      </c>
      <c r="Y11" s="5" t="str">
        <f t="shared" ca="1" si="4"/>
        <v>VIGENTE</v>
      </c>
      <c r="Z11" s="2" t="s">
        <v>93</v>
      </c>
      <c r="AA11" s="4">
        <v>45149</v>
      </c>
      <c r="AB11" s="4">
        <f t="shared" si="5"/>
        <v>46976</v>
      </c>
      <c r="AC11" s="8">
        <f t="shared" ca="1" si="6"/>
        <v>842</v>
      </c>
      <c r="AD11" s="5" t="str">
        <f t="shared" ca="1" si="7"/>
        <v>VIGENTE</v>
      </c>
      <c r="AE11" s="3"/>
      <c r="AF11" s="4">
        <v>46006</v>
      </c>
      <c r="AG11" s="4">
        <f>DATE(YEAR(AF11)+2,MONTH(AF11),DAY(AF11))</f>
        <v>46736</v>
      </c>
      <c r="AH11" s="8">
        <f t="shared" ca="1" si="8"/>
        <v>602</v>
      </c>
      <c r="AI11" s="5" t="str">
        <f t="shared" ca="1" si="9"/>
        <v>VIGENTE</v>
      </c>
      <c r="AJ11" s="2"/>
      <c r="AK11" s="4">
        <v>45937</v>
      </c>
      <c r="AL11" s="4">
        <f>DATE(YEAR(AK11)+2,MONTH(AK11),DAY(AK11))</f>
        <v>46667</v>
      </c>
      <c r="AM11" s="8">
        <f t="shared" ca="1" si="10"/>
        <v>533</v>
      </c>
      <c r="AN11" s="5" t="str">
        <f t="shared" ca="1" si="11"/>
        <v>VIGENTE</v>
      </c>
      <c r="AO11" s="3"/>
      <c r="AP11" s="4">
        <v>45967</v>
      </c>
      <c r="AQ11" s="4">
        <f>DATE(YEAR(AP11)+2,MONTH(AP11),DAY(AP11))</f>
        <v>46697</v>
      </c>
      <c r="AR11" s="8">
        <f t="shared" ca="1" si="12"/>
        <v>563</v>
      </c>
      <c r="AS11" s="5" t="str">
        <f t="shared" ca="1" si="13"/>
        <v>VIGENTE</v>
      </c>
      <c r="AT11" s="2"/>
      <c r="AU11" s="4">
        <v>45952</v>
      </c>
      <c r="AV11" s="4">
        <f>DATE(YEAR(AU11)+2,MONTH(AU11),DAY(AU11))</f>
        <v>46682</v>
      </c>
      <c r="AW11" s="8">
        <f t="shared" ca="1" si="15"/>
        <v>548</v>
      </c>
      <c r="AX11" s="5" t="str">
        <f t="shared" ca="1" si="16"/>
        <v>VIGENTE</v>
      </c>
      <c r="AY11" s="3"/>
      <c r="AZ11" s="4">
        <v>46041</v>
      </c>
      <c r="BA11" s="4">
        <f>DATE(YEAR(AZ11)+2,MONTH(AZ11),DAY(AZ11))</f>
        <v>46771</v>
      </c>
      <c r="BB11" s="8">
        <f t="shared" ca="1" si="17"/>
        <v>637</v>
      </c>
      <c r="BC11" s="5" t="str">
        <f t="shared" ca="1" si="18"/>
        <v>VIGENTE</v>
      </c>
      <c r="BD11" s="3"/>
      <c r="BE11" s="4">
        <v>45968</v>
      </c>
      <c r="BF11" s="4">
        <f>DATE(YEAR(BE11)+2,MONTH(BE11),DAY(BE11))</f>
        <v>46698</v>
      </c>
      <c r="BG11" s="8">
        <f t="shared" ca="1" si="19"/>
        <v>564</v>
      </c>
      <c r="BH11" s="5" t="str">
        <f t="shared" ca="1" si="20"/>
        <v>VIGENTE</v>
      </c>
      <c r="BI11" s="3"/>
      <c r="BJ11" s="4">
        <v>46035</v>
      </c>
      <c r="BK11" s="4">
        <f>DATE(YEAR(BJ11)+2,MONTH(BJ11),DAY(BJ11))</f>
        <v>46765</v>
      </c>
      <c r="BL11" s="8">
        <f t="shared" ca="1" si="21"/>
        <v>631</v>
      </c>
      <c r="BM11" s="5" t="str">
        <f t="shared" ca="1" si="22"/>
        <v>VIGENTE</v>
      </c>
      <c r="BN11" s="3"/>
      <c r="BO11" s="4">
        <v>46050</v>
      </c>
      <c r="BP11" s="4">
        <f>DATE(YEAR(BO11)+2,MONTH(BO11),DAY(BO11))</f>
        <v>46780</v>
      </c>
      <c r="BQ11" s="8">
        <f t="shared" ca="1" si="23"/>
        <v>646</v>
      </c>
      <c r="BR11" s="5" t="str">
        <f t="shared" ca="1" si="24"/>
        <v>VIGENTE</v>
      </c>
      <c r="BS11" s="3"/>
      <c r="BT11" s="4">
        <v>46031</v>
      </c>
      <c r="BU11" s="4">
        <f>DATE(YEAR(BT11)+2,MONTH(BT11),DAY(BT11))</f>
        <v>46761</v>
      </c>
      <c r="BV11" s="8">
        <f t="shared" ca="1" si="25"/>
        <v>627</v>
      </c>
      <c r="BW11" s="5" t="str">
        <f t="shared" ca="1" si="26"/>
        <v>VIGENTE</v>
      </c>
      <c r="BX11" s="3"/>
      <c r="BY11" s="4">
        <v>45974</v>
      </c>
      <c r="BZ11" s="4">
        <f t="shared" ref="BZ11:BZ18" si="178">DATE(YEAR(BY11)+2,MONTH(BY11),DAY(BY11))</f>
        <v>46704</v>
      </c>
      <c r="CA11" s="8">
        <f t="shared" ca="1" si="27"/>
        <v>570</v>
      </c>
      <c r="CB11" s="5" t="str">
        <f t="shared" ca="1" si="28"/>
        <v>VIGENTE</v>
      </c>
      <c r="CC11" s="6" t="s">
        <v>73</v>
      </c>
      <c r="CD11" s="4">
        <v>45282</v>
      </c>
      <c r="CE11" s="4">
        <f t="shared" si="29"/>
        <v>46743</v>
      </c>
      <c r="CF11" s="8">
        <f t="shared" ca="1" si="30"/>
        <v>609</v>
      </c>
      <c r="CG11" s="5" t="str">
        <f t="shared" ca="1" si="31"/>
        <v>VIGENTE</v>
      </c>
      <c r="CH11" s="4"/>
      <c r="CI11" s="4">
        <v>46018</v>
      </c>
      <c r="CJ11" s="4">
        <f>DATE(YEAR(CI11)+2,MONTH(CI11),DAY(CI11))</f>
        <v>46748</v>
      </c>
      <c r="CK11" s="8">
        <f t="shared" ca="1" si="32"/>
        <v>614</v>
      </c>
      <c r="CL11" s="5" t="str">
        <f t="shared" ca="1" si="33"/>
        <v>VIGENTE</v>
      </c>
      <c r="CM11" s="3"/>
      <c r="CN11" s="4">
        <v>46038</v>
      </c>
      <c r="CO11" s="4">
        <f>DATE(YEAR(CN11)+2,MONTH(CN11),DAY(CN11))</f>
        <v>46768</v>
      </c>
      <c r="CP11" s="8">
        <f t="shared" ca="1" si="34"/>
        <v>634</v>
      </c>
      <c r="CQ11" s="5" t="str">
        <f t="shared" ca="1" si="35"/>
        <v>VIGENTE</v>
      </c>
      <c r="CR11" s="3"/>
      <c r="CS11" s="4">
        <v>46043</v>
      </c>
      <c r="CT11" s="4">
        <f>DATE(YEAR(CS11)+2,MONTH(CS11),DAY(CS11))</f>
        <v>46773</v>
      </c>
      <c r="CU11" s="8">
        <f t="shared" ca="1" si="36"/>
        <v>639</v>
      </c>
      <c r="CV11" s="5" t="str">
        <f t="shared" ca="1" si="37"/>
        <v>VIGENTE</v>
      </c>
      <c r="CW11" s="3"/>
      <c r="CX11" s="4">
        <v>46028</v>
      </c>
      <c r="CY11" s="4">
        <f>DATE(YEAR(CX11)+2,MONTH(CX11),DAY(CX11))</f>
        <v>46758</v>
      </c>
      <c r="CZ11" s="8">
        <f t="shared" ca="1" si="38"/>
        <v>624</v>
      </c>
      <c r="DA11" s="5" t="str">
        <f t="shared" ca="1" si="39"/>
        <v>VIGENTE</v>
      </c>
      <c r="DB11" s="4"/>
      <c r="DC11" s="4">
        <v>46045</v>
      </c>
      <c r="DD11" s="4">
        <f>DATE(YEAR(DC11)+2,MONTH(DC11),DAY(DC11))</f>
        <v>46775</v>
      </c>
      <c r="DE11" s="8">
        <f t="shared" ca="1" si="40"/>
        <v>641</v>
      </c>
      <c r="DF11" s="5" t="str">
        <f t="shared" ca="1" si="41"/>
        <v>VIGENTE</v>
      </c>
      <c r="DG11" s="3"/>
      <c r="DH11" s="4">
        <v>46029</v>
      </c>
      <c r="DI11" s="4">
        <f>DATE(YEAR(DH11)+2,MONTH(DH11),DAY(DH11))</f>
        <v>46759</v>
      </c>
      <c r="DJ11" s="8">
        <f t="shared" ca="1" si="43"/>
        <v>625</v>
      </c>
      <c r="DK11" s="5" t="str">
        <f t="shared" ca="1" si="44"/>
        <v>VIGENTE</v>
      </c>
      <c r="DL11" s="3"/>
      <c r="DM11" s="4">
        <v>46046</v>
      </c>
      <c r="DN11" s="4">
        <f>DATE(YEAR(DM11)+2,MONTH(DM11),DAY(DM11))</f>
        <v>46776</v>
      </c>
      <c r="DO11" s="8">
        <f t="shared" ca="1" si="46"/>
        <v>642</v>
      </c>
      <c r="DP11" s="5" t="str">
        <f t="shared" ca="1" si="47"/>
        <v>VIGENTE</v>
      </c>
      <c r="DQ11" s="2"/>
      <c r="DR11" s="4">
        <v>46053</v>
      </c>
      <c r="DS11" s="4">
        <f>DATE(YEAR(DR11)+2,MONTH(DR11),DAY(DR11))</f>
        <v>46783</v>
      </c>
      <c r="DT11" s="8">
        <f t="shared" ca="1" si="48"/>
        <v>649</v>
      </c>
      <c r="DU11" s="5" t="str">
        <f t="shared" ca="1" si="49"/>
        <v>VIGENTE</v>
      </c>
      <c r="DV11" s="4"/>
      <c r="DW11" s="4">
        <v>46032</v>
      </c>
      <c r="DX11" s="4">
        <f>DATE(YEAR(DW11)+2,MONTH(DW11),DAY(DW11))</f>
        <v>46762</v>
      </c>
      <c r="DY11" s="8">
        <f t="shared" ca="1" si="50"/>
        <v>628</v>
      </c>
      <c r="DZ11" s="5" t="str">
        <f t="shared" ca="1" si="51"/>
        <v>VIGENTE</v>
      </c>
      <c r="EA11" s="3"/>
      <c r="EB11" s="4">
        <v>45462</v>
      </c>
      <c r="EC11" s="4">
        <f>DATE(YEAR(EB11)+2,MONTH(EB11),DAY(EB11)-1)</f>
        <v>46191</v>
      </c>
      <c r="ED11" s="8">
        <f t="shared" ca="1" si="52"/>
        <v>57</v>
      </c>
      <c r="EE11" s="5" t="str">
        <f t="shared" ca="1" si="53"/>
        <v>POR VENCER</v>
      </c>
      <c r="EF11" s="3"/>
      <c r="EG11" s="4">
        <v>45808</v>
      </c>
      <c r="EH11" s="4">
        <f t="shared" si="137"/>
        <v>46173</v>
      </c>
      <c r="EI11" s="8">
        <f t="shared" ca="1" si="54"/>
        <v>39</v>
      </c>
      <c r="EJ11" s="5" t="str">
        <f t="shared" ca="1" si="55"/>
        <v>POR VENCER</v>
      </c>
      <c r="EK11" s="3"/>
      <c r="EL11" s="4">
        <v>45983</v>
      </c>
      <c r="EM11" s="4">
        <f>DATE(YEAR(EL11)+2,MONTH(EL11),DAY(EL11))</f>
        <v>46713</v>
      </c>
      <c r="EN11" s="8">
        <f t="shared" ca="1" si="56"/>
        <v>579</v>
      </c>
      <c r="EO11" s="5" t="str">
        <f t="shared" ca="1" si="57"/>
        <v>VIGENTE</v>
      </c>
      <c r="EP11" s="2"/>
      <c r="EQ11" s="4">
        <v>45999</v>
      </c>
      <c r="ER11" s="4">
        <f>DATE(YEAR(EQ11)+2,MONTH(EQ11),DAY(EQ11))</f>
        <v>46729</v>
      </c>
      <c r="ES11" s="8">
        <f t="shared" ca="1" si="58"/>
        <v>595</v>
      </c>
      <c r="ET11" s="5" t="str">
        <f t="shared" ca="1" si="59"/>
        <v>VIGENTE</v>
      </c>
      <c r="EU11" s="3"/>
      <c r="EV11" s="4">
        <v>46037</v>
      </c>
      <c r="EW11" s="4">
        <f t="shared" si="151"/>
        <v>46767</v>
      </c>
      <c r="EX11" s="8">
        <f t="shared" ca="1" si="60"/>
        <v>633</v>
      </c>
      <c r="EY11" s="5" t="str">
        <f t="shared" ca="1" si="61"/>
        <v>VIGENTE</v>
      </c>
      <c r="EZ11" s="2"/>
      <c r="FA11" s="4">
        <v>45988</v>
      </c>
      <c r="FB11" s="4">
        <f>DATE(YEAR(FA11)+2,MONTH(FA11),DAY(FA11))</f>
        <v>46718</v>
      </c>
      <c r="FC11" s="8">
        <f t="shared" ca="1" si="62"/>
        <v>584</v>
      </c>
      <c r="FD11" s="5" t="str">
        <f t="shared" ca="1" si="63"/>
        <v>VIGENTE</v>
      </c>
      <c r="FE11" s="2"/>
      <c r="FF11" s="4">
        <v>45992</v>
      </c>
      <c r="FG11" s="4">
        <f t="shared" si="153"/>
        <v>46722</v>
      </c>
      <c r="FH11" s="8">
        <f t="shared" ca="1" si="64"/>
        <v>588</v>
      </c>
      <c r="FI11" s="5" t="str">
        <f t="shared" ca="1" si="65"/>
        <v>VIGENTE</v>
      </c>
      <c r="FJ11" s="4"/>
      <c r="FK11" s="4">
        <v>46039</v>
      </c>
      <c r="FL11" s="4">
        <f>DATE(YEAR(FK11)+2,MONTH(FK11),DAY(FK11))</f>
        <v>46769</v>
      </c>
      <c r="FM11" s="8">
        <f t="shared" ca="1" si="67"/>
        <v>635</v>
      </c>
      <c r="FN11" s="5" t="str">
        <f t="shared" ca="1" si="68"/>
        <v>VIGENTE</v>
      </c>
      <c r="FO11" s="3"/>
      <c r="FP11" s="4">
        <v>46034</v>
      </c>
      <c r="FQ11" s="4">
        <f>DATE(YEAR(FP11)+2,MONTH(FP11),DAY(FP11))</f>
        <v>46764</v>
      </c>
      <c r="FR11" s="8">
        <f t="shared" ca="1" si="69"/>
        <v>630</v>
      </c>
      <c r="FS11" s="5" t="str">
        <f t="shared" ca="1" si="70"/>
        <v>VIGENTE</v>
      </c>
      <c r="FT11" s="3"/>
      <c r="FU11" s="4">
        <v>46014</v>
      </c>
      <c r="FV11" s="4">
        <f>DATE(YEAR(FU11)+2,MONTH(FU11),DAY(FU11))</f>
        <v>46744</v>
      </c>
      <c r="FW11" s="8">
        <f t="shared" ca="1" si="71"/>
        <v>610</v>
      </c>
      <c r="FX11" s="5" t="str">
        <f t="shared" ca="1" si="72"/>
        <v>VIGENTE</v>
      </c>
      <c r="FY11" s="3"/>
      <c r="FZ11" s="4">
        <v>46003</v>
      </c>
      <c r="GA11" s="4">
        <f>DATE(YEAR(FZ11)+2,MONTH(FZ11),DAY(FZ11))</f>
        <v>46733</v>
      </c>
      <c r="GB11" s="8">
        <f t="shared" ca="1" si="73"/>
        <v>599</v>
      </c>
      <c r="GC11" s="5" t="str">
        <f t="shared" ca="1" si="74"/>
        <v>VIGENTE</v>
      </c>
      <c r="GD11" s="3"/>
      <c r="GE11" s="4">
        <v>46036</v>
      </c>
      <c r="GF11" s="4">
        <f>DATE(YEAR(GE11)+2,MONTH(GE11),DAY(GE11))</f>
        <v>46766</v>
      </c>
      <c r="GG11" s="8">
        <f t="shared" ca="1" si="75"/>
        <v>632</v>
      </c>
      <c r="GH11" s="5" t="str">
        <f t="shared" ca="1" si="76"/>
        <v>VIGENTE</v>
      </c>
      <c r="GI11" s="3"/>
      <c r="GJ11" s="4">
        <v>46044</v>
      </c>
      <c r="GK11" s="4">
        <f>DATE(YEAR(GJ11)+2,MONTH(GJ11),DAY(GJ11))</f>
        <v>46774</v>
      </c>
      <c r="GL11" s="8">
        <f t="shared" ca="1" si="77"/>
        <v>640</v>
      </c>
      <c r="GM11" s="5" t="str">
        <f t="shared" ca="1" si="78"/>
        <v>VIGENTE</v>
      </c>
      <c r="GN11" s="4"/>
      <c r="GO11" s="4">
        <v>45367</v>
      </c>
      <c r="GP11" s="4">
        <f t="shared" si="79"/>
        <v>47193</v>
      </c>
      <c r="GQ11" s="8">
        <f t="shared" ca="1" si="80"/>
        <v>1059</v>
      </c>
      <c r="GR11" s="5" t="str">
        <f t="shared" ca="1" si="81"/>
        <v>VIGENTE</v>
      </c>
      <c r="GS11" s="3"/>
      <c r="GT11" s="4">
        <v>45464</v>
      </c>
      <c r="GU11" s="4">
        <f t="shared" si="82"/>
        <v>47290</v>
      </c>
      <c r="GV11" s="8">
        <f t="shared" ca="1" si="83"/>
        <v>1156</v>
      </c>
      <c r="GW11" s="5" t="str">
        <f t="shared" ca="1" si="84"/>
        <v>VIGENTE</v>
      </c>
      <c r="GX11" s="2"/>
      <c r="GY11" s="4">
        <v>45479</v>
      </c>
      <c r="GZ11" s="4">
        <f t="shared" si="85"/>
        <v>47305</v>
      </c>
      <c r="HA11" s="8">
        <f t="shared" ca="1" si="86"/>
        <v>1171</v>
      </c>
      <c r="HB11" s="5" t="str">
        <f t="shared" ca="1" si="87"/>
        <v>VIGENTE</v>
      </c>
      <c r="HC11" s="6"/>
      <c r="HD11" s="4"/>
      <c r="HE11" s="4">
        <f t="shared" si="88"/>
        <v>1827</v>
      </c>
      <c r="HF11" s="8">
        <f t="shared" ca="1" si="89"/>
        <v>-44307</v>
      </c>
      <c r="HG11" s="5" t="str">
        <f ca="1">IF(HF11&gt;=61,"VIGENTE",IF(HF11&gt;=1,"POR VENCER",IF(HF11&lt;=-1,"PROGRAMAR",IF(HD11=0,"NO APLICA"))))</f>
        <v>PROGRAMAR</v>
      </c>
      <c r="HH11" s="2"/>
      <c r="HI11" s="6"/>
      <c r="HJ11" s="4"/>
      <c r="HK11" s="8"/>
      <c r="HL11" s="5" t="str">
        <f t="shared" si="91"/>
        <v>NO APLICA</v>
      </c>
      <c r="HM11" s="2"/>
      <c r="HN11" s="2"/>
      <c r="HO11" s="4"/>
      <c r="HP11" s="2"/>
      <c r="HQ11" s="5" t="str">
        <f t="shared" si="92"/>
        <v>NO APLICA</v>
      </c>
      <c r="HR11" s="2"/>
      <c r="HS11" s="6"/>
      <c r="HT11" s="4"/>
      <c r="HU11" s="8"/>
      <c r="HV11" s="5" t="str">
        <f t="shared" si="93"/>
        <v>NO APLICA</v>
      </c>
      <c r="HW11" s="2"/>
      <c r="HX11" s="6"/>
      <c r="HY11" s="4"/>
      <c r="HZ11" s="8"/>
      <c r="IA11" s="5" t="str">
        <f t="shared" si="94"/>
        <v>NO APLICA</v>
      </c>
      <c r="IB11" s="2"/>
      <c r="IC11" s="6"/>
      <c r="ID11" s="4"/>
      <c r="IE11" s="8"/>
      <c r="IF11" s="5" t="str">
        <f t="shared" si="95"/>
        <v>NO APLICA</v>
      </c>
      <c r="IG11" s="6"/>
      <c r="IH11" s="6"/>
      <c r="II11" s="4"/>
      <c r="IJ11" s="8"/>
      <c r="IK11" s="5" t="str">
        <f t="shared" si="96"/>
        <v>NO APLICA</v>
      </c>
      <c r="IL11" s="2"/>
      <c r="IM11" s="4"/>
      <c r="IN11" s="4"/>
      <c r="IO11" s="8"/>
      <c r="IP11" s="5" t="str">
        <f t="shared" si="97"/>
        <v>NO APLICA</v>
      </c>
      <c r="IQ11" s="2"/>
      <c r="IR11" s="6"/>
      <c r="IS11" s="4"/>
      <c r="IT11" s="8"/>
      <c r="IU11" s="5" t="str">
        <f t="shared" si="98"/>
        <v>NO APLICA</v>
      </c>
      <c r="IV11" s="2"/>
      <c r="IW11" s="6"/>
      <c r="IX11" s="4"/>
      <c r="IY11" s="8"/>
      <c r="IZ11" s="5" t="str">
        <f t="shared" si="99"/>
        <v>NO APLICA</v>
      </c>
      <c r="JA11" s="3"/>
      <c r="JB11" s="3"/>
      <c r="JC11" s="4"/>
      <c r="JD11" s="8"/>
      <c r="JE11" s="5" t="str">
        <f t="shared" si="100"/>
        <v>NO APLICA</v>
      </c>
      <c r="JF11" s="6"/>
      <c r="JG11" s="6"/>
      <c r="JH11" s="6"/>
      <c r="JI11" s="6"/>
      <c r="JJ11" s="5" t="str">
        <f t="shared" si="101"/>
        <v>NO APLICA</v>
      </c>
      <c r="JK11" s="6"/>
      <c r="JL11" s="6"/>
      <c r="JM11" s="6"/>
      <c r="JN11" s="6"/>
      <c r="JO11" s="5" t="str">
        <f t="shared" si="102"/>
        <v>NO APLICA</v>
      </c>
      <c r="JP11" s="6"/>
      <c r="JQ11" s="6"/>
      <c r="JR11" s="6"/>
      <c r="JS11" s="6"/>
      <c r="JT11" s="5" t="str">
        <f t="shared" si="103"/>
        <v>NO APLICA</v>
      </c>
      <c r="JU11" s="5"/>
      <c r="JV11" s="5"/>
      <c r="JW11" s="5"/>
      <c r="JX11" s="5"/>
      <c r="JY11" s="5" t="str">
        <f t="shared" si="104"/>
        <v>NO APLICA</v>
      </c>
      <c r="JZ11" s="5"/>
      <c r="KA11" s="2"/>
      <c r="KB11" s="4"/>
      <c r="KC11" s="8"/>
      <c r="KD11" s="5" t="str">
        <f t="shared" si="105"/>
        <v>NO APLICA</v>
      </c>
      <c r="KE11" s="5"/>
      <c r="KF11" s="2"/>
      <c r="KG11" s="4"/>
      <c r="KH11" s="8"/>
      <c r="KI11" s="5" t="str">
        <f t="shared" si="141"/>
        <v>NO APLICA</v>
      </c>
      <c r="KJ11" s="5"/>
      <c r="KK11" s="3">
        <v>45364</v>
      </c>
      <c r="KL11" s="4">
        <f>DATE(YEAR(KK11)+5,MONTH(KK11),DAY(KK11))</f>
        <v>47190</v>
      </c>
      <c r="KM11" s="8">
        <f ca="1">KL11-TODAY()</f>
        <v>1056</v>
      </c>
      <c r="KN11" s="5" t="str">
        <f t="shared" ca="1" si="106"/>
        <v>VIGENTE</v>
      </c>
      <c r="KO11" s="5"/>
      <c r="KP11" s="2"/>
      <c r="KQ11" s="4"/>
      <c r="KR11" s="8"/>
      <c r="KS11" s="5" t="str">
        <f t="shared" si="142"/>
        <v>NO APLICA</v>
      </c>
      <c r="KT11" s="2"/>
      <c r="KU11" s="6"/>
      <c r="KV11" s="4"/>
      <c r="KW11" s="8"/>
      <c r="KX11" s="5" t="str">
        <f t="shared" si="156"/>
        <v>NO APLICA</v>
      </c>
      <c r="KY11" s="5"/>
      <c r="KZ11" s="6"/>
      <c r="LA11" s="4"/>
      <c r="LB11" s="8"/>
      <c r="LC11" s="5" t="str">
        <f t="shared" si="143"/>
        <v>NO APLICA</v>
      </c>
      <c r="LD11" s="6"/>
      <c r="LE11" s="6"/>
      <c r="LF11" s="4"/>
      <c r="LG11" s="8"/>
      <c r="LH11" s="5" t="str">
        <f t="shared" si="107"/>
        <v>NO APLICA</v>
      </c>
      <c r="LI11" s="5"/>
      <c r="LJ11" s="5"/>
      <c r="LK11" s="4"/>
      <c r="LL11" s="8"/>
      <c r="LM11" s="5" t="str">
        <f t="shared" si="157"/>
        <v>NO APLICA</v>
      </c>
      <c r="LN11" s="2"/>
      <c r="LO11" s="6"/>
      <c r="LP11" s="4"/>
      <c r="LQ11" s="8"/>
      <c r="LR11" s="5" t="str">
        <f t="shared" si="144"/>
        <v>NO APLICA</v>
      </c>
      <c r="LS11" s="6"/>
      <c r="LT11" s="6"/>
      <c r="LU11" s="4"/>
      <c r="LV11" s="8"/>
      <c r="LW11" s="5" t="str">
        <f t="shared" si="145"/>
        <v>NO APLICA</v>
      </c>
      <c r="LX11" s="6"/>
      <c r="LY11" s="6"/>
      <c r="LZ11" s="4"/>
      <c r="MA11" s="8"/>
      <c r="MB11" s="5" t="str">
        <f t="shared" si="146"/>
        <v>NO APLICA</v>
      </c>
      <c r="MC11" s="2"/>
      <c r="MD11" s="2"/>
      <c r="ME11" s="4"/>
      <c r="MF11" s="8"/>
      <c r="MG11" s="5" t="str">
        <f t="shared" si="108"/>
        <v>NO APLICA</v>
      </c>
      <c r="MH11" s="2"/>
      <c r="MI11" s="2"/>
      <c r="MJ11" s="4"/>
      <c r="MK11" s="8"/>
      <c r="ML11" s="5" t="str">
        <f t="shared" si="109"/>
        <v>NO APLICA</v>
      </c>
      <c r="MM11" s="5"/>
      <c r="MN11" s="2"/>
      <c r="MO11" s="4"/>
      <c r="MP11" s="8"/>
      <c r="MQ11" s="5" t="str">
        <f t="shared" si="110"/>
        <v>NO APLICA</v>
      </c>
      <c r="MR11" s="5"/>
      <c r="MS11" s="2"/>
      <c r="MT11" s="4"/>
      <c r="MU11" s="2"/>
      <c r="MV11" s="5" t="str">
        <f t="shared" si="111"/>
        <v>NO APLICA</v>
      </c>
      <c r="MW11" s="2"/>
      <c r="MX11" s="6"/>
      <c r="MY11" s="4"/>
      <c r="MZ11" s="8"/>
      <c r="NA11" s="5" t="str">
        <f t="shared" si="112"/>
        <v>NO APLICA</v>
      </c>
      <c r="NB11" s="2"/>
      <c r="NC11" s="6"/>
      <c r="ND11" s="4"/>
      <c r="NE11" s="8"/>
      <c r="NF11" s="5" t="str">
        <f t="shared" si="113"/>
        <v>NO APLICA</v>
      </c>
      <c r="NG11" s="2"/>
      <c r="NH11" s="6"/>
      <c r="NI11" s="4"/>
      <c r="NJ11" s="8"/>
      <c r="NK11" s="5" t="str">
        <f t="shared" si="114"/>
        <v>NO APLICA</v>
      </c>
      <c r="NL11" s="2"/>
      <c r="NM11" s="2"/>
      <c r="NN11" s="4"/>
      <c r="NO11" s="8"/>
      <c r="NP11" s="5" t="str">
        <f t="shared" si="115"/>
        <v>NO APLICA</v>
      </c>
      <c r="NQ11" s="2"/>
      <c r="NR11" s="2"/>
      <c r="NS11" s="4"/>
      <c r="NT11" s="2"/>
      <c r="NU11" s="5" t="str">
        <f t="shared" si="116"/>
        <v>NO APLICA</v>
      </c>
      <c r="NV11" s="6"/>
      <c r="NW11" s="6"/>
      <c r="NX11" s="4"/>
      <c r="NY11" s="8"/>
      <c r="NZ11" s="5" t="str">
        <f t="shared" si="117"/>
        <v>NO APLICA</v>
      </c>
      <c r="OA11" s="6"/>
      <c r="OB11" s="6"/>
      <c r="OC11" s="6"/>
      <c r="OD11" s="6"/>
      <c r="OE11" s="5" t="str">
        <f t="shared" si="118"/>
        <v>NO APLICA</v>
      </c>
      <c r="OF11" s="6"/>
      <c r="OG11" s="6"/>
      <c r="OH11" s="4"/>
      <c r="OI11" s="8"/>
      <c r="OJ11" s="5" t="str">
        <f t="shared" si="119"/>
        <v>NO APLICA</v>
      </c>
      <c r="OK11" s="6"/>
      <c r="OL11" s="6"/>
      <c r="OM11" s="6"/>
      <c r="ON11" s="6"/>
      <c r="OO11" s="5" t="str">
        <f t="shared" si="120"/>
        <v>NO APLICA</v>
      </c>
      <c r="OP11" s="6"/>
      <c r="OQ11" s="6"/>
      <c r="OR11" s="6"/>
      <c r="OS11" s="6"/>
      <c r="OT11" s="5" t="str">
        <f t="shared" si="121"/>
        <v>NO APLICA</v>
      </c>
      <c r="OU11" s="6"/>
      <c r="OV11" s="6"/>
      <c r="OW11" s="6"/>
      <c r="OX11" s="6"/>
      <c r="OY11" s="5" t="str">
        <f t="shared" si="122"/>
        <v>NO APLICA</v>
      </c>
      <c r="OZ11" s="6"/>
      <c r="PA11" s="6"/>
      <c r="PB11" s="6"/>
      <c r="PC11" s="6"/>
      <c r="PD11" s="5" t="str">
        <f t="shared" si="123"/>
        <v>NO APLICA</v>
      </c>
      <c r="PE11" s="6"/>
      <c r="PF11" s="6"/>
      <c r="PG11" s="6"/>
      <c r="PH11" s="6"/>
      <c r="PI11" s="5" t="str">
        <f t="shared" si="124"/>
        <v>NO APLICA</v>
      </c>
      <c r="PJ11" s="5"/>
      <c r="PK11" s="6"/>
      <c r="PL11" s="4"/>
      <c r="PM11" s="8"/>
      <c r="PN11" s="5" t="str">
        <f t="shared" si="125"/>
        <v>NO APLICA</v>
      </c>
      <c r="PO11" s="6"/>
      <c r="PP11" s="6"/>
      <c r="PQ11" s="6"/>
      <c r="PR11" s="6"/>
      <c r="PS11" s="5" t="str">
        <f t="shared" si="126"/>
        <v>NO APLICA</v>
      </c>
      <c r="PT11" s="5"/>
      <c r="PU11" s="6"/>
      <c r="PV11" s="6"/>
      <c r="PW11" s="6"/>
      <c r="PX11" s="5" t="str">
        <f t="shared" si="127"/>
        <v>NO APLICA</v>
      </c>
    </row>
    <row r="12" spans="1:440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96</v>
      </c>
      <c r="V12" s="4">
        <v>44838</v>
      </c>
      <c r="W12" s="4">
        <f t="shared" si="2"/>
        <v>46664</v>
      </c>
      <c r="X12" s="8">
        <f t="shared" ca="1" si="3"/>
        <v>530</v>
      </c>
      <c r="Y12" s="5" t="str">
        <f t="shared" ca="1" si="4"/>
        <v>VIGENTE</v>
      </c>
      <c r="Z12" s="2" t="s">
        <v>97</v>
      </c>
      <c r="AA12" s="4">
        <v>44828</v>
      </c>
      <c r="AB12" s="4">
        <f t="shared" si="5"/>
        <v>46654</v>
      </c>
      <c r="AC12" s="8">
        <f t="shared" ca="1" si="6"/>
        <v>520</v>
      </c>
      <c r="AD12" s="5" t="str">
        <f t="shared" ca="1" si="7"/>
        <v>VIGENTE</v>
      </c>
      <c r="AE12" s="3"/>
      <c r="AF12" s="3">
        <v>45594</v>
      </c>
      <c r="AG12" s="4">
        <f>DATE(YEAR(AF12)+2,MONTH(AF12),DAY(AF12)-1)</f>
        <v>46323</v>
      </c>
      <c r="AH12" s="8">
        <f t="shared" ca="1" si="8"/>
        <v>189</v>
      </c>
      <c r="AI12" s="5" t="str">
        <f t="shared" ca="1" si="9"/>
        <v>VIGENTE</v>
      </c>
      <c r="AJ12" s="3"/>
      <c r="AK12" s="4">
        <v>45926</v>
      </c>
      <c r="AL12" s="4">
        <f>DATE(YEAR(AK12)+2,MONTH(AK12),DAY(AK12))</f>
        <v>46656</v>
      </c>
      <c r="AM12" s="8">
        <f t="shared" ca="1" si="10"/>
        <v>522</v>
      </c>
      <c r="AN12" s="5" t="str">
        <f t="shared" ca="1" si="11"/>
        <v>VIGENTE</v>
      </c>
      <c r="AO12" s="3"/>
      <c r="AP12" s="4">
        <v>45971</v>
      </c>
      <c r="AQ12" s="4">
        <f>DATE(YEAR(AP12)+2,MONTH(AP12),DAY(AP12))</f>
        <v>46701</v>
      </c>
      <c r="AR12" s="8">
        <f t="shared" ca="1" si="12"/>
        <v>567</v>
      </c>
      <c r="AS12" s="5" t="str">
        <f t="shared" ca="1" si="13"/>
        <v>VIGENTE</v>
      </c>
      <c r="AT12" s="3"/>
      <c r="AU12" s="4">
        <v>45972</v>
      </c>
      <c r="AV12" s="4">
        <f>DATE(YEAR(AU12)+2,MONTH(AU12),DAY(AU12))</f>
        <v>46702</v>
      </c>
      <c r="AW12" s="8">
        <f t="shared" ca="1" si="15"/>
        <v>568</v>
      </c>
      <c r="AX12" s="5" t="str">
        <f t="shared" ca="1" si="16"/>
        <v>VIGENTE</v>
      </c>
      <c r="AY12" s="3"/>
      <c r="AZ12" s="4">
        <v>46041</v>
      </c>
      <c r="BA12" s="4">
        <f>DATE(YEAR(AZ12)+2,MONTH(AZ12),DAY(AZ12))</f>
        <v>46771</v>
      </c>
      <c r="BB12" s="8">
        <f t="shared" ca="1" si="17"/>
        <v>637</v>
      </c>
      <c r="BC12" s="5" t="str">
        <f t="shared" ca="1" si="18"/>
        <v>VIGENTE</v>
      </c>
      <c r="BD12" s="3"/>
      <c r="BE12" s="4">
        <v>45987</v>
      </c>
      <c r="BF12" s="4">
        <f>DATE(YEAR(BE12)+2,MONTH(BE12),DAY(BE12))</f>
        <v>46717</v>
      </c>
      <c r="BG12" s="8">
        <f t="shared" ca="1" si="19"/>
        <v>583</v>
      </c>
      <c r="BH12" s="5" t="str">
        <f t="shared" ca="1" si="20"/>
        <v>VIGENTE</v>
      </c>
      <c r="BI12" s="3"/>
      <c r="BJ12" s="4">
        <v>46051</v>
      </c>
      <c r="BK12" s="4">
        <f>DATE(YEAR(BJ12)+2,MONTH(BJ12),DAY(BJ12))</f>
        <v>46781</v>
      </c>
      <c r="BL12" s="8">
        <f t="shared" ca="1" si="21"/>
        <v>647</v>
      </c>
      <c r="BM12" s="5" t="str">
        <f t="shared" ca="1" si="22"/>
        <v>VIGENTE</v>
      </c>
      <c r="BN12" s="3"/>
      <c r="BO12" s="4">
        <v>46069</v>
      </c>
      <c r="BP12" s="4">
        <f>DATE(YEAR(BO12)+2,MONTH(BO12),DAY(BO12))</f>
        <v>46799</v>
      </c>
      <c r="BQ12" s="8">
        <f t="shared" ca="1" si="23"/>
        <v>665</v>
      </c>
      <c r="BR12" s="5" t="str">
        <f t="shared" ca="1" si="24"/>
        <v>VIGENTE</v>
      </c>
      <c r="BS12" s="3"/>
      <c r="BT12" s="4">
        <v>46063</v>
      </c>
      <c r="BU12" s="4">
        <f>DATE(YEAR(BT12)+2,MONTH(BT12),DAY(BT12))</f>
        <v>46793</v>
      </c>
      <c r="BV12" s="8">
        <f t="shared" ca="1" si="25"/>
        <v>659</v>
      </c>
      <c r="BW12" s="5" t="str">
        <f t="shared" ca="1" si="26"/>
        <v>VIGENTE</v>
      </c>
      <c r="BX12" s="3"/>
      <c r="BY12" s="4">
        <v>45944</v>
      </c>
      <c r="BZ12" s="4">
        <f t="shared" si="178"/>
        <v>46674</v>
      </c>
      <c r="CA12" s="8">
        <f t="shared" ca="1" si="27"/>
        <v>540</v>
      </c>
      <c r="CB12" s="5" t="str">
        <f t="shared" ca="1" si="28"/>
        <v>VIGENTE</v>
      </c>
      <c r="CC12" s="6" t="s">
        <v>73</v>
      </c>
      <c r="CD12" s="4">
        <v>45227</v>
      </c>
      <c r="CE12" s="4">
        <f t="shared" si="29"/>
        <v>46688</v>
      </c>
      <c r="CF12" s="8">
        <f t="shared" ca="1" si="30"/>
        <v>554</v>
      </c>
      <c r="CG12" s="5" t="str">
        <f t="shared" ca="1" si="31"/>
        <v>VIGENTE</v>
      </c>
      <c r="CH12" s="4"/>
      <c r="CI12" s="4">
        <v>45504</v>
      </c>
      <c r="CJ12" s="4">
        <f>DATE(YEAR(CI12)+2,MONTH(CI12),DAY(CI12)-1)</f>
        <v>46233</v>
      </c>
      <c r="CK12" s="8">
        <f t="shared" ca="1" si="32"/>
        <v>99</v>
      </c>
      <c r="CL12" s="5" t="str">
        <f t="shared" ca="1" si="33"/>
        <v>VIGENTE</v>
      </c>
      <c r="CM12" s="3"/>
      <c r="CN12" s="4">
        <v>45517</v>
      </c>
      <c r="CO12" s="4">
        <f>DATE(YEAR(CN12)+2,MONTH(CN12),DAY(CN12)-1)</f>
        <v>46246</v>
      </c>
      <c r="CP12" s="8">
        <f t="shared" ca="1" si="34"/>
        <v>112</v>
      </c>
      <c r="CQ12" s="5" t="str">
        <f t="shared" ca="1" si="35"/>
        <v>VIGENTE</v>
      </c>
      <c r="CR12" s="3"/>
      <c r="CS12" s="4">
        <v>45631</v>
      </c>
      <c r="CT12" s="4">
        <f>DATE(YEAR(CS12)+2,MONTH(CS12),DAY(CS12)-1)</f>
        <v>46360</v>
      </c>
      <c r="CU12" s="8">
        <f t="shared" ca="1" si="36"/>
        <v>226</v>
      </c>
      <c r="CV12" s="5" t="str">
        <f t="shared" ca="1" si="37"/>
        <v>VIGENTE</v>
      </c>
      <c r="CW12" s="3"/>
      <c r="CX12" s="4">
        <v>45665</v>
      </c>
      <c r="CY12" s="4">
        <f>DATE(YEAR(CX12)+2,MONTH(CX12),DAY(CX12)-1)</f>
        <v>46394</v>
      </c>
      <c r="CZ12" s="8">
        <f t="shared" ca="1" si="38"/>
        <v>260</v>
      </c>
      <c r="DA12" s="5" t="str">
        <f t="shared" ca="1" si="39"/>
        <v>VIGENTE</v>
      </c>
      <c r="DB12" s="3"/>
      <c r="DC12" s="4">
        <v>45689</v>
      </c>
      <c r="DD12" s="4">
        <f>DATE(YEAR(DC12)+2,MONTH(DC12),DAY(DC12)-1)</f>
        <v>46418</v>
      </c>
      <c r="DE12" s="8">
        <f t="shared" ca="1" si="40"/>
        <v>284</v>
      </c>
      <c r="DF12" s="5" t="str">
        <f t="shared" ca="1" si="41"/>
        <v>VIGENTE</v>
      </c>
      <c r="DG12" s="3"/>
      <c r="DH12" s="4">
        <v>45562</v>
      </c>
      <c r="DI12" s="4">
        <f>DATE(YEAR(DH12)+2,MONTH(DH12),DAY(DH12)-1)</f>
        <v>46291</v>
      </c>
      <c r="DJ12" s="8">
        <f t="shared" ca="1" si="43"/>
        <v>157</v>
      </c>
      <c r="DK12" s="5" t="str">
        <f t="shared" ca="1" si="44"/>
        <v>VIGENTE</v>
      </c>
      <c r="DL12" s="3"/>
      <c r="DM12" s="4">
        <v>45982</v>
      </c>
      <c r="DN12" s="4">
        <f>DATE(YEAR(DM12)+2,MONTH(DM12),DAY(DM12))</f>
        <v>46712</v>
      </c>
      <c r="DO12" s="8">
        <f t="shared" ca="1" si="46"/>
        <v>578</v>
      </c>
      <c r="DP12" s="5" t="str">
        <f t="shared" ca="1" si="47"/>
        <v>VIGENTE</v>
      </c>
      <c r="DQ12" s="3"/>
      <c r="DR12" s="4">
        <v>46053</v>
      </c>
      <c r="DS12" s="4">
        <f>DATE(YEAR(DR12)+2,MONTH(DR12),DAY(DR12))</f>
        <v>46783</v>
      </c>
      <c r="DT12" s="8">
        <f t="shared" ca="1" si="48"/>
        <v>649</v>
      </c>
      <c r="DU12" s="5" t="str">
        <f t="shared" ca="1" si="49"/>
        <v>VIGENTE</v>
      </c>
      <c r="DV12" s="3"/>
      <c r="DW12" s="4">
        <v>45682</v>
      </c>
      <c r="DX12" s="4">
        <f>DATE(YEAR(DW12)+2,MONTH(DW12),DAY(DW12)-1)</f>
        <v>46411</v>
      </c>
      <c r="DY12" s="8">
        <f t="shared" ca="1" si="50"/>
        <v>277</v>
      </c>
      <c r="DZ12" s="5" t="str">
        <f t="shared" ca="1" si="51"/>
        <v>VIGENTE</v>
      </c>
      <c r="EA12" s="3"/>
      <c r="EB12" s="4">
        <v>45642</v>
      </c>
      <c r="EC12" s="4">
        <f>DATE(YEAR(EB12)+2,MONTH(EB12),DAY(EB12)-1)</f>
        <v>46371</v>
      </c>
      <c r="ED12" s="8">
        <f t="shared" ca="1" si="52"/>
        <v>237</v>
      </c>
      <c r="EE12" s="5" t="str">
        <f t="shared" ca="1" si="53"/>
        <v>VIGENTE</v>
      </c>
      <c r="EF12" s="3"/>
      <c r="EG12" s="3">
        <v>46085</v>
      </c>
      <c r="EH12" s="4">
        <f t="shared" si="137"/>
        <v>46450</v>
      </c>
      <c r="EI12" s="8">
        <f t="shared" ca="1" si="54"/>
        <v>316</v>
      </c>
      <c r="EJ12" s="5" t="str">
        <f t="shared" ca="1" si="55"/>
        <v>VIGENTE</v>
      </c>
      <c r="EK12" s="3"/>
      <c r="EL12" s="4">
        <v>45671</v>
      </c>
      <c r="EM12" s="4">
        <f>DATE(YEAR(EL12)+2,MONTH(EL12),DAY(EL12)-1)</f>
        <v>46400</v>
      </c>
      <c r="EN12" s="8">
        <f t="shared" ca="1" si="56"/>
        <v>266</v>
      </c>
      <c r="EO12" s="5" t="str">
        <f t="shared" ca="1" si="57"/>
        <v>VIGENTE</v>
      </c>
      <c r="EP12" s="3"/>
      <c r="EQ12" s="4">
        <v>46094</v>
      </c>
      <c r="ER12" s="4">
        <f>DATE(YEAR(EQ12)+2,MONTH(EQ12),DAY(EQ12))</f>
        <v>46825</v>
      </c>
      <c r="ES12" s="8">
        <f t="shared" ca="1" si="58"/>
        <v>691</v>
      </c>
      <c r="ET12" s="5" t="str">
        <f t="shared" ca="1" si="59"/>
        <v>VIGENTE</v>
      </c>
      <c r="EU12" s="3"/>
      <c r="EV12" s="4">
        <v>45953</v>
      </c>
      <c r="EW12" s="4">
        <f t="shared" si="151"/>
        <v>46683</v>
      </c>
      <c r="EX12" s="8">
        <f t="shared" ca="1" si="60"/>
        <v>549</v>
      </c>
      <c r="EY12" s="5" t="str">
        <f t="shared" ca="1" si="61"/>
        <v>VIGENTE</v>
      </c>
      <c r="EZ12" s="3"/>
      <c r="FA12" s="4">
        <v>45931</v>
      </c>
      <c r="FB12" s="4">
        <f>DATE(YEAR(FA12)+2,MONTH(FA12),DAY(FA12))</f>
        <v>46661</v>
      </c>
      <c r="FC12" s="8">
        <f t="shared" ca="1" si="62"/>
        <v>527</v>
      </c>
      <c r="FD12" s="5" t="str">
        <f t="shared" ca="1" si="63"/>
        <v>VIGENTE</v>
      </c>
      <c r="FE12" s="3"/>
      <c r="FF12" s="4">
        <v>45932</v>
      </c>
      <c r="FG12" s="4">
        <f t="shared" si="153"/>
        <v>46662</v>
      </c>
      <c r="FH12" s="8">
        <f t="shared" ca="1" si="64"/>
        <v>528</v>
      </c>
      <c r="FI12" s="5" t="str">
        <f t="shared" ca="1" si="65"/>
        <v>VIGENTE</v>
      </c>
      <c r="FJ12" s="3"/>
      <c r="FK12" s="4">
        <v>45670</v>
      </c>
      <c r="FL12" s="4">
        <f>DATE(YEAR(FK12)+2,MONTH(FK12),DAY(FK12)-1)</f>
        <v>46399</v>
      </c>
      <c r="FM12" s="8">
        <f t="shared" ca="1" si="67"/>
        <v>265</v>
      </c>
      <c r="FN12" s="5" t="str">
        <f t="shared" ca="1" si="68"/>
        <v>VIGENTE</v>
      </c>
      <c r="FO12" s="3"/>
      <c r="FP12" s="4">
        <v>45556</v>
      </c>
      <c r="FQ12" s="4">
        <f>DATE(YEAR(FP12)+2,MONTH(FP12),DAY(FP12)-1)</f>
        <v>46285</v>
      </c>
      <c r="FR12" s="8">
        <f t="shared" ca="1" si="69"/>
        <v>151</v>
      </c>
      <c r="FS12" s="5" t="str">
        <f t="shared" ca="1" si="70"/>
        <v>VIGENTE</v>
      </c>
      <c r="FT12" s="3"/>
      <c r="FU12" s="4">
        <v>45941</v>
      </c>
      <c r="FV12" s="4">
        <f>DATE(YEAR(FU12)+2,MONTH(FU12),DAY(FU12))</f>
        <v>46671</v>
      </c>
      <c r="FW12" s="8">
        <f t="shared" ca="1" si="71"/>
        <v>537</v>
      </c>
      <c r="FX12" s="5" t="str">
        <f t="shared" ca="1" si="72"/>
        <v>VIGENTE</v>
      </c>
      <c r="FY12" s="3"/>
      <c r="FZ12" s="4">
        <v>46073</v>
      </c>
      <c r="GA12" s="4">
        <f>DATE(YEAR(FZ12)+2,MONTH(FZ12),DAY(FZ12))</f>
        <v>46803</v>
      </c>
      <c r="GB12" s="8">
        <f t="shared" ca="1" si="73"/>
        <v>669</v>
      </c>
      <c r="GC12" s="5" t="str">
        <f t="shared" ca="1" si="74"/>
        <v>VIGENTE</v>
      </c>
      <c r="GD12" s="3"/>
      <c r="GE12" s="4">
        <v>45672</v>
      </c>
      <c r="GF12" s="4">
        <f>DATE(YEAR(GE12)+2,MONTH(GE12),DAY(GE12)-1)</f>
        <v>46401</v>
      </c>
      <c r="GG12" s="8">
        <f t="shared" ca="1" si="75"/>
        <v>267</v>
      </c>
      <c r="GH12" s="5" t="str">
        <f t="shared" ca="1" si="76"/>
        <v>VIGENTE</v>
      </c>
      <c r="GI12" s="3"/>
      <c r="GJ12" s="4">
        <v>45923</v>
      </c>
      <c r="GK12" s="4">
        <f>DATE(YEAR(GJ12)+2,MONTH(GJ12),DAY(GJ12))</f>
        <v>46653</v>
      </c>
      <c r="GL12" s="8">
        <f t="shared" ca="1" si="77"/>
        <v>519</v>
      </c>
      <c r="GM12" s="5" t="str">
        <f t="shared" ca="1" si="78"/>
        <v>VIGENTE</v>
      </c>
      <c r="GN12" s="4"/>
      <c r="GO12" s="4">
        <v>45244</v>
      </c>
      <c r="GP12" s="4">
        <f t="shared" si="79"/>
        <v>47071</v>
      </c>
      <c r="GQ12" s="8">
        <f t="shared" ca="1" si="80"/>
        <v>937</v>
      </c>
      <c r="GR12" s="5" t="str">
        <f t="shared" ca="1" si="81"/>
        <v>VIGENTE</v>
      </c>
      <c r="GS12" s="3"/>
      <c r="GT12" s="4">
        <v>45245</v>
      </c>
      <c r="GU12" s="4">
        <f t="shared" si="82"/>
        <v>47072</v>
      </c>
      <c r="GV12" s="8">
        <f t="shared" ca="1" si="83"/>
        <v>938</v>
      </c>
      <c r="GW12" s="5" t="str">
        <f t="shared" ca="1" si="84"/>
        <v>VIGENTE</v>
      </c>
      <c r="GX12" s="3"/>
      <c r="GY12" s="4">
        <v>45251</v>
      </c>
      <c r="GZ12" s="4">
        <f t="shared" si="85"/>
        <v>47078</v>
      </c>
      <c r="HA12" s="8">
        <f t="shared" ca="1" si="86"/>
        <v>944</v>
      </c>
      <c r="HB12" s="5" t="str">
        <f t="shared" ca="1" si="87"/>
        <v>VIGENTE</v>
      </c>
      <c r="HC12" s="6"/>
      <c r="HD12" s="4">
        <v>44865</v>
      </c>
      <c r="HE12" s="4">
        <f t="shared" si="88"/>
        <v>46691</v>
      </c>
      <c r="HF12" s="8">
        <f t="shared" ca="1" si="89"/>
        <v>557</v>
      </c>
      <c r="HG12" s="5" t="str">
        <f ca="1">IF(HF12&gt;=61,"VIGENTE",IF(HF12&gt;=1,"POR VENCER",IF(HF12&lt;=-1,"VENCIDA",IF(HD12=0,"NO APLICA"))))</f>
        <v>VIGENTE</v>
      </c>
      <c r="HH12" s="3"/>
      <c r="HI12" s="4">
        <v>45370</v>
      </c>
      <c r="HJ12" s="4">
        <f>DATE(YEAR(HI12)+5,MONTH(HI12),DAY(HI12))</f>
        <v>47196</v>
      </c>
      <c r="HK12" s="8">
        <f ca="1">HJ12-TODAY()</f>
        <v>1062</v>
      </c>
      <c r="HL12" s="5" t="str">
        <f t="shared" ca="1" si="91"/>
        <v>VIGENTE</v>
      </c>
      <c r="HM12" s="3"/>
      <c r="HN12" s="3">
        <v>45698</v>
      </c>
      <c r="HO12" s="4">
        <f>DATE(YEAR(HN12)+5,MONTH(HN12),DAY(HN12))</f>
        <v>47524</v>
      </c>
      <c r="HP12" s="8">
        <f ca="1">HO12-TODAY()</f>
        <v>1390</v>
      </c>
      <c r="HQ12" s="5" t="str">
        <f t="shared" ca="1" si="92"/>
        <v>VIGENTE</v>
      </c>
      <c r="HR12" s="3"/>
      <c r="HS12" s="4">
        <v>45243</v>
      </c>
      <c r="HT12" s="4">
        <f>DATE(YEAR(HS12)+5,MONTH(HS12),DAY(HS12))</f>
        <v>47070</v>
      </c>
      <c r="HU12" s="8">
        <f ca="1">HT12-TODAY()</f>
        <v>936</v>
      </c>
      <c r="HV12" s="5" t="str">
        <f t="shared" ca="1" si="93"/>
        <v>VIGENTE</v>
      </c>
      <c r="HW12" s="3"/>
      <c r="HX12" s="4">
        <v>45270</v>
      </c>
      <c r="HY12" s="4">
        <f>DATE(YEAR(HX12)+5,MONTH(HX12),DAY(HX12))</f>
        <v>47097</v>
      </c>
      <c r="HZ12" s="8">
        <f ca="1">HY12-TODAY()</f>
        <v>963</v>
      </c>
      <c r="IA12" s="5" t="str">
        <f t="shared" ca="1" si="94"/>
        <v>VIGENTE</v>
      </c>
      <c r="IB12" s="3"/>
      <c r="IC12" s="4">
        <v>45236</v>
      </c>
      <c r="ID12" s="4">
        <f>DATE(YEAR(IC12)+5,MONTH(IC12),DAY(IC12))</f>
        <v>47063</v>
      </c>
      <c r="IE12" s="8">
        <f ca="1">ID12-TODAY()</f>
        <v>929</v>
      </c>
      <c r="IF12" s="5" t="str">
        <f t="shared" ca="1" si="95"/>
        <v>VIGENTE</v>
      </c>
      <c r="IG12" s="4"/>
      <c r="IH12" s="4">
        <v>45290</v>
      </c>
      <c r="II12" s="4">
        <f>DATE(YEAR(IH12)+5,MONTH(IH12),DAY(IH12))</f>
        <v>47117</v>
      </c>
      <c r="IJ12" s="8">
        <f ca="1">II12-TODAY()</f>
        <v>983</v>
      </c>
      <c r="IK12" s="5" t="str">
        <f t="shared" ca="1" si="96"/>
        <v>VIGENTE</v>
      </c>
      <c r="IL12" s="3"/>
      <c r="IM12" s="4">
        <v>45304</v>
      </c>
      <c r="IN12" s="4">
        <f>DATE(YEAR(IM12)+5,MONTH(IM12),DAY(IM12))</f>
        <v>47131</v>
      </c>
      <c r="IO12" s="8">
        <f ca="1">IN12-TODAY()</f>
        <v>997</v>
      </c>
      <c r="IP12" s="5" t="str">
        <f t="shared" ca="1" si="97"/>
        <v>VIGENTE</v>
      </c>
      <c r="IQ12" s="3"/>
      <c r="IR12" s="4">
        <v>45191</v>
      </c>
      <c r="IS12" s="4">
        <f>DATE(YEAR(IR12)+5,MONTH(IR12),DAY(IR12))</f>
        <v>47018</v>
      </c>
      <c r="IT12" s="8">
        <f ca="1">IS12-TODAY()</f>
        <v>884</v>
      </c>
      <c r="IU12" s="5" t="str">
        <f t="shared" ca="1" si="98"/>
        <v>VIGENTE</v>
      </c>
      <c r="IV12" s="3"/>
      <c r="IW12" s="4">
        <v>45289</v>
      </c>
      <c r="IX12" s="4">
        <f>DATE(YEAR(IW12)+5,MONTH(IW12),DAY(IW12))</f>
        <v>47116</v>
      </c>
      <c r="IY12" s="8">
        <f ca="1">IX12-TODAY()</f>
        <v>982</v>
      </c>
      <c r="IZ12" s="5" t="str">
        <f t="shared" ca="1" si="99"/>
        <v>VIGENTE</v>
      </c>
      <c r="JA12" s="3"/>
      <c r="JB12" s="3"/>
      <c r="JC12" s="4"/>
      <c r="JD12" s="8"/>
      <c r="JE12" s="5" t="str">
        <f t="shared" si="100"/>
        <v>NO APLICA</v>
      </c>
      <c r="JF12" s="6"/>
      <c r="JG12" s="6"/>
      <c r="JH12" s="6"/>
      <c r="JI12" s="6"/>
      <c r="JJ12" s="5" t="str">
        <f t="shared" si="101"/>
        <v>NO APLICA</v>
      </c>
      <c r="JK12" s="6"/>
      <c r="JL12" s="6"/>
      <c r="JM12" s="6"/>
      <c r="JN12" s="6"/>
      <c r="JO12" s="5" t="str">
        <f t="shared" si="102"/>
        <v>NO APLICA</v>
      </c>
      <c r="JP12" s="6"/>
      <c r="JQ12" s="6"/>
      <c r="JR12" s="6"/>
      <c r="JS12" s="6"/>
      <c r="JT12" s="5" t="str">
        <f t="shared" si="103"/>
        <v>NO APLICA</v>
      </c>
      <c r="JU12" s="5"/>
      <c r="JV12" s="5"/>
      <c r="JW12" s="5"/>
      <c r="JX12" s="5"/>
      <c r="JY12" s="5" t="str">
        <f t="shared" si="104"/>
        <v>NO APLICA</v>
      </c>
      <c r="JZ12" s="5"/>
      <c r="KA12" s="2"/>
      <c r="KB12" s="4"/>
      <c r="KC12" s="8"/>
      <c r="KD12" s="5" t="str">
        <f t="shared" si="105"/>
        <v>NO APLICA</v>
      </c>
      <c r="KE12" s="5"/>
      <c r="KF12" s="2"/>
      <c r="KG12" s="4"/>
      <c r="KH12" s="8"/>
      <c r="KI12" s="5" t="str">
        <f t="shared" si="141"/>
        <v>NO APLICA</v>
      </c>
      <c r="KJ12" s="5"/>
      <c r="KK12" s="2"/>
      <c r="KL12" s="4"/>
      <c r="KM12" s="8"/>
      <c r="KN12" s="5" t="str">
        <f t="shared" si="106"/>
        <v>NO APLICA</v>
      </c>
      <c r="KO12" s="5"/>
      <c r="KP12" s="2"/>
      <c r="KQ12" s="4"/>
      <c r="KR12" s="8"/>
      <c r="KS12" s="5" t="str">
        <f t="shared" si="142"/>
        <v>NO APLICA</v>
      </c>
      <c r="KT12" s="4"/>
      <c r="KU12" s="4">
        <v>44653</v>
      </c>
      <c r="KV12" s="4">
        <f>DATE(YEAR(KU12)+5,MONTH(KU12),DAY(KU12))</f>
        <v>46479</v>
      </c>
      <c r="KW12" s="8">
        <f ca="1">KV12-TODAY()</f>
        <v>345</v>
      </c>
      <c r="KX12" s="5" t="str">
        <f t="shared" ca="1" si="156"/>
        <v>VIGENTE</v>
      </c>
      <c r="KY12" s="5"/>
      <c r="KZ12" s="6"/>
      <c r="LA12" s="4"/>
      <c r="LB12" s="8"/>
      <c r="LC12" s="5" t="str">
        <f t="shared" si="143"/>
        <v>NO APLICA</v>
      </c>
      <c r="LD12" s="4"/>
      <c r="LE12" s="4"/>
      <c r="LF12" s="4"/>
      <c r="LG12" s="8"/>
      <c r="LH12" s="5" t="str">
        <f t="shared" si="107"/>
        <v>NO APLICA</v>
      </c>
      <c r="LI12" s="5"/>
      <c r="LJ12" s="5"/>
      <c r="LK12" s="4"/>
      <c r="LL12" s="8"/>
      <c r="LM12" s="5" t="str">
        <f t="shared" si="157"/>
        <v>NO APLICA</v>
      </c>
      <c r="LN12" s="2"/>
      <c r="LO12" s="6"/>
      <c r="LP12" s="4"/>
      <c r="LQ12" s="8"/>
      <c r="LR12" s="5" t="str">
        <f t="shared" si="144"/>
        <v>NO APLICA</v>
      </c>
      <c r="LS12" s="6"/>
      <c r="LT12" s="6"/>
      <c r="LU12" s="4"/>
      <c r="LV12" s="8"/>
      <c r="LW12" s="5" t="str">
        <f t="shared" si="145"/>
        <v>NO APLICA</v>
      </c>
      <c r="LX12" s="6"/>
      <c r="LY12" s="6"/>
      <c r="LZ12" s="4"/>
      <c r="MA12" s="8"/>
      <c r="MB12" s="5" t="str">
        <f t="shared" si="146"/>
        <v>NO APLICA</v>
      </c>
      <c r="MC12" s="2"/>
      <c r="MD12" s="2"/>
      <c r="ME12" s="4"/>
      <c r="MF12" s="8"/>
      <c r="MG12" s="5" t="str">
        <f t="shared" si="108"/>
        <v>NO APLICA</v>
      </c>
      <c r="MH12" s="2"/>
      <c r="MI12" s="2"/>
      <c r="MJ12" s="4"/>
      <c r="MK12" s="8"/>
      <c r="ML12" s="5" t="str">
        <f t="shared" si="109"/>
        <v>NO APLICA</v>
      </c>
      <c r="MM12" s="5"/>
      <c r="MN12" s="2"/>
      <c r="MO12" s="4"/>
      <c r="MP12" s="8"/>
      <c r="MQ12" s="5" t="str">
        <f t="shared" si="110"/>
        <v>NO APLICA</v>
      </c>
      <c r="MR12" s="5"/>
      <c r="MS12" s="2"/>
      <c r="MT12" s="4"/>
      <c r="MU12" s="2"/>
      <c r="MV12" s="5" t="str">
        <f t="shared" si="111"/>
        <v>NO APLICA</v>
      </c>
      <c r="MW12" s="2"/>
      <c r="MX12" s="6"/>
      <c r="MY12" s="4"/>
      <c r="MZ12" s="8"/>
      <c r="NA12" s="5" t="str">
        <f t="shared" si="112"/>
        <v>NO APLICA</v>
      </c>
      <c r="NB12" s="2"/>
      <c r="NC12" s="6"/>
      <c r="ND12" s="4"/>
      <c r="NE12" s="8"/>
      <c r="NF12" s="5" t="str">
        <f t="shared" si="113"/>
        <v>NO APLICA</v>
      </c>
      <c r="NG12" s="2"/>
      <c r="NH12" s="6"/>
      <c r="NI12" s="4"/>
      <c r="NJ12" s="8"/>
      <c r="NK12" s="5" t="str">
        <f t="shared" si="114"/>
        <v>NO APLICA</v>
      </c>
      <c r="NL12" s="2"/>
      <c r="NM12" s="2"/>
      <c r="NN12" s="4"/>
      <c r="NO12" s="8"/>
      <c r="NP12" s="5" t="str">
        <f t="shared" si="115"/>
        <v>NO APLICA</v>
      </c>
      <c r="NQ12" s="2"/>
      <c r="NR12" s="2"/>
      <c r="NS12" s="2"/>
      <c r="NT12" s="2"/>
      <c r="NU12" s="5" t="str">
        <f t="shared" si="116"/>
        <v>NO APLICA</v>
      </c>
      <c r="NV12" s="6"/>
      <c r="NW12" s="6"/>
      <c r="NX12" s="4"/>
      <c r="NY12" s="8"/>
      <c r="NZ12" s="5" t="str">
        <f t="shared" si="117"/>
        <v>NO APLICA</v>
      </c>
      <c r="OA12" s="6"/>
      <c r="OB12" s="6"/>
      <c r="OC12" s="6"/>
      <c r="OD12" s="6"/>
      <c r="OE12" s="5" t="str">
        <f t="shared" si="118"/>
        <v>NO APLICA</v>
      </c>
      <c r="OF12" s="2"/>
      <c r="OG12" s="2"/>
      <c r="OH12" s="4"/>
      <c r="OI12" s="8"/>
      <c r="OJ12" s="5" t="str">
        <f t="shared" si="119"/>
        <v>NO APLICA</v>
      </c>
      <c r="OK12" s="6"/>
      <c r="OL12" s="6"/>
      <c r="OM12" s="6"/>
      <c r="ON12" s="6"/>
      <c r="OO12" s="5" t="str">
        <f t="shared" si="120"/>
        <v>NO APLICA</v>
      </c>
      <c r="OP12" s="6"/>
      <c r="OQ12" s="6"/>
      <c r="OR12" s="6"/>
      <c r="OS12" s="6"/>
      <c r="OT12" s="5" t="str">
        <f t="shared" si="121"/>
        <v>NO APLICA</v>
      </c>
      <c r="OU12" s="6"/>
      <c r="OV12" s="6"/>
      <c r="OW12" s="6"/>
      <c r="OX12" s="6"/>
      <c r="OY12" s="5" t="str">
        <f t="shared" si="122"/>
        <v>NO APLICA</v>
      </c>
      <c r="OZ12" s="6"/>
      <c r="PA12" s="6"/>
      <c r="PB12" s="6"/>
      <c r="PC12" s="6"/>
      <c r="PD12" s="5" t="str">
        <f t="shared" si="123"/>
        <v>NO APLICA</v>
      </c>
      <c r="PE12" s="6"/>
      <c r="PF12" s="6"/>
      <c r="PG12" s="6"/>
      <c r="PH12" s="6"/>
      <c r="PI12" s="5" t="str">
        <f t="shared" si="124"/>
        <v>NO APLICA</v>
      </c>
      <c r="PJ12" s="5"/>
      <c r="PK12" s="6"/>
      <c r="PL12" s="4"/>
      <c r="PM12" s="8"/>
      <c r="PN12" s="5" t="str">
        <f t="shared" si="125"/>
        <v>NO APLICA</v>
      </c>
      <c r="PO12" s="6"/>
      <c r="PP12" s="6"/>
      <c r="PQ12" s="6"/>
      <c r="PR12" s="6"/>
      <c r="PS12" s="5" t="str">
        <f t="shared" si="126"/>
        <v>NO APLICA</v>
      </c>
      <c r="PT12" s="5"/>
      <c r="PU12" s="6"/>
      <c r="PV12" s="6"/>
      <c r="PW12" s="6"/>
      <c r="PX12" s="5" t="str">
        <f t="shared" si="127"/>
        <v>NO APLICA</v>
      </c>
    </row>
    <row r="13" spans="1:440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99</v>
      </c>
      <c r="V13" s="4">
        <v>44747</v>
      </c>
      <c r="W13" s="4">
        <f t="shared" si="2"/>
        <v>46573</v>
      </c>
      <c r="X13" s="8">
        <f t="shared" ca="1" si="3"/>
        <v>439</v>
      </c>
      <c r="Y13" s="5" t="str">
        <f t="shared" ca="1" si="4"/>
        <v>VIGENTE</v>
      </c>
      <c r="Z13" s="2" t="s">
        <v>100</v>
      </c>
      <c r="AA13" s="4">
        <v>44988</v>
      </c>
      <c r="AB13" s="4">
        <f t="shared" si="5"/>
        <v>46815</v>
      </c>
      <c r="AC13" s="8">
        <f t="shared" ca="1" si="6"/>
        <v>681</v>
      </c>
      <c r="AD13" s="5" t="str">
        <f t="shared" ca="1" si="7"/>
        <v>VIGENTE</v>
      </c>
      <c r="AE13" s="3"/>
      <c r="AF13" s="4">
        <v>45589</v>
      </c>
      <c r="AG13" s="4">
        <f>DATE(YEAR(AF13)+2,MONTH(AF13),DAY(AF13)-1)</f>
        <v>46318</v>
      </c>
      <c r="AH13" s="8">
        <f t="shared" ca="1" si="8"/>
        <v>184</v>
      </c>
      <c r="AI13" s="5" t="str">
        <f t="shared" ca="1" si="9"/>
        <v>VIGENTE</v>
      </c>
      <c r="AJ13" s="3"/>
      <c r="AK13" s="4">
        <v>46084</v>
      </c>
      <c r="AL13" s="4">
        <f>DATE(YEAR(AK13)+2,MONTH(AK13),DAY(AK13))</f>
        <v>46815</v>
      </c>
      <c r="AM13" s="8">
        <f t="shared" ca="1" si="10"/>
        <v>681</v>
      </c>
      <c r="AN13" s="5" t="str">
        <f t="shared" ca="1" si="11"/>
        <v>VIGENTE</v>
      </c>
      <c r="AO13" s="3"/>
      <c r="AP13" s="4">
        <v>46083</v>
      </c>
      <c r="AQ13" s="4">
        <f>DATE(YEAR(AP13)+2,MONTH(AP13),DAY(AP13))</f>
        <v>46814</v>
      </c>
      <c r="AR13" s="8">
        <f t="shared" ca="1" si="12"/>
        <v>680</v>
      </c>
      <c r="AS13" s="5" t="str">
        <f t="shared" ca="1" si="13"/>
        <v>VIGENTE</v>
      </c>
      <c r="AT13" s="3"/>
      <c r="AU13" s="4">
        <v>46070</v>
      </c>
      <c r="AV13" s="4">
        <f>DATE(YEAR(AU13)+2,MONTH(AU13),DAY(AU13))</f>
        <v>46800</v>
      </c>
      <c r="AW13" s="8">
        <f t="shared" ca="1" si="15"/>
        <v>666</v>
      </c>
      <c r="AX13" s="5" t="str">
        <f t="shared" ca="1" si="16"/>
        <v>VIGENTE</v>
      </c>
      <c r="AY13" s="3"/>
      <c r="AZ13" s="4">
        <v>46041</v>
      </c>
      <c r="BA13" s="4">
        <f>DATE(YEAR(AZ13)+2,MONTH(AZ13),DAY(AZ13))</f>
        <v>46771</v>
      </c>
      <c r="BB13" s="8">
        <f t="shared" ca="1" si="17"/>
        <v>637</v>
      </c>
      <c r="BC13" s="5" t="str">
        <f t="shared" ca="1" si="18"/>
        <v>VIGENTE</v>
      </c>
      <c r="BD13" s="3"/>
      <c r="BE13" s="4">
        <v>45457</v>
      </c>
      <c r="BF13" s="4">
        <f>DATE(YEAR(BE13)+2,MONTH(BE13),DAY(BE13)-1)</f>
        <v>46186</v>
      </c>
      <c r="BG13" s="8">
        <f t="shared" ca="1" si="19"/>
        <v>52</v>
      </c>
      <c r="BH13" s="5" t="str">
        <f t="shared" ca="1" si="20"/>
        <v>POR VENCER</v>
      </c>
      <c r="BI13" s="3"/>
      <c r="BJ13" s="4">
        <v>46051</v>
      </c>
      <c r="BK13" s="4">
        <f>DATE(YEAR(BJ13)+2,MONTH(BJ13),DAY(BJ13))</f>
        <v>46781</v>
      </c>
      <c r="BL13" s="8">
        <f t="shared" ca="1" si="21"/>
        <v>647</v>
      </c>
      <c r="BM13" s="5" t="str">
        <f t="shared" ca="1" si="22"/>
        <v>VIGENTE</v>
      </c>
      <c r="BN13" s="3"/>
      <c r="BO13" s="4">
        <v>46050</v>
      </c>
      <c r="BP13" s="4">
        <f>DATE(YEAR(BO13)+2,MONTH(BO13),DAY(BO13))</f>
        <v>46780</v>
      </c>
      <c r="BQ13" s="8">
        <f t="shared" ca="1" si="23"/>
        <v>646</v>
      </c>
      <c r="BR13" s="5" t="str">
        <f t="shared" ca="1" si="24"/>
        <v>VIGENTE</v>
      </c>
      <c r="BS13" s="3"/>
      <c r="BT13" s="4">
        <v>45455</v>
      </c>
      <c r="BU13" s="4">
        <f>DATE(YEAR(BT13)+2,MONTH(BT13),DAY(BT13)-1)</f>
        <v>46184</v>
      </c>
      <c r="BV13" s="8">
        <f t="shared" ca="1" si="25"/>
        <v>50</v>
      </c>
      <c r="BW13" s="5" t="str">
        <f t="shared" ca="1" si="26"/>
        <v>POR VENCER</v>
      </c>
      <c r="BX13" s="3"/>
      <c r="BY13" s="4">
        <v>46065</v>
      </c>
      <c r="BZ13" s="4">
        <f t="shared" si="178"/>
        <v>46795</v>
      </c>
      <c r="CA13" s="8">
        <f t="shared" ca="1" si="27"/>
        <v>661</v>
      </c>
      <c r="CB13" s="5" t="str">
        <f t="shared" ca="1" si="28"/>
        <v>VIGENTE</v>
      </c>
      <c r="CC13" s="6" t="s">
        <v>73</v>
      </c>
      <c r="CD13" s="4">
        <v>45241</v>
      </c>
      <c r="CE13" s="4">
        <f t="shared" si="29"/>
        <v>46702</v>
      </c>
      <c r="CF13" s="8">
        <f t="shared" ca="1" si="30"/>
        <v>568</v>
      </c>
      <c r="CG13" s="5" t="str">
        <f t="shared" ca="1" si="31"/>
        <v>VIGENTE</v>
      </c>
      <c r="CH13" s="4"/>
      <c r="CI13" s="4">
        <v>46064</v>
      </c>
      <c r="CJ13" s="4">
        <f>DATE(YEAR(CI13)+2,MONTH(CI13),DAY(CI13))</f>
        <v>46794</v>
      </c>
      <c r="CK13" s="8">
        <f t="shared" ca="1" si="32"/>
        <v>660</v>
      </c>
      <c r="CL13" s="5" t="str">
        <f t="shared" ca="1" si="33"/>
        <v>VIGENTE</v>
      </c>
      <c r="CM13" s="3"/>
      <c r="CN13" s="4">
        <v>46108</v>
      </c>
      <c r="CO13" s="4">
        <f>DATE(YEAR(CN13)+2,MONTH(CN13),DAY(CN13))</f>
        <v>46839</v>
      </c>
      <c r="CP13" s="8">
        <f t="shared" ca="1" si="34"/>
        <v>705</v>
      </c>
      <c r="CQ13" s="5" t="str">
        <f t="shared" ca="1" si="35"/>
        <v>VIGENTE</v>
      </c>
      <c r="CR13" s="3"/>
      <c r="CS13" s="4">
        <v>46043</v>
      </c>
      <c r="CT13" s="4">
        <f>DATE(YEAR(CS13)+2,MONTH(CS13),DAY(CS13))</f>
        <v>46773</v>
      </c>
      <c r="CU13" s="8">
        <f t="shared" ca="1" si="36"/>
        <v>639</v>
      </c>
      <c r="CV13" s="5" t="str">
        <f t="shared" ca="1" si="37"/>
        <v>VIGENTE</v>
      </c>
      <c r="CW13" s="3"/>
      <c r="CX13" s="4">
        <v>45661</v>
      </c>
      <c r="CY13" s="4">
        <f>DATE(YEAR(CX13)+2,MONTH(CX13),DAY(CX13)-1)</f>
        <v>46390</v>
      </c>
      <c r="CZ13" s="8">
        <f t="shared" ca="1" si="38"/>
        <v>256</v>
      </c>
      <c r="DA13" s="5" t="str">
        <f t="shared" ca="1" si="39"/>
        <v>VIGENTE</v>
      </c>
      <c r="DB13" s="3"/>
      <c r="DC13" s="4">
        <v>45689</v>
      </c>
      <c r="DD13" s="4">
        <f>DATE(YEAR(DC13)+2,MONTH(DC13),DAY(DC13)-1)</f>
        <v>46418</v>
      </c>
      <c r="DE13" s="8">
        <f t="shared" ca="1" si="40"/>
        <v>284</v>
      </c>
      <c r="DF13" s="5" t="str">
        <f t="shared" ca="1" si="41"/>
        <v>VIGENTE</v>
      </c>
      <c r="DG13" s="3"/>
      <c r="DH13" s="4">
        <v>46073</v>
      </c>
      <c r="DI13" s="4">
        <f>DATE(YEAR(DH13)+2,MONTH(DH13),DAY(DH13))</f>
        <v>46803</v>
      </c>
      <c r="DJ13" s="8">
        <f t="shared" ca="1" si="43"/>
        <v>669</v>
      </c>
      <c r="DK13" s="5" t="str">
        <f t="shared" ca="1" si="44"/>
        <v>VIGENTE</v>
      </c>
      <c r="DL13" s="3"/>
      <c r="DM13" s="4">
        <v>45473</v>
      </c>
      <c r="DN13" s="4">
        <f>DATE(YEAR(DM13)+2,MONTH(DM13),DAY(DM13)-1)</f>
        <v>46202</v>
      </c>
      <c r="DO13" s="8">
        <f t="shared" ca="1" si="46"/>
        <v>68</v>
      </c>
      <c r="DP13" s="5" t="str">
        <f t="shared" ca="1" si="47"/>
        <v>POR VENCER</v>
      </c>
      <c r="DQ13" s="3"/>
      <c r="DR13" s="4">
        <v>46072</v>
      </c>
      <c r="DS13" s="4">
        <f>DATE(YEAR(DR13)+2,MONTH(DR13),DAY(DR13))</f>
        <v>46802</v>
      </c>
      <c r="DT13" s="8">
        <f t="shared" ca="1" si="48"/>
        <v>668</v>
      </c>
      <c r="DU13" s="5" t="str">
        <f t="shared" ca="1" si="49"/>
        <v>VIGENTE</v>
      </c>
      <c r="DV13" s="3"/>
      <c r="DW13" s="4">
        <v>46099</v>
      </c>
      <c r="DX13" s="4">
        <f>DATE(YEAR(DW13)+2,MONTH(DW13),DAY(DW13))</f>
        <v>46830</v>
      </c>
      <c r="DY13" s="8">
        <f t="shared" ca="1" si="50"/>
        <v>696</v>
      </c>
      <c r="DZ13" s="5" t="str">
        <f t="shared" ca="1" si="51"/>
        <v>VIGENTE</v>
      </c>
      <c r="EA13" s="3"/>
      <c r="EB13" s="4">
        <v>46104</v>
      </c>
      <c r="EC13" s="4">
        <f>DATE(YEAR(EB13)+2,MONTH(EB13),DAY(EB13))</f>
        <v>46835</v>
      </c>
      <c r="ED13" s="8">
        <f t="shared" ca="1" si="52"/>
        <v>701</v>
      </c>
      <c r="EE13" s="5" t="str">
        <f t="shared" ca="1" si="53"/>
        <v>VIGENTE</v>
      </c>
      <c r="EF13" s="3"/>
      <c r="EG13" s="4">
        <v>45948</v>
      </c>
      <c r="EH13" s="4">
        <f t="shared" si="137"/>
        <v>46313</v>
      </c>
      <c r="EI13" s="8">
        <f t="shared" ca="1" si="54"/>
        <v>179</v>
      </c>
      <c r="EJ13" s="5" t="str">
        <f t="shared" ca="1" si="55"/>
        <v>VIGENTE</v>
      </c>
      <c r="EK13" s="3"/>
      <c r="EL13" s="4">
        <v>46100</v>
      </c>
      <c r="EM13" s="4">
        <f>DATE(YEAR(EL13)+2,MONTH(EL13),DAY(EL13))</f>
        <v>46831</v>
      </c>
      <c r="EN13" s="8">
        <f t="shared" ca="1" si="56"/>
        <v>697</v>
      </c>
      <c r="EO13" s="5" t="str">
        <f t="shared" ca="1" si="57"/>
        <v>VIGENTE</v>
      </c>
      <c r="EP13" s="3"/>
      <c r="EQ13" s="4">
        <v>45467</v>
      </c>
      <c r="ER13" s="4">
        <f>DATE(YEAR(EQ13)+2,MONTH(EQ13),DAY(EQ13)-1)</f>
        <v>46196</v>
      </c>
      <c r="ES13" s="8">
        <f t="shared" ca="1" si="58"/>
        <v>62</v>
      </c>
      <c r="ET13" s="5" t="str">
        <f t="shared" ca="1" si="59"/>
        <v>POR VENCER</v>
      </c>
      <c r="EU13" s="3"/>
      <c r="EV13" s="4">
        <v>46063</v>
      </c>
      <c r="EW13" s="4">
        <f t="shared" si="151"/>
        <v>46793</v>
      </c>
      <c r="EX13" s="8">
        <f t="shared" ca="1" si="60"/>
        <v>659</v>
      </c>
      <c r="EY13" s="5" t="str">
        <f t="shared" ca="1" si="61"/>
        <v>VIGENTE</v>
      </c>
      <c r="EZ13" s="3"/>
      <c r="FA13" s="4">
        <v>45482</v>
      </c>
      <c r="FB13" s="4">
        <f>DATE(YEAR(FA13)+2,MONTH(FA13),DAY(FA13)-1)</f>
        <v>46211</v>
      </c>
      <c r="FC13" s="8">
        <f t="shared" ca="1" si="62"/>
        <v>77</v>
      </c>
      <c r="FD13" s="5" t="str">
        <f t="shared" ca="1" si="63"/>
        <v>POR VENCER</v>
      </c>
      <c r="FE13" s="3"/>
      <c r="FF13" s="4">
        <v>46066</v>
      </c>
      <c r="FG13" s="4">
        <f t="shared" si="153"/>
        <v>46796</v>
      </c>
      <c r="FH13" s="8">
        <f t="shared" ca="1" si="64"/>
        <v>662</v>
      </c>
      <c r="FI13" s="5" t="str">
        <f t="shared" ca="1" si="65"/>
        <v>VIGENTE</v>
      </c>
      <c r="FJ13" s="3"/>
      <c r="FK13" s="4">
        <v>46039</v>
      </c>
      <c r="FL13" s="4">
        <f>DATE(YEAR(FK13)+2,MONTH(FK13),DAY(FK13))</f>
        <v>46769</v>
      </c>
      <c r="FM13" s="8">
        <f t="shared" ca="1" si="67"/>
        <v>635</v>
      </c>
      <c r="FN13" s="5" t="str">
        <f t="shared" ca="1" si="68"/>
        <v>VIGENTE</v>
      </c>
      <c r="FO13" s="3"/>
      <c r="FP13" s="4">
        <v>45471</v>
      </c>
      <c r="FQ13" s="4">
        <f>DATE(YEAR(FP13)+2,MONTH(FP13),DAY(FP13)-1)</f>
        <v>46200</v>
      </c>
      <c r="FR13" s="8">
        <f t="shared" ca="1" si="69"/>
        <v>66</v>
      </c>
      <c r="FS13" s="5" t="str">
        <f t="shared" ca="1" si="70"/>
        <v>POR VENCER</v>
      </c>
      <c r="FT13" s="4"/>
      <c r="FU13" s="4">
        <v>45616</v>
      </c>
      <c r="FV13" s="4">
        <f>DATE(YEAR(FU13)+2,MONTH(FU13),DAY(FU13)-1)</f>
        <v>46345</v>
      </c>
      <c r="FW13" s="8">
        <f t="shared" ca="1" si="71"/>
        <v>211</v>
      </c>
      <c r="FX13" s="5" t="str">
        <f t="shared" ca="1" si="72"/>
        <v>VIGENTE</v>
      </c>
      <c r="FY13" s="3"/>
      <c r="FZ13" s="4">
        <v>46030</v>
      </c>
      <c r="GA13" s="4">
        <f>DATE(YEAR(FZ13)+2,MONTH(FZ13),DAY(FZ13))</f>
        <v>46760</v>
      </c>
      <c r="GB13" s="8">
        <f t="shared" ca="1" si="73"/>
        <v>626</v>
      </c>
      <c r="GC13" s="5" t="str">
        <f t="shared" ca="1" si="74"/>
        <v>VIGENTE</v>
      </c>
      <c r="GD13" s="3"/>
      <c r="GE13" s="4">
        <v>46079</v>
      </c>
      <c r="GF13" s="4">
        <f>DATE(YEAR(GE13)+2,MONTH(GE13),DAY(GE13))</f>
        <v>46809</v>
      </c>
      <c r="GG13" s="8">
        <f t="shared" ca="1" si="75"/>
        <v>675</v>
      </c>
      <c r="GH13" s="5" t="str">
        <f t="shared" ca="1" si="76"/>
        <v>VIGENTE</v>
      </c>
      <c r="GI13" s="3"/>
      <c r="GJ13" s="4">
        <v>45493</v>
      </c>
      <c r="GK13" s="4">
        <f>DATE(YEAR(GJ13)+2,MONTH(GJ13),DAY(GJ13)-1)</f>
        <v>46222</v>
      </c>
      <c r="GL13" s="8">
        <f t="shared" ca="1" si="77"/>
        <v>88</v>
      </c>
      <c r="GM13" s="5" t="str">
        <f t="shared" ca="1" si="78"/>
        <v>VIGENTE</v>
      </c>
      <c r="GN13" s="4"/>
      <c r="GO13" s="4">
        <v>45459</v>
      </c>
      <c r="GP13" s="4">
        <f t="shared" si="79"/>
        <v>47285</v>
      </c>
      <c r="GQ13" s="8">
        <f t="shared" ca="1" si="80"/>
        <v>1151</v>
      </c>
      <c r="GR13" s="5" t="str">
        <f t="shared" ca="1" si="81"/>
        <v>VIGENTE</v>
      </c>
      <c r="GS13" s="3"/>
      <c r="GT13" s="4">
        <v>45478</v>
      </c>
      <c r="GU13" s="4">
        <f t="shared" si="82"/>
        <v>47304</v>
      </c>
      <c r="GV13" s="8">
        <f t="shared" ca="1" si="83"/>
        <v>1170</v>
      </c>
      <c r="GW13" s="5" t="str">
        <f t="shared" ca="1" si="84"/>
        <v>VIGENTE</v>
      </c>
      <c r="GX13" s="3"/>
      <c r="GY13" s="4">
        <v>45454</v>
      </c>
      <c r="GZ13" s="4">
        <f t="shared" si="85"/>
        <v>47280</v>
      </c>
      <c r="HA13" s="8">
        <f t="shared" ca="1" si="86"/>
        <v>1146</v>
      </c>
      <c r="HB13" s="5" t="str">
        <f t="shared" ca="1" si="87"/>
        <v>VIGENTE</v>
      </c>
      <c r="HC13" s="6"/>
      <c r="HD13" s="4">
        <v>44880</v>
      </c>
      <c r="HE13" s="4">
        <f t="shared" si="88"/>
        <v>46706</v>
      </c>
      <c r="HF13" s="8">
        <f t="shared" ca="1" si="89"/>
        <v>572</v>
      </c>
      <c r="HG13" s="5" t="str">
        <f ca="1">IF(HF13&gt;=61,"VIGENTE",IF(HF13&gt;=1,"POR VENCER",IF(HF13&lt;=-1,"VENCIDA",IF(HD13=0,"NO APLICA"))))</f>
        <v>VIGENTE</v>
      </c>
      <c r="HH13" s="2"/>
      <c r="HI13" s="6"/>
      <c r="HJ13" s="4"/>
      <c r="HK13" s="8"/>
      <c r="HL13" s="5" t="str">
        <f t="shared" si="91"/>
        <v>NO APLICA</v>
      </c>
      <c r="HM13" s="2"/>
      <c r="HN13" s="2"/>
      <c r="HO13" s="4"/>
      <c r="HP13" s="2"/>
      <c r="HQ13" s="5" t="str">
        <f t="shared" si="92"/>
        <v>NO APLICA</v>
      </c>
      <c r="HR13" s="2"/>
      <c r="HS13" s="4">
        <v>45469</v>
      </c>
      <c r="HT13" s="4">
        <f>DATE(YEAR(HS13)+5,MONTH(HS13),DAY(HS13))</f>
        <v>47295</v>
      </c>
      <c r="HU13" s="8">
        <f ca="1">HT13-TODAY()</f>
        <v>1161</v>
      </c>
      <c r="HV13" s="5" t="str">
        <f t="shared" ca="1" si="93"/>
        <v>VIGENTE</v>
      </c>
      <c r="HW13" s="2"/>
      <c r="HX13" s="4">
        <v>45486</v>
      </c>
      <c r="HY13" s="4">
        <f>DATE(YEAR(HX13)+5,MONTH(HX13),DAY(HX13))</f>
        <v>47312</v>
      </c>
      <c r="HZ13" s="8">
        <f ca="1">HY13-TODAY()</f>
        <v>1178</v>
      </c>
      <c r="IA13" s="5" t="str">
        <f t="shared" ca="1" si="94"/>
        <v>VIGENTE</v>
      </c>
      <c r="IB13" s="2"/>
      <c r="IC13" s="4">
        <v>45483</v>
      </c>
      <c r="ID13" s="4">
        <f>DATE(YEAR(IC13)+5,MONTH(IC13),DAY(IC13))</f>
        <v>47309</v>
      </c>
      <c r="IE13" s="8">
        <f ca="1">ID13-TODAY()</f>
        <v>1175</v>
      </c>
      <c r="IF13" s="5" t="str">
        <f t="shared" ca="1" si="95"/>
        <v>VIGENTE</v>
      </c>
      <c r="IG13" s="6"/>
      <c r="IH13" s="4">
        <v>45485</v>
      </c>
      <c r="II13" s="4">
        <f>DATE(YEAR(IH13)+5,MONTH(IH13),DAY(IH13))</f>
        <v>47311</v>
      </c>
      <c r="IJ13" s="8">
        <f ca="1">II13-TODAY()</f>
        <v>1177</v>
      </c>
      <c r="IK13" s="5" t="str">
        <f t="shared" ca="1" si="96"/>
        <v>VIGENTE</v>
      </c>
      <c r="IL13" s="2"/>
      <c r="IM13" s="4">
        <v>45354</v>
      </c>
      <c r="IN13" s="4">
        <f>DATE(YEAR(IM13)+5,MONTH(IM13),DAY(IM13))</f>
        <v>47180</v>
      </c>
      <c r="IO13" s="8">
        <f ca="1">IN13-TODAY()</f>
        <v>1046</v>
      </c>
      <c r="IP13" s="5" t="str">
        <f t="shared" ca="1" si="97"/>
        <v>VIGENTE</v>
      </c>
      <c r="IQ13" s="2"/>
      <c r="IR13" s="4">
        <v>45484</v>
      </c>
      <c r="IS13" s="4">
        <f>DATE(YEAR(IR13)+5,MONTH(IR13),DAY(IR13))</f>
        <v>47310</v>
      </c>
      <c r="IT13" s="8">
        <f ca="1">IS13-TODAY()</f>
        <v>1176</v>
      </c>
      <c r="IU13" s="5" t="str">
        <f t="shared" ca="1" si="98"/>
        <v>VIGENTE</v>
      </c>
      <c r="IV13" s="2"/>
      <c r="IW13" s="4">
        <v>45491</v>
      </c>
      <c r="IX13" s="4">
        <f>DATE(YEAR(IW13)+5,MONTH(IW13),DAY(IW13))</f>
        <v>47317</v>
      </c>
      <c r="IY13" s="8">
        <f ca="1">IX13-TODAY()</f>
        <v>1183</v>
      </c>
      <c r="IZ13" s="5" t="str">
        <f t="shared" ca="1" si="99"/>
        <v>VIGENTE</v>
      </c>
      <c r="JA13" s="3"/>
      <c r="JB13" s="3"/>
      <c r="JC13" s="4"/>
      <c r="JD13" s="8"/>
      <c r="JE13" s="5" t="str">
        <f t="shared" si="100"/>
        <v>NO APLICA</v>
      </c>
      <c r="JF13" s="6"/>
      <c r="JG13" s="6"/>
      <c r="JH13" s="6"/>
      <c r="JI13" s="6"/>
      <c r="JJ13" s="5" t="str">
        <f t="shared" si="101"/>
        <v>NO APLICA</v>
      </c>
      <c r="JK13" s="6"/>
      <c r="JL13" s="6"/>
      <c r="JM13" s="6"/>
      <c r="JN13" s="6"/>
      <c r="JO13" s="5" t="str">
        <f t="shared" si="102"/>
        <v>NO APLICA</v>
      </c>
      <c r="JP13" s="6"/>
      <c r="JQ13" s="6"/>
      <c r="JR13" s="6"/>
      <c r="JS13" s="6"/>
      <c r="JT13" s="5" t="str">
        <f t="shared" si="103"/>
        <v>NO APLICA</v>
      </c>
      <c r="JU13" s="5"/>
      <c r="JV13" s="5"/>
      <c r="JW13" s="5"/>
      <c r="JX13" s="5"/>
      <c r="JY13" s="5" t="str">
        <f t="shared" si="104"/>
        <v>NO APLICA</v>
      </c>
      <c r="JZ13" s="5"/>
      <c r="KA13" s="2"/>
      <c r="KB13" s="4"/>
      <c r="KC13" s="8"/>
      <c r="KD13" s="5" t="str">
        <f t="shared" si="105"/>
        <v>NO APLICA</v>
      </c>
      <c r="KE13" s="5"/>
      <c r="KF13" s="2"/>
      <c r="KG13" s="4"/>
      <c r="KH13" s="8"/>
      <c r="KI13" s="5" t="str">
        <f t="shared" si="141"/>
        <v>NO APLICA</v>
      </c>
      <c r="KJ13" s="5"/>
      <c r="KK13" s="2"/>
      <c r="KL13" s="4"/>
      <c r="KM13" s="8"/>
      <c r="KN13" s="5" t="str">
        <f t="shared" si="106"/>
        <v>NO APLICA</v>
      </c>
      <c r="KO13" s="5"/>
      <c r="KP13" s="2"/>
      <c r="KQ13" s="4"/>
      <c r="KR13" s="8"/>
      <c r="KS13" s="5" t="str">
        <f t="shared" si="142"/>
        <v>NO APLICA</v>
      </c>
      <c r="KT13" s="2"/>
      <c r="KU13" s="6"/>
      <c r="KV13" s="4"/>
      <c r="KW13" s="8"/>
      <c r="KX13" s="5" t="str">
        <f t="shared" si="156"/>
        <v>NO APLICA</v>
      </c>
      <c r="KY13" s="5"/>
      <c r="KZ13" s="6"/>
      <c r="LA13" s="4"/>
      <c r="LB13" s="8"/>
      <c r="LC13" s="5" t="str">
        <f t="shared" si="143"/>
        <v>NO APLICA</v>
      </c>
      <c r="LD13" s="6"/>
      <c r="LE13" s="6"/>
      <c r="LF13" s="4"/>
      <c r="LG13" s="8"/>
      <c r="LH13" s="5" t="str">
        <f t="shared" si="107"/>
        <v>NO APLICA</v>
      </c>
      <c r="LI13" s="5"/>
      <c r="LJ13" s="5"/>
      <c r="LK13" s="4"/>
      <c r="LL13" s="8"/>
      <c r="LM13" s="5" t="str">
        <f t="shared" si="157"/>
        <v>NO APLICA</v>
      </c>
      <c r="LN13" s="2"/>
      <c r="LO13" s="6"/>
      <c r="LP13" s="4"/>
      <c r="LQ13" s="8"/>
      <c r="LR13" s="5" t="str">
        <f t="shared" si="144"/>
        <v>NO APLICA</v>
      </c>
      <c r="LS13" s="6"/>
      <c r="LT13" s="6"/>
      <c r="LU13" s="4"/>
      <c r="LV13" s="8"/>
      <c r="LW13" s="5" t="str">
        <f t="shared" si="145"/>
        <v>NO APLICA</v>
      </c>
      <c r="LX13" s="6"/>
      <c r="LY13" s="6"/>
      <c r="LZ13" s="4"/>
      <c r="MA13" s="8"/>
      <c r="MB13" s="5" t="str">
        <f t="shared" si="146"/>
        <v>NO APLICA</v>
      </c>
      <c r="MC13" s="2"/>
      <c r="MD13" s="2"/>
      <c r="ME13" s="4"/>
      <c r="MF13" s="8"/>
      <c r="MG13" s="5" t="str">
        <f t="shared" si="108"/>
        <v>NO APLICA</v>
      </c>
      <c r="MH13" s="2"/>
      <c r="MI13" s="2"/>
      <c r="MJ13" s="4"/>
      <c r="MK13" s="8"/>
      <c r="ML13" s="5" t="str">
        <f t="shared" si="109"/>
        <v>NO APLICA</v>
      </c>
      <c r="MM13" s="5"/>
      <c r="MN13" s="2"/>
      <c r="MO13" s="4"/>
      <c r="MP13" s="8"/>
      <c r="MQ13" s="5" t="str">
        <f t="shared" si="110"/>
        <v>NO APLICA</v>
      </c>
      <c r="MR13" s="5"/>
      <c r="MS13" s="2"/>
      <c r="MT13" s="4"/>
      <c r="MU13" s="2"/>
      <c r="MV13" s="5" t="str">
        <f t="shared" si="111"/>
        <v>NO APLICA</v>
      </c>
      <c r="MW13" s="2"/>
      <c r="MX13" s="6"/>
      <c r="MY13" s="4"/>
      <c r="MZ13" s="8"/>
      <c r="NA13" s="5" t="str">
        <f t="shared" si="112"/>
        <v>NO APLICA</v>
      </c>
      <c r="NB13" s="2"/>
      <c r="NC13" s="6"/>
      <c r="ND13" s="4"/>
      <c r="NE13" s="8"/>
      <c r="NF13" s="5" t="str">
        <f t="shared" si="113"/>
        <v>NO APLICA</v>
      </c>
      <c r="NG13" s="2"/>
      <c r="NH13" s="6"/>
      <c r="NI13" s="4"/>
      <c r="NJ13" s="8"/>
      <c r="NK13" s="5" t="str">
        <f t="shared" si="114"/>
        <v>NO APLICA</v>
      </c>
      <c r="NL13" s="2"/>
      <c r="NM13" s="2"/>
      <c r="NN13" s="4"/>
      <c r="NO13" s="8"/>
      <c r="NP13" s="5" t="str">
        <f t="shared" si="115"/>
        <v>NO APLICA</v>
      </c>
      <c r="NQ13" s="2"/>
      <c r="NR13" s="2"/>
      <c r="NS13" s="4"/>
      <c r="NT13" s="2"/>
      <c r="NU13" s="5" t="str">
        <f t="shared" si="116"/>
        <v>NO APLICA</v>
      </c>
      <c r="NV13" s="6"/>
      <c r="NW13" s="6"/>
      <c r="NX13" s="4"/>
      <c r="NY13" s="8"/>
      <c r="NZ13" s="5" t="str">
        <f t="shared" si="117"/>
        <v>NO APLICA</v>
      </c>
      <c r="OA13" s="6"/>
      <c r="OB13" s="6"/>
      <c r="OC13" s="6"/>
      <c r="OD13" s="6"/>
      <c r="OE13" s="5" t="str">
        <f t="shared" si="118"/>
        <v>NO APLICA</v>
      </c>
      <c r="OF13" s="2"/>
      <c r="OG13" s="2"/>
      <c r="OH13" s="4"/>
      <c r="OI13" s="8"/>
      <c r="OJ13" s="5" t="str">
        <f t="shared" si="119"/>
        <v>NO APLICA</v>
      </c>
      <c r="OK13" s="6"/>
      <c r="OL13" s="6"/>
      <c r="OM13" s="6"/>
      <c r="ON13" s="6"/>
      <c r="OO13" s="5" t="str">
        <f t="shared" si="120"/>
        <v>NO APLICA</v>
      </c>
      <c r="OP13" s="6"/>
      <c r="OQ13" s="6"/>
      <c r="OR13" s="6"/>
      <c r="OS13" s="6"/>
      <c r="OT13" s="5" t="str">
        <f t="shared" si="121"/>
        <v>NO APLICA</v>
      </c>
      <c r="OU13" s="6"/>
      <c r="OV13" s="6"/>
      <c r="OW13" s="6"/>
      <c r="OX13" s="6"/>
      <c r="OY13" s="5" t="str">
        <f t="shared" si="122"/>
        <v>NO APLICA</v>
      </c>
      <c r="OZ13" s="6"/>
      <c r="PA13" s="6"/>
      <c r="PB13" s="6"/>
      <c r="PC13" s="6"/>
      <c r="PD13" s="5" t="str">
        <f t="shared" si="123"/>
        <v>NO APLICA</v>
      </c>
      <c r="PE13" s="6"/>
      <c r="PF13" s="6"/>
      <c r="PG13" s="6"/>
      <c r="PH13" s="6"/>
      <c r="PI13" s="5" t="str">
        <f t="shared" si="124"/>
        <v>NO APLICA</v>
      </c>
      <c r="PJ13" s="5"/>
      <c r="PK13" s="6"/>
      <c r="PL13" s="4"/>
      <c r="PM13" s="8"/>
      <c r="PN13" s="5" t="str">
        <f t="shared" si="125"/>
        <v>NO APLICA</v>
      </c>
      <c r="PO13" s="6"/>
      <c r="PP13" s="6"/>
      <c r="PQ13" s="6"/>
      <c r="PR13" s="6"/>
      <c r="PS13" s="5" t="str">
        <f t="shared" si="126"/>
        <v>NO APLICA</v>
      </c>
      <c r="PT13" s="5"/>
      <c r="PU13" s="6"/>
      <c r="PV13" s="6"/>
      <c r="PW13" s="6"/>
      <c r="PX13" s="5" t="str">
        <f t="shared" si="127"/>
        <v>NO APLICA</v>
      </c>
    </row>
    <row r="14" spans="1:440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417</v>
      </c>
      <c r="T14" s="5" t="str">
        <f t="shared" ca="1" si="128"/>
        <v>VIGENTE</v>
      </c>
      <c r="U14" s="2" t="s">
        <v>103</v>
      </c>
      <c r="V14" s="4">
        <v>45337</v>
      </c>
      <c r="W14" s="4">
        <f t="shared" si="2"/>
        <v>47164</v>
      </c>
      <c r="X14" s="8">
        <f t="shared" ca="1" si="3"/>
        <v>1030</v>
      </c>
      <c r="Y14" s="5" t="str">
        <f t="shared" ca="1" si="4"/>
        <v>VIGENTE</v>
      </c>
      <c r="Z14" s="2" t="s">
        <v>104</v>
      </c>
      <c r="AA14" s="4">
        <v>45152</v>
      </c>
      <c r="AB14" s="4">
        <f t="shared" si="5"/>
        <v>46979</v>
      </c>
      <c r="AC14" s="8">
        <f t="shared" ca="1" si="6"/>
        <v>845</v>
      </c>
      <c r="AD14" s="5" t="str">
        <f t="shared" ca="1" si="7"/>
        <v>VIGENTE</v>
      </c>
      <c r="AE14" s="3"/>
      <c r="AF14" s="4">
        <v>45936</v>
      </c>
      <c r="AG14" s="4">
        <f>DATE(YEAR(AF14)+2,MONTH(AF14),DAY(AF14))</f>
        <v>46666</v>
      </c>
      <c r="AH14" s="8">
        <f t="shared" ca="1" si="8"/>
        <v>532</v>
      </c>
      <c r="AI14" s="5" t="str">
        <f t="shared" ca="1" si="9"/>
        <v>VIGENTE</v>
      </c>
      <c r="AJ14" s="3"/>
      <c r="AK14" s="4">
        <v>45937</v>
      </c>
      <c r="AL14" s="4">
        <f>DATE(YEAR(AK14)+2,MONTH(AK14),DAY(AK14))</f>
        <v>46667</v>
      </c>
      <c r="AM14" s="8">
        <f t="shared" ca="1" si="10"/>
        <v>533</v>
      </c>
      <c r="AN14" s="5" t="str">
        <f t="shared" ca="1" si="11"/>
        <v>VIGENTE</v>
      </c>
      <c r="AO14" s="3"/>
      <c r="AP14" s="4">
        <v>45904</v>
      </c>
      <c r="AQ14" s="4">
        <f>DATE(YEAR(AP14)+2,MONTH(AP14),DAY(AP14))</f>
        <v>46634</v>
      </c>
      <c r="AR14" s="8">
        <f t="shared" ca="1" si="12"/>
        <v>500</v>
      </c>
      <c r="AS14" s="5" t="str">
        <f t="shared" ca="1" si="13"/>
        <v>VIGENTE</v>
      </c>
      <c r="AT14" s="3"/>
      <c r="AU14" s="4">
        <v>45927</v>
      </c>
      <c r="AV14" s="4">
        <f>DATE(YEAR(AU14)+2,MONTH(AU14),DAY(AU14))</f>
        <v>46657</v>
      </c>
      <c r="AW14" s="8">
        <f t="shared" ca="1" si="15"/>
        <v>523</v>
      </c>
      <c r="AX14" s="5" t="str">
        <f t="shared" ca="1" si="16"/>
        <v>VIGENTE</v>
      </c>
      <c r="AY14" s="3"/>
      <c r="AZ14" s="4">
        <v>45901</v>
      </c>
      <c r="BA14" s="4">
        <f>DATE(YEAR(AZ14)+2,MONTH(AZ14),DAY(AZ14))</f>
        <v>46631</v>
      </c>
      <c r="BB14" s="8">
        <f t="shared" ca="1" si="17"/>
        <v>497</v>
      </c>
      <c r="BC14" s="5" t="str">
        <f t="shared" ca="1" si="18"/>
        <v>VIGENTE</v>
      </c>
      <c r="BD14" s="3"/>
      <c r="BE14" s="4">
        <v>45968</v>
      </c>
      <c r="BF14" s="4">
        <f>DATE(YEAR(BE14)+2,MONTH(BE14),DAY(BE14))</f>
        <v>46698</v>
      </c>
      <c r="BG14" s="8">
        <f t="shared" ca="1" si="19"/>
        <v>564</v>
      </c>
      <c r="BH14" s="5" t="str">
        <f t="shared" ca="1" si="20"/>
        <v>VIGENTE</v>
      </c>
      <c r="BI14" s="3"/>
      <c r="BJ14" s="4">
        <v>46035</v>
      </c>
      <c r="BK14" s="4">
        <f>DATE(YEAR(BJ14)+2,MONTH(BJ14),DAY(BJ14))</f>
        <v>46765</v>
      </c>
      <c r="BL14" s="8">
        <f t="shared" ca="1" si="21"/>
        <v>631</v>
      </c>
      <c r="BM14" s="5" t="str">
        <f t="shared" ca="1" si="22"/>
        <v>VIGENTE</v>
      </c>
      <c r="BN14" s="3"/>
      <c r="BO14" s="4">
        <v>46050</v>
      </c>
      <c r="BP14" s="4">
        <f>DATE(YEAR(BO14)+2,MONTH(BO14),DAY(BO14))</f>
        <v>46780</v>
      </c>
      <c r="BQ14" s="8">
        <f t="shared" ca="1" si="23"/>
        <v>646</v>
      </c>
      <c r="BR14" s="5" t="str">
        <f t="shared" ca="1" si="24"/>
        <v>VIGENTE</v>
      </c>
      <c r="BS14" s="3"/>
      <c r="BT14" s="4">
        <v>45455</v>
      </c>
      <c r="BU14" s="4">
        <f>DATE(YEAR(BT14)+2,MONTH(BT14),DAY(BT14)-1)</f>
        <v>46184</v>
      </c>
      <c r="BV14" s="8">
        <f t="shared" ca="1" si="25"/>
        <v>50</v>
      </c>
      <c r="BW14" s="5" t="str">
        <f t="shared" ca="1" si="26"/>
        <v>POR VENCER</v>
      </c>
      <c r="BX14" s="3"/>
      <c r="BY14" s="4">
        <v>45911</v>
      </c>
      <c r="BZ14" s="4">
        <f t="shared" si="178"/>
        <v>46641</v>
      </c>
      <c r="CA14" s="8">
        <f t="shared" ca="1" si="27"/>
        <v>507</v>
      </c>
      <c r="CB14" s="5" t="str">
        <f t="shared" ca="1" si="28"/>
        <v>VIGENTE</v>
      </c>
      <c r="CC14" s="6" t="s">
        <v>73</v>
      </c>
      <c r="CD14" s="4">
        <v>45533</v>
      </c>
      <c r="CE14" s="4">
        <f t="shared" si="29"/>
        <v>46994</v>
      </c>
      <c r="CF14" s="8">
        <f t="shared" ca="1" si="30"/>
        <v>860</v>
      </c>
      <c r="CG14" s="5" t="str">
        <f t="shared" ca="1" si="31"/>
        <v>VIGENTE</v>
      </c>
      <c r="CH14" s="4"/>
      <c r="CI14" s="4">
        <v>45929</v>
      </c>
      <c r="CJ14" s="4">
        <f>DATE(YEAR(CI14)+2,MONTH(CI14),DAY(CI14))</f>
        <v>46659</v>
      </c>
      <c r="CK14" s="8">
        <f t="shared" ca="1" si="32"/>
        <v>525</v>
      </c>
      <c r="CL14" s="5" t="str">
        <f t="shared" ca="1" si="33"/>
        <v>VIGENTE</v>
      </c>
      <c r="CM14" s="3"/>
      <c r="CN14" s="4">
        <v>45888</v>
      </c>
      <c r="CO14" s="4">
        <f>DATE(YEAR(CN14)+2,MONTH(CN14),DAY(CN14))</f>
        <v>46618</v>
      </c>
      <c r="CP14" s="8">
        <f t="shared" ca="1" si="34"/>
        <v>484</v>
      </c>
      <c r="CQ14" s="5" t="str">
        <f t="shared" ca="1" si="35"/>
        <v>VIGENTE</v>
      </c>
      <c r="CR14" s="3"/>
      <c r="CS14" s="4">
        <v>45905</v>
      </c>
      <c r="CT14" s="4">
        <f>DATE(YEAR(CS14)+2,MONTH(CS14),DAY(CS14))</f>
        <v>46635</v>
      </c>
      <c r="CU14" s="8">
        <f t="shared" ca="1" si="36"/>
        <v>501</v>
      </c>
      <c r="CV14" s="5" t="str">
        <f t="shared" ca="1" si="37"/>
        <v>VIGENTE</v>
      </c>
      <c r="CW14" s="3"/>
      <c r="CX14" s="4">
        <v>45665</v>
      </c>
      <c r="CY14" s="4">
        <f>DATE(YEAR(CX14)+2,MONTH(CX14),DAY(CX14)-1)</f>
        <v>46394</v>
      </c>
      <c r="CZ14" s="8">
        <f t="shared" ca="1" si="38"/>
        <v>260</v>
      </c>
      <c r="DA14" s="5" t="str">
        <f t="shared" ca="1" si="39"/>
        <v>VIGENTE</v>
      </c>
      <c r="DB14" s="3"/>
      <c r="DC14" s="4">
        <v>45896</v>
      </c>
      <c r="DD14" s="4">
        <f>DATE(YEAR(DC14)+2,MONTH(DC14),DAY(DC14))</f>
        <v>46626</v>
      </c>
      <c r="DE14" s="8">
        <f t="shared" ca="1" si="40"/>
        <v>492</v>
      </c>
      <c r="DF14" s="5" t="str">
        <f t="shared" ca="1" si="41"/>
        <v>VIGENTE</v>
      </c>
      <c r="DG14" s="3"/>
      <c r="DH14" s="4">
        <v>45899</v>
      </c>
      <c r="DI14" s="4">
        <f>DATE(YEAR(DH14)+2,MONTH(DH14),DAY(DH14))</f>
        <v>46629</v>
      </c>
      <c r="DJ14" s="8">
        <f t="shared" ca="1" si="43"/>
        <v>495</v>
      </c>
      <c r="DK14" s="5" t="str">
        <f t="shared" ca="1" si="44"/>
        <v>VIGENTE</v>
      </c>
      <c r="DL14" s="3"/>
      <c r="DM14" s="4">
        <v>45731</v>
      </c>
      <c r="DN14" s="4">
        <f>DATE(YEAR(DM14)+2,MONTH(DM14),DAY(DM14)-1)</f>
        <v>46460</v>
      </c>
      <c r="DO14" s="8">
        <f t="shared" ca="1" si="46"/>
        <v>326</v>
      </c>
      <c r="DP14" s="5" t="str">
        <f t="shared" ca="1" si="47"/>
        <v>VIGENTE</v>
      </c>
      <c r="DQ14" s="3"/>
      <c r="DR14" s="4">
        <v>45885</v>
      </c>
      <c r="DS14" s="4">
        <f>DATE(YEAR(DR14)+2,MONTH(DR14),DAY(DR14))</f>
        <v>46615</v>
      </c>
      <c r="DT14" s="8">
        <f t="shared" ca="1" si="48"/>
        <v>481</v>
      </c>
      <c r="DU14" s="5" t="str">
        <f t="shared" ca="1" si="49"/>
        <v>VIGENTE</v>
      </c>
      <c r="DV14" s="3"/>
      <c r="DW14" s="4">
        <v>45915</v>
      </c>
      <c r="DX14" s="4">
        <f>DATE(YEAR(DW14)+2,MONTH(DW14),DAY(DW14))</f>
        <v>46645</v>
      </c>
      <c r="DY14" s="8">
        <f t="shared" ca="1" si="50"/>
        <v>511</v>
      </c>
      <c r="DZ14" s="5" t="str">
        <f t="shared" ca="1" si="51"/>
        <v>VIGENTE</v>
      </c>
      <c r="EA14" s="3"/>
      <c r="EB14" s="4">
        <v>45913</v>
      </c>
      <c r="EC14" s="4">
        <f>DATE(YEAR(EB14)+2,MONTH(EB14),DAY(EB14))</f>
        <v>46643</v>
      </c>
      <c r="ED14" s="8">
        <f t="shared" ca="1" si="52"/>
        <v>509</v>
      </c>
      <c r="EE14" s="5" t="str">
        <f t="shared" ca="1" si="53"/>
        <v>VIGENTE</v>
      </c>
      <c r="EF14" s="3"/>
      <c r="EG14" s="3">
        <v>46107</v>
      </c>
      <c r="EH14" s="4">
        <f t="shared" si="137"/>
        <v>46472</v>
      </c>
      <c r="EI14" s="8">
        <f t="shared" ca="1" si="54"/>
        <v>338</v>
      </c>
      <c r="EJ14" s="5" t="str">
        <f t="shared" ca="1" si="55"/>
        <v>VIGENTE</v>
      </c>
      <c r="EK14" s="3"/>
      <c r="EL14" s="4">
        <v>45940</v>
      </c>
      <c r="EM14" s="4">
        <f>DATE(YEAR(EL14)+2,MONTH(EL14),DAY(EL14))</f>
        <v>46670</v>
      </c>
      <c r="EN14" s="8">
        <f t="shared" ca="1" si="56"/>
        <v>536</v>
      </c>
      <c r="EO14" s="5" t="str">
        <f t="shared" ca="1" si="57"/>
        <v>VIGENTE</v>
      </c>
      <c r="EP14" s="3"/>
      <c r="EQ14" s="4">
        <v>45922</v>
      </c>
      <c r="ER14" s="4">
        <f>DATE(YEAR(EQ14)+2,MONTH(EQ14),DAY(EQ14))</f>
        <v>46652</v>
      </c>
      <c r="ES14" s="8">
        <f t="shared" ca="1" si="58"/>
        <v>518</v>
      </c>
      <c r="ET14" s="5" t="str">
        <f t="shared" ca="1" si="59"/>
        <v>VIGENTE</v>
      </c>
      <c r="EU14" s="3"/>
      <c r="EV14" s="4">
        <v>45917</v>
      </c>
      <c r="EW14" s="4">
        <f t="shared" si="151"/>
        <v>46647</v>
      </c>
      <c r="EX14" s="8">
        <f t="shared" ca="1" si="60"/>
        <v>513</v>
      </c>
      <c r="EY14" s="5" t="str">
        <f t="shared" ca="1" si="61"/>
        <v>VIGENTE</v>
      </c>
      <c r="EZ14" s="3"/>
      <c r="FA14" s="4">
        <v>45931</v>
      </c>
      <c r="FB14" s="4">
        <f t="shared" ref="FB14:FB20" si="179">DATE(YEAR(FA14)+2,MONTH(FA14),DAY(FA14))</f>
        <v>46661</v>
      </c>
      <c r="FC14" s="8">
        <f t="shared" ca="1" si="62"/>
        <v>527</v>
      </c>
      <c r="FD14" s="5" t="str">
        <f t="shared" ca="1" si="63"/>
        <v>VIGENTE</v>
      </c>
      <c r="FE14" s="3"/>
      <c r="FF14" s="4">
        <v>45932</v>
      </c>
      <c r="FG14" s="4">
        <f t="shared" si="153"/>
        <v>46662</v>
      </c>
      <c r="FH14" s="8">
        <f t="shared" ca="1" si="64"/>
        <v>528</v>
      </c>
      <c r="FI14" s="5" t="str">
        <f t="shared" ca="1" si="65"/>
        <v>VIGENTE</v>
      </c>
      <c r="FJ14" s="3"/>
      <c r="FK14" s="4">
        <v>45920</v>
      </c>
      <c r="FL14" s="4">
        <f>DATE(YEAR(FK14)+2,MONTH(FK14),DAY(FK14))</f>
        <v>46650</v>
      </c>
      <c r="FM14" s="8">
        <f t="shared" ca="1" si="67"/>
        <v>516</v>
      </c>
      <c r="FN14" s="5" t="str">
        <f t="shared" ca="1" si="68"/>
        <v>VIGENTE</v>
      </c>
      <c r="FO14" s="3"/>
      <c r="FP14" s="4">
        <v>45957</v>
      </c>
      <c r="FQ14" s="4">
        <f>DATE(YEAR(FP14)+2,MONTH(FP14),DAY(FP14))</f>
        <v>46687</v>
      </c>
      <c r="FR14" s="8">
        <f t="shared" ca="1" si="69"/>
        <v>553</v>
      </c>
      <c r="FS14" s="5" t="str">
        <f t="shared" ca="1" si="70"/>
        <v>VIGENTE</v>
      </c>
      <c r="FT14" s="3"/>
      <c r="FU14" s="4">
        <v>45908</v>
      </c>
      <c r="FV14" s="4">
        <f>DATE(YEAR(FU14)+2,MONTH(FU14),DAY(FU14))</f>
        <v>46638</v>
      </c>
      <c r="FW14" s="8">
        <f t="shared" ca="1" si="71"/>
        <v>504</v>
      </c>
      <c r="FX14" s="5" t="str">
        <f t="shared" ca="1" si="72"/>
        <v>VIGENTE</v>
      </c>
      <c r="FY14" s="3"/>
      <c r="FZ14" s="4">
        <v>45925</v>
      </c>
      <c r="GA14" s="4">
        <f>DATE(YEAR(FZ14)+2,MONTH(FZ14),DAY(FZ14))</f>
        <v>46655</v>
      </c>
      <c r="GB14" s="8">
        <f t="shared" ca="1" si="73"/>
        <v>521</v>
      </c>
      <c r="GC14" s="5" t="str">
        <f t="shared" ca="1" si="74"/>
        <v>VIGENTE</v>
      </c>
      <c r="GD14" s="3"/>
      <c r="GE14" s="4">
        <v>45912</v>
      </c>
      <c r="GF14" s="4">
        <f>DATE(YEAR(GE14)+2,MONTH(GE14),DAY(GE14))</f>
        <v>46642</v>
      </c>
      <c r="GG14" s="8">
        <f t="shared" ca="1" si="75"/>
        <v>508</v>
      </c>
      <c r="GH14" s="5" t="str">
        <f t="shared" ca="1" si="76"/>
        <v>VIGENTE</v>
      </c>
      <c r="GI14" s="3"/>
      <c r="GJ14" s="4">
        <v>45608</v>
      </c>
      <c r="GK14" s="4">
        <f>DATE(YEAR(GJ14)+2,MONTH(GJ14),DAY(GJ14)-1)</f>
        <v>46337</v>
      </c>
      <c r="GL14" s="8">
        <f t="shared" ca="1" si="77"/>
        <v>203</v>
      </c>
      <c r="GM14" s="5" t="str">
        <f t="shared" ca="1" si="78"/>
        <v>VIGENTE</v>
      </c>
      <c r="GN14" s="4"/>
      <c r="GO14" s="6"/>
      <c r="GP14" s="4">
        <f t="shared" si="79"/>
        <v>1827</v>
      </c>
      <c r="GQ14" s="8"/>
      <c r="GR14" s="5" t="str">
        <f t="shared" si="81"/>
        <v>NO APLICA</v>
      </c>
      <c r="GS14" s="3"/>
      <c r="GT14" s="4">
        <v>44979</v>
      </c>
      <c r="GU14" s="4">
        <f t="shared" si="82"/>
        <v>46805</v>
      </c>
      <c r="GV14" s="8">
        <f t="shared" ca="1" si="83"/>
        <v>671</v>
      </c>
      <c r="GW14" s="5" t="str">
        <f t="shared" ca="1" si="84"/>
        <v>VIGENTE</v>
      </c>
      <c r="GX14" s="3"/>
      <c r="GY14" s="4">
        <v>45252</v>
      </c>
      <c r="GZ14" s="4">
        <f t="shared" si="85"/>
        <v>47079</v>
      </c>
      <c r="HA14" s="8">
        <f t="shared" ca="1" si="86"/>
        <v>945</v>
      </c>
      <c r="HB14" s="5" t="str">
        <f t="shared" ca="1" si="87"/>
        <v>VIGENTE</v>
      </c>
      <c r="HC14" s="6"/>
      <c r="HD14" s="6"/>
      <c r="HE14" s="4">
        <f t="shared" si="88"/>
        <v>1827</v>
      </c>
      <c r="HF14" s="8">
        <f t="shared" ca="1" si="89"/>
        <v>-44307</v>
      </c>
      <c r="HG14" s="5" t="str">
        <f ca="1">IF(HF14&gt;=61,"VIGENTE",IF(HF14&gt;=1,"POR VENCER",IF(HF14&lt;=-1,"PROGRAMAR",IF(HD14=0,"NO APLICA"))))</f>
        <v>PROGRAMAR</v>
      </c>
      <c r="HH14" s="2"/>
      <c r="HI14" s="6"/>
      <c r="HJ14" s="4"/>
      <c r="HK14" s="8"/>
      <c r="HL14" s="5" t="str">
        <f t="shared" si="91"/>
        <v>NO APLICA</v>
      </c>
      <c r="HM14" s="2"/>
      <c r="HN14" s="5"/>
      <c r="HO14" s="4"/>
      <c r="HP14" s="5"/>
      <c r="HQ14" s="5" t="str">
        <f t="shared" si="92"/>
        <v>NO APLICA</v>
      </c>
      <c r="HR14" s="2"/>
      <c r="HS14" s="4">
        <v>44939</v>
      </c>
      <c r="HT14" s="4">
        <f>DATE(YEAR(HS14)+5,MONTH(HS14),DAY(HS14))</f>
        <v>46765</v>
      </c>
      <c r="HU14" s="8">
        <f ca="1">HT14-TODAY()</f>
        <v>631</v>
      </c>
      <c r="HV14" s="5" t="str">
        <f t="shared" ca="1" si="93"/>
        <v>VIGENTE</v>
      </c>
      <c r="HW14" s="2"/>
      <c r="HX14" s="4">
        <v>44978</v>
      </c>
      <c r="HY14" s="4">
        <f>DATE(YEAR(HX14)+5,MONTH(HX14),DAY(HX14))</f>
        <v>46804</v>
      </c>
      <c r="HZ14" s="8">
        <f ca="1">HY14-TODAY()</f>
        <v>670</v>
      </c>
      <c r="IA14" s="5" t="str">
        <f t="shared" ca="1" si="94"/>
        <v>VIGENTE</v>
      </c>
      <c r="IB14" s="2"/>
      <c r="IC14" s="4">
        <v>45024</v>
      </c>
      <c r="ID14" s="4">
        <f>DATE(YEAR(IC14)+5,MONTH(IC14),DAY(IC14))</f>
        <v>46851</v>
      </c>
      <c r="IE14" s="8">
        <f ca="1">ID14-TODAY()</f>
        <v>717</v>
      </c>
      <c r="IF14" s="5" t="str">
        <f t="shared" ca="1" si="95"/>
        <v>VIGENTE</v>
      </c>
      <c r="IG14" s="6"/>
      <c r="IH14" s="4">
        <v>45058</v>
      </c>
      <c r="II14" s="4">
        <f>DATE(YEAR(IH14)+5,MONTH(IH14),DAY(IH14))</f>
        <v>46885</v>
      </c>
      <c r="IJ14" s="8">
        <f ca="1">II14-TODAY()</f>
        <v>751</v>
      </c>
      <c r="IK14" s="5" t="str">
        <f t="shared" ca="1" si="96"/>
        <v>VIGENTE</v>
      </c>
      <c r="IL14" s="2"/>
      <c r="IM14" s="4">
        <v>44977</v>
      </c>
      <c r="IN14" s="4">
        <f>DATE(YEAR(IM14)+5,MONTH(IM14),DAY(IM14))</f>
        <v>46803</v>
      </c>
      <c r="IO14" s="8">
        <f ca="1">IN14-TODAY()</f>
        <v>669</v>
      </c>
      <c r="IP14" s="5" t="str">
        <f t="shared" ca="1" si="97"/>
        <v>VIGENTE</v>
      </c>
      <c r="IQ14" s="2"/>
      <c r="IR14" s="4">
        <v>45062</v>
      </c>
      <c r="IS14" s="4">
        <f>DATE(YEAR(IR14)+5,MONTH(IR14),DAY(IR14))</f>
        <v>46889</v>
      </c>
      <c r="IT14" s="8">
        <f ca="1">IS14-TODAY()</f>
        <v>755</v>
      </c>
      <c r="IU14" s="5" t="str">
        <f t="shared" ca="1" si="98"/>
        <v>VIGENTE</v>
      </c>
      <c r="IV14" s="2"/>
      <c r="IW14" s="4">
        <v>44996</v>
      </c>
      <c r="IX14" s="4">
        <f>DATE(YEAR(IW14)+5,MONTH(IW14),DAY(IW14))</f>
        <v>46823</v>
      </c>
      <c r="IY14" s="8">
        <f ca="1">IX14-TODAY()</f>
        <v>689</v>
      </c>
      <c r="IZ14" s="5" t="str">
        <f t="shared" ca="1" si="99"/>
        <v>VIGENTE</v>
      </c>
      <c r="JA14" s="3"/>
      <c r="JB14" s="3"/>
      <c r="JC14" s="4"/>
      <c r="JD14" s="8"/>
      <c r="JE14" s="5" t="str">
        <f t="shared" si="100"/>
        <v>NO APLICA</v>
      </c>
      <c r="JF14" s="6"/>
      <c r="JG14" s="6"/>
      <c r="JH14" s="6"/>
      <c r="JI14" s="6"/>
      <c r="JJ14" s="5" t="str">
        <f t="shared" si="101"/>
        <v>NO APLICA</v>
      </c>
      <c r="JK14" s="6"/>
      <c r="JL14" s="6"/>
      <c r="JM14" s="6"/>
      <c r="JN14" s="6"/>
      <c r="JO14" s="5" t="str">
        <f t="shared" si="102"/>
        <v>NO APLICA</v>
      </c>
      <c r="JP14" s="6"/>
      <c r="JQ14" s="6"/>
      <c r="JR14" s="6"/>
      <c r="JS14" s="6"/>
      <c r="JT14" s="5" t="str">
        <f t="shared" si="103"/>
        <v>NO APLICA</v>
      </c>
      <c r="JU14" s="5"/>
      <c r="JV14" s="5"/>
      <c r="JW14" s="5"/>
      <c r="JX14" s="5"/>
      <c r="JY14" s="5" t="str">
        <f t="shared" si="104"/>
        <v>NO APLICA</v>
      </c>
      <c r="JZ14" s="5"/>
      <c r="KA14" s="5"/>
      <c r="KB14" s="4"/>
      <c r="KC14" s="8"/>
      <c r="KD14" s="5" t="str">
        <f t="shared" si="105"/>
        <v>NO APLICA</v>
      </c>
      <c r="KE14" s="5"/>
      <c r="KF14" s="5"/>
      <c r="KG14" s="4"/>
      <c r="KH14" s="8"/>
      <c r="KI14" s="5" t="str">
        <f t="shared" si="141"/>
        <v>NO APLICA</v>
      </c>
      <c r="KJ14" s="5"/>
      <c r="KK14" s="3">
        <v>45364</v>
      </c>
      <c r="KL14" s="4">
        <f>DATE(YEAR(KK14)+5,MONTH(KK14),DAY(KK14))</f>
        <v>47190</v>
      </c>
      <c r="KM14" s="8">
        <f ca="1">KL14-TODAY()</f>
        <v>1056</v>
      </c>
      <c r="KN14" s="5" t="str">
        <f t="shared" ca="1" si="106"/>
        <v>VIGENTE</v>
      </c>
      <c r="KO14" s="5"/>
      <c r="KP14" s="3">
        <v>45346</v>
      </c>
      <c r="KQ14" s="4">
        <f>DATE(YEAR(KP14)+5,MONTH(KP14),DAY(KP14))</f>
        <v>47173</v>
      </c>
      <c r="KR14" s="8">
        <f ca="1">KQ14-TODAY()</f>
        <v>1039</v>
      </c>
      <c r="KS14" s="5" t="str">
        <f t="shared" ca="1" si="142"/>
        <v>VIGENTE</v>
      </c>
      <c r="KT14" s="3"/>
      <c r="KU14" s="4">
        <v>44658</v>
      </c>
      <c r="KV14" s="4">
        <f>DATE(YEAR(KU14)+5,MONTH(KU14),DAY(KU14))</f>
        <v>46484</v>
      </c>
      <c r="KW14" s="8">
        <f ca="1">KV14-TODAY()</f>
        <v>350</v>
      </c>
      <c r="KX14" s="5" t="str">
        <f t="shared" ca="1" si="156"/>
        <v>VIGENTE</v>
      </c>
      <c r="KY14" s="5"/>
      <c r="KZ14" s="4"/>
      <c r="LA14" s="4"/>
      <c r="LB14" s="8"/>
      <c r="LC14" s="5" t="str">
        <f t="shared" si="143"/>
        <v>NO APLICA</v>
      </c>
      <c r="LD14" s="6"/>
      <c r="LE14" s="6"/>
      <c r="LF14" s="4"/>
      <c r="LG14" s="8"/>
      <c r="LH14" s="5" t="str">
        <f t="shared" si="107"/>
        <v>NO APLICA</v>
      </c>
      <c r="LI14" s="5"/>
      <c r="LJ14" s="3">
        <v>44218</v>
      </c>
      <c r="LK14" s="4">
        <f>DATE(YEAR(LJ14)+5,MONTH(LJ14),DAY(LJ14))</f>
        <v>46044</v>
      </c>
      <c r="LL14" s="8">
        <f ca="1">LK14-TODAY()</f>
        <v>-90</v>
      </c>
      <c r="LM14" s="5" t="str">
        <f t="shared" ca="1" si="157"/>
        <v>VENCIDA</v>
      </c>
      <c r="LN14" s="3"/>
      <c r="LO14" s="4">
        <v>44377</v>
      </c>
      <c r="LP14" s="4">
        <f>DATE(YEAR(LO14)+5,MONTH(LO14),DAY(LO14))</f>
        <v>46203</v>
      </c>
      <c r="LQ14" s="8">
        <f ca="1">LP14-TODAY()</f>
        <v>69</v>
      </c>
      <c r="LR14" s="5" t="str">
        <f t="shared" ca="1" si="144"/>
        <v>VIGENTE</v>
      </c>
      <c r="LS14" s="4"/>
      <c r="LT14" s="4">
        <v>44986</v>
      </c>
      <c r="LU14" s="4">
        <f>DATE(YEAR(LT14)+5,MONTH(LT14),DAY(LT14))</f>
        <v>46813</v>
      </c>
      <c r="LV14" s="8">
        <f ca="1">LU14-TODAY()</f>
        <v>679</v>
      </c>
      <c r="LW14" s="5" t="str">
        <f t="shared" ca="1" si="145"/>
        <v>VIGENTE</v>
      </c>
      <c r="LX14" s="4"/>
      <c r="LY14" s="4">
        <v>44988</v>
      </c>
      <c r="LZ14" s="4">
        <f>DATE(YEAR(LY14)+5,MONTH(LY14),DAY(LY14))</f>
        <v>46815</v>
      </c>
      <c r="MA14" s="8">
        <f ca="1">LZ14-TODAY()</f>
        <v>681</v>
      </c>
      <c r="MB14" s="5" t="str">
        <f t="shared" ca="1" si="146"/>
        <v>VIGENTE</v>
      </c>
      <c r="MC14" s="4"/>
      <c r="MD14" s="4">
        <v>45010</v>
      </c>
      <c r="ME14" s="4">
        <f>DATE(YEAR(MD14)+5,MONTH(MD14),DAY(MD14))</f>
        <v>46837</v>
      </c>
      <c r="MF14" s="8">
        <f ca="1">ME14-TODAY()</f>
        <v>703</v>
      </c>
      <c r="MG14" s="5" t="str">
        <f t="shared" ca="1" si="108"/>
        <v>VIGENTE</v>
      </c>
      <c r="MH14" s="5"/>
      <c r="MI14" s="5"/>
      <c r="MJ14" s="4"/>
      <c r="MK14" s="8"/>
      <c r="ML14" s="5" t="str">
        <f t="shared" si="109"/>
        <v>NO APLICA</v>
      </c>
      <c r="MM14" s="5"/>
      <c r="MN14" s="3">
        <v>45154</v>
      </c>
      <c r="MO14" s="4">
        <f>DATE(YEAR(MN14)+5,MONTH(MN14),DAY(MN14))</f>
        <v>46981</v>
      </c>
      <c r="MP14" s="8">
        <f ca="1">MO14-TODAY()</f>
        <v>847</v>
      </c>
      <c r="MQ14" s="5" t="str">
        <f t="shared" ca="1" si="110"/>
        <v>VIGENTE</v>
      </c>
      <c r="MR14" s="5"/>
      <c r="MS14" s="3">
        <v>45155</v>
      </c>
      <c r="MT14" s="4">
        <f>DATE(YEAR(MS14)+5,MONTH(MS14),DAY(MS14))</f>
        <v>46982</v>
      </c>
      <c r="MU14" s="8">
        <f ca="1">MT14-TODAY()</f>
        <v>848</v>
      </c>
      <c r="MV14" s="5" t="str">
        <f t="shared" ca="1" si="111"/>
        <v>VIGENTE</v>
      </c>
      <c r="MW14" s="5"/>
      <c r="MX14" s="6"/>
      <c r="MY14" s="4"/>
      <c r="MZ14" s="8"/>
      <c r="NA14" s="5" t="str">
        <f t="shared" si="112"/>
        <v>NO APLICA</v>
      </c>
      <c r="NB14" s="5"/>
      <c r="NC14" s="6"/>
      <c r="ND14" s="4"/>
      <c r="NE14" s="8"/>
      <c r="NF14" s="5" t="str">
        <f t="shared" si="113"/>
        <v>NO APLICA</v>
      </c>
      <c r="NG14" s="5"/>
      <c r="NH14" s="6"/>
      <c r="NI14" s="4"/>
      <c r="NJ14" s="8"/>
      <c r="NK14" s="5" t="str">
        <f t="shared" si="114"/>
        <v>NO APLICA</v>
      </c>
      <c r="NL14" s="5"/>
      <c r="NM14" s="5"/>
      <c r="NN14" s="4"/>
      <c r="NO14" s="8"/>
      <c r="NP14" s="5" t="str">
        <f t="shared" si="115"/>
        <v>NO APLICA</v>
      </c>
      <c r="NQ14" s="5"/>
      <c r="NR14" s="5"/>
      <c r="NS14" s="5"/>
      <c r="NT14" s="5"/>
      <c r="NU14" s="5" t="str">
        <f t="shared" si="116"/>
        <v>NO APLICA</v>
      </c>
      <c r="NV14" s="6"/>
      <c r="NW14" s="4"/>
      <c r="NX14" s="4"/>
      <c r="NY14" s="8"/>
      <c r="NZ14" s="5" t="str">
        <f t="shared" si="117"/>
        <v>NO APLICA</v>
      </c>
      <c r="OA14" s="6"/>
      <c r="OB14" s="6"/>
      <c r="OC14" s="6"/>
      <c r="OD14" s="6"/>
      <c r="OE14" s="5" t="str">
        <f t="shared" si="118"/>
        <v>NO APLICA</v>
      </c>
      <c r="OF14" s="6"/>
      <c r="OG14" s="6"/>
      <c r="OH14" s="4"/>
      <c r="OI14" s="8"/>
      <c r="OJ14" s="5" t="str">
        <f t="shared" si="119"/>
        <v>NO APLICA</v>
      </c>
      <c r="OK14" s="6"/>
      <c r="OL14" s="6"/>
      <c r="OM14" s="6"/>
      <c r="ON14" s="6"/>
      <c r="OO14" s="5" t="str">
        <f t="shared" si="120"/>
        <v>NO APLICA</v>
      </c>
      <c r="OP14" s="6"/>
      <c r="OQ14" s="6"/>
      <c r="OR14" s="6"/>
      <c r="OS14" s="6"/>
      <c r="OT14" s="5" t="str">
        <f t="shared" si="121"/>
        <v>NO APLICA</v>
      </c>
      <c r="OU14" s="6"/>
      <c r="OV14" s="6"/>
      <c r="OW14" s="6"/>
      <c r="OX14" s="6"/>
      <c r="OY14" s="5" t="str">
        <f t="shared" si="122"/>
        <v>NO APLICA</v>
      </c>
      <c r="OZ14" s="6"/>
      <c r="PA14" s="6"/>
      <c r="PB14" s="6"/>
      <c r="PC14" s="6"/>
      <c r="PD14" s="5" t="str">
        <f t="shared" si="123"/>
        <v>NO APLICA</v>
      </c>
      <c r="PE14" s="6"/>
      <c r="PF14" s="6"/>
      <c r="PG14" s="6"/>
      <c r="PH14" s="6"/>
      <c r="PI14" s="5" t="str">
        <f t="shared" si="124"/>
        <v>NO APLICA</v>
      </c>
      <c r="PJ14" s="5"/>
      <c r="PK14" s="4">
        <v>44627</v>
      </c>
      <c r="PL14" s="4">
        <f>DATE(YEAR(PK14)+5,MONTH(PK14),DAY(PK14))</f>
        <v>46453</v>
      </c>
      <c r="PM14" s="8">
        <f ca="1">PL14-TODAY()</f>
        <v>319</v>
      </c>
      <c r="PN14" s="5" t="str">
        <f t="shared" ca="1" si="125"/>
        <v>VIGENTE</v>
      </c>
      <c r="PO14" s="6"/>
      <c r="PP14" s="6"/>
      <c r="PQ14" s="6"/>
      <c r="PR14" s="6"/>
      <c r="PS14" s="5" t="str">
        <f t="shared" si="126"/>
        <v>NO APLICA</v>
      </c>
      <c r="PT14" s="5"/>
      <c r="PU14" s="4">
        <v>45499</v>
      </c>
      <c r="PV14" s="4"/>
      <c r="PW14" s="8"/>
      <c r="PX14" s="5" t="str">
        <f>IF(PW14&gt;=61,"VIGENTE",IF(PW14&gt;=1,"POR VENCER",IF(PW14&lt;=-1,"VENCIDA",IF(PW14=0,"NO APLICA"))))</f>
        <v>NO APLICA</v>
      </c>
    </row>
    <row r="15" spans="1:440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199</v>
      </c>
      <c r="T15" s="5" t="str">
        <f t="shared" ca="1" si="128"/>
        <v>VIGENTE</v>
      </c>
      <c r="U15" s="2" t="s">
        <v>106</v>
      </c>
      <c r="V15" s="4">
        <v>45282</v>
      </c>
      <c r="W15" s="4">
        <f t="shared" si="2"/>
        <v>47109</v>
      </c>
      <c r="X15" s="8">
        <f t="shared" ca="1" si="3"/>
        <v>975</v>
      </c>
      <c r="Y15" s="5" t="str">
        <f t="shared" ca="1" si="4"/>
        <v>VIGENTE</v>
      </c>
      <c r="Z15" s="2" t="s">
        <v>107</v>
      </c>
      <c r="AA15" s="4">
        <v>45190</v>
      </c>
      <c r="AB15" s="4">
        <f t="shared" si="5"/>
        <v>47017</v>
      </c>
      <c r="AC15" s="8">
        <f t="shared" ca="1" si="6"/>
        <v>883</v>
      </c>
      <c r="AD15" s="5" t="str">
        <f t="shared" ca="1" si="7"/>
        <v>VIGENTE</v>
      </c>
      <c r="AE15" s="3"/>
      <c r="AF15" s="4">
        <v>45902</v>
      </c>
      <c r="AG15" s="4">
        <f>DATE(YEAR(AF15)+2,MONTH(AF15),DAY(AF15))</f>
        <v>46632</v>
      </c>
      <c r="AH15" s="8">
        <f t="shared" ca="1" si="8"/>
        <v>498</v>
      </c>
      <c r="AI15" s="5" t="str">
        <f t="shared" ca="1" si="9"/>
        <v>VIGENTE</v>
      </c>
      <c r="AJ15" s="3"/>
      <c r="AK15" s="4">
        <v>45748</v>
      </c>
      <c r="AL15" s="4">
        <f>DATE(YEAR(AK15)+2,MONTH(AK15),DAY(AK15)-1)</f>
        <v>46477</v>
      </c>
      <c r="AM15" s="8">
        <f t="shared" ca="1" si="10"/>
        <v>343</v>
      </c>
      <c r="AN15" s="5" t="str">
        <f t="shared" ca="1" si="11"/>
        <v>VIGENTE</v>
      </c>
      <c r="AO15" s="3"/>
      <c r="AP15" s="4">
        <v>45904</v>
      </c>
      <c r="AQ15" s="4">
        <f>DATE(YEAR(AP15)+2,MONTH(AP15),DAY(AP15))</f>
        <v>46634</v>
      </c>
      <c r="AR15" s="8">
        <f t="shared" ca="1" si="12"/>
        <v>500</v>
      </c>
      <c r="AS15" s="5" t="str">
        <f t="shared" ca="1" si="13"/>
        <v>VIGENTE</v>
      </c>
      <c r="AT15" s="3"/>
      <c r="AU15" s="4">
        <v>45906</v>
      </c>
      <c r="AV15" s="4">
        <f>DATE(YEAR(AU15)+2,MONTH(AU15),DAY(AU15))</f>
        <v>46636</v>
      </c>
      <c r="AW15" s="8">
        <f t="shared" ca="1" si="15"/>
        <v>502</v>
      </c>
      <c r="AX15" s="5" t="str">
        <f t="shared" ca="1" si="16"/>
        <v>VIGENTE</v>
      </c>
      <c r="AY15" s="3"/>
      <c r="AZ15" s="4">
        <v>45901</v>
      </c>
      <c r="BA15" s="4">
        <f>DATE(YEAR(AZ15)+2,MONTH(AZ15),DAY(AZ15))</f>
        <v>46631</v>
      </c>
      <c r="BB15" s="8">
        <f t="shared" ca="1" si="17"/>
        <v>497</v>
      </c>
      <c r="BC15" s="5" t="str">
        <f t="shared" ca="1" si="18"/>
        <v>VIGENTE</v>
      </c>
      <c r="BD15" s="3"/>
      <c r="BE15" s="4">
        <v>45842</v>
      </c>
      <c r="BF15" s="4">
        <f>DATE(YEAR(BE15)+2,MONTH(BE15),DAY(BE15))</f>
        <v>46572</v>
      </c>
      <c r="BG15" s="8">
        <f t="shared" ca="1" si="19"/>
        <v>438</v>
      </c>
      <c r="BH15" s="5" t="str">
        <f t="shared" ca="1" si="20"/>
        <v>VIGENTE</v>
      </c>
      <c r="BI15" s="3"/>
      <c r="BJ15" s="4">
        <v>45759</v>
      </c>
      <c r="BK15" s="4">
        <f>DATE(YEAR(BJ15)+2,MONTH(BJ15),DAY(BJ15)-1)</f>
        <v>46488</v>
      </c>
      <c r="BL15" s="8">
        <f t="shared" ca="1" si="21"/>
        <v>354</v>
      </c>
      <c r="BM15" s="5" t="str">
        <f t="shared" ca="1" si="22"/>
        <v>VIGENTE</v>
      </c>
      <c r="BN15" s="3"/>
      <c r="BO15" s="4">
        <v>45750</v>
      </c>
      <c r="BP15" s="4">
        <f>DATE(YEAR(BO15)+2,MONTH(BO15),DAY(BO15)-1)</f>
        <v>46479</v>
      </c>
      <c r="BQ15" s="8">
        <f t="shared" ca="1" si="23"/>
        <v>345</v>
      </c>
      <c r="BR15" s="5" t="str">
        <f t="shared" ca="1" si="24"/>
        <v>VIGENTE</v>
      </c>
      <c r="BS15" s="3"/>
      <c r="BT15" s="4">
        <v>45853</v>
      </c>
      <c r="BU15" s="4">
        <f>DATE(YEAR(BT15)+2,MONTH(BT15),DAY(BT15))</f>
        <v>46583</v>
      </c>
      <c r="BV15" s="8">
        <f t="shared" ca="1" si="25"/>
        <v>449</v>
      </c>
      <c r="BW15" s="5" t="str">
        <f t="shared" ca="1" si="26"/>
        <v>VIGENTE</v>
      </c>
      <c r="BX15" s="2"/>
      <c r="BY15" s="4">
        <v>45770</v>
      </c>
      <c r="BZ15" s="4">
        <f t="shared" si="178"/>
        <v>46500</v>
      </c>
      <c r="CA15" s="8">
        <f t="shared" ca="1" si="27"/>
        <v>366</v>
      </c>
      <c r="CB15" s="5" t="str">
        <f t="shared" ca="1" si="28"/>
        <v>VIGENTE</v>
      </c>
      <c r="CC15" s="6" t="s">
        <v>73</v>
      </c>
      <c r="CD15" s="4">
        <v>45533</v>
      </c>
      <c r="CE15" s="4">
        <f t="shared" si="29"/>
        <v>46994</v>
      </c>
      <c r="CF15" s="8">
        <f t="shared" ca="1" si="30"/>
        <v>860</v>
      </c>
      <c r="CG15" s="5" t="str">
        <f t="shared" ca="1" si="31"/>
        <v>VIGENTE</v>
      </c>
      <c r="CH15" s="4"/>
      <c r="CI15" s="4">
        <v>45801</v>
      </c>
      <c r="CJ15" s="4">
        <f t="shared" ref="CJ15:CJ21" si="180">DATE(YEAR(CI15)+2,MONTH(CI15),DAY(CI15)-1)</f>
        <v>46530</v>
      </c>
      <c r="CK15" s="8">
        <f t="shared" ca="1" si="32"/>
        <v>396</v>
      </c>
      <c r="CL15" s="5" t="str">
        <f t="shared" ca="1" si="33"/>
        <v>VIGENTE</v>
      </c>
      <c r="CM15" s="3"/>
      <c r="CN15" s="4">
        <v>45888</v>
      </c>
      <c r="CO15" s="4">
        <f>DATE(YEAR(CN15)+2,MONTH(CN15),DAY(CN15))</f>
        <v>46618</v>
      </c>
      <c r="CP15" s="8">
        <f t="shared" ca="1" si="34"/>
        <v>484</v>
      </c>
      <c r="CQ15" s="5" t="str">
        <f t="shared" ca="1" si="35"/>
        <v>VIGENTE</v>
      </c>
      <c r="CR15" s="3"/>
      <c r="CS15" s="4">
        <v>45805</v>
      </c>
      <c r="CT15" s="4">
        <f>DATE(YEAR(CS15)+2,MONTH(CS15),DAY(CS15))</f>
        <v>46535</v>
      </c>
      <c r="CU15" s="8">
        <f t="shared" ca="1" si="36"/>
        <v>401</v>
      </c>
      <c r="CV15" s="5" t="str">
        <f t="shared" ca="1" si="37"/>
        <v>VIGENTE</v>
      </c>
      <c r="CW15" s="3"/>
      <c r="CX15" s="4">
        <v>45843</v>
      </c>
      <c r="CY15" s="4">
        <f>DATE(YEAR(CX15)+2,MONTH(CX15),DAY(CX15))</f>
        <v>46573</v>
      </c>
      <c r="CZ15" s="8">
        <f t="shared" ca="1" si="38"/>
        <v>439</v>
      </c>
      <c r="DA15" s="5" t="str">
        <f t="shared" ca="1" si="39"/>
        <v>VIGENTE</v>
      </c>
      <c r="DB15" s="3"/>
      <c r="DC15" s="4">
        <v>45761</v>
      </c>
      <c r="DD15" s="4">
        <f>DATE(YEAR(DC15)+2,MONTH(DC15),DAY(DC15))</f>
        <v>46491</v>
      </c>
      <c r="DE15" s="8">
        <f t="shared" ca="1" si="40"/>
        <v>357</v>
      </c>
      <c r="DF15" s="5" t="str">
        <f t="shared" ca="1" si="41"/>
        <v>VIGENTE</v>
      </c>
      <c r="DG15" s="3"/>
      <c r="DH15" s="4">
        <v>45779</v>
      </c>
      <c r="DI15" s="4">
        <f>DATE(YEAR(DH15)+2,MONTH(DH15),DAY(DH15))</f>
        <v>46509</v>
      </c>
      <c r="DJ15" s="8">
        <f t="shared" ca="1" si="43"/>
        <v>375</v>
      </c>
      <c r="DK15" s="5" t="str">
        <f t="shared" ca="1" si="44"/>
        <v>VIGENTE</v>
      </c>
      <c r="DL15" s="3"/>
      <c r="DM15" s="4">
        <v>45857</v>
      </c>
      <c r="DN15" s="4">
        <f>DATE(YEAR(DM15)+2,MONTH(DM15),DAY(DM15))</f>
        <v>46587</v>
      </c>
      <c r="DO15" s="8">
        <f t="shared" ca="1" si="46"/>
        <v>453</v>
      </c>
      <c r="DP15" s="5" t="str">
        <f t="shared" ca="1" si="47"/>
        <v>VIGENTE</v>
      </c>
      <c r="DQ15" s="3"/>
      <c r="DR15" s="4">
        <v>45800</v>
      </c>
      <c r="DS15" s="4">
        <f>DATE(YEAR(DR15)+2,MONTH(DR15),DAY(DR15)-1)</f>
        <v>46529</v>
      </c>
      <c r="DT15" s="8">
        <f t="shared" ca="1" si="48"/>
        <v>395</v>
      </c>
      <c r="DU15" s="5" t="str">
        <f t="shared" ca="1" si="49"/>
        <v>VIGENTE</v>
      </c>
      <c r="DV15" s="3"/>
      <c r="DW15" s="4">
        <v>45804</v>
      </c>
      <c r="DX15" s="4">
        <f>DATE(YEAR(DW15)+2,MONTH(DW15),DAY(DW15))</f>
        <v>46534</v>
      </c>
      <c r="DY15" s="8">
        <f t="shared" ca="1" si="50"/>
        <v>400</v>
      </c>
      <c r="DZ15" s="5" t="str">
        <f t="shared" ca="1" si="51"/>
        <v>VIGENTE</v>
      </c>
      <c r="EA15" s="3"/>
      <c r="EB15" s="4">
        <v>45787</v>
      </c>
      <c r="EC15" s="4">
        <f>DATE(YEAR(EB15)+2,MONTH(EB15),DAY(EB15))</f>
        <v>46517</v>
      </c>
      <c r="ED15" s="8">
        <f t="shared" ca="1" si="52"/>
        <v>383</v>
      </c>
      <c r="EE15" s="5" t="str">
        <f t="shared" ca="1" si="53"/>
        <v>VIGENTE</v>
      </c>
      <c r="EF15" s="3"/>
      <c r="EG15" s="4">
        <v>45948</v>
      </c>
      <c r="EH15" s="4">
        <f t="shared" si="137"/>
        <v>46313</v>
      </c>
      <c r="EI15" s="8">
        <f t="shared" ca="1" si="54"/>
        <v>179</v>
      </c>
      <c r="EJ15" s="5" t="str">
        <f t="shared" ca="1" si="55"/>
        <v>VIGENTE</v>
      </c>
      <c r="EK15" s="3"/>
      <c r="EL15" s="4">
        <v>45840</v>
      </c>
      <c r="EM15" s="4">
        <f>DATE(YEAR(EL15)+2,MONTH(EL15),DAY(EL15))</f>
        <v>46570</v>
      </c>
      <c r="EN15" s="8">
        <f t="shared" ca="1" si="56"/>
        <v>436</v>
      </c>
      <c r="EO15" s="5" t="str">
        <f t="shared" ca="1" si="57"/>
        <v>VIGENTE</v>
      </c>
      <c r="EP15" s="3"/>
      <c r="EQ15" s="4">
        <v>45824</v>
      </c>
      <c r="ER15" s="4">
        <f>DATE(YEAR(EQ15)+2,MONTH(EQ15),DAY(EQ15))</f>
        <v>46554</v>
      </c>
      <c r="ES15" s="8">
        <f t="shared" ca="1" si="58"/>
        <v>420</v>
      </c>
      <c r="ET15" s="5" t="str">
        <f t="shared" ca="1" si="59"/>
        <v>VIGENTE</v>
      </c>
      <c r="EU15" s="3"/>
      <c r="EV15" s="4">
        <v>45794</v>
      </c>
      <c r="EW15" s="4">
        <f t="shared" si="151"/>
        <v>46524</v>
      </c>
      <c r="EX15" s="8">
        <f t="shared" ca="1" si="60"/>
        <v>390</v>
      </c>
      <c r="EY15" s="5" t="str">
        <f t="shared" ca="1" si="61"/>
        <v>VIGENTE</v>
      </c>
      <c r="EZ15" s="3"/>
      <c r="FA15" s="4">
        <v>45922</v>
      </c>
      <c r="FB15" s="4">
        <f t="shared" si="179"/>
        <v>46652</v>
      </c>
      <c r="FC15" s="8">
        <f t="shared" ca="1" si="62"/>
        <v>518</v>
      </c>
      <c r="FD15" s="5" t="str">
        <f t="shared" ca="1" si="63"/>
        <v>VIGENTE</v>
      </c>
      <c r="FE15" s="3"/>
      <c r="FF15" s="4">
        <v>45790</v>
      </c>
      <c r="FG15" s="4">
        <f t="shared" si="153"/>
        <v>46520</v>
      </c>
      <c r="FH15" s="8">
        <f t="shared" ca="1" si="64"/>
        <v>386</v>
      </c>
      <c r="FI15" s="5" t="str">
        <f t="shared" ca="1" si="65"/>
        <v>VIGENTE</v>
      </c>
      <c r="FJ15" s="3"/>
      <c r="FK15" s="4">
        <v>45850</v>
      </c>
      <c r="FL15" s="4">
        <f>DATE(YEAR(FK15)+2,MONTH(FK15),DAY(FK15))</f>
        <v>46580</v>
      </c>
      <c r="FM15" s="8">
        <f t="shared" ca="1" si="67"/>
        <v>446</v>
      </c>
      <c r="FN15" s="5" t="str">
        <f t="shared" ca="1" si="68"/>
        <v>VIGENTE</v>
      </c>
      <c r="FO15" s="3"/>
      <c r="FP15" s="4">
        <v>45884</v>
      </c>
      <c r="FQ15" s="4">
        <f>DATE(YEAR(FP15)+2,MONTH(FP15),DAY(FP15))</f>
        <v>46614</v>
      </c>
      <c r="FR15" s="8">
        <f t="shared" ca="1" si="69"/>
        <v>480</v>
      </c>
      <c r="FS15" s="5" t="str">
        <f t="shared" ca="1" si="70"/>
        <v>VIGENTE</v>
      </c>
      <c r="FT15" s="3"/>
      <c r="FU15" s="4">
        <v>45758</v>
      </c>
      <c r="FV15" s="4">
        <f>DATE(YEAR(FU15)+2,MONTH(FU15),DAY(FU15)-1)</f>
        <v>46487</v>
      </c>
      <c r="FW15" s="8">
        <f t="shared" ca="1" si="71"/>
        <v>353</v>
      </c>
      <c r="FX15" s="5" t="str">
        <f t="shared" ca="1" si="72"/>
        <v>VIGENTE</v>
      </c>
      <c r="FY15" s="3"/>
      <c r="FZ15" s="4">
        <v>45874</v>
      </c>
      <c r="GA15" s="4">
        <f>DATE(YEAR(FZ15)+2,MONTH(FZ15),DAY(FZ15))</f>
        <v>46604</v>
      </c>
      <c r="GB15" s="8">
        <f t="shared" ca="1" si="73"/>
        <v>470</v>
      </c>
      <c r="GC15" s="5" t="str">
        <f t="shared" ca="1" si="74"/>
        <v>VIGENTE</v>
      </c>
      <c r="GD15" s="3"/>
      <c r="GE15" s="4">
        <v>45912</v>
      </c>
      <c r="GF15" s="4">
        <f>DATE(YEAR(GE15)+2,MONTH(GE15),DAY(GE15))</f>
        <v>46642</v>
      </c>
      <c r="GG15" s="8">
        <f t="shared" ca="1" si="75"/>
        <v>508</v>
      </c>
      <c r="GH15" s="5" t="str">
        <f t="shared" ca="1" si="76"/>
        <v>VIGENTE</v>
      </c>
      <c r="GI15" s="3"/>
      <c r="GJ15" s="4">
        <v>45945</v>
      </c>
      <c r="GK15" s="4">
        <f>DATE(YEAR(GJ15)+2,MONTH(GJ15),DAY(GJ15))</f>
        <v>46675</v>
      </c>
      <c r="GL15" s="8">
        <f t="shared" ca="1" si="77"/>
        <v>541</v>
      </c>
      <c r="GM15" s="5" t="str">
        <f t="shared" ca="1" si="78"/>
        <v>VIGENTE</v>
      </c>
      <c r="GN15" s="4"/>
      <c r="GO15" s="4">
        <v>45219</v>
      </c>
      <c r="GP15" s="4">
        <f t="shared" si="79"/>
        <v>47046</v>
      </c>
      <c r="GQ15" s="8">
        <f t="shared" ref="GQ15:GQ78" ca="1" si="181">GP15-TODAY()</f>
        <v>912</v>
      </c>
      <c r="GR15" s="5" t="str">
        <f t="shared" ca="1" si="81"/>
        <v>VIGENTE</v>
      </c>
      <c r="GS15" s="3"/>
      <c r="GT15" s="4">
        <v>45203</v>
      </c>
      <c r="GU15" s="4">
        <f t="shared" si="82"/>
        <v>47030</v>
      </c>
      <c r="GV15" s="8">
        <f t="shared" ca="1" si="83"/>
        <v>896</v>
      </c>
      <c r="GW15" s="5" t="str">
        <f t="shared" ca="1" si="84"/>
        <v>VIGENTE</v>
      </c>
      <c r="GX15" s="2"/>
      <c r="GY15" s="4">
        <v>45174</v>
      </c>
      <c r="GZ15" s="4">
        <f t="shared" si="85"/>
        <v>47001</v>
      </c>
      <c r="HA15" s="8">
        <f t="shared" ca="1" si="86"/>
        <v>867</v>
      </c>
      <c r="HB15" s="5" t="str">
        <f t="shared" ca="1" si="87"/>
        <v>VIGENTE</v>
      </c>
      <c r="HC15" s="6"/>
      <c r="HD15" s="4">
        <v>45196</v>
      </c>
      <c r="HE15" s="4">
        <f t="shared" si="88"/>
        <v>47023</v>
      </c>
      <c r="HF15" s="8">
        <f t="shared" ca="1" si="89"/>
        <v>889</v>
      </c>
      <c r="HG15" s="5" t="str">
        <f t="shared" ref="HG15:HG22" ca="1" si="182">IF(HF15&gt;=61,"VIGENTE",IF(HF15&gt;=1,"POR VENCER",IF(HF15&lt;=-1,"VENCIDA",IF(HD15=0,"NO APLICA"))))</f>
        <v>VIGENTE</v>
      </c>
      <c r="HH15" s="2"/>
      <c r="HI15" s="6"/>
      <c r="HJ15" s="4"/>
      <c r="HK15" s="8"/>
      <c r="HL15" s="5" t="str">
        <f t="shared" si="91"/>
        <v>NO APLICA</v>
      </c>
      <c r="HM15" s="2"/>
      <c r="HN15" s="5"/>
      <c r="HO15" s="4"/>
      <c r="HP15" s="5"/>
      <c r="HQ15" s="5" t="str">
        <f t="shared" si="92"/>
        <v>NO APLICA</v>
      </c>
      <c r="HR15" s="2"/>
      <c r="HS15" s="6"/>
      <c r="HT15" s="4"/>
      <c r="HU15" s="8"/>
      <c r="HV15" s="5" t="str">
        <f t="shared" si="93"/>
        <v>NO APLICA</v>
      </c>
      <c r="HW15" s="2"/>
      <c r="HX15" s="6"/>
      <c r="HY15" s="4"/>
      <c r="HZ15" s="8"/>
      <c r="IA15" s="5" t="str">
        <f t="shared" si="94"/>
        <v>NO APLICA</v>
      </c>
      <c r="IB15" s="2"/>
      <c r="IC15" s="6"/>
      <c r="ID15" s="4"/>
      <c r="IE15" s="8"/>
      <c r="IF15" s="5" t="str">
        <f t="shared" si="95"/>
        <v>NO APLICA</v>
      </c>
      <c r="IG15" s="6"/>
      <c r="IH15" s="6"/>
      <c r="II15" s="4"/>
      <c r="IJ15" s="8"/>
      <c r="IK15" s="5" t="str">
        <f t="shared" si="96"/>
        <v>NO APLICA</v>
      </c>
      <c r="IL15" s="2"/>
      <c r="IM15" s="6"/>
      <c r="IN15" s="4"/>
      <c r="IO15" s="8"/>
      <c r="IP15" s="5" t="str">
        <f t="shared" si="97"/>
        <v>NO APLICA</v>
      </c>
      <c r="IQ15" s="2"/>
      <c r="IR15" s="6"/>
      <c r="IS15" s="4"/>
      <c r="IT15" s="8"/>
      <c r="IU15" s="5" t="str">
        <f t="shared" si="98"/>
        <v>NO APLICA</v>
      </c>
      <c r="IV15" s="2"/>
      <c r="IW15" s="6"/>
      <c r="IX15" s="4"/>
      <c r="IY15" s="8"/>
      <c r="IZ15" s="5" t="str">
        <f t="shared" si="99"/>
        <v>NO APLICA</v>
      </c>
      <c r="JA15" s="3"/>
      <c r="JB15" s="3"/>
      <c r="JC15" s="4"/>
      <c r="JD15" s="8"/>
      <c r="JE15" s="5" t="str">
        <f t="shared" si="100"/>
        <v>NO APLICA</v>
      </c>
      <c r="JF15" s="6"/>
      <c r="JG15" s="6"/>
      <c r="JH15" s="6"/>
      <c r="JI15" s="6"/>
      <c r="JJ15" s="5" t="str">
        <f t="shared" si="101"/>
        <v>NO APLICA</v>
      </c>
      <c r="JK15" s="6"/>
      <c r="JL15" s="6"/>
      <c r="JM15" s="6"/>
      <c r="JN15" s="6"/>
      <c r="JO15" s="5" t="str">
        <f t="shared" si="102"/>
        <v>NO APLICA</v>
      </c>
      <c r="JP15" s="6"/>
      <c r="JQ15" s="6"/>
      <c r="JR15" s="6"/>
      <c r="JS15" s="6"/>
      <c r="JT15" s="5" t="str">
        <f t="shared" si="103"/>
        <v>NO APLICA</v>
      </c>
      <c r="JU15" s="5"/>
      <c r="JV15" s="5"/>
      <c r="JW15" s="5"/>
      <c r="JX15" s="5"/>
      <c r="JY15" s="5" t="str">
        <f t="shared" si="104"/>
        <v>NO APLICA</v>
      </c>
      <c r="JZ15" s="5"/>
      <c r="KA15" s="5"/>
      <c r="KB15" s="4"/>
      <c r="KC15" s="8"/>
      <c r="KD15" s="5" t="str">
        <f t="shared" si="105"/>
        <v>NO APLICA</v>
      </c>
      <c r="KE15" s="5"/>
      <c r="KF15" s="3">
        <v>45328</v>
      </c>
      <c r="KG15" s="4">
        <f>DATE(YEAR(KF15)+5,MONTH(KF15),DAY(KF15)-1)</f>
        <v>47154</v>
      </c>
      <c r="KH15" s="8">
        <f ca="1">KG15-TODAY()</f>
        <v>1020</v>
      </c>
      <c r="KI15" s="5" t="str">
        <f t="shared" ca="1" si="141"/>
        <v>VIGENTE</v>
      </c>
      <c r="KJ15" s="5"/>
      <c r="KK15" s="5"/>
      <c r="KL15" s="4"/>
      <c r="KM15" s="8"/>
      <c r="KN15" s="5" t="str">
        <f t="shared" si="106"/>
        <v>NO APLICA</v>
      </c>
      <c r="KO15" s="5"/>
      <c r="KP15" s="2"/>
      <c r="KQ15" s="4"/>
      <c r="KR15" s="8"/>
      <c r="KS15" s="5" t="str">
        <f t="shared" si="142"/>
        <v>NO APLICA</v>
      </c>
      <c r="KT15" s="3"/>
      <c r="KU15" s="4">
        <v>44653</v>
      </c>
      <c r="KV15" s="4">
        <f>DATE(YEAR(KU15)+5,MONTH(KU15),DAY(KU15))</f>
        <v>46479</v>
      </c>
      <c r="KW15" s="8">
        <f ca="1">KV15-TODAY()</f>
        <v>345</v>
      </c>
      <c r="KX15" s="5" t="str">
        <f t="shared" ca="1" si="156"/>
        <v>VIGENTE</v>
      </c>
      <c r="KY15" s="5"/>
      <c r="KZ15" s="6"/>
      <c r="LA15" s="4"/>
      <c r="LB15" s="8"/>
      <c r="LC15" s="5" t="str">
        <f t="shared" si="143"/>
        <v>NO APLICA</v>
      </c>
      <c r="LD15" s="6"/>
      <c r="LE15" s="6"/>
      <c r="LF15" s="4"/>
      <c r="LG15" s="8"/>
      <c r="LH15" s="5" t="str">
        <f t="shared" si="107"/>
        <v>NO APLICA</v>
      </c>
      <c r="LI15" s="5"/>
      <c r="LJ15" s="5"/>
      <c r="LK15" s="4"/>
      <c r="LL15" s="8"/>
      <c r="LM15" s="5" t="str">
        <f t="shared" si="157"/>
        <v>NO APLICA</v>
      </c>
      <c r="LN15" s="5"/>
      <c r="LO15" s="6"/>
      <c r="LP15" s="4"/>
      <c r="LQ15" s="8"/>
      <c r="LR15" s="5" t="str">
        <f t="shared" si="144"/>
        <v>NO APLICA</v>
      </c>
      <c r="LS15" s="6"/>
      <c r="LT15" s="6"/>
      <c r="LU15" s="4"/>
      <c r="LV15" s="8"/>
      <c r="LW15" s="5" t="str">
        <f t="shared" si="145"/>
        <v>NO APLICA</v>
      </c>
      <c r="LX15" s="6"/>
      <c r="LY15" s="6"/>
      <c r="LZ15" s="4"/>
      <c r="MA15" s="8"/>
      <c r="MB15" s="5" t="str">
        <f t="shared" si="146"/>
        <v>NO APLICA</v>
      </c>
      <c r="MC15" s="5"/>
      <c r="MD15" s="5"/>
      <c r="ME15" s="4"/>
      <c r="MF15" s="8"/>
      <c r="MG15" s="5" t="str">
        <f t="shared" si="108"/>
        <v>NO APLICA</v>
      </c>
      <c r="MH15" s="5"/>
      <c r="MI15" s="5"/>
      <c r="MJ15" s="4"/>
      <c r="MK15" s="8"/>
      <c r="ML15" s="5" t="str">
        <f t="shared" si="109"/>
        <v>NO APLICA</v>
      </c>
      <c r="MM15" s="5"/>
      <c r="MN15" s="5"/>
      <c r="MO15" s="4"/>
      <c r="MP15" s="8"/>
      <c r="MQ15" s="5" t="str">
        <f t="shared" si="110"/>
        <v>NO APLICA</v>
      </c>
      <c r="MR15" s="5"/>
      <c r="MS15" s="5"/>
      <c r="MT15" s="4"/>
      <c r="MU15" s="5"/>
      <c r="MV15" s="5" t="str">
        <f t="shared" si="111"/>
        <v>NO APLICA</v>
      </c>
      <c r="MW15" s="5"/>
      <c r="MX15" s="6"/>
      <c r="MY15" s="4"/>
      <c r="MZ15" s="8"/>
      <c r="NA15" s="5" t="str">
        <f t="shared" si="112"/>
        <v>NO APLICA</v>
      </c>
      <c r="NB15" s="5"/>
      <c r="NC15" s="6"/>
      <c r="ND15" s="4"/>
      <c r="NE15" s="8"/>
      <c r="NF15" s="5" t="str">
        <f t="shared" si="113"/>
        <v>NO APLICA</v>
      </c>
      <c r="NG15" s="5"/>
      <c r="NH15" s="6"/>
      <c r="NI15" s="4"/>
      <c r="NJ15" s="8"/>
      <c r="NK15" s="5" t="str">
        <f t="shared" si="114"/>
        <v>NO APLICA</v>
      </c>
      <c r="NL15" s="5"/>
      <c r="NM15" s="5"/>
      <c r="NN15" s="4"/>
      <c r="NO15" s="8"/>
      <c r="NP15" s="5" t="str">
        <f t="shared" si="115"/>
        <v>NO APLICA</v>
      </c>
      <c r="NQ15" s="5"/>
      <c r="NR15" s="5"/>
      <c r="NS15" s="5"/>
      <c r="NT15" s="5"/>
      <c r="NU15" s="5" t="str">
        <f t="shared" si="116"/>
        <v>NO APLICA</v>
      </c>
      <c r="NV15" s="6"/>
      <c r="NW15" s="6"/>
      <c r="NX15" s="4"/>
      <c r="NY15" s="8"/>
      <c r="NZ15" s="5" t="str">
        <f t="shared" si="117"/>
        <v>NO APLICA</v>
      </c>
      <c r="OA15" s="6"/>
      <c r="OB15" s="6"/>
      <c r="OC15" s="6"/>
      <c r="OD15" s="6"/>
      <c r="OE15" s="5" t="str">
        <f t="shared" si="118"/>
        <v>NO APLICA</v>
      </c>
      <c r="OF15" s="5"/>
      <c r="OG15" s="5"/>
      <c r="OH15" s="4"/>
      <c r="OI15" s="8"/>
      <c r="OJ15" s="5" t="str">
        <f t="shared" si="119"/>
        <v>NO APLICA</v>
      </c>
      <c r="OK15" s="6"/>
      <c r="OL15" s="6"/>
      <c r="OM15" s="6"/>
      <c r="ON15" s="6"/>
      <c r="OO15" s="5" t="str">
        <f t="shared" si="120"/>
        <v>NO APLICA</v>
      </c>
      <c r="OP15" s="6"/>
      <c r="OQ15" s="6"/>
      <c r="OR15" s="6"/>
      <c r="OS15" s="6"/>
      <c r="OT15" s="5" t="str">
        <f t="shared" si="121"/>
        <v>NO APLICA</v>
      </c>
      <c r="OU15" s="6"/>
      <c r="OV15" s="6"/>
      <c r="OW15" s="6"/>
      <c r="OX15" s="6"/>
      <c r="OY15" s="5" t="str">
        <f t="shared" si="122"/>
        <v>NO APLICA</v>
      </c>
      <c r="OZ15" s="6"/>
      <c r="PA15" s="6"/>
      <c r="PB15" s="6"/>
      <c r="PC15" s="6"/>
      <c r="PD15" s="5" t="str">
        <f t="shared" si="123"/>
        <v>NO APLICA</v>
      </c>
      <c r="PE15" s="6"/>
      <c r="PF15" s="6"/>
      <c r="PG15" s="6"/>
      <c r="PH15" s="6"/>
      <c r="PI15" s="5" t="str">
        <f t="shared" si="124"/>
        <v>NO APLICA</v>
      </c>
      <c r="PJ15" s="5"/>
      <c r="PK15" s="6"/>
      <c r="PL15" s="4"/>
      <c r="PM15" s="8"/>
      <c r="PN15" s="5" t="str">
        <f t="shared" si="125"/>
        <v>NO APLICA</v>
      </c>
      <c r="PO15" s="6"/>
      <c r="PP15" s="6"/>
      <c r="PQ15" s="6"/>
      <c r="PR15" s="6"/>
      <c r="PS15" s="5" t="str">
        <f t="shared" si="126"/>
        <v>NO APLICA</v>
      </c>
      <c r="PT15" s="5"/>
      <c r="PU15" s="6"/>
      <c r="PV15" s="6"/>
      <c r="PW15" s="6"/>
      <c r="PX15" s="5" t="str">
        <f t="shared" si="127"/>
        <v>NO APLICA</v>
      </c>
    </row>
    <row r="16" spans="1:440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109</v>
      </c>
      <c r="V16" s="4">
        <v>45545</v>
      </c>
      <c r="W16" s="4">
        <f t="shared" si="2"/>
        <v>47371</v>
      </c>
      <c r="X16" s="8">
        <f t="shared" ca="1" si="3"/>
        <v>1237</v>
      </c>
      <c r="Y16" s="5" t="str">
        <f t="shared" ca="1" si="4"/>
        <v>VIGENTE</v>
      </c>
      <c r="Z16" s="2" t="s">
        <v>110</v>
      </c>
      <c r="AA16" s="4">
        <v>44382</v>
      </c>
      <c r="AB16" s="4">
        <f t="shared" si="5"/>
        <v>46208</v>
      </c>
      <c r="AC16" s="8">
        <f t="shared" ca="1" si="6"/>
        <v>74</v>
      </c>
      <c r="AD16" s="5" t="str">
        <f t="shared" ca="1" si="7"/>
        <v>POR VENCER</v>
      </c>
      <c r="AE16" s="3"/>
      <c r="AF16" s="4">
        <v>45617</v>
      </c>
      <c r="AG16" s="4">
        <f>DATE(YEAR(AF16)+2,MONTH(AF16),DAY(AF16)-1)</f>
        <v>46346</v>
      </c>
      <c r="AH16" s="8">
        <f t="shared" ca="1" si="8"/>
        <v>212</v>
      </c>
      <c r="AI16" s="5" t="str">
        <f t="shared" ca="1" si="9"/>
        <v>VIGENTE</v>
      </c>
      <c r="AJ16" s="3"/>
      <c r="AK16" s="4">
        <v>45959</v>
      </c>
      <c r="AL16" s="4">
        <f>DATE(YEAR(AK16)+2,MONTH(AK16),DAY(AK16))</f>
        <v>46689</v>
      </c>
      <c r="AM16" s="8">
        <f t="shared" ca="1" si="10"/>
        <v>555</v>
      </c>
      <c r="AN16" s="5" t="str">
        <f t="shared" ca="1" si="11"/>
        <v>VIGENTE</v>
      </c>
      <c r="AO16" s="3"/>
      <c r="AP16" s="4">
        <v>45703</v>
      </c>
      <c r="AQ16" s="4">
        <f>DATE(YEAR(AP16)+2,MONTH(AP16),DAY(AP16)-1)</f>
        <v>46432</v>
      </c>
      <c r="AR16" s="8">
        <f t="shared" ca="1" si="12"/>
        <v>298</v>
      </c>
      <c r="AS16" s="5" t="str">
        <f t="shared" ca="1" si="13"/>
        <v>VIGENTE</v>
      </c>
      <c r="AT16" s="3"/>
      <c r="AU16" s="4">
        <v>45702</v>
      </c>
      <c r="AV16" s="4">
        <f>DATE(YEAR(AU16)+2,MONTH(AU16),DAY(AU16)-1)</f>
        <v>46431</v>
      </c>
      <c r="AW16" s="8">
        <f t="shared" ca="1" si="15"/>
        <v>297</v>
      </c>
      <c r="AX16" s="5" t="str">
        <f t="shared" ca="1" si="16"/>
        <v>VIGENTE</v>
      </c>
      <c r="AY16" s="4"/>
      <c r="AZ16" s="4">
        <v>45708</v>
      </c>
      <c r="BA16" s="4">
        <f>DATE(YEAR(AZ16)+2,MONTH(AZ16),DAY(AZ16)-1)</f>
        <v>46437</v>
      </c>
      <c r="BB16" s="8">
        <f t="shared" ca="1" si="17"/>
        <v>303</v>
      </c>
      <c r="BC16" s="5" t="str">
        <f t="shared" ca="1" si="18"/>
        <v>VIGENTE</v>
      </c>
      <c r="BD16" s="3"/>
      <c r="BE16" s="4">
        <v>45987</v>
      </c>
      <c r="BF16" s="4">
        <f>DATE(YEAR(BE16)+2,MONTH(BE16),DAY(BE16))</f>
        <v>46717</v>
      </c>
      <c r="BG16" s="8">
        <f t="shared" ca="1" si="19"/>
        <v>583</v>
      </c>
      <c r="BH16" s="5" t="str">
        <f t="shared" ca="1" si="20"/>
        <v>VIGENTE</v>
      </c>
      <c r="BI16" s="3"/>
      <c r="BJ16" s="4">
        <v>46035</v>
      </c>
      <c r="BK16" s="4">
        <f>DATE(YEAR(BJ16)+2,MONTH(BJ16),DAY(BJ16))</f>
        <v>46765</v>
      </c>
      <c r="BL16" s="8">
        <f t="shared" ca="1" si="21"/>
        <v>631</v>
      </c>
      <c r="BM16" s="5" t="str">
        <f t="shared" ca="1" si="22"/>
        <v>VIGENTE</v>
      </c>
      <c r="BN16" s="4"/>
      <c r="BO16" s="4">
        <v>45701</v>
      </c>
      <c r="BP16" s="4">
        <f>DATE(YEAR(BO16)+2,MONTH(BO16),DAY(BO16)-1)</f>
        <v>46430</v>
      </c>
      <c r="BQ16" s="8">
        <f t="shared" ca="1" si="23"/>
        <v>296</v>
      </c>
      <c r="BR16" s="5" t="str">
        <f t="shared" ca="1" si="24"/>
        <v>VIGENTE</v>
      </c>
      <c r="BS16" s="4"/>
      <c r="BT16" s="4">
        <v>45736</v>
      </c>
      <c r="BU16" s="4">
        <f>DATE(YEAR(BT16)+2,MONTH(BT16),DAY(BT16)-1)</f>
        <v>46465</v>
      </c>
      <c r="BV16" s="8">
        <f t="shared" ca="1" si="25"/>
        <v>331</v>
      </c>
      <c r="BW16" s="5" t="str">
        <f t="shared" ca="1" si="26"/>
        <v>VIGENTE</v>
      </c>
      <c r="BX16" s="3"/>
      <c r="BY16" s="4">
        <v>45954</v>
      </c>
      <c r="BZ16" s="4">
        <f t="shared" si="178"/>
        <v>46684</v>
      </c>
      <c r="CA16" s="8">
        <f t="shared" ca="1" si="27"/>
        <v>550</v>
      </c>
      <c r="CB16" s="5" t="str">
        <f t="shared" ca="1" si="28"/>
        <v>VIGENTE</v>
      </c>
      <c r="CC16" s="6" t="s">
        <v>73</v>
      </c>
      <c r="CD16" s="4">
        <v>45211</v>
      </c>
      <c r="CE16" s="4">
        <f t="shared" si="29"/>
        <v>46672</v>
      </c>
      <c r="CF16" s="8">
        <f t="shared" ca="1" si="30"/>
        <v>538</v>
      </c>
      <c r="CG16" s="5" t="str">
        <f t="shared" ca="1" si="31"/>
        <v>VIGENTE</v>
      </c>
      <c r="CH16" s="4"/>
      <c r="CI16" s="4">
        <v>45688</v>
      </c>
      <c r="CJ16" s="4">
        <f t="shared" si="180"/>
        <v>46417</v>
      </c>
      <c r="CK16" s="8">
        <f t="shared" ca="1" si="32"/>
        <v>283</v>
      </c>
      <c r="CL16" s="5" t="str">
        <f t="shared" ca="1" si="33"/>
        <v>VIGENTE</v>
      </c>
      <c r="CM16" s="3"/>
      <c r="CN16" s="4">
        <v>45684</v>
      </c>
      <c r="CO16" s="4">
        <f>DATE(YEAR(CN16)+2,MONTH(CN16),DAY(CN16)-1)</f>
        <v>46413</v>
      </c>
      <c r="CP16" s="8">
        <f t="shared" ca="1" si="34"/>
        <v>279</v>
      </c>
      <c r="CQ16" s="5" t="str">
        <f t="shared" ca="1" si="35"/>
        <v>VIGENTE</v>
      </c>
      <c r="CR16" s="3"/>
      <c r="CS16" s="4">
        <v>45631</v>
      </c>
      <c r="CT16" s="4">
        <f>DATE(YEAR(CS16)+2,MONTH(CS16),DAY(CS16)-1)</f>
        <v>46360</v>
      </c>
      <c r="CU16" s="8">
        <f t="shared" ca="1" si="36"/>
        <v>226</v>
      </c>
      <c r="CV16" s="5" t="str">
        <f t="shared" ca="1" si="37"/>
        <v>VIGENTE</v>
      </c>
      <c r="CW16" s="3"/>
      <c r="CX16" s="4">
        <v>45681</v>
      </c>
      <c r="CY16" s="4">
        <f>DATE(YEAR(CX16)+2,MONTH(CX16),DAY(CX16)-1)</f>
        <v>46410</v>
      </c>
      <c r="CZ16" s="8">
        <f t="shared" ca="1" si="38"/>
        <v>276</v>
      </c>
      <c r="DA16" s="5" t="str">
        <f t="shared" ca="1" si="39"/>
        <v>VIGENTE</v>
      </c>
      <c r="DB16" s="3"/>
      <c r="DC16" s="4">
        <v>45689</v>
      </c>
      <c r="DD16" s="4">
        <f>DATE(YEAR(DC16)+2,MONTH(DC16),DAY(DC16)-1)</f>
        <v>46418</v>
      </c>
      <c r="DE16" s="8">
        <f t="shared" ca="1" si="40"/>
        <v>284</v>
      </c>
      <c r="DF16" s="5" t="str">
        <f t="shared" ca="1" si="41"/>
        <v>VIGENTE</v>
      </c>
      <c r="DG16" s="4"/>
      <c r="DH16" s="4">
        <v>45696</v>
      </c>
      <c r="DI16" s="4">
        <f>DATE(YEAR(DH16)+2,MONTH(DH16),DAY(DH16)-1)</f>
        <v>46425</v>
      </c>
      <c r="DJ16" s="8">
        <f t="shared" ca="1" si="43"/>
        <v>291</v>
      </c>
      <c r="DK16" s="5" t="str">
        <f t="shared" ca="1" si="44"/>
        <v>VIGENTE</v>
      </c>
      <c r="DL16" s="3"/>
      <c r="DM16" s="4">
        <v>45982</v>
      </c>
      <c r="DN16" s="4">
        <f>DATE(YEAR(DM16)+2,MONTH(DM16),DAY(DM16))</f>
        <v>46712</v>
      </c>
      <c r="DO16" s="8">
        <f t="shared" ca="1" si="46"/>
        <v>578</v>
      </c>
      <c r="DP16" s="5" t="str">
        <f t="shared" ca="1" si="47"/>
        <v>VIGENTE</v>
      </c>
      <c r="DQ16" s="3"/>
      <c r="DR16" s="4">
        <v>45728</v>
      </c>
      <c r="DS16" s="4">
        <f>DATE(YEAR(DR16)+2,MONTH(DR16),DAY(DR16)-1)</f>
        <v>46457</v>
      </c>
      <c r="DT16" s="8">
        <f t="shared" ca="1" si="48"/>
        <v>323</v>
      </c>
      <c r="DU16" s="5" t="str">
        <f t="shared" ca="1" si="49"/>
        <v>VIGENTE</v>
      </c>
      <c r="DV16" s="3"/>
      <c r="DW16" s="4">
        <v>45682</v>
      </c>
      <c r="DX16" s="4">
        <f>DATE(YEAR(DW16)+2,MONTH(DW16),DAY(DW16)-1)</f>
        <v>46411</v>
      </c>
      <c r="DY16" s="8">
        <f t="shared" ca="1" si="50"/>
        <v>277</v>
      </c>
      <c r="DZ16" s="5" t="str">
        <f t="shared" ca="1" si="51"/>
        <v>VIGENTE</v>
      </c>
      <c r="EA16" s="3"/>
      <c r="EB16" s="4">
        <v>45674</v>
      </c>
      <c r="EC16" s="4">
        <f>DATE(YEAR(EB16)+2,MONTH(EB16),DAY(EB16)-1)</f>
        <v>46403</v>
      </c>
      <c r="ED16" s="8">
        <f t="shared" ca="1" si="52"/>
        <v>269</v>
      </c>
      <c r="EE16" s="5" t="str">
        <f t="shared" ca="1" si="53"/>
        <v>VIGENTE</v>
      </c>
      <c r="EF16" s="3"/>
      <c r="EG16" s="3">
        <v>46085</v>
      </c>
      <c r="EH16" s="4">
        <f t="shared" si="137"/>
        <v>46450</v>
      </c>
      <c r="EI16" s="8">
        <f t="shared" ca="1" si="54"/>
        <v>316</v>
      </c>
      <c r="EJ16" s="5" t="str">
        <f t="shared" ca="1" si="55"/>
        <v>VIGENTE</v>
      </c>
      <c r="EK16" s="4"/>
      <c r="EL16" s="4">
        <v>45671</v>
      </c>
      <c r="EM16" s="4">
        <f>DATE(YEAR(EL16)+2,MONTH(EL16),DAY(EL16)-1)</f>
        <v>46400</v>
      </c>
      <c r="EN16" s="8">
        <f t="shared" ca="1" si="56"/>
        <v>266</v>
      </c>
      <c r="EO16" s="5" t="str">
        <f t="shared" ca="1" si="57"/>
        <v>VIGENTE</v>
      </c>
      <c r="EP16" s="4"/>
      <c r="EQ16" s="4">
        <v>45677</v>
      </c>
      <c r="ER16" s="4">
        <f>DATE(YEAR(EQ16)+2,MONTH(EQ16),DAY(EQ16)-1)</f>
        <v>46406</v>
      </c>
      <c r="ES16" s="8">
        <f t="shared" ca="1" si="58"/>
        <v>272</v>
      </c>
      <c r="ET16" s="5" t="str">
        <f t="shared" ca="1" si="59"/>
        <v>VIGENTE</v>
      </c>
      <c r="EU16" s="3"/>
      <c r="EV16" s="4">
        <v>45953</v>
      </c>
      <c r="EW16" s="4">
        <f t="shared" si="151"/>
        <v>46683</v>
      </c>
      <c r="EX16" s="8">
        <f t="shared" ca="1" si="60"/>
        <v>549</v>
      </c>
      <c r="EY16" s="5" t="str">
        <f t="shared" ca="1" si="61"/>
        <v>VIGENTE</v>
      </c>
      <c r="EZ16" s="3"/>
      <c r="FA16" s="4">
        <v>45951</v>
      </c>
      <c r="FB16" s="4">
        <f t="shared" si="179"/>
        <v>46681</v>
      </c>
      <c r="FC16" s="8">
        <f t="shared" ca="1" si="62"/>
        <v>547</v>
      </c>
      <c r="FD16" s="5" t="str">
        <f t="shared" ca="1" si="63"/>
        <v>VIGENTE</v>
      </c>
      <c r="FE16" s="3"/>
      <c r="FF16" s="4">
        <v>45992</v>
      </c>
      <c r="FG16" s="4">
        <f t="shared" si="153"/>
        <v>46722</v>
      </c>
      <c r="FH16" s="8">
        <f t="shared" ca="1" si="64"/>
        <v>588</v>
      </c>
      <c r="FI16" s="5" t="str">
        <f t="shared" ca="1" si="65"/>
        <v>VIGENTE</v>
      </c>
      <c r="FJ16" s="3"/>
      <c r="FK16" s="4">
        <v>45670</v>
      </c>
      <c r="FL16" s="4">
        <f>DATE(YEAR(FK16)+2,MONTH(FK16),DAY(FK16)-1)</f>
        <v>46399</v>
      </c>
      <c r="FM16" s="8">
        <f t="shared" ca="1" si="67"/>
        <v>265</v>
      </c>
      <c r="FN16" s="5" t="str">
        <f t="shared" ca="1" si="68"/>
        <v>VIGENTE</v>
      </c>
      <c r="FO16" s="3"/>
      <c r="FP16" s="4">
        <v>45664</v>
      </c>
      <c r="FQ16" s="4">
        <f>DATE(YEAR(FP16)+2,MONTH(FP16),DAY(FP16)-1)</f>
        <v>46393</v>
      </c>
      <c r="FR16" s="8">
        <f t="shared" ca="1" si="69"/>
        <v>259</v>
      </c>
      <c r="FS16" s="5" t="str">
        <f t="shared" ca="1" si="70"/>
        <v>VIGENTE</v>
      </c>
      <c r="FT16" s="4"/>
      <c r="FU16" s="4">
        <v>45581</v>
      </c>
      <c r="FV16" s="4">
        <f>DATE(YEAR(FU16)+2,MONTH(FU16),DAY(FU16)-1)</f>
        <v>46310</v>
      </c>
      <c r="FW16" s="8">
        <f t="shared" ca="1" si="71"/>
        <v>176</v>
      </c>
      <c r="FX16" s="5" t="str">
        <f t="shared" ca="1" si="72"/>
        <v>VIGENTE</v>
      </c>
      <c r="FY16" s="3"/>
      <c r="FZ16" s="4">
        <v>45667</v>
      </c>
      <c r="GA16" s="4">
        <f>DATE(YEAR(FZ16)+2,MONTH(FZ16),DAY(FZ16)-1)</f>
        <v>46396</v>
      </c>
      <c r="GB16" s="8">
        <f t="shared" ca="1" si="73"/>
        <v>262</v>
      </c>
      <c r="GC16" s="5" t="str">
        <f t="shared" ca="1" si="74"/>
        <v>VIGENTE</v>
      </c>
      <c r="GD16" s="3"/>
      <c r="GE16" s="4">
        <v>46036</v>
      </c>
      <c r="GF16" s="4">
        <f>DATE(YEAR(GE16)+2,MONTH(GE16),DAY(GE16))</f>
        <v>46766</v>
      </c>
      <c r="GG16" s="8">
        <f t="shared" ca="1" si="75"/>
        <v>632</v>
      </c>
      <c r="GH16" s="5" t="str">
        <f t="shared" ca="1" si="76"/>
        <v>VIGENTE</v>
      </c>
      <c r="GI16" s="3"/>
      <c r="GJ16" s="4">
        <v>45945</v>
      </c>
      <c r="GK16" s="4">
        <f>DATE(YEAR(GJ16)+2,MONTH(GJ16),DAY(GJ16))</f>
        <v>46675</v>
      </c>
      <c r="GL16" s="8">
        <f t="shared" ca="1" si="77"/>
        <v>541</v>
      </c>
      <c r="GM16" s="5" t="str">
        <f t="shared" ca="1" si="78"/>
        <v>VIGENTE</v>
      </c>
      <c r="GN16" s="4"/>
      <c r="GO16" s="4">
        <v>45017</v>
      </c>
      <c r="GP16" s="4">
        <f t="shared" si="79"/>
        <v>46844</v>
      </c>
      <c r="GQ16" s="8">
        <f t="shared" ca="1" si="181"/>
        <v>710</v>
      </c>
      <c r="GR16" s="5" t="str">
        <f t="shared" ca="1" si="81"/>
        <v>VIGENTE</v>
      </c>
      <c r="GS16" s="3"/>
      <c r="GT16" s="4">
        <v>45277</v>
      </c>
      <c r="GU16" s="4">
        <f t="shared" si="82"/>
        <v>47104</v>
      </c>
      <c r="GV16" s="8">
        <f t="shared" ca="1" si="83"/>
        <v>970</v>
      </c>
      <c r="GW16" s="5" t="str">
        <f t="shared" ca="1" si="84"/>
        <v>VIGENTE</v>
      </c>
      <c r="GX16" s="3"/>
      <c r="GY16" s="4">
        <v>44980</v>
      </c>
      <c r="GZ16" s="4">
        <f t="shared" si="85"/>
        <v>46806</v>
      </c>
      <c r="HA16" s="8">
        <f t="shared" ca="1" si="86"/>
        <v>672</v>
      </c>
      <c r="HB16" s="5" t="str">
        <f t="shared" ca="1" si="87"/>
        <v>VIGENTE</v>
      </c>
      <c r="HC16" s="6"/>
      <c r="HD16" s="4">
        <v>44879</v>
      </c>
      <c r="HE16" s="4">
        <f t="shared" si="88"/>
        <v>46705</v>
      </c>
      <c r="HF16" s="8">
        <f t="shared" ca="1" si="89"/>
        <v>571</v>
      </c>
      <c r="HG16" s="5" t="str">
        <f t="shared" ca="1" si="182"/>
        <v>VIGENTE</v>
      </c>
      <c r="HH16" s="3"/>
      <c r="HI16" s="4">
        <v>45368</v>
      </c>
      <c r="HJ16" s="4">
        <f>DATE(YEAR(HI16)+5,MONTH(HI16),DAY(HI16))</f>
        <v>47194</v>
      </c>
      <c r="HK16" s="8">
        <f ca="1">HJ16-TODAY()</f>
        <v>1060</v>
      </c>
      <c r="HL16" s="5" t="str">
        <f t="shared" ca="1" si="91"/>
        <v>VIGENTE</v>
      </c>
      <c r="HM16" s="2"/>
      <c r="HN16" s="2"/>
      <c r="HO16" s="4"/>
      <c r="HP16" s="2"/>
      <c r="HQ16" s="5" t="str">
        <f t="shared" si="92"/>
        <v>NO APLICA</v>
      </c>
      <c r="HR16" s="3"/>
      <c r="HS16" s="4">
        <v>45420</v>
      </c>
      <c r="HT16" s="4">
        <f>DATE(YEAR(HS16)+5,MONTH(HS16),DAY(HS16))</f>
        <v>47246</v>
      </c>
      <c r="HU16" s="8">
        <f ca="1">HT16-TODAY()</f>
        <v>1112</v>
      </c>
      <c r="HV16" s="5" t="str">
        <f t="shared" ca="1" si="93"/>
        <v>VIGENTE</v>
      </c>
      <c r="HW16" s="3"/>
      <c r="HX16" s="4">
        <v>44981</v>
      </c>
      <c r="HY16" s="4">
        <f>DATE(YEAR(HX16)+5,MONTH(HX16),DAY(HX16))</f>
        <v>46807</v>
      </c>
      <c r="HZ16" s="8">
        <f ca="1">HY16-TODAY()</f>
        <v>673</v>
      </c>
      <c r="IA16" s="5" t="str">
        <f t="shared" ca="1" si="94"/>
        <v>VIGENTE</v>
      </c>
      <c r="IB16" s="3"/>
      <c r="IC16" s="4">
        <v>45192</v>
      </c>
      <c r="ID16" s="4">
        <f>DATE(YEAR(IC16)+5,MONTH(IC16),DAY(IC16))</f>
        <v>47019</v>
      </c>
      <c r="IE16" s="8">
        <f ca="1">ID16-TODAY()</f>
        <v>885</v>
      </c>
      <c r="IF16" s="5" t="str">
        <f t="shared" ca="1" si="95"/>
        <v>VIGENTE</v>
      </c>
      <c r="IG16" s="4"/>
      <c r="IH16" s="4">
        <v>45262</v>
      </c>
      <c r="II16" s="4">
        <f>DATE(YEAR(IH16)+5,MONTH(IH16),DAY(IH16))</f>
        <v>47089</v>
      </c>
      <c r="IJ16" s="8">
        <f ca="1">II16-TODAY()</f>
        <v>955</v>
      </c>
      <c r="IK16" s="5" t="str">
        <f t="shared" ca="1" si="96"/>
        <v>VIGENTE</v>
      </c>
      <c r="IL16" s="3"/>
      <c r="IM16" s="4">
        <v>45273</v>
      </c>
      <c r="IN16" s="4">
        <f>DATE(YEAR(IM16)+5,MONTH(IM16),DAY(IM16))</f>
        <v>47100</v>
      </c>
      <c r="IO16" s="8">
        <f ca="1">IN16-TODAY()</f>
        <v>966</v>
      </c>
      <c r="IP16" s="5" t="str">
        <f t="shared" ca="1" si="97"/>
        <v>VIGENTE</v>
      </c>
      <c r="IQ16" s="3"/>
      <c r="IR16" s="4">
        <v>45240</v>
      </c>
      <c r="IS16" s="4">
        <f>DATE(YEAR(IR16)+5,MONTH(IR16),DAY(IR16))</f>
        <v>47067</v>
      </c>
      <c r="IT16" s="8">
        <f ca="1">IS16-TODAY()</f>
        <v>933</v>
      </c>
      <c r="IU16" s="5" t="str">
        <f t="shared" ca="1" si="98"/>
        <v>VIGENTE</v>
      </c>
      <c r="IV16" s="3"/>
      <c r="IW16" s="4">
        <v>45461</v>
      </c>
      <c r="IX16" s="4">
        <f>DATE(YEAR(IW16)+5,MONTH(IW16),DAY(IW16))</f>
        <v>47287</v>
      </c>
      <c r="IY16" s="8">
        <f ca="1">IX16-TODAY()</f>
        <v>1153</v>
      </c>
      <c r="IZ16" s="5" t="str">
        <f t="shared" ca="1" si="99"/>
        <v>VIGENTE</v>
      </c>
      <c r="JA16" s="3"/>
      <c r="JB16" s="3"/>
      <c r="JC16" s="4"/>
      <c r="JD16" s="8"/>
      <c r="JE16" s="5" t="str">
        <f t="shared" si="100"/>
        <v>NO APLICA</v>
      </c>
      <c r="JF16" s="6"/>
      <c r="JG16" s="6"/>
      <c r="JH16" s="6"/>
      <c r="JI16" s="6"/>
      <c r="JJ16" s="5" t="str">
        <f t="shared" si="101"/>
        <v>NO APLICA</v>
      </c>
      <c r="JK16" s="6"/>
      <c r="JL16" s="6"/>
      <c r="JM16" s="6"/>
      <c r="JN16" s="6"/>
      <c r="JO16" s="5" t="str">
        <f t="shared" si="102"/>
        <v>NO APLICA</v>
      </c>
      <c r="JP16" s="6"/>
      <c r="JQ16" s="6"/>
      <c r="JR16" s="6"/>
      <c r="JS16" s="6"/>
      <c r="JT16" s="5" t="str">
        <f t="shared" si="103"/>
        <v>NO APLICA</v>
      </c>
      <c r="JU16" s="5"/>
      <c r="JV16" s="5"/>
      <c r="JW16" s="5"/>
      <c r="JX16" s="5"/>
      <c r="JY16" s="5" t="str">
        <f t="shared" si="104"/>
        <v>NO APLICA</v>
      </c>
      <c r="JZ16" s="5"/>
      <c r="KA16" s="2"/>
      <c r="KB16" s="4"/>
      <c r="KC16" s="8"/>
      <c r="KD16" s="5" t="str">
        <f t="shared" si="105"/>
        <v>NO APLICA</v>
      </c>
      <c r="KE16" s="5"/>
      <c r="KF16" s="2"/>
      <c r="KG16" s="4"/>
      <c r="KH16" s="8"/>
      <c r="KI16" s="5" t="str">
        <f t="shared" si="141"/>
        <v>NO APLICA</v>
      </c>
      <c r="KJ16" s="5"/>
      <c r="KK16" s="3">
        <v>45364</v>
      </c>
      <c r="KL16" s="4">
        <f>DATE(YEAR(KK16)+5,MONTH(KK16),DAY(KK16))</f>
        <v>47190</v>
      </c>
      <c r="KM16" s="8">
        <f ca="1">KL16-TODAY()</f>
        <v>1056</v>
      </c>
      <c r="KN16" s="5" t="str">
        <f t="shared" ca="1" si="106"/>
        <v>VIGENTE</v>
      </c>
      <c r="KO16" s="5"/>
      <c r="KP16" s="2"/>
      <c r="KQ16" s="4"/>
      <c r="KR16" s="8"/>
      <c r="KS16" s="5" t="str">
        <f t="shared" si="142"/>
        <v>NO APLICA</v>
      </c>
      <c r="KT16" s="3"/>
      <c r="KU16" s="4">
        <v>44658</v>
      </c>
      <c r="KV16" s="4">
        <f>DATE(YEAR(KU16)+5,MONTH(KU16),DAY(KU16))</f>
        <v>46484</v>
      </c>
      <c r="KW16" s="8">
        <f ca="1">KV16-TODAY()</f>
        <v>350</v>
      </c>
      <c r="KX16" s="5" t="str">
        <f t="shared" ca="1" si="156"/>
        <v>VIGENTE</v>
      </c>
      <c r="KY16" s="5"/>
      <c r="KZ16" s="4">
        <v>44615</v>
      </c>
      <c r="LA16" s="4">
        <f>DATE(YEAR(KZ16)+5,MONTH(KZ16),DAY(KZ16))</f>
        <v>46441</v>
      </c>
      <c r="LB16" s="8">
        <f ca="1">LA16-TODAY()</f>
        <v>307</v>
      </c>
      <c r="LC16" s="5" t="str">
        <f t="shared" ca="1" si="143"/>
        <v>VIGENTE</v>
      </c>
      <c r="LD16" s="4"/>
      <c r="LE16" s="4"/>
      <c r="LF16" s="4"/>
      <c r="LG16" s="8"/>
      <c r="LH16" s="5" t="str">
        <f t="shared" si="107"/>
        <v>NO APLICA</v>
      </c>
      <c r="LI16" s="5"/>
      <c r="LJ16" s="21">
        <v>44086</v>
      </c>
      <c r="LK16" s="4">
        <f>DATE(YEAR(LJ16)+5,MONTH(LJ16),DAY(LJ16))</f>
        <v>45912</v>
      </c>
      <c r="LL16" s="8">
        <f ca="1">LK16-TODAY()</f>
        <v>-222</v>
      </c>
      <c r="LM16" s="5" t="str">
        <f t="shared" ca="1" si="157"/>
        <v>VENCIDA</v>
      </c>
      <c r="LN16" s="2"/>
      <c r="LO16" s="6"/>
      <c r="LP16" s="4"/>
      <c r="LQ16" s="8"/>
      <c r="LR16" s="5" t="str">
        <f t="shared" si="144"/>
        <v>NO APLICA</v>
      </c>
      <c r="LS16" s="4"/>
      <c r="LT16" s="4">
        <v>44986</v>
      </c>
      <c r="LU16" s="4">
        <f>DATE(YEAR(LT16)+5,MONTH(LT16),DAY(LT16))</f>
        <v>46813</v>
      </c>
      <c r="LV16" s="8">
        <f ca="1">LU16-TODAY()</f>
        <v>679</v>
      </c>
      <c r="LW16" s="5" t="str">
        <f t="shared" ca="1" si="145"/>
        <v>VIGENTE</v>
      </c>
      <c r="LX16" s="4"/>
      <c r="LY16" s="4">
        <v>44988</v>
      </c>
      <c r="LZ16" s="4">
        <f>DATE(YEAR(LY16)+5,MONTH(LY16),DAY(LY16))</f>
        <v>46815</v>
      </c>
      <c r="MA16" s="8">
        <f ca="1">LZ16-TODAY()</f>
        <v>681</v>
      </c>
      <c r="MB16" s="5" t="str">
        <f t="shared" ca="1" si="146"/>
        <v>VIGENTE</v>
      </c>
      <c r="MC16" s="4"/>
      <c r="MD16" s="4">
        <v>45010</v>
      </c>
      <c r="ME16" s="4">
        <f>DATE(YEAR(MD16)+5,MONTH(MD16),DAY(MD16))</f>
        <v>46837</v>
      </c>
      <c r="MF16" s="8">
        <f ca="1">ME16-TODAY()</f>
        <v>703</v>
      </c>
      <c r="MG16" s="5" t="str">
        <f t="shared" ca="1" si="108"/>
        <v>VIGENTE</v>
      </c>
      <c r="MH16" s="2"/>
      <c r="MI16" s="2"/>
      <c r="MJ16" s="4"/>
      <c r="MK16" s="8"/>
      <c r="ML16" s="5" t="str">
        <f t="shared" si="109"/>
        <v>NO APLICA</v>
      </c>
      <c r="MM16" s="5"/>
      <c r="MN16" s="2"/>
      <c r="MO16" s="4"/>
      <c r="MP16" s="8"/>
      <c r="MQ16" s="5" t="str">
        <f t="shared" si="110"/>
        <v>NO APLICA</v>
      </c>
      <c r="MR16" s="5"/>
      <c r="MS16" s="2"/>
      <c r="MT16" s="4"/>
      <c r="MU16" s="2"/>
      <c r="MV16" s="5" t="str">
        <f t="shared" si="111"/>
        <v>NO APLICA</v>
      </c>
      <c r="MW16" s="2"/>
      <c r="MX16" s="4">
        <v>44834</v>
      </c>
      <c r="MY16" s="4">
        <f>DATE(YEAR(MX16)+5,MONTH(MX16),DAY(MX16))</f>
        <v>46660</v>
      </c>
      <c r="MZ16" s="8">
        <f ca="1">MY16-TODAY()</f>
        <v>526</v>
      </c>
      <c r="NA16" s="5" t="str">
        <f t="shared" ca="1" si="112"/>
        <v>VIGENTE</v>
      </c>
      <c r="NB16" s="2"/>
      <c r="NC16" s="4">
        <v>44835</v>
      </c>
      <c r="ND16" s="4">
        <f>DATE(YEAR(NC16)+5,MONTH(NC16),DAY(NC16))</f>
        <v>46661</v>
      </c>
      <c r="NE16" s="8">
        <f ca="1">ND16-TODAY()</f>
        <v>527</v>
      </c>
      <c r="NF16" s="5" t="str">
        <f t="shared" ca="1" si="113"/>
        <v>VIGENTE</v>
      </c>
      <c r="NG16" s="2"/>
      <c r="NH16" s="6"/>
      <c r="NI16" s="4"/>
      <c r="NJ16" s="8"/>
      <c r="NK16" s="5" t="str">
        <f t="shared" si="114"/>
        <v>NO APLICA</v>
      </c>
      <c r="NL16" s="2"/>
      <c r="NM16" s="2"/>
      <c r="NN16" s="4"/>
      <c r="NO16" s="8"/>
      <c r="NP16" s="5" t="str">
        <f t="shared" si="115"/>
        <v>NO APLICA</v>
      </c>
      <c r="NQ16" s="2"/>
      <c r="NR16" s="2"/>
      <c r="NS16" s="4"/>
      <c r="NT16" s="2"/>
      <c r="NU16" s="5" t="str">
        <f t="shared" si="116"/>
        <v>NO APLICA</v>
      </c>
      <c r="NV16" s="6"/>
      <c r="NW16" s="6"/>
      <c r="NX16" s="4"/>
      <c r="NY16" s="8"/>
      <c r="NZ16" s="5" t="str">
        <f t="shared" si="117"/>
        <v>NO APLICA</v>
      </c>
      <c r="OA16" s="6"/>
      <c r="OB16" s="6"/>
      <c r="OC16" s="6"/>
      <c r="OD16" s="6"/>
      <c r="OE16" s="5" t="str">
        <f t="shared" si="118"/>
        <v>NO APLICA</v>
      </c>
      <c r="OF16" s="2"/>
      <c r="OG16" s="2"/>
      <c r="OH16" s="4"/>
      <c r="OI16" s="8"/>
      <c r="OJ16" s="5" t="str">
        <f t="shared" si="119"/>
        <v>NO APLICA</v>
      </c>
      <c r="OK16" s="6"/>
      <c r="OL16" s="6"/>
      <c r="OM16" s="6"/>
      <c r="ON16" s="6"/>
      <c r="OO16" s="5" t="str">
        <f t="shared" si="120"/>
        <v>NO APLICA</v>
      </c>
      <c r="OP16" s="6"/>
      <c r="OQ16" s="6"/>
      <c r="OR16" s="6"/>
      <c r="OS16" s="6"/>
      <c r="OT16" s="5" t="str">
        <f t="shared" si="121"/>
        <v>NO APLICA</v>
      </c>
      <c r="OU16" s="6"/>
      <c r="OV16" s="6"/>
      <c r="OW16" s="6"/>
      <c r="OX16" s="6"/>
      <c r="OY16" s="5" t="str">
        <f t="shared" si="122"/>
        <v>NO APLICA</v>
      </c>
      <c r="OZ16" s="6"/>
      <c r="PA16" s="6"/>
      <c r="PB16" s="6"/>
      <c r="PC16" s="6"/>
      <c r="PD16" s="5" t="str">
        <f t="shared" si="123"/>
        <v>NO APLICA</v>
      </c>
      <c r="PE16" s="6"/>
      <c r="PF16" s="6"/>
      <c r="PG16" s="6"/>
      <c r="PH16" s="6"/>
      <c r="PI16" s="5" t="str">
        <f t="shared" si="124"/>
        <v>NO APLICA</v>
      </c>
      <c r="PJ16" s="5"/>
      <c r="PK16" s="6"/>
      <c r="PL16" s="4"/>
      <c r="PM16" s="8"/>
      <c r="PN16" s="5" t="str">
        <f t="shared" si="125"/>
        <v>NO APLICA</v>
      </c>
      <c r="PO16" s="6"/>
      <c r="PP16" s="6"/>
      <c r="PQ16" s="6"/>
      <c r="PR16" s="6"/>
      <c r="PS16" s="5" t="str">
        <f t="shared" si="126"/>
        <v>NO APLICA</v>
      </c>
      <c r="PT16" s="5"/>
      <c r="PU16" s="6"/>
      <c r="PV16" s="6"/>
      <c r="PW16" s="6"/>
      <c r="PX16" s="5" t="str">
        <f t="shared" si="127"/>
        <v>NO APLICA</v>
      </c>
    </row>
    <row r="17" spans="1:440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353</v>
      </c>
      <c r="T17" s="5" t="str">
        <f t="shared" ca="1" si="128"/>
        <v>VIGENTE</v>
      </c>
      <c r="U17" s="2" t="s">
        <v>112</v>
      </c>
      <c r="V17" s="4">
        <v>45426</v>
      </c>
      <c r="W17" s="4">
        <f t="shared" si="2"/>
        <v>47252</v>
      </c>
      <c r="X17" s="8">
        <f t="shared" ca="1" si="3"/>
        <v>1118</v>
      </c>
      <c r="Y17" s="5" t="str">
        <f t="shared" ca="1" si="4"/>
        <v>VIGENTE</v>
      </c>
      <c r="Z17" s="2" t="s">
        <v>113</v>
      </c>
      <c r="AA17" s="4">
        <v>45190</v>
      </c>
      <c r="AB17" s="4">
        <f t="shared" si="5"/>
        <v>47017</v>
      </c>
      <c r="AC17" s="8">
        <f t="shared" ca="1" si="6"/>
        <v>883</v>
      </c>
      <c r="AD17" s="5" t="str">
        <f t="shared" ca="1" si="7"/>
        <v>VIGENTE</v>
      </c>
      <c r="AE17" s="3"/>
      <c r="AF17" s="4">
        <v>45936</v>
      </c>
      <c r="AG17" s="4">
        <f>DATE(YEAR(AF17)+2,MONTH(AF17),DAY(AF17))</f>
        <v>46666</v>
      </c>
      <c r="AH17" s="8">
        <f t="shared" ca="1" si="8"/>
        <v>532</v>
      </c>
      <c r="AI17" s="5" t="str">
        <f t="shared" ca="1" si="9"/>
        <v>VIGENTE</v>
      </c>
      <c r="AJ17" s="3"/>
      <c r="AK17" s="4">
        <v>45937</v>
      </c>
      <c r="AL17" s="4">
        <f>DATE(YEAR(AK17)+2,MONTH(AK17),DAY(AK17))</f>
        <v>46667</v>
      </c>
      <c r="AM17" s="8">
        <f t="shared" ca="1" si="10"/>
        <v>533</v>
      </c>
      <c r="AN17" s="5" t="str">
        <f t="shared" ca="1" si="11"/>
        <v>VIGENTE</v>
      </c>
      <c r="AO17" s="3"/>
      <c r="AP17" s="4">
        <v>45887</v>
      </c>
      <c r="AQ17" s="4">
        <f t="shared" ref="AQ17:AQ26" si="183">DATE(YEAR(AP17)+2,MONTH(AP17),DAY(AP17))</f>
        <v>46617</v>
      </c>
      <c r="AR17" s="8">
        <f t="shared" ca="1" si="12"/>
        <v>483</v>
      </c>
      <c r="AS17" s="5" t="str">
        <f t="shared" ca="1" si="13"/>
        <v>VIGENTE</v>
      </c>
      <c r="AT17" s="3"/>
      <c r="AU17" s="4">
        <v>45927</v>
      </c>
      <c r="AV17" s="4">
        <f>DATE(YEAR(AU17)+2,MONTH(AU17),DAY(AU17))</f>
        <v>46657</v>
      </c>
      <c r="AW17" s="8">
        <f t="shared" ca="1" si="15"/>
        <v>523</v>
      </c>
      <c r="AX17" s="5" t="str">
        <f t="shared" ca="1" si="16"/>
        <v>VIGENTE</v>
      </c>
      <c r="AY17" s="3"/>
      <c r="AZ17" s="4">
        <v>45742</v>
      </c>
      <c r="BA17" s="4">
        <f>DATE(YEAR(AZ17)+2,MONTH(AZ17),DAY(AZ17)-1)</f>
        <v>46471</v>
      </c>
      <c r="BB17" s="8">
        <f t="shared" ca="1" si="17"/>
        <v>337</v>
      </c>
      <c r="BC17" s="5" t="str">
        <f t="shared" ca="1" si="18"/>
        <v>VIGENTE</v>
      </c>
      <c r="BD17" s="3"/>
      <c r="BE17" s="4">
        <v>45987</v>
      </c>
      <c r="BF17" s="4">
        <f>DATE(YEAR(BE17)+2,MONTH(BE17),DAY(BE17))</f>
        <v>46717</v>
      </c>
      <c r="BG17" s="8">
        <f t="shared" ca="1" si="19"/>
        <v>583</v>
      </c>
      <c r="BH17" s="5" t="str">
        <f t="shared" ca="1" si="20"/>
        <v>VIGENTE</v>
      </c>
      <c r="BI17" s="3"/>
      <c r="BJ17" s="4">
        <v>46035</v>
      </c>
      <c r="BK17" s="4">
        <f>DATE(YEAR(BJ17)+2,MONTH(BJ17),DAY(BJ17))</f>
        <v>46765</v>
      </c>
      <c r="BL17" s="8">
        <f t="shared" ca="1" si="21"/>
        <v>631</v>
      </c>
      <c r="BM17" s="5" t="str">
        <f t="shared" ca="1" si="22"/>
        <v>VIGENTE</v>
      </c>
      <c r="BN17" s="3"/>
      <c r="BO17" s="4">
        <v>46050</v>
      </c>
      <c r="BP17" s="4">
        <f>DATE(YEAR(BO17)+2,MONTH(BO17),DAY(BO17))</f>
        <v>46780</v>
      </c>
      <c r="BQ17" s="8">
        <f t="shared" ca="1" si="23"/>
        <v>646</v>
      </c>
      <c r="BR17" s="5" t="str">
        <f t="shared" ca="1" si="24"/>
        <v>VIGENTE</v>
      </c>
      <c r="BS17" s="3"/>
      <c r="BT17" s="4">
        <v>45449</v>
      </c>
      <c r="BU17" s="4">
        <f>DATE(YEAR(BT17)+2,MONTH(BT17),DAY(BT17)-1)</f>
        <v>46178</v>
      </c>
      <c r="BV17" s="8">
        <f t="shared" ca="1" si="25"/>
        <v>44</v>
      </c>
      <c r="BW17" s="5" t="str">
        <f t="shared" ca="1" si="26"/>
        <v>POR VENCER</v>
      </c>
      <c r="BX17" s="3"/>
      <c r="BY17" s="4">
        <v>45944</v>
      </c>
      <c r="BZ17" s="4">
        <f t="shared" si="178"/>
        <v>46674</v>
      </c>
      <c r="CA17" s="8">
        <f t="shared" ca="1" si="27"/>
        <v>540</v>
      </c>
      <c r="CB17" s="5" t="str">
        <f t="shared" ca="1" si="28"/>
        <v>VIGENTE</v>
      </c>
      <c r="CC17" s="6" t="s">
        <v>73</v>
      </c>
      <c r="CD17" s="4">
        <v>45616</v>
      </c>
      <c r="CE17" s="4">
        <f t="shared" si="29"/>
        <v>47077</v>
      </c>
      <c r="CF17" s="8">
        <f t="shared" ca="1" si="30"/>
        <v>943</v>
      </c>
      <c r="CG17" s="5" t="str">
        <f t="shared" ca="1" si="31"/>
        <v>VIGENTE</v>
      </c>
      <c r="CH17" s="4"/>
      <c r="CI17" s="4">
        <v>45504</v>
      </c>
      <c r="CJ17" s="4">
        <f t="shared" si="180"/>
        <v>46233</v>
      </c>
      <c r="CK17" s="8">
        <f t="shared" ca="1" si="32"/>
        <v>99</v>
      </c>
      <c r="CL17" s="5" t="str">
        <f t="shared" ca="1" si="33"/>
        <v>VIGENTE</v>
      </c>
      <c r="CM17" s="3"/>
      <c r="CN17" s="4">
        <v>45517</v>
      </c>
      <c r="CO17" s="4">
        <f>DATE(YEAR(CN17)+2,MONTH(CN17),DAY(CN17)-1)</f>
        <v>46246</v>
      </c>
      <c r="CP17" s="8">
        <f t="shared" ca="1" si="34"/>
        <v>112</v>
      </c>
      <c r="CQ17" s="5" t="str">
        <f t="shared" ca="1" si="35"/>
        <v>VIGENTE</v>
      </c>
      <c r="CR17" s="3"/>
      <c r="CS17" s="4">
        <v>45624</v>
      </c>
      <c r="CT17" s="4">
        <f>DATE(YEAR(CS17)+2,MONTH(CS17),DAY(CS17)-1)</f>
        <v>46353</v>
      </c>
      <c r="CU17" s="8">
        <f t="shared" ca="1" si="36"/>
        <v>219</v>
      </c>
      <c r="CV17" s="5" t="str">
        <f t="shared" ca="1" si="37"/>
        <v>VIGENTE</v>
      </c>
      <c r="CW17" s="3"/>
      <c r="CX17" s="4">
        <v>46098</v>
      </c>
      <c r="CY17" s="4">
        <f>DATE(YEAR(CX17)+2,MONTH(CX17),DAY(CX17))</f>
        <v>46829</v>
      </c>
      <c r="CZ17" s="8">
        <f t="shared" ca="1" si="38"/>
        <v>695</v>
      </c>
      <c r="DA17" s="5" t="str">
        <f t="shared" ca="1" si="39"/>
        <v>VIGENTE</v>
      </c>
      <c r="DB17" s="3"/>
      <c r="DC17" s="4">
        <v>45761</v>
      </c>
      <c r="DD17" s="4">
        <f>DATE(YEAR(DC17)+2,MONTH(DC17),DAY(DC17))</f>
        <v>46491</v>
      </c>
      <c r="DE17" s="8">
        <f t="shared" ca="1" si="40"/>
        <v>357</v>
      </c>
      <c r="DF17" s="5" t="str">
        <f t="shared" ca="1" si="41"/>
        <v>VIGENTE</v>
      </c>
      <c r="DG17" s="2"/>
      <c r="DH17" s="4">
        <v>45734</v>
      </c>
      <c r="DI17" s="4">
        <f>DATE(YEAR(DH17)+2,MONTH(DH17),DAY(DH17)-1)</f>
        <v>46463</v>
      </c>
      <c r="DJ17" s="8">
        <f t="shared" ca="1" si="43"/>
        <v>329</v>
      </c>
      <c r="DK17" s="5" t="str">
        <f t="shared" ca="1" si="44"/>
        <v>VIGENTE</v>
      </c>
      <c r="DL17" s="3"/>
      <c r="DM17" s="4">
        <v>45731</v>
      </c>
      <c r="DN17" s="4">
        <f>DATE(YEAR(DM17)+2,MONTH(DM17),DAY(DM17)-1)</f>
        <v>46460</v>
      </c>
      <c r="DO17" s="8">
        <f t="shared" ca="1" si="46"/>
        <v>326</v>
      </c>
      <c r="DP17" s="5" t="str">
        <f t="shared" ca="1" si="47"/>
        <v>VIGENTE</v>
      </c>
      <c r="DQ17" s="3"/>
      <c r="DR17" s="4">
        <v>45685</v>
      </c>
      <c r="DS17" s="4">
        <f>DATE(YEAR(DR17)+2,MONTH(DR17),DAY(DR17)-1)</f>
        <v>46414</v>
      </c>
      <c r="DT17" s="8">
        <f t="shared" ca="1" si="48"/>
        <v>280</v>
      </c>
      <c r="DU17" s="5" t="str">
        <f t="shared" ca="1" si="49"/>
        <v>VIGENTE</v>
      </c>
      <c r="DV17" s="3"/>
      <c r="DW17" s="4">
        <v>45663</v>
      </c>
      <c r="DX17" s="4">
        <f>DATE(YEAR(DW17)+2,MONTH(DW17),DAY(DW17)-1)</f>
        <v>46392</v>
      </c>
      <c r="DY17" s="8">
        <f t="shared" ca="1" si="50"/>
        <v>258</v>
      </c>
      <c r="DZ17" s="5" t="str">
        <f t="shared" ca="1" si="51"/>
        <v>VIGENTE</v>
      </c>
      <c r="EA17" s="3"/>
      <c r="EB17" s="4">
        <v>45674</v>
      </c>
      <c r="EC17" s="4">
        <f>DATE(YEAR(EB17)+2,MONTH(EB17),DAY(EB17)-1)</f>
        <v>46403</v>
      </c>
      <c r="ED17" s="8">
        <f t="shared" ca="1" si="52"/>
        <v>269</v>
      </c>
      <c r="EE17" s="5" t="str">
        <f t="shared" ca="1" si="53"/>
        <v>VIGENTE</v>
      </c>
      <c r="EF17" s="3"/>
      <c r="EG17" s="3">
        <v>46107</v>
      </c>
      <c r="EH17" s="4">
        <f t="shared" si="137"/>
        <v>46472</v>
      </c>
      <c r="EI17" s="8">
        <f t="shared" ca="1" si="54"/>
        <v>338</v>
      </c>
      <c r="EJ17" s="5" t="str">
        <f t="shared" ca="1" si="55"/>
        <v>VIGENTE</v>
      </c>
      <c r="EK17" s="3"/>
      <c r="EL17" s="3">
        <v>45596</v>
      </c>
      <c r="EM17" s="4">
        <f>DATE(YEAR(EL17)+2,MONTH(EL17),DAY(EL17)-1)</f>
        <v>46325</v>
      </c>
      <c r="EN17" s="8">
        <f t="shared" ca="1" si="56"/>
        <v>191</v>
      </c>
      <c r="EO17" s="5" t="str">
        <f t="shared" ca="1" si="57"/>
        <v>VIGENTE</v>
      </c>
      <c r="EP17" s="3"/>
      <c r="EQ17" s="4">
        <v>45623</v>
      </c>
      <c r="ER17" s="4">
        <f>DATE(YEAR(EQ17)+2,MONTH(EQ17),DAY(EQ17)-1)</f>
        <v>46352</v>
      </c>
      <c r="ES17" s="8">
        <f t="shared" ca="1" si="58"/>
        <v>218</v>
      </c>
      <c r="ET17" s="5" t="str">
        <f t="shared" ca="1" si="59"/>
        <v>VIGENTE</v>
      </c>
      <c r="EU17" s="3"/>
      <c r="EV17" s="4">
        <v>45917</v>
      </c>
      <c r="EW17" s="4">
        <f t="shared" si="151"/>
        <v>46647</v>
      </c>
      <c r="EX17" s="8">
        <f t="shared" ca="1" si="60"/>
        <v>513</v>
      </c>
      <c r="EY17" s="5" t="str">
        <f t="shared" ca="1" si="61"/>
        <v>VIGENTE</v>
      </c>
      <c r="EZ17" s="3"/>
      <c r="FA17" s="4">
        <v>45931</v>
      </c>
      <c r="FB17" s="4">
        <f t="shared" si="179"/>
        <v>46661</v>
      </c>
      <c r="FC17" s="8">
        <f t="shared" ca="1" si="62"/>
        <v>527</v>
      </c>
      <c r="FD17" s="5" t="str">
        <f t="shared" ca="1" si="63"/>
        <v>VIGENTE</v>
      </c>
      <c r="FE17" s="3"/>
      <c r="FF17" s="4">
        <v>45932</v>
      </c>
      <c r="FG17" s="4">
        <f t="shared" si="153"/>
        <v>46662</v>
      </c>
      <c r="FH17" s="8">
        <f t="shared" ca="1" si="64"/>
        <v>528</v>
      </c>
      <c r="FI17" s="5" t="str">
        <f t="shared" ca="1" si="65"/>
        <v>VIGENTE</v>
      </c>
      <c r="FJ17" s="3"/>
      <c r="FK17" s="4">
        <v>45670</v>
      </c>
      <c r="FL17" s="4">
        <f>DATE(YEAR(FK17)+2,MONTH(FK17),DAY(FK17)-1)</f>
        <v>46399</v>
      </c>
      <c r="FM17" s="8">
        <f t="shared" ca="1" si="67"/>
        <v>265</v>
      </c>
      <c r="FN17" s="5" t="str">
        <f t="shared" ca="1" si="68"/>
        <v>VIGENTE</v>
      </c>
      <c r="FO17" s="3"/>
      <c r="FP17" s="4">
        <v>45724</v>
      </c>
      <c r="FQ17" s="4">
        <f>DATE(YEAR(FP17)+2,MONTH(FP17),DAY(FP17)-1)</f>
        <v>46453</v>
      </c>
      <c r="FR17" s="8">
        <f t="shared" ca="1" si="69"/>
        <v>319</v>
      </c>
      <c r="FS17" s="5" t="str">
        <f t="shared" ca="1" si="70"/>
        <v>VIGENTE</v>
      </c>
      <c r="FT17" s="3"/>
      <c r="FU17" s="4">
        <v>45941</v>
      </c>
      <c r="FV17" s="4">
        <f>DATE(YEAR(FU17)+2,MONTH(FU17),DAY(FU17))</f>
        <v>46671</v>
      </c>
      <c r="FW17" s="8">
        <f t="shared" ca="1" si="71"/>
        <v>537</v>
      </c>
      <c r="FX17" s="5" t="str">
        <f t="shared" ca="1" si="72"/>
        <v>VIGENTE</v>
      </c>
      <c r="FY17" s="3"/>
      <c r="FZ17" s="4">
        <v>45715</v>
      </c>
      <c r="GA17" s="4">
        <f>DATE(YEAR(FZ17)+2,MONTH(FZ17),DAY(FZ17)-1)</f>
        <v>46444</v>
      </c>
      <c r="GB17" s="8">
        <f t="shared" ca="1" si="73"/>
        <v>310</v>
      </c>
      <c r="GC17" s="5" t="str">
        <f t="shared" ca="1" si="74"/>
        <v>VIGENTE</v>
      </c>
      <c r="GD17" s="3"/>
      <c r="GE17" s="4">
        <v>45672</v>
      </c>
      <c r="GF17" s="4">
        <f>DATE(YEAR(GE17)+2,MONTH(GE17),DAY(GE17)-1)</f>
        <v>46401</v>
      </c>
      <c r="GG17" s="8">
        <f t="shared" ca="1" si="75"/>
        <v>267</v>
      </c>
      <c r="GH17" s="5" t="str">
        <f t="shared" ca="1" si="76"/>
        <v>VIGENTE</v>
      </c>
      <c r="GI17" s="3"/>
      <c r="GJ17" s="4">
        <v>45945</v>
      </c>
      <c r="GK17" s="4">
        <f>DATE(YEAR(GJ17)+2,MONTH(GJ17),DAY(GJ17))</f>
        <v>46675</v>
      </c>
      <c r="GL17" s="8">
        <f t="shared" ca="1" si="77"/>
        <v>541</v>
      </c>
      <c r="GM17" s="5" t="str">
        <f t="shared" ca="1" si="78"/>
        <v>VIGENTE</v>
      </c>
      <c r="GN17" s="4"/>
      <c r="GO17" s="4">
        <v>44952</v>
      </c>
      <c r="GP17" s="4">
        <f t="shared" si="79"/>
        <v>46778</v>
      </c>
      <c r="GQ17" s="8">
        <f t="shared" ca="1" si="181"/>
        <v>644</v>
      </c>
      <c r="GR17" s="5" t="str">
        <f t="shared" ca="1" si="81"/>
        <v>VIGENTE</v>
      </c>
      <c r="GS17" s="3"/>
      <c r="GT17" s="4">
        <v>45252</v>
      </c>
      <c r="GU17" s="4">
        <f t="shared" si="82"/>
        <v>47079</v>
      </c>
      <c r="GV17" s="8">
        <f t="shared" ca="1" si="83"/>
        <v>945</v>
      </c>
      <c r="GW17" s="5" t="str">
        <f t="shared" ca="1" si="84"/>
        <v>VIGENTE</v>
      </c>
      <c r="GX17" s="3"/>
      <c r="GY17" s="4">
        <v>45251</v>
      </c>
      <c r="GZ17" s="4">
        <f t="shared" si="85"/>
        <v>47078</v>
      </c>
      <c r="HA17" s="8">
        <f t="shared" ca="1" si="86"/>
        <v>944</v>
      </c>
      <c r="HB17" s="5" t="str">
        <f t="shared" ca="1" si="87"/>
        <v>VIGENTE</v>
      </c>
      <c r="HC17" s="6"/>
      <c r="HD17" s="4">
        <v>45094</v>
      </c>
      <c r="HE17" s="4">
        <f t="shared" si="88"/>
        <v>46921</v>
      </c>
      <c r="HF17" s="8">
        <f t="shared" ca="1" si="89"/>
        <v>787</v>
      </c>
      <c r="HG17" s="5" t="str">
        <f t="shared" ca="1" si="182"/>
        <v>VIGENTE</v>
      </c>
      <c r="HH17" s="2"/>
      <c r="HI17" s="6"/>
      <c r="HJ17" s="4"/>
      <c r="HK17" s="8"/>
      <c r="HL17" s="5" t="str">
        <f t="shared" si="91"/>
        <v>NO APLICA</v>
      </c>
      <c r="HM17" s="2"/>
      <c r="HN17" s="2"/>
      <c r="HO17" s="4"/>
      <c r="HP17" s="2"/>
      <c r="HQ17" s="5" t="str">
        <f t="shared" si="92"/>
        <v>NO APLICA</v>
      </c>
      <c r="HR17" s="2"/>
      <c r="HS17" s="4">
        <v>45089</v>
      </c>
      <c r="HT17" s="4">
        <f>DATE(YEAR(HS17)+5,MONTH(HS17),DAY(HS17))</f>
        <v>46916</v>
      </c>
      <c r="HU17" s="8">
        <f ca="1">HT17-TODAY()</f>
        <v>782</v>
      </c>
      <c r="HV17" s="5" t="str">
        <f t="shared" ca="1" si="93"/>
        <v>VIGENTE</v>
      </c>
      <c r="HW17" s="2"/>
      <c r="HX17" s="4">
        <v>45092</v>
      </c>
      <c r="HY17" s="4">
        <f>DATE(YEAR(HX17)+5,MONTH(HX17),DAY(HX17))</f>
        <v>46919</v>
      </c>
      <c r="HZ17" s="8">
        <f ca="1">HY17-TODAY()</f>
        <v>785</v>
      </c>
      <c r="IA17" s="5" t="str">
        <f t="shared" ca="1" si="94"/>
        <v>VIGENTE</v>
      </c>
      <c r="IB17" s="2"/>
      <c r="IC17" s="4">
        <v>44972</v>
      </c>
      <c r="ID17" s="4">
        <f>DATE(YEAR(IC17)+5,MONTH(IC17),DAY(IC17))</f>
        <v>46798</v>
      </c>
      <c r="IE17" s="8">
        <f ca="1">ID17-TODAY()</f>
        <v>664</v>
      </c>
      <c r="IF17" s="5" t="str">
        <f t="shared" ca="1" si="95"/>
        <v>VIGENTE</v>
      </c>
      <c r="IG17" s="6"/>
      <c r="IH17" s="4">
        <v>45009</v>
      </c>
      <c r="II17" s="4">
        <f>DATE(YEAR(IH17)+5,MONTH(IH17),DAY(IH17))</f>
        <v>46836</v>
      </c>
      <c r="IJ17" s="8">
        <f ca="1">II17-TODAY()</f>
        <v>702</v>
      </c>
      <c r="IK17" s="5" t="str">
        <f t="shared" ca="1" si="96"/>
        <v>VIGENTE</v>
      </c>
      <c r="IL17" s="2"/>
      <c r="IM17" s="4">
        <v>44977</v>
      </c>
      <c r="IN17" s="4">
        <f>DATE(YEAR(IM17)+5,MONTH(IM17),DAY(IM17))</f>
        <v>46803</v>
      </c>
      <c r="IO17" s="8">
        <f ca="1">IN17-TODAY()</f>
        <v>669</v>
      </c>
      <c r="IP17" s="5" t="str">
        <f t="shared" ca="1" si="97"/>
        <v>VIGENTE</v>
      </c>
      <c r="IQ17" s="2"/>
      <c r="IR17" s="4">
        <v>45013</v>
      </c>
      <c r="IS17" s="4">
        <f>DATE(YEAR(IR17)+5,MONTH(IR17),DAY(IR17))</f>
        <v>46840</v>
      </c>
      <c r="IT17" s="8">
        <f ca="1">IS17-TODAY()</f>
        <v>706</v>
      </c>
      <c r="IU17" s="5" t="str">
        <f t="shared" ca="1" si="98"/>
        <v>VIGENTE</v>
      </c>
      <c r="IV17" s="2"/>
      <c r="IW17" s="4">
        <v>44973</v>
      </c>
      <c r="IX17" s="4">
        <f>DATE(YEAR(IW17)+5,MONTH(IW17),DAY(IW17))</f>
        <v>46799</v>
      </c>
      <c r="IY17" s="8">
        <f ca="1">IX17-TODAY()</f>
        <v>665</v>
      </c>
      <c r="IZ17" s="5" t="str">
        <f t="shared" ca="1" si="99"/>
        <v>VIGENTE</v>
      </c>
      <c r="JA17" s="3"/>
      <c r="JB17" s="3"/>
      <c r="JC17" s="4"/>
      <c r="JD17" s="8"/>
      <c r="JE17" s="5" t="str">
        <f t="shared" si="100"/>
        <v>NO APLICA</v>
      </c>
      <c r="JF17" s="6"/>
      <c r="JG17" s="6"/>
      <c r="JH17" s="6"/>
      <c r="JI17" s="6"/>
      <c r="JJ17" s="5" t="str">
        <f t="shared" si="101"/>
        <v>NO APLICA</v>
      </c>
      <c r="JK17" s="6"/>
      <c r="JL17" s="6"/>
      <c r="JM17" s="6"/>
      <c r="JN17" s="6"/>
      <c r="JO17" s="5" t="str">
        <f t="shared" si="102"/>
        <v>NO APLICA</v>
      </c>
      <c r="JP17" s="6"/>
      <c r="JQ17" s="6"/>
      <c r="JR17" s="6"/>
      <c r="JS17" s="6"/>
      <c r="JT17" s="5" t="str">
        <f t="shared" si="103"/>
        <v>NO APLICA</v>
      </c>
      <c r="JU17" s="5"/>
      <c r="JV17" s="5"/>
      <c r="JW17" s="5"/>
      <c r="JX17" s="5"/>
      <c r="JY17" s="5" t="str">
        <f t="shared" si="104"/>
        <v>NO APLICA</v>
      </c>
      <c r="JZ17" s="5"/>
      <c r="KA17" s="2"/>
      <c r="KB17" s="4"/>
      <c r="KC17" s="8"/>
      <c r="KD17" s="5" t="str">
        <f t="shared" si="105"/>
        <v>NO APLICA</v>
      </c>
      <c r="KE17" s="5"/>
      <c r="KF17" s="2"/>
      <c r="KG17" s="4"/>
      <c r="KH17" s="8"/>
      <c r="KI17" s="5" t="str">
        <f t="shared" si="141"/>
        <v>NO APLICA</v>
      </c>
      <c r="KJ17" s="5"/>
      <c r="KK17" s="2"/>
      <c r="KL17" s="4"/>
      <c r="KM17" s="8"/>
      <c r="KN17" s="5" t="str">
        <f t="shared" si="106"/>
        <v>NO APLICA</v>
      </c>
      <c r="KO17" s="5"/>
      <c r="KP17" s="2"/>
      <c r="KQ17" s="4"/>
      <c r="KR17" s="8"/>
      <c r="KS17" s="5" t="str">
        <f t="shared" si="142"/>
        <v>NO APLICA</v>
      </c>
      <c r="KT17" s="2"/>
      <c r="KU17" s="6"/>
      <c r="KV17" s="4"/>
      <c r="KW17" s="8"/>
      <c r="KX17" s="5" t="str">
        <f t="shared" si="156"/>
        <v>NO APLICA</v>
      </c>
      <c r="KY17" s="5"/>
      <c r="KZ17" s="4">
        <v>44608</v>
      </c>
      <c r="LA17" s="4">
        <f>DATE(YEAR(KZ17)+5,MONTH(KZ17),DAY(KZ17))</f>
        <v>46434</v>
      </c>
      <c r="LB17" s="8">
        <f ca="1">LA17-TODAY()</f>
        <v>300</v>
      </c>
      <c r="LC17" s="5" t="str">
        <f t="shared" ca="1" si="143"/>
        <v>VIGENTE</v>
      </c>
      <c r="LD17" s="6"/>
      <c r="LE17" s="6"/>
      <c r="LF17" s="4"/>
      <c r="LG17" s="8"/>
      <c r="LH17" s="5" t="str">
        <f t="shared" si="107"/>
        <v>NO APLICA</v>
      </c>
      <c r="LI17" s="5"/>
      <c r="LJ17" s="5"/>
      <c r="LK17" s="4"/>
      <c r="LL17" s="8"/>
      <c r="LM17" s="5" t="str">
        <f t="shared" si="157"/>
        <v>NO APLICA</v>
      </c>
      <c r="LN17" s="2"/>
      <c r="LO17" s="6"/>
      <c r="LP17" s="4"/>
      <c r="LQ17" s="8"/>
      <c r="LR17" s="5" t="str">
        <f t="shared" si="144"/>
        <v>NO APLICA</v>
      </c>
      <c r="LS17" s="4"/>
      <c r="LT17" s="4">
        <v>44986</v>
      </c>
      <c r="LU17" s="4">
        <f>DATE(YEAR(LT17)+5,MONTH(LT17),DAY(LT17))</f>
        <v>46813</v>
      </c>
      <c r="LV17" s="8">
        <f ca="1">LU17-TODAY()</f>
        <v>679</v>
      </c>
      <c r="LW17" s="5" t="str">
        <f t="shared" ca="1" si="145"/>
        <v>VIGENTE</v>
      </c>
      <c r="LX17" s="4"/>
      <c r="LY17" s="4">
        <v>44988</v>
      </c>
      <c r="LZ17" s="4">
        <f>DATE(YEAR(LY17)+5,MONTH(LY17),DAY(LY17))</f>
        <v>46815</v>
      </c>
      <c r="MA17" s="8">
        <f ca="1">LZ17-TODAY()</f>
        <v>681</v>
      </c>
      <c r="MB17" s="5" t="str">
        <f t="shared" ca="1" si="146"/>
        <v>VIGENTE</v>
      </c>
      <c r="MC17" s="3"/>
      <c r="MD17" s="4">
        <v>44998</v>
      </c>
      <c r="ME17" s="4">
        <f>DATE(YEAR(MD17)+5,MONTH(MD17),DAY(MD17))</f>
        <v>46825</v>
      </c>
      <c r="MF17" s="8">
        <f ca="1">ME17-TODAY()</f>
        <v>691</v>
      </c>
      <c r="MG17" s="5" t="str">
        <f t="shared" ca="1" si="108"/>
        <v>VIGENTE</v>
      </c>
      <c r="MH17" s="2"/>
      <c r="MI17" s="2"/>
      <c r="MJ17" s="4"/>
      <c r="MK17" s="8"/>
      <c r="ML17" s="5" t="str">
        <f t="shared" si="109"/>
        <v>NO APLICA</v>
      </c>
      <c r="MM17" s="5"/>
      <c r="MN17" s="3">
        <v>45154</v>
      </c>
      <c r="MO17" s="4">
        <f>DATE(YEAR(MN17)+5,MONTH(MN17),DAY(MN17))</f>
        <v>46981</v>
      </c>
      <c r="MP17" s="8">
        <f ca="1">MO17-TODAY()</f>
        <v>847</v>
      </c>
      <c r="MQ17" s="5" t="str">
        <f t="shared" ca="1" si="110"/>
        <v>VIGENTE</v>
      </c>
      <c r="MR17" s="5"/>
      <c r="MS17" s="3">
        <v>45155</v>
      </c>
      <c r="MT17" s="4">
        <f>DATE(YEAR(MS17)+5,MONTH(MS17),DAY(MS17))</f>
        <v>46982</v>
      </c>
      <c r="MU17" s="8">
        <f ca="1">MT17-TODAY()</f>
        <v>848</v>
      </c>
      <c r="MV17" s="5" t="str">
        <f t="shared" ca="1" si="111"/>
        <v>VIGENTE</v>
      </c>
      <c r="MW17" s="2"/>
      <c r="MX17" s="6"/>
      <c r="MY17" s="4"/>
      <c r="MZ17" s="8"/>
      <c r="NA17" s="5" t="str">
        <f t="shared" si="112"/>
        <v>NO APLICA</v>
      </c>
      <c r="NB17" s="2"/>
      <c r="NC17" s="6"/>
      <c r="ND17" s="4"/>
      <c r="NE17" s="8"/>
      <c r="NF17" s="5" t="str">
        <f t="shared" si="113"/>
        <v>NO APLICA</v>
      </c>
      <c r="NG17" s="2"/>
      <c r="NH17" s="6"/>
      <c r="NI17" s="4"/>
      <c r="NJ17" s="8"/>
      <c r="NK17" s="5" t="str">
        <f t="shared" si="114"/>
        <v>NO APLICA</v>
      </c>
      <c r="NL17" s="2"/>
      <c r="NM17" s="2"/>
      <c r="NN17" s="4"/>
      <c r="NO17" s="8"/>
      <c r="NP17" s="5" t="str">
        <f t="shared" si="115"/>
        <v>NO APLICA</v>
      </c>
      <c r="NQ17" s="2"/>
      <c r="NR17" s="2"/>
      <c r="NS17" s="4"/>
      <c r="NT17" s="2"/>
      <c r="NU17" s="5" t="str">
        <f t="shared" si="116"/>
        <v>NO APLICA</v>
      </c>
      <c r="NV17" s="6"/>
      <c r="NW17" s="6"/>
      <c r="NX17" s="4"/>
      <c r="NY17" s="8"/>
      <c r="NZ17" s="5" t="str">
        <f t="shared" si="117"/>
        <v>NO APLICA</v>
      </c>
      <c r="OA17" s="6"/>
      <c r="OB17" s="6"/>
      <c r="OC17" s="6"/>
      <c r="OD17" s="6"/>
      <c r="OE17" s="5" t="str">
        <f t="shared" si="118"/>
        <v>NO APLICA</v>
      </c>
      <c r="OF17" s="2"/>
      <c r="OG17" s="2"/>
      <c r="OH17" s="4"/>
      <c r="OI17" s="8"/>
      <c r="OJ17" s="5" t="str">
        <f t="shared" si="119"/>
        <v>NO APLICA</v>
      </c>
      <c r="OK17" s="6"/>
      <c r="OL17" s="6"/>
      <c r="OM17" s="6"/>
      <c r="ON17" s="6"/>
      <c r="OO17" s="5" t="str">
        <f t="shared" si="120"/>
        <v>NO APLICA</v>
      </c>
      <c r="OP17" s="6"/>
      <c r="OQ17" s="6"/>
      <c r="OR17" s="6"/>
      <c r="OS17" s="6"/>
      <c r="OT17" s="5" t="str">
        <f t="shared" si="121"/>
        <v>NO APLICA</v>
      </c>
      <c r="OU17" s="6"/>
      <c r="OV17" s="6"/>
      <c r="OW17" s="6"/>
      <c r="OX17" s="6"/>
      <c r="OY17" s="5" t="str">
        <f t="shared" si="122"/>
        <v>NO APLICA</v>
      </c>
      <c r="OZ17" s="6"/>
      <c r="PA17" s="6"/>
      <c r="PB17" s="6"/>
      <c r="PC17" s="6"/>
      <c r="PD17" s="5" t="str">
        <f t="shared" si="123"/>
        <v>NO APLICA</v>
      </c>
      <c r="PE17" s="6"/>
      <c r="PF17" s="6"/>
      <c r="PG17" s="6"/>
      <c r="PH17" s="6"/>
      <c r="PI17" s="5" t="str">
        <f t="shared" si="124"/>
        <v>NO APLICA</v>
      </c>
      <c r="PJ17" s="5"/>
      <c r="PK17" s="6"/>
      <c r="PL17" s="4"/>
      <c r="PM17" s="8"/>
      <c r="PN17" s="5" t="str">
        <f t="shared" si="125"/>
        <v>NO APLICA</v>
      </c>
      <c r="PO17" s="6"/>
      <c r="PP17" s="6"/>
      <c r="PQ17" s="6"/>
      <c r="PR17" s="6"/>
      <c r="PS17" s="5" t="str">
        <f t="shared" si="126"/>
        <v>NO APLICA</v>
      </c>
      <c r="PT17" s="5"/>
      <c r="PU17" s="4">
        <v>46126</v>
      </c>
      <c r="PV17" s="4">
        <f t="shared" ref="PV17:PV19" si="184">DATE(YEAR(PU17)+1,MONTH(PU17),DAY(PU17))</f>
        <v>46491</v>
      </c>
      <c r="PW17" s="8">
        <f t="shared" ref="PW17:PW19" ca="1" si="185">PV17-TODAY()</f>
        <v>357</v>
      </c>
      <c r="PX17" s="5" t="str">
        <f t="shared" ca="1" si="127"/>
        <v>VIGENTE</v>
      </c>
    </row>
    <row r="18" spans="1:440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117</v>
      </c>
      <c r="V18" s="4">
        <v>45337</v>
      </c>
      <c r="W18" s="4">
        <f t="shared" si="2"/>
        <v>47164</v>
      </c>
      <c r="X18" s="8">
        <f t="shared" ca="1" si="3"/>
        <v>1030</v>
      </c>
      <c r="Y18" s="5" t="str">
        <f t="shared" ca="1" si="4"/>
        <v>VIGENTE</v>
      </c>
      <c r="Z18" s="2"/>
      <c r="AA18" s="6"/>
      <c r="AB18" s="4"/>
      <c r="AC18" s="8"/>
      <c r="AD18" s="5" t="str">
        <f t="shared" si="7"/>
        <v>NO APLICA</v>
      </c>
      <c r="AE18" s="3"/>
      <c r="AF18" s="4">
        <v>45902</v>
      </c>
      <c r="AG18" s="4">
        <f>DATE(YEAR(AF18)+2,MONTH(AF18),DAY(AF18))</f>
        <v>46632</v>
      </c>
      <c r="AH18" s="8">
        <f t="shared" ca="1" si="8"/>
        <v>498</v>
      </c>
      <c r="AI18" s="5" t="str">
        <f t="shared" ca="1" si="9"/>
        <v>VIGENTE</v>
      </c>
      <c r="AJ18" s="3"/>
      <c r="AK18" s="4">
        <v>45748</v>
      </c>
      <c r="AL18" s="4">
        <f>DATE(YEAR(AK18)+2,MONTH(AK18),DAY(AK18)-1)</f>
        <v>46477</v>
      </c>
      <c r="AM18" s="8">
        <f t="shared" ca="1" si="10"/>
        <v>343</v>
      </c>
      <c r="AN18" s="5" t="str">
        <f t="shared" ca="1" si="11"/>
        <v>VIGENTE</v>
      </c>
      <c r="AO18" s="3"/>
      <c r="AP18" s="4">
        <v>45904</v>
      </c>
      <c r="AQ18" s="4">
        <f t="shared" si="183"/>
        <v>46634</v>
      </c>
      <c r="AR18" s="8">
        <f t="shared" ca="1" si="12"/>
        <v>500</v>
      </c>
      <c r="AS18" s="5" t="str">
        <f t="shared" ca="1" si="13"/>
        <v>VIGENTE</v>
      </c>
      <c r="AT18" s="3"/>
      <c r="AU18" s="4">
        <v>45906</v>
      </c>
      <c r="AV18" s="4">
        <f>DATE(YEAR(AU18)+2,MONTH(AU18),DAY(AU18))</f>
        <v>46636</v>
      </c>
      <c r="AW18" s="8">
        <f t="shared" ca="1" si="15"/>
        <v>502</v>
      </c>
      <c r="AX18" s="5" t="str">
        <f t="shared" ca="1" si="16"/>
        <v>VIGENTE</v>
      </c>
      <c r="AY18" s="3"/>
      <c r="AZ18" s="4">
        <v>45901</v>
      </c>
      <c r="BA18" s="4">
        <f>DATE(YEAR(AZ18)+2,MONTH(AZ18),DAY(AZ18))</f>
        <v>46631</v>
      </c>
      <c r="BB18" s="8">
        <f t="shared" ca="1" si="17"/>
        <v>497</v>
      </c>
      <c r="BC18" s="5" t="str">
        <f t="shared" ca="1" si="18"/>
        <v>VIGENTE</v>
      </c>
      <c r="BD18" s="3"/>
      <c r="BE18" s="4">
        <v>45826</v>
      </c>
      <c r="BF18" s="4">
        <f>DATE(YEAR(BE18)+2,MONTH(BE18),DAY(BE18))</f>
        <v>46556</v>
      </c>
      <c r="BG18" s="8">
        <f t="shared" ca="1" si="19"/>
        <v>422</v>
      </c>
      <c r="BH18" s="5" t="str">
        <f t="shared" ca="1" si="20"/>
        <v>VIGENTE</v>
      </c>
      <c r="BI18" s="3"/>
      <c r="BJ18" s="4">
        <v>45759</v>
      </c>
      <c r="BK18" s="4">
        <f>DATE(YEAR(BJ18)+2,MONTH(BJ18),DAY(BJ18)-1)</f>
        <v>46488</v>
      </c>
      <c r="BL18" s="8">
        <f t="shared" ca="1" si="21"/>
        <v>354</v>
      </c>
      <c r="BM18" s="5" t="str">
        <f t="shared" ca="1" si="22"/>
        <v>VIGENTE</v>
      </c>
      <c r="BN18" s="3"/>
      <c r="BO18" s="4">
        <v>45841</v>
      </c>
      <c r="BP18" s="4">
        <f>DATE(YEAR(BO18)+2,MONTH(BO18),DAY(BO18))</f>
        <v>46571</v>
      </c>
      <c r="BQ18" s="8">
        <f t="shared" ca="1" si="23"/>
        <v>437</v>
      </c>
      <c r="BR18" s="5" t="str">
        <f t="shared" ca="1" si="24"/>
        <v>VIGENTE</v>
      </c>
      <c r="BS18" s="3"/>
      <c r="BT18" s="4">
        <v>45853</v>
      </c>
      <c r="BU18" s="4">
        <f>DATE(YEAR(BT18)+2,MONTH(BT18),DAY(BT18))</f>
        <v>46583</v>
      </c>
      <c r="BV18" s="8">
        <f t="shared" ca="1" si="25"/>
        <v>449</v>
      </c>
      <c r="BW18" s="5" t="str">
        <f t="shared" ca="1" si="26"/>
        <v>VIGENTE</v>
      </c>
      <c r="BX18" s="2"/>
      <c r="BY18" s="4">
        <v>45770</v>
      </c>
      <c r="BZ18" s="4">
        <f t="shared" si="178"/>
        <v>46500</v>
      </c>
      <c r="CA18" s="8">
        <f t="shared" ca="1" si="27"/>
        <v>366</v>
      </c>
      <c r="CB18" s="5" t="str">
        <f t="shared" ca="1" si="28"/>
        <v>VIGENTE</v>
      </c>
      <c r="CC18" s="6" t="s">
        <v>68</v>
      </c>
      <c r="CD18" s="4">
        <v>45828</v>
      </c>
      <c r="CE18" s="4">
        <f t="shared" si="29"/>
        <v>47289</v>
      </c>
      <c r="CF18" s="8">
        <f t="shared" ca="1" si="30"/>
        <v>1155</v>
      </c>
      <c r="CG18" s="5" t="str">
        <f t="shared" ca="1" si="31"/>
        <v>VIGENTE</v>
      </c>
      <c r="CH18" s="4"/>
      <c r="CI18" s="4">
        <v>45801</v>
      </c>
      <c r="CJ18" s="4">
        <f t="shared" si="180"/>
        <v>46530</v>
      </c>
      <c r="CK18" s="8">
        <f t="shared" ca="1" si="32"/>
        <v>396</v>
      </c>
      <c r="CL18" s="5" t="str">
        <f t="shared" ca="1" si="33"/>
        <v>VIGENTE</v>
      </c>
      <c r="CM18" s="3"/>
      <c r="CN18" s="4">
        <v>45888</v>
      </c>
      <c r="CO18" s="4">
        <f>DATE(YEAR(CN18)+2,MONTH(CN18),DAY(CN18))</f>
        <v>46618</v>
      </c>
      <c r="CP18" s="8">
        <f t="shared" ca="1" si="34"/>
        <v>484</v>
      </c>
      <c r="CQ18" s="5" t="str">
        <f t="shared" ca="1" si="35"/>
        <v>VIGENTE</v>
      </c>
      <c r="CR18" s="3"/>
      <c r="CS18" s="4">
        <v>45805</v>
      </c>
      <c r="CT18" s="4">
        <f>DATE(YEAR(CS18)+2,MONTH(CS18),DAY(CS18))</f>
        <v>46535</v>
      </c>
      <c r="CU18" s="8">
        <f t="shared" ca="1" si="36"/>
        <v>401</v>
      </c>
      <c r="CV18" s="5" t="str">
        <f t="shared" ca="1" si="37"/>
        <v>VIGENTE</v>
      </c>
      <c r="CW18" s="3"/>
      <c r="CX18" s="4">
        <v>45835</v>
      </c>
      <c r="CY18" s="4">
        <f>DATE(YEAR(CX18)+2,MONTH(CX18),DAY(CX18))</f>
        <v>46565</v>
      </c>
      <c r="CZ18" s="8">
        <f t="shared" ca="1" si="38"/>
        <v>431</v>
      </c>
      <c r="DA18" s="5" t="str">
        <f t="shared" ca="1" si="39"/>
        <v>VIGENTE</v>
      </c>
      <c r="DB18" s="3"/>
      <c r="DC18" s="4">
        <v>45761</v>
      </c>
      <c r="DD18" s="4">
        <f>DATE(YEAR(DC18)+2,MONTH(DC18),DAY(DC18))</f>
        <v>46491</v>
      </c>
      <c r="DE18" s="8">
        <f t="shared" ca="1" si="40"/>
        <v>357</v>
      </c>
      <c r="DF18" s="5" t="str">
        <f t="shared" ca="1" si="41"/>
        <v>VIGENTE</v>
      </c>
      <c r="DG18" s="3"/>
      <c r="DH18" s="4">
        <v>45798</v>
      </c>
      <c r="DI18" s="4">
        <f>DATE(YEAR(DH18)+2,MONTH(DH18),DAY(DH18))</f>
        <v>46528</v>
      </c>
      <c r="DJ18" s="8">
        <f t="shared" ca="1" si="43"/>
        <v>394</v>
      </c>
      <c r="DK18" s="5" t="str">
        <f t="shared" ca="1" si="44"/>
        <v>VIGENTE</v>
      </c>
      <c r="DL18" s="4"/>
      <c r="DM18" s="4">
        <v>45873</v>
      </c>
      <c r="DN18" s="4">
        <f>DATE(YEAR(DM18)+2,MONTH(DM18),DAY(DM18))</f>
        <v>46603</v>
      </c>
      <c r="DO18" s="8">
        <f t="shared" ca="1" si="46"/>
        <v>469</v>
      </c>
      <c r="DP18" s="5" t="str">
        <f t="shared" ca="1" si="47"/>
        <v>VIGENTE</v>
      </c>
      <c r="DQ18" s="3"/>
      <c r="DR18" s="4">
        <v>45800</v>
      </c>
      <c r="DS18" s="4">
        <f>DATE(YEAR(DR18)+2,MONTH(DR18),DAY(DR18)-1)</f>
        <v>46529</v>
      </c>
      <c r="DT18" s="8">
        <f t="shared" ca="1" si="48"/>
        <v>395</v>
      </c>
      <c r="DU18" s="5" t="str">
        <f t="shared" ca="1" si="49"/>
        <v>VIGENTE</v>
      </c>
      <c r="DV18" s="3"/>
      <c r="DW18" s="4">
        <v>45804</v>
      </c>
      <c r="DX18" s="4">
        <f>DATE(YEAR(DW18)+2,MONTH(DW18),DAY(DW18))</f>
        <v>46534</v>
      </c>
      <c r="DY18" s="8">
        <f t="shared" ca="1" si="50"/>
        <v>400</v>
      </c>
      <c r="DZ18" s="5" t="str">
        <f t="shared" ca="1" si="51"/>
        <v>VIGENTE</v>
      </c>
      <c r="EA18" s="3"/>
      <c r="EB18" s="4">
        <v>45787</v>
      </c>
      <c r="EC18" s="4">
        <f>DATE(YEAR(EB18)+2,MONTH(EB18),DAY(EB18))</f>
        <v>46517</v>
      </c>
      <c r="ED18" s="8">
        <f t="shared" ca="1" si="52"/>
        <v>383</v>
      </c>
      <c r="EE18" s="5" t="str">
        <f t="shared" ca="1" si="53"/>
        <v>VIGENTE</v>
      </c>
      <c r="EF18" s="3"/>
      <c r="EG18" s="3">
        <v>45911</v>
      </c>
      <c r="EH18" s="4">
        <f t="shared" si="137"/>
        <v>46276</v>
      </c>
      <c r="EI18" s="8">
        <f t="shared" ca="1" si="54"/>
        <v>142</v>
      </c>
      <c r="EJ18" s="5" t="str">
        <f t="shared" ca="1" si="55"/>
        <v>VIGENTE</v>
      </c>
      <c r="EK18" s="3"/>
      <c r="EL18" s="4">
        <v>45840</v>
      </c>
      <c r="EM18" s="4">
        <f>DATE(YEAR(EL18)+2,MONTH(EL18),DAY(EL18))</f>
        <v>46570</v>
      </c>
      <c r="EN18" s="8">
        <f t="shared" ca="1" si="56"/>
        <v>436</v>
      </c>
      <c r="EO18" s="5" t="str">
        <f t="shared" ca="1" si="57"/>
        <v>VIGENTE</v>
      </c>
      <c r="EP18" s="3"/>
      <c r="EQ18" s="4">
        <v>45824</v>
      </c>
      <c r="ER18" s="4">
        <f>DATE(YEAR(EQ18)+2,MONTH(EQ18),DAY(EQ18))</f>
        <v>46554</v>
      </c>
      <c r="ES18" s="8">
        <f t="shared" ca="1" si="58"/>
        <v>420</v>
      </c>
      <c r="ET18" s="5" t="str">
        <f t="shared" ca="1" si="59"/>
        <v>VIGENTE</v>
      </c>
      <c r="EU18" s="3"/>
      <c r="EV18" s="4">
        <v>45794</v>
      </c>
      <c r="EW18" s="4">
        <f t="shared" si="151"/>
        <v>46524</v>
      </c>
      <c r="EX18" s="8">
        <f t="shared" ca="1" si="60"/>
        <v>390</v>
      </c>
      <c r="EY18" s="5" t="str">
        <f t="shared" ca="1" si="61"/>
        <v>VIGENTE</v>
      </c>
      <c r="EZ18" s="3"/>
      <c r="FA18" s="4">
        <v>45922</v>
      </c>
      <c r="FB18" s="4">
        <f t="shared" si="179"/>
        <v>46652</v>
      </c>
      <c r="FC18" s="8">
        <f t="shared" ca="1" si="62"/>
        <v>518</v>
      </c>
      <c r="FD18" s="5" t="str">
        <f t="shared" ca="1" si="63"/>
        <v>VIGENTE</v>
      </c>
      <c r="FE18" s="3"/>
      <c r="FF18" s="4">
        <v>45790</v>
      </c>
      <c r="FG18" s="4">
        <f t="shared" si="153"/>
        <v>46520</v>
      </c>
      <c r="FH18" s="8">
        <f t="shared" ca="1" si="64"/>
        <v>386</v>
      </c>
      <c r="FI18" s="5" t="str">
        <f t="shared" ca="1" si="65"/>
        <v>VIGENTE</v>
      </c>
      <c r="FJ18" s="3"/>
      <c r="FK18" s="4">
        <v>45850</v>
      </c>
      <c r="FL18" s="4">
        <f>DATE(YEAR(FK18)+2,MONTH(FK18),DAY(FK18))</f>
        <v>46580</v>
      </c>
      <c r="FM18" s="8">
        <f t="shared" ca="1" si="67"/>
        <v>446</v>
      </c>
      <c r="FN18" s="5" t="str">
        <f t="shared" ca="1" si="68"/>
        <v>VIGENTE</v>
      </c>
      <c r="FO18" s="3"/>
      <c r="FP18" s="4">
        <v>45884</v>
      </c>
      <c r="FQ18" s="4">
        <f>DATE(YEAR(FP18)+2,MONTH(FP18),DAY(FP18))</f>
        <v>46614</v>
      </c>
      <c r="FR18" s="8">
        <f t="shared" ca="1" si="69"/>
        <v>480</v>
      </c>
      <c r="FS18" s="5" t="str">
        <f t="shared" ca="1" si="70"/>
        <v>VIGENTE</v>
      </c>
      <c r="FT18" s="3"/>
      <c r="FU18" s="4">
        <v>45758</v>
      </c>
      <c r="FV18" s="4">
        <f>DATE(YEAR(FU18)+2,MONTH(FU18),DAY(FU18)-1)</f>
        <v>46487</v>
      </c>
      <c r="FW18" s="8">
        <f t="shared" ca="1" si="71"/>
        <v>353</v>
      </c>
      <c r="FX18" s="5" t="str">
        <f t="shared" ca="1" si="72"/>
        <v>VIGENTE</v>
      </c>
      <c r="FY18" s="3"/>
      <c r="FZ18" s="4">
        <v>45874</v>
      </c>
      <c r="GA18" s="4">
        <f>DATE(YEAR(FZ18)+2,MONTH(FZ18),DAY(FZ18))</f>
        <v>46604</v>
      </c>
      <c r="GB18" s="8">
        <f t="shared" ca="1" si="73"/>
        <v>470</v>
      </c>
      <c r="GC18" s="5" t="str">
        <f t="shared" ca="1" si="74"/>
        <v>VIGENTE</v>
      </c>
      <c r="GD18" s="3"/>
      <c r="GE18" s="4">
        <v>45912</v>
      </c>
      <c r="GF18" s="4">
        <f>DATE(YEAR(GE18)+2,MONTH(GE18),DAY(GE18))</f>
        <v>46642</v>
      </c>
      <c r="GG18" s="8">
        <f t="shared" ca="1" si="75"/>
        <v>508</v>
      </c>
      <c r="GH18" s="5" t="str">
        <f t="shared" ca="1" si="76"/>
        <v>VIGENTE</v>
      </c>
      <c r="GI18" s="3"/>
      <c r="GJ18" s="4">
        <v>45945</v>
      </c>
      <c r="GK18" s="4">
        <f>DATE(YEAR(GJ18)+2,MONTH(GJ18),DAY(GJ18))</f>
        <v>46675</v>
      </c>
      <c r="GL18" s="8">
        <f t="shared" ca="1" si="77"/>
        <v>541</v>
      </c>
      <c r="GM18" s="5" t="str">
        <f t="shared" ca="1" si="78"/>
        <v>VIGENTE</v>
      </c>
      <c r="GN18" s="4"/>
      <c r="GO18" s="4">
        <v>45219</v>
      </c>
      <c r="GP18" s="4">
        <f t="shared" si="79"/>
        <v>47046</v>
      </c>
      <c r="GQ18" s="8">
        <f t="shared" ca="1" si="181"/>
        <v>912</v>
      </c>
      <c r="GR18" s="5" t="str">
        <f t="shared" ca="1" si="81"/>
        <v>VIGENTE</v>
      </c>
      <c r="GS18" s="3"/>
      <c r="GT18" s="4">
        <v>45203</v>
      </c>
      <c r="GU18" s="4">
        <f t="shared" si="82"/>
        <v>47030</v>
      </c>
      <c r="GV18" s="8">
        <f t="shared" ca="1" si="83"/>
        <v>896</v>
      </c>
      <c r="GW18" s="5" t="str">
        <f t="shared" ca="1" si="84"/>
        <v>VIGENTE</v>
      </c>
      <c r="GX18" s="2"/>
      <c r="GY18" s="4">
        <v>45174</v>
      </c>
      <c r="GZ18" s="4">
        <f t="shared" si="85"/>
        <v>47001</v>
      </c>
      <c r="HA18" s="8">
        <f t="shared" ca="1" si="86"/>
        <v>867</v>
      </c>
      <c r="HB18" s="5" t="str">
        <f t="shared" ca="1" si="87"/>
        <v>VIGENTE</v>
      </c>
      <c r="HC18" s="6"/>
      <c r="HD18" s="6"/>
      <c r="HE18" s="4"/>
      <c r="HF18" s="8"/>
      <c r="HG18" s="5" t="str">
        <f t="shared" si="182"/>
        <v>NO APLICA</v>
      </c>
      <c r="HH18" s="2"/>
      <c r="HI18" s="6"/>
      <c r="HJ18" s="4"/>
      <c r="HK18" s="8"/>
      <c r="HL18" s="5" t="str">
        <f t="shared" si="91"/>
        <v>NO APLICA</v>
      </c>
      <c r="HM18" s="2"/>
      <c r="HN18" s="5"/>
      <c r="HO18" s="5"/>
      <c r="HP18" s="5"/>
      <c r="HQ18" s="5" t="str">
        <f t="shared" si="92"/>
        <v>NO APLICA</v>
      </c>
      <c r="HR18" s="2"/>
      <c r="HS18" s="6"/>
      <c r="HT18" s="4"/>
      <c r="HU18" s="8"/>
      <c r="HV18" s="5" t="str">
        <f t="shared" si="93"/>
        <v>NO APLICA</v>
      </c>
      <c r="HW18" s="2"/>
      <c r="HX18" s="6"/>
      <c r="HY18" s="4"/>
      <c r="HZ18" s="8"/>
      <c r="IA18" s="5" t="str">
        <f t="shared" si="94"/>
        <v>NO APLICA</v>
      </c>
      <c r="IB18" s="2"/>
      <c r="IC18" s="6"/>
      <c r="ID18" s="4"/>
      <c r="IE18" s="8"/>
      <c r="IF18" s="5" t="str">
        <f t="shared" si="95"/>
        <v>NO APLICA</v>
      </c>
      <c r="IG18" s="6"/>
      <c r="IH18" s="6"/>
      <c r="II18" s="4"/>
      <c r="IJ18" s="8"/>
      <c r="IK18" s="5" t="str">
        <f t="shared" si="96"/>
        <v>NO APLICA</v>
      </c>
      <c r="IL18" s="2"/>
      <c r="IM18" s="6"/>
      <c r="IN18" s="4"/>
      <c r="IO18" s="8"/>
      <c r="IP18" s="5" t="str">
        <f t="shared" si="97"/>
        <v>NO APLICA</v>
      </c>
      <c r="IQ18" s="2"/>
      <c r="IR18" s="6"/>
      <c r="IS18" s="4"/>
      <c r="IT18" s="8"/>
      <c r="IU18" s="5" t="str">
        <f t="shared" si="98"/>
        <v>NO APLICA</v>
      </c>
      <c r="IV18" s="2"/>
      <c r="IW18" s="6"/>
      <c r="IX18" s="4"/>
      <c r="IY18" s="8"/>
      <c r="IZ18" s="5" t="str">
        <f t="shared" si="99"/>
        <v>NO APLICA</v>
      </c>
      <c r="JA18" s="3"/>
      <c r="JB18" s="3"/>
      <c r="JC18" s="4"/>
      <c r="JD18" s="8"/>
      <c r="JE18" s="5" t="str">
        <f t="shared" si="100"/>
        <v>NO APLICA</v>
      </c>
      <c r="JF18" s="6"/>
      <c r="JG18" s="6"/>
      <c r="JH18" s="6"/>
      <c r="JI18" s="6"/>
      <c r="JJ18" s="5" t="str">
        <f t="shared" si="101"/>
        <v>NO APLICA</v>
      </c>
      <c r="JK18" s="6"/>
      <c r="JL18" s="6"/>
      <c r="JM18" s="6"/>
      <c r="JN18" s="6"/>
      <c r="JO18" s="5" t="str">
        <f t="shared" si="102"/>
        <v>NO APLICA</v>
      </c>
      <c r="JP18" s="6"/>
      <c r="JQ18" s="6"/>
      <c r="JR18" s="6"/>
      <c r="JS18" s="6"/>
      <c r="JT18" s="5" t="str">
        <f t="shared" si="103"/>
        <v>NO APLICA</v>
      </c>
      <c r="JU18" s="5"/>
      <c r="JV18" s="5"/>
      <c r="JW18" s="5"/>
      <c r="JX18" s="5"/>
      <c r="JY18" s="5" t="str">
        <f t="shared" si="104"/>
        <v>NO APLICA</v>
      </c>
      <c r="JZ18" s="5"/>
      <c r="KA18" s="5"/>
      <c r="KB18" s="4"/>
      <c r="KC18" s="8"/>
      <c r="KD18" s="5" t="str">
        <f t="shared" si="105"/>
        <v>NO APLICA</v>
      </c>
      <c r="KE18" s="5"/>
      <c r="KF18" s="5"/>
      <c r="KG18" s="4"/>
      <c r="KH18" s="8"/>
      <c r="KI18" s="5" t="str">
        <f t="shared" si="141"/>
        <v>NO APLICA</v>
      </c>
      <c r="KJ18" s="5"/>
      <c r="KK18" s="5"/>
      <c r="KL18" s="4"/>
      <c r="KM18" s="8"/>
      <c r="KN18" s="5" t="str">
        <f t="shared" si="106"/>
        <v>NO APLICA</v>
      </c>
      <c r="KO18" s="5"/>
      <c r="KP18" s="2"/>
      <c r="KQ18" s="4"/>
      <c r="KR18" s="8"/>
      <c r="KS18" s="5" t="str">
        <f t="shared" si="142"/>
        <v>NO APLICA</v>
      </c>
      <c r="KT18" s="2"/>
      <c r="KU18" s="6"/>
      <c r="KV18" s="4"/>
      <c r="KW18" s="8"/>
      <c r="KX18" s="5" t="str">
        <f t="shared" si="156"/>
        <v>NO APLICA</v>
      </c>
      <c r="KY18" s="5"/>
      <c r="KZ18" s="6"/>
      <c r="LA18" s="4"/>
      <c r="LB18" s="8"/>
      <c r="LC18" s="5" t="str">
        <f t="shared" si="143"/>
        <v>NO APLICA</v>
      </c>
      <c r="LD18" s="6"/>
      <c r="LE18" s="6"/>
      <c r="LF18" s="4"/>
      <c r="LG18" s="8"/>
      <c r="LH18" s="5" t="str">
        <f t="shared" si="107"/>
        <v>NO APLICA</v>
      </c>
      <c r="LI18" s="5"/>
      <c r="LJ18" s="5"/>
      <c r="LK18" s="4"/>
      <c r="LL18" s="8"/>
      <c r="LM18" s="5" t="str">
        <f t="shared" si="157"/>
        <v>NO APLICA</v>
      </c>
      <c r="LN18" s="5"/>
      <c r="LO18" s="6"/>
      <c r="LP18" s="4"/>
      <c r="LQ18" s="8"/>
      <c r="LR18" s="5" t="str">
        <f t="shared" si="144"/>
        <v>NO APLICA</v>
      </c>
      <c r="LS18" s="6"/>
      <c r="LT18" s="6"/>
      <c r="LU18" s="4"/>
      <c r="LV18" s="8"/>
      <c r="LW18" s="5" t="str">
        <f t="shared" si="145"/>
        <v>NO APLICA</v>
      </c>
      <c r="LX18" s="6"/>
      <c r="LY18" s="6"/>
      <c r="LZ18" s="4"/>
      <c r="MA18" s="8"/>
      <c r="MB18" s="5" t="str">
        <f t="shared" si="146"/>
        <v>NO APLICA</v>
      </c>
      <c r="MC18" s="5"/>
      <c r="MD18" s="5"/>
      <c r="ME18" s="4"/>
      <c r="MF18" s="8"/>
      <c r="MG18" s="5" t="str">
        <f t="shared" si="108"/>
        <v>NO APLICA</v>
      </c>
      <c r="MH18" s="5"/>
      <c r="MI18" s="5"/>
      <c r="MJ18" s="4"/>
      <c r="MK18" s="8"/>
      <c r="ML18" s="5" t="str">
        <f t="shared" si="109"/>
        <v>NO APLICA</v>
      </c>
      <c r="MM18" s="5"/>
      <c r="MN18" s="5"/>
      <c r="MO18" s="4"/>
      <c r="MP18" s="8"/>
      <c r="MQ18" s="5" t="str">
        <f t="shared" si="110"/>
        <v>NO APLICA</v>
      </c>
      <c r="MR18" s="5"/>
      <c r="MS18" s="5"/>
      <c r="MT18" s="4"/>
      <c r="MU18" s="5"/>
      <c r="MV18" s="5" t="str">
        <f t="shared" si="111"/>
        <v>NO APLICA</v>
      </c>
      <c r="MW18" s="5"/>
      <c r="MX18" s="6"/>
      <c r="MY18" s="4"/>
      <c r="MZ18" s="8"/>
      <c r="NA18" s="5" t="str">
        <f t="shared" si="112"/>
        <v>NO APLICA</v>
      </c>
      <c r="NB18" s="5"/>
      <c r="NC18" s="6"/>
      <c r="ND18" s="4"/>
      <c r="NE18" s="8"/>
      <c r="NF18" s="5" t="str">
        <f t="shared" si="113"/>
        <v>NO APLICA</v>
      </c>
      <c r="NG18" s="5"/>
      <c r="NH18" s="6"/>
      <c r="NI18" s="4"/>
      <c r="NJ18" s="8"/>
      <c r="NK18" s="5" t="str">
        <f t="shared" si="114"/>
        <v>NO APLICA</v>
      </c>
      <c r="NL18" s="5"/>
      <c r="NM18" s="5"/>
      <c r="NN18" s="4"/>
      <c r="NO18" s="8"/>
      <c r="NP18" s="5" t="str">
        <f t="shared" si="115"/>
        <v>NO APLICA</v>
      </c>
      <c r="NQ18" s="5"/>
      <c r="NR18" s="5"/>
      <c r="NS18" s="5"/>
      <c r="NT18" s="5"/>
      <c r="NU18" s="5" t="str">
        <f t="shared" si="116"/>
        <v>NO APLICA</v>
      </c>
      <c r="NV18" s="6"/>
      <c r="NW18" s="6"/>
      <c r="NX18" s="6"/>
      <c r="NY18" s="6"/>
      <c r="NZ18" s="5" t="str">
        <f t="shared" si="117"/>
        <v>NO APLICA</v>
      </c>
      <c r="OA18" s="6"/>
      <c r="OB18" s="6"/>
      <c r="OC18" s="6"/>
      <c r="OD18" s="6"/>
      <c r="OE18" s="5" t="str">
        <f t="shared" si="118"/>
        <v>NO APLICA</v>
      </c>
      <c r="OF18" s="6"/>
      <c r="OG18" s="6"/>
      <c r="OH18" s="4"/>
      <c r="OI18" s="8"/>
      <c r="OJ18" s="5" t="str">
        <f t="shared" si="119"/>
        <v>NO APLICA</v>
      </c>
      <c r="OK18" s="6"/>
      <c r="OL18" s="6"/>
      <c r="OM18" s="6"/>
      <c r="ON18" s="6"/>
      <c r="OO18" s="5" t="str">
        <f t="shared" si="120"/>
        <v>NO APLICA</v>
      </c>
      <c r="OP18" s="6"/>
      <c r="OQ18" s="6"/>
      <c r="OR18" s="6"/>
      <c r="OS18" s="6"/>
      <c r="OT18" s="5" t="str">
        <f t="shared" si="121"/>
        <v>NO APLICA</v>
      </c>
      <c r="OU18" s="6"/>
      <c r="OV18" s="6"/>
      <c r="OW18" s="6"/>
      <c r="OX18" s="6"/>
      <c r="OY18" s="5" t="str">
        <f t="shared" si="122"/>
        <v>NO APLICA</v>
      </c>
      <c r="OZ18" s="6"/>
      <c r="PA18" s="6"/>
      <c r="PB18" s="6"/>
      <c r="PC18" s="6"/>
      <c r="PD18" s="5" t="str">
        <f t="shared" si="123"/>
        <v>NO APLICA</v>
      </c>
      <c r="PE18" s="6"/>
      <c r="PF18" s="6"/>
      <c r="PG18" s="6"/>
      <c r="PH18" s="6"/>
      <c r="PI18" s="5" t="str">
        <f t="shared" si="124"/>
        <v>NO APLICA</v>
      </c>
      <c r="PJ18" s="5"/>
      <c r="PK18" s="6"/>
      <c r="PL18" s="4"/>
      <c r="PM18" s="8"/>
      <c r="PN18" s="5" t="str">
        <f t="shared" si="125"/>
        <v>NO APLICA</v>
      </c>
      <c r="PO18" s="6"/>
      <c r="PP18" s="6"/>
      <c r="PQ18" s="6"/>
      <c r="PR18" s="6"/>
      <c r="PS18" s="5" t="str">
        <f t="shared" si="126"/>
        <v>NO APLICA</v>
      </c>
      <c r="PT18" s="5"/>
      <c r="PU18" s="4">
        <v>46126</v>
      </c>
      <c r="PV18" s="4">
        <f t="shared" si="184"/>
        <v>46491</v>
      </c>
      <c r="PW18" s="8">
        <f t="shared" ca="1" si="185"/>
        <v>357</v>
      </c>
      <c r="PX18" s="5" t="str">
        <f t="shared" ca="1" si="127"/>
        <v>VIGENTE</v>
      </c>
    </row>
    <row r="19" spans="1:440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121</v>
      </c>
      <c r="V19" s="4">
        <v>45135</v>
      </c>
      <c r="W19" s="4">
        <f t="shared" si="2"/>
        <v>46962</v>
      </c>
      <c r="X19" s="8">
        <f t="shared" ca="1" si="3"/>
        <v>828</v>
      </c>
      <c r="Y19" s="5" t="str">
        <f t="shared" ca="1" si="4"/>
        <v>VIGENTE</v>
      </c>
      <c r="Z19" s="6" t="s">
        <v>122</v>
      </c>
      <c r="AA19" s="4">
        <v>45499</v>
      </c>
      <c r="AB19" s="4">
        <f>DATE(YEAR(AA19)+5,MONTH(AA19),DAY(AA19))</f>
        <v>47325</v>
      </c>
      <c r="AC19" s="8">
        <f ca="1">AB19-TODAY()</f>
        <v>1191</v>
      </c>
      <c r="AD19" s="5" t="str">
        <f t="shared" ca="1" si="7"/>
        <v>VIGENTE</v>
      </c>
      <c r="AE19" s="4"/>
      <c r="AF19" s="4">
        <v>45721</v>
      </c>
      <c r="AG19" s="4">
        <f>DATE(YEAR(AF19)+2,MONTH(AF19),DAY(AF19)-1)</f>
        <v>46450</v>
      </c>
      <c r="AH19" s="8">
        <f t="shared" ca="1" si="8"/>
        <v>316</v>
      </c>
      <c r="AI19" s="5" t="str">
        <f t="shared" ca="1" si="9"/>
        <v>VIGENTE</v>
      </c>
      <c r="AJ19" s="6"/>
      <c r="AK19" s="4">
        <v>45490</v>
      </c>
      <c r="AL19" s="4">
        <f>DATE(YEAR(AK19)+2,MONTH(AK19),DAY(AK19)-1)</f>
        <v>46219</v>
      </c>
      <c r="AM19" s="8">
        <f t="shared" ca="1" si="10"/>
        <v>85</v>
      </c>
      <c r="AN19" s="5" t="str">
        <f t="shared" ca="1" si="11"/>
        <v>POR VENCER</v>
      </c>
      <c r="AO19" s="4"/>
      <c r="AP19" s="4">
        <v>45775</v>
      </c>
      <c r="AQ19" s="4">
        <f t="shared" si="183"/>
        <v>46505</v>
      </c>
      <c r="AR19" s="8">
        <f t="shared" ca="1" si="12"/>
        <v>371</v>
      </c>
      <c r="AS19" s="5" t="str">
        <f t="shared" ca="1" si="13"/>
        <v>VIGENTE</v>
      </c>
      <c r="AT19" s="4"/>
      <c r="AU19" s="4">
        <v>45720</v>
      </c>
      <c r="AV19" s="4">
        <f>DATE(YEAR(AU19)+2,MONTH(AU19),DAY(AU19)-1)</f>
        <v>46449</v>
      </c>
      <c r="AW19" s="8">
        <f t="shared" ca="1" si="15"/>
        <v>315</v>
      </c>
      <c r="AX19" s="5" t="str">
        <f t="shared" ca="1" si="16"/>
        <v>VIGENTE</v>
      </c>
      <c r="AY19" s="4"/>
      <c r="AZ19" s="4">
        <v>45773</v>
      </c>
      <c r="BA19" s="4">
        <f>DATE(YEAR(AZ19)+2,MONTH(AZ19),DAY(AZ19))</f>
        <v>46503</v>
      </c>
      <c r="BB19" s="8">
        <f t="shared" ca="1" si="17"/>
        <v>369</v>
      </c>
      <c r="BC19" s="5" t="str">
        <f t="shared" ca="1" si="18"/>
        <v>VIGENTE</v>
      </c>
      <c r="BD19" s="4"/>
      <c r="BE19" s="4">
        <v>45692</v>
      </c>
      <c r="BF19" s="4">
        <f>DATE(YEAR(BE19)+2,MONTH(BE19),DAY(BE19)-1)</f>
        <v>46421</v>
      </c>
      <c r="BG19" s="8">
        <f t="shared" ca="1" si="19"/>
        <v>287</v>
      </c>
      <c r="BH19" s="5" t="str">
        <f t="shared" ca="1" si="20"/>
        <v>VIGENTE</v>
      </c>
      <c r="BI19" s="4"/>
      <c r="BJ19" s="4">
        <v>45693</v>
      </c>
      <c r="BK19" s="4">
        <f>DATE(YEAR(BJ19)+2,MONTH(BJ19),DAY(BJ19)-1)</f>
        <v>46422</v>
      </c>
      <c r="BL19" s="8">
        <f t="shared" ca="1" si="21"/>
        <v>288</v>
      </c>
      <c r="BM19" s="5" t="str">
        <f t="shared" ca="1" si="22"/>
        <v>VIGENTE</v>
      </c>
      <c r="BN19" s="4"/>
      <c r="BO19" s="4">
        <v>45772</v>
      </c>
      <c r="BP19" s="4">
        <f>DATE(YEAR(BO19)+2,MONTH(BO19),DAY(BO19))</f>
        <v>46502</v>
      </c>
      <c r="BQ19" s="8">
        <f t="shared" ca="1" si="23"/>
        <v>368</v>
      </c>
      <c r="BR19" s="5" t="str">
        <f t="shared" ca="1" si="24"/>
        <v>VIGENTE</v>
      </c>
      <c r="BS19" s="4"/>
      <c r="BT19" s="4">
        <v>45776</v>
      </c>
      <c r="BU19" s="4">
        <f>DATE(YEAR(BT19)+2,MONTH(BT19),DAY(BT19))</f>
        <v>46506</v>
      </c>
      <c r="BV19" s="8">
        <f t="shared" ca="1" si="25"/>
        <v>372</v>
      </c>
      <c r="BW19" s="5" t="str">
        <f t="shared" ca="1" si="26"/>
        <v>VIGENTE</v>
      </c>
      <c r="BX19" s="4"/>
      <c r="BY19" s="4">
        <v>45730</v>
      </c>
      <c r="BZ19" s="4">
        <f>DATE(YEAR(BY19)+2,MONTH(BY19),DAY(BY19)-1)</f>
        <v>46459</v>
      </c>
      <c r="CA19" s="8">
        <f t="shared" ca="1" si="27"/>
        <v>325</v>
      </c>
      <c r="CB19" s="5" t="str">
        <f t="shared" ca="1" si="28"/>
        <v>VIGENTE</v>
      </c>
      <c r="CC19" s="6" t="s">
        <v>73</v>
      </c>
      <c r="CD19" s="4">
        <v>45489</v>
      </c>
      <c r="CE19" s="4">
        <f t="shared" si="29"/>
        <v>46950</v>
      </c>
      <c r="CF19" s="8">
        <f t="shared" ca="1" si="30"/>
        <v>816</v>
      </c>
      <c r="CG19" s="5" t="str">
        <f t="shared" ca="1" si="31"/>
        <v>VIGENTE</v>
      </c>
      <c r="CH19" s="4"/>
      <c r="CI19" s="4">
        <v>45723</v>
      </c>
      <c r="CJ19" s="4">
        <f t="shared" si="180"/>
        <v>46452</v>
      </c>
      <c r="CK19" s="8">
        <f t="shared" ca="1" si="32"/>
        <v>318</v>
      </c>
      <c r="CL19" s="5" t="str">
        <f t="shared" ca="1" si="33"/>
        <v>VIGENTE</v>
      </c>
      <c r="CM19" s="4"/>
      <c r="CN19" s="4">
        <v>45726</v>
      </c>
      <c r="CO19" s="4">
        <f>DATE(YEAR(CN19)+2,MONTH(CN19),DAY(CN19)-1)</f>
        <v>46455</v>
      </c>
      <c r="CP19" s="8">
        <f t="shared" ca="1" si="34"/>
        <v>321</v>
      </c>
      <c r="CQ19" s="5" t="str">
        <f t="shared" ca="1" si="35"/>
        <v>VIGENTE</v>
      </c>
      <c r="CR19" s="4"/>
      <c r="CS19" s="4">
        <v>45727</v>
      </c>
      <c r="CT19" s="4">
        <f>DATE(YEAR(CS19)+2,MONTH(CS19),DAY(CS19)-1)</f>
        <v>46456</v>
      </c>
      <c r="CU19" s="8">
        <f t="shared" ca="1" si="36"/>
        <v>322</v>
      </c>
      <c r="CV19" s="5" t="str">
        <f t="shared" ca="1" si="37"/>
        <v>VIGENTE</v>
      </c>
      <c r="CW19" s="4"/>
      <c r="CX19" s="4">
        <v>45744</v>
      </c>
      <c r="CY19" s="4">
        <f>DATE(YEAR(CX19)+2,MONTH(CX19),DAY(CX19)-1)</f>
        <v>46473</v>
      </c>
      <c r="CZ19" s="8">
        <f t="shared" ca="1" si="38"/>
        <v>339</v>
      </c>
      <c r="DA19" s="5" t="str">
        <f t="shared" ca="1" si="39"/>
        <v>VIGENTE</v>
      </c>
      <c r="DB19" s="4"/>
      <c r="DC19" s="4">
        <v>45713</v>
      </c>
      <c r="DD19" s="4">
        <f>DATE(YEAR(DC19)+2,MONTH(DC19),DAY(DC19)-1)</f>
        <v>46442</v>
      </c>
      <c r="DE19" s="8">
        <f t="shared" ca="1" si="40"/>
        <v>308</v>
      </c>
      <c r="DF19" s="5" t="str">
        <f t="shared" ca="1" si="41"/>
        <v>VIGENTE</v>
      </c>
      <c r="DG19" s="4"/>
      <c r="DH19" s="4">
        <v>45798</v>
      </c>
      <c r="DI19" s="4">
        <f>DATE(YEAR(DH19)+2,MONTH(DH19),DAY(DH19))</f>
        <v>46528</v>
      </c>
      <c r="DJ19" s="8">
        <f t="shared" ca="1" si="43"/>
        <v>394</v>
      </c>
      <c r="DK19" s="5" t="str">
        <f t="shared" ca="1" si="44"/>
        <v>VIGENTE</v>
      </c>
      <c r="DL19" s="4"/>
      <c r="DM19" s="4">
        <v>45799</v>
      </c>
      <c r="DN19" s="4">
        <f>DATE(YEAR(DM19)+2,MONTH(DM19),DAY(DM19))</f>
        <v>46529</v>
      </c>
      <c r="DO19" s="8">
        <f t="shared" ca="1" si="46"/>
        <v>395</v>
      </c>
      <c r="DP19" s="5" t="str">
        <f t="shared" ca="1" si="47"/>
        <v>VIGENTE</v>
      </c>
      <c r="DQ19" s="4"/>
      <c r="DR19" s="4">
        <v>45728</v>
      </c>
      <c r="DS19" s="4">
        <f>DATE(YEAR(DR19)+2,MONTH(DR19),DAY(DR19)-1)</f>
        <v>46457</v>
      </c>
      <c r="DT19" s="8">
        <f t="shared" ca="1" si="48"/>
        <v>323</v>
      </c>
      <c r="DU19" s="5" t="str">
        <f t="shared" ca="1" si="49"/>
        <v>VIGENTE</v>
      </c>
      <c r="DV19" s="4"/>
      <c r="DW19" s="4">
        <v>45751</v>
      </c>
      <c r="DX19" s="4">
        <f>DATE(YEAR(DW19)+2,MONTH(DW19),DAY(DW19)-1)</f>
        <v>46480</v>
      </c>
      <c r="DY19" s="8">
        <f t="shared" ca="1" si="50"/>
        <v>346</v>
      </c>
      <c r="DZ19" s="5" t="str">
        <f t="shared" ca="1" si="51"/>
        <v>VIGENTE</v>
      </c>
      <c r="EA19" s="4"/>
      <c r="EB19" s="4">
        <v>45768</v>
      </c>
      <c r="EC19" s="4">
        <f>DATE(YEAR(EB19)+2,MONTH(EB19),DAY(EB19))</f>
        <v>46498</v>
      </c>
      <c r="ED19" s="8">
        <f t="shared" ca="1" si="52"/>
        <v>364</v>
      </c>
      <c r="EE19" s="5" t="str">
        <f t="shared" ca="1" si="53"/>
        <v>VIGENTE</v>
      </c>
      <c r="EF19" s="4"/>
      <c r="EG19" s="4">
        <v>46115</v>
      </c>
      <c r="EH19" s="4">
        <f t="shared" si="137"/>
        <v>46480</v>
      </c>
      <c r="EI19" s="8">
        <f t="shared" ca="1" si="54"/>
        <v>346</v>
      </c>
      <c r="EJ19" s="5" t="str">
        <f t="shared" ca="1" si="55"/>
        <v>VIGENTE</v>
      </c>
      <c r="EK19" s="4"/>
      <c r="EL19" s="4">
        <v>45737</v>
      </c>
      <c r="EM19" s="4">
        <f t="shared" ref="EM19:EM24" si="186">DATE(YEAR(EL19)+2,MONTH(EL19),DAY(EL19)-1)</f>
        <v>46466</v>
      </c>
      <c r="EN19" s="8">
        <f t="shared" ca="1" si="56"/>
        <v>332</v>
      </c>
      <c r="EO19" s="5" t="str">
        <f t="shared" ca="1" si="57"/>
        <v>VIGENTE</v>
      </c>
      <c r="EP19" s="4"/>
      <c r="EQ19" s="4">
        <v>45735</v>
      </c>
      <c r="ER19" s="4">
        <f t="shared" ref="ER19:ER24" si="187">DATE(YEAR(EQ19)+2,MONTH(EQ19),DAY(EQ19)-1)</f>
        <v>46464</v>
      </c>
      <c r="ES19" s="8">
        <f t="shared" ca="1" si="58"/>
        <v>330</v>
      </c>
      <c r="ET19" s="5" t="str">
        <f t="shared" ca="1" si="59"/>
        <v>VIGENTE</v>
      </c>
      <c r="EU19" s="4"/>
      <c r="EV19" s="4">
        <v>45719</v>
      </c>
      <c r="EW19" s="4">
        <f>DATE(YEAR(EV19)+2,MONTH(EV19),DAY(EV19)-1)</f>
        <v>46448</v>
      </c>
      <c r="EX19" s="8">
        <f t="shared" ca="1" si="60"/>
        <v>314</v>
      </c>
      <c r="EY19" s="5" t="str">
        <f t="shared" ca="1" si="61"/>
        <v>VIGENTE</v>
      </c>
      <c r="EZ19" s="4"/>
      <c r="FA19" s="4">
        <v>45803</v>
      </c>
      <c r="FB19" s="4">
        <f t="shared" si="179"/>
        <v>46533</v>
      </c>
      <c r="FC19" s="8">
        <f t="shared" ca="1" si="62"/>
        <v>399</v>
      </c>
      <c r="FD19" s="5" t="str">
        <f t="shared" ca="1" si="63"/>
        <v>VIGENTE</v>
      </c>
      <c r="FE19" s="4"/>
      <c r="FF19" s="4">
        <v>45668</v>
      </c>
      <c r="FG19" s="4">
        <f>DATE(YEAR(FF19)+2,MONTH(FF19),DAY(FF19)-1)</f>
        <v>46397</v>
      </c>
      <c r="FH19" s="8">
        <f t="shared" ca="1" si="64"/>
        <v>263</v>
      </c>
      <c r="FI19" s="5" t="str">
        <f t="shared" ca="1" si="65"/>
        <v>VIGENTE</v>
      </c>
      <c r="FJ19" s="4"/>
      <c r="FK19" s="4">
        <v>45479</v>
      </c>
      <c r="FL19" s="4">
        <f>DATE(YEAR(FK19)+2,MONTH(FK19),DAY(FK19)-1)</f>
        <v>46208</v>
      </c>
      <c r="FM19" s="8">
        <f t="shared" ca="1" si="67"/>
        <v>74</v>
      </c>
      <c r="FN19" s="5" t="str">
        <f t="shared" ca="1" si="68"/>
        <v>POR VENCER</v>
      </c>
      <c r="FO19" s="4"/>
      <c r="FP19" s="4">
        <v>45483</v>
      </c>
      <c r="FQ19" s="4">
        <f>DATE(YEAR(FP19)+2,MONTH(FP19),DAY(FP19)-1)</f>
        <v>46212</v>
      </c>
      <c r="FR19" s="8">
        <f t="shared" ca="1" si="69"/>
        <v>78</v>
      </c>
      <c r="FS19" s="5" t="str">
        <f t="shared" ca="1" si="70"/>
        <v>POR VENCER</v>
      </c>
      <c r="FT19" s="4"/>
      <c r="FU19" s="4">
        <v>45491</v>
      </c>
      <c r="FV19" s="4">
        <f>DATE(YEAR(FU19)+2,MONTH(FU19),DAY(FU19)-1)</f>
        <v>46220</v>
      </c>
      <c r="FW19" s="8">
        <f t="shared" ca="1" si="71"/>
        <v>86</v>
      </c>
      <c r="FX19" s="5" t="str">
        <f t="shared" ca="1" si="72"/>
        <v>POR VENCER</v>
      </c>
      <c r="FY19" s="4"/>
      <c r="FZ19" s="4">
        <v>45492</v>
      </c>
      <c r="GA19" s="4">
        <f t="shared" ref="GA19:GA24" si="188">DATE(YEAR(FZ19)+2,MONTH(FZ19),DAY(FZ19)-1)</f>
        <v>46221</v>
      </c>
      <c r="GB19" s="8">
        <f t="shared" ca="1" si="73"/>
        <v>87</v>
      </c>
      <c r="GC19" s="5" t="str">
        <f t="shared" ca="1" si="74"/>
        <v>POR VENCER</v>
      </c>
      <c r="GD19" s="4"/>
      <c r="GE19" s="4">
        <v>45475</v>
      </c>
      <c r="GF19" s="4">
        <f>DATE(YEAR(GE19)+2,MONTH(GE19),DAY(GE19)-1)</f>
        <v>46204</v>
      </c>
      <c r="GG19" s="8">
        <f t="shared" ca="1" si="75"/>
        <v>70</v>
      </c>
      <c r="GH19" s="5" t="str">
        <f t="shared" ca="1" si="76"/>
        <v>POR VENCER</v>
      </c>
      <c r="GI19" s="4"/>
      <c r="GJ19" s="4">
        <v>45493</v>
      </c>
      <c r="GK19" s="4">
        <f>DATE(YEAR(GJ19)+2,MONTH(GJ19),DAY(GJ19)-1)</f>
        <v>46222</v>
      </c>
      <c r="GL19" s="8">
        <f t="shared" ca="1" si="77"/>
        <v>88</v>
      </c>
      <c r="GM19" s="5" t="str">
        <f t="shared" ca="1" si="78"/>
        <v>VIGENTE</v>
      </c>
      <c r="GN19" s="4"/>
      <c r="GO19" s="4">
        <v>45495</v>
      </c>
      <c r="GP19" s="4">
        <f t="shared" si="79"/>
        <v>47321</v>
      </c>
      <c r="GQ19" s="8">
        <f t="shared" ca="1" si="181"/>
        <v>1187</v>
      </c>
      <c r="GR19" s="5" t="str">
        <f t="shared" ca="1" si="81"/>
        <v>VIGENTE</v>
      </c>
      <c r="GS19" s="4"/>
      <c r="GT19" s="4">
        <v>45478</v>
      </c>
      <c r="GU19" s="4">
        <f t="shared" si="82"/>
        <v>47304</v>
      </c>
      <c r="GV19" s="8">
        <f t="shared" ca="1" si="83"/>
        <v>1170</v>
      </c>
      <c r="GW19" s="5" t="str">
        <f t="shared" ca="1" si="84"/>
        <v>VIGENTE</v>
      </c>
      <c r="GX19" s="6"/>
      <c r="GY19" s="4">
        <v>45497</v>
      </c>
      <c r="GZ19" s="4">
        <f t="shared" si="85"/>
        <v>47323</v>
      </c>
      <c r="HA19" s="8">
        <f t="shared" ca="1" si="86"/>
        <v>1189</v>
      </c>
      <c r="HB19" s="5" t="str">
        <f t="shared" ca="1" si="87"/>
        <v>VIGENTE</v>
      </c>
      <c r="HC19" s="6"/>
      <c r="HD19" s="4">
        <v>45496</v>
      </c>
      <c r="HE19" s="4">
        <f>DATE(YEAR(HD19)+5,MONTH(HD19),DAY(HD19))</f>
        <v>47322</v>
      </c>
      <c r="HF19" s="8">
        <f ca="1">HE19-TODAY()</f>
        <v>1188</v>
      </c>
      <c r="HG19" s="5" t="str">
        <f t="shared" ca="1" si="182"/>
        <v>VIGENTE</v>
      </c>
      <c r="HH19" s="6"/>
      <c r="HI19" s="6"/>
      <c r="HJ19" s="4"/>
      <c r="HK19" s="8"/>
      <c r="HL19" s="5" t="str">
        <f t="shared" si="91"/>
        <v>NO APLICA</v>
      </c>
      <c r="HM19" s="6"/>
      <c r="HN19" s="6"/>
      <c r="HO19" s="4"/>
      <c r="HP19" s="6"/>
      <c r="HQ19" s="5" t="str">
        <f t="shared" si="92"/>
        <v>NO APLICA</v>
      </c>
      <c r="HR19" s="6"/>
      <c r="HS19" s="6"/>
      <c r="HT19" s="4"/>
      <c r="HU19" s="6"/>
      <c r="HV19" s="5" t="str">
        <f t="shared" si="93"/>
        <v>NO APLICA</v>
      </c>
      <c r="HW19" s="6"/>
      <c r="HX19" s="6"/>
      <c r="HY19" s="4"/>
      <c r="HZ19" s="6"/>
      <c r="IA19" s="5" t="str">
        <f t="shared" si="94"/>
        <v>NO APLICA</v>
      </c>
      <c r="IB19" s="6"/>
      <c r="IC19" s="6"/>
      <c r="ID19" s="4"/>
      <c r="IE19" s="6"/>
      <c r="IF19" s="5" t="str">
        <f t="shared" si="95"/>
        <v>NO APLICA</v>
      </c>
      <c r="IG19" s="6"/>
      <c r="IH19" s="6"/>
      <c r="II19" s="4"/>
      <c r="IJ19" s="6"/>
      <c r="IK19" s="5" t="str">
        <f t="shared" si="96"/>
        <v>NO APLICA</v>
      </c>
      <c r="IL19" s="6"/>
      <c r="IM19" s="6"/>
      <c r="IN19" s="4"/>
      <c r="IO19" s="8"/>
      <c r="IP19" s="5" t="str">
        <f t="shared" si="97"/>
        <v>NO APLICA</v>
      </c>
      <c r="IQ19" s="6"/>
      <c r="IR19" s="6"/>
      <c r="IS19" s="4"/>
      <c r="IT19" s="6"/>
      <c r="IU19" s="5" t="str">
        <f t="shared" si="98"/>
        <v>NO APLICA</v>
      </c>
      <c r="IV19" s="6"/>
      <c r="IW19" s="6"/>
      <c r="IX19" s="4"/>
      <c r="IY19" s="6"/>
      <c r="IZ19" s="5" t="str">
        <f t="shared" si="99"/>
        <v>NO APLICA</v>
      </c>
      <c r="JA19" s="6"/>
      <c r="JB19" s="6"/>
      <c r="JC19" s="6"/>
      <c r="JD19" s="6"/>
      <c r="JE19" s="5" t="str">
        <f t="shared" si="100"/>
        <v>NO APLICA</v>
      </c>
      <c r="JF19" s="6"/>
      <c r="JG19" s="6"/>
      <c r="JH19" s="6"/>
      <c r="JI19" s="6"/>
      <c r="JJ19" s="5" t="str">
        <f t="shared" si="101"/>
        <v>NO APLICA</v>
      </c>
      <c r="JK19" s="4"/>
      <c r="JL19" s="4"/>
      <c r="JM19" s="6"/>
      <c r="JN19" s="6"/>
      <c r="JO19" s="5" t="str">
        <f t="shared" si="102"/>
        <v>NO APLICA</v>
      </c>
      <c r="JP19" s="6"/>
      <c r="JQ19" s="6"/>
      <c r="JR19" s="6"/>
      <c r="JS19" s="6"/>
      <c r="JT19" s="5" t="str">
        <f t="shared" si="103"/>
        <v>NO APLICA</v>
      </c>
      <c r="JU19" s="5"/>
      <c r="JV19" s="3"/>
      <c r="JW19" s="4"/>
      <c r="JX19" s="8"/>
      <c r="JY19" s="5" t="str">
        <f t="shared" si="104"/>
        <v>NO APLICA</v>
      </c>
      <c r="JZ19" s="5"/>
      <c r="KA19" s="6"/>
      <c r="KB19" s="4"/>
      <c r="KC19" s="6"/>
      <c r="KD19" s="5" t="str">
        <f t="shared" si="105"/>
        <v>NO APLICA</v>
      </c>
      <c r="KE19" s="5"/>
      <c r="KF19" s="6"/>
      <c r="KG19" s="4"/>
      <c r="KH19" s="6"/>
      <c r="KI19" s="5" t="str">
        <f t="shared" si="141"/>
        <v>NO APLICA</v>
      </c>
      <c r="KJ19" s="5"/>
      <c r="KK19" s="6"/>
      <c r="KL19" s="4"/>
      <c r="KM19" s="6"/>
      <c r="KN19" s="5" t="str">
        <f t="shared" si="106"/>
        <v>NO APLICA</v>
      </c>
      <c r="KO19" s="5"/>
      <c r="KP19" s="2"/>
      <c r="KQ19" s="2"/>
      <c r="KR19" s="2"/>
      <c r="KS19" s="5" t="str">
        <f t="shared" si="142"/>
        <v>NO APLICA</v>
      </c>
      <c r="KT19" s="6"/>
      <c r="KU19" s="6"/>
      <c r="KV19" s="4"/>
      <c r="KW19" s="6"/>
      <c r="KX19" s="5" t="str">
        <f t="shared" si="156"/>
        <v>NO APLICA</v>
      </c>
      <c r="KY19" s="5"/>
      <c r="KZ19" s="6"/>
      <c r="LA19" s="4"/>
      <c r="LB19" s="6"/>
      <c r="LC19" s="5" t="str">
        <f t="shared" si="143"/>
        <v>NO APLICA</v>
      </c>
      <c r="LD19" s="6"/>
      <c r="LE19" s="6"/>
      <c r="LF19" s="6"/>
      <c r="LG19" s="6"/>
      <c r="LH19" s="5" t="str">
        <f t="shared" si="107"/>
        <v>NO APLICA</v>
      </c>
      <c r="LI19" s="5"/>
      <c r="LJ19" s="5"/>
      <c r="LK19" s="5"/>
      <c r="LL19" s="5"/>
      <c r="LM19" s="5" t="str">
        <f t="shared" si="157"/>
        <v>NO APLICA</v>
      </c>
      <c r="LN19" s="6"/>
      <c r="LO19" s="6"/>
      <c r="LP19" s="4"/>
      <c r="LQ19" s="8"/>
      <c r="LR19" s="5" t="str">
        <f t="shared" si="144"/>
        <v>NO APLICA</v>
      </c>
      <c r="LS19" s="6"/>
      <c r="LT19" s="6"/>
      <c r="LU19" s="4"/>
      <c r="LV19" s="6"/>
      <c r="LW19" s="5" t="str">
        <f t="shared" si="145"/>
        <v>NO APLICA</v>
      </c>
      <c r="LX19" s="6"/>
      <c r="LY19" s="6"/>
      <c r="LZ19" s="4"/>
      <c r="MA19" s="6"/>
      <c r="MB19" s="5" t="str">
        <f t="shared" si="146"/>
        <v>NO APLICA</v>
      </c>
      <c r="MC19" s="6"/>
      <c r="MD19" s="6"/>
      <c r="ME19" s="4"/>
      <c r="MF19" s="6"/>
      <c r="MG19" s="5" t="str">
        <f t="shared" si="108"/>
        <v>NO APLICA</v>
      </c>
      <c r="MH19" s="6"/>
      <c r="MI19" s="6"/>
      <c r="MJ19" s="4"/>
      <c r="MK19" s="6"/>
      <c r="ML19" s="5" t="str">
        <f t="shared" si="109"/>
        <v>NO APLICA</v>
      </c>
      <c r="MM19" s="5"/>
      <c r="MN19" s="6"/>
      <c r="MO19" s="4"/>
      <c r="MP19" s="6"/>
      <c r="MQ19" s="5" t="str">
        <f t="shared" si="110"/>
        <v>NO APLICA</v>
      </c>
      <c r="MR19" s="5"/>
      <c r="MS19" s="6"/>
      <c r="MT19" s="6"/>
      <c r="MU19" s="6"/>
      <c r="MV19" s="5" t="str">
        <f t="shared" si="111"/>
        <v>NO APLICA</v>
      </c>
      <c r="MW19" s="6"/>
      <c r="MX19" s="6"/>
      <c r="MY19" s="4"/>
      <c r="MZ19" s="6"/>
      <c r="NA19" s="5" t="str">
        <f t="shared" si="112"/>
        <v>NO APLICA</v>
      </c>
      <c r="NB19" s="6"/>
      <c r="NC19" s="6"/>
      <c r="ND19" s="4"/>
      <c r="NE19" s="6"/>
      <c r="NF19" s="5" t="str">
        <f t="shared" si="113"/>
        <v>NO APLICA</v>
      </c>
      <c r="NG19" s="6"/>
      <c r="NH19" s="6"/>
      <c r="NI19" s="4"/>
      <c r="NJ19" s="6"/>
      <c r="NK19" s="5" t="str">
        <f t="shared" si="114"/>
        <v>NO APLICA</v>
      </c>
      <c r="NL19" s="6"/>
      <c r="NM19" s="6"/>
      <c r="NN19" s="4"/>
      <c r="NO19" s="6"/>
      <c r="NP19" s="5" t="str">
        <f t="shared" si="115"/>
        <v>NO APLICA</v>
      </c>
      <c r="NQ19" s="6"/>
      <c r="NR19" s="6"/>
      <c r="NS19" s="4"/>
      <c r="NT19" s="6"/>
      <c r="NU19" s="5" t="str">
        <f t="shared" si="116"/>
        <v>NO APLICA</v>
      </c>
      <c r="NV19" s="6"/>
      <c r="NW19" s="6"/>
      <c r="NX19" s="4"/>
      <c r="NY19" s="8"/>
      <c r="NZ19" s="5" t="str">
        <f t="shared" si="117"/>
        <v>NO APLICA</v>
      </c>
      <c r="OA19" s="6"/>
      <c r="OB19" s="6"/>
      <c r="OC19" s="6"/>
      <c r="OD19" s="6"/>
      <c r="OE19" s="5" t="str">
        <f t="shared" si="118"/>
        <v>NO APLICA</v>
      </c>
      <c r="OF19" s="6"/>
      <c r="OG19" s="6"/>
      <c r="OH19" s="6"/>
      <c r="OI19" s="6"/>
      <c r="OJ19" s="5" t="str">
        <f t="shared" si="119"/>
        <v>NO APLICA</v>
      </c>
      <c r="OK19" s="6"/>
      <c r="OL19" s="4">
        <v>45481</v>
      </c>
      <c r="OM19" s="4">
        <f>DATE(YEAR(OL19)+2,MONTH(OL19),DAY(OL19))</f>
        <v>46211</v>
      </c>
      <c r="ON19" s="8">
        <f ca="1">OM19-TODAY()</f>
        <v>77</v>
      </c>
      <c r="OO19" s="5" t="str">
        <f t="shared" ca="1" si="120"/>
        <v>VIGENTE</v>
      </c>
      <c r="OP19" s="6"/>
      <c r="OQ19" s="4"/>
      <c r="OR19" s="4"/>
      <c r="OS19" s="8"/>
      <c r="OT19" s="5" t="str">
        <f t="shared" si="121"/>
        <v>NO APLICA</v>
      </c>
      <c r="OU19" s="6"/>
      <c r="OV19" s="4"/>
      <c r="OW19" s="4"/>
      <c r="OX19" s="8"/>
      <c r="OY19" s="5" t="str">
        <f t="shared" si="122"/>
        <v>NO APLICA</v>
      </c>
      <c r="OZ19" s="6"/>
      <c r="PA19" s="4"/>
      <c r="PB19" s="4"/>
      <c r="PC19" s="8"/>
      <c r="PD19" s="5" t="str">
        <f t="shared" si="123"/>
        <v>NO APLICA</v>
      </c>
      <c r="PE19" s="6"/>
      <c r="PF19" s="4"/>
      <c r="PG19" s="4"/>
      <c r="PH19" s="8"/>
      <c r="PI19" s="5" t="str">
        <f t="shared" si="124"/>
        <v>NO APLICA</v>
      </c>
      <c r="PJ19" s="5"/>
      <c r="PK19" s="6"/>
      <c r="PL19" s="6"/>
      <c r="PM19" s="6"/>
      <c r="PN19" s="5" t="str">
        <f t="shared" si="125"/>
        <v>NO APLICA</v>
      </c>
      <c r="PO19" s="6"/>
      <c r="PP19" s="4"/>
      <c r="PQ19" s="4"/>
      <c r="PR19" s="8"/>
      <c r="PS19" s="5" t="str">
        <f t="shared" si="126"/>
        <v>NO APLICA</v>
      </c>
      <c r="PT19" s="5"/>
      <c r="PU19" s="4">
        <v>46126</v>
      </c>
      <c r="PV19" s="4">
        <f t="shared" si="184"/>
        <v>46491</v>
      </c>
      <c r="PW19" s="8">
        <f t="shared" ca="1" si="185"/>
        <v>357</v>
      </c>
      <c r="PX19" s="5" t="str">
        <f t="shared" ca="1" si="127"/>
        <v>VIGENTE</v>
      </c>
    </row>
    <row r="20" spans="1:440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125</v>
      </c>
      <c r="V20" s="4">
        <v>45500</v>
      </c>
      <c r="W20" s="4">
        <f t="shared" si="2"/>
        <v>47326</v>
      </c>
      <c r="X20" s="8">
        <f t="shared" ca="1" si="3"/>
        <v>1192</v>
      </c>
      <c r="Y20" s="5" t="str">
        <f t="shared" ca="1" si="4"/>
        <v>VIGENTE</v>
      </c>
      <c r="Z20" s="2" t="s">
        <v>126</v>
      </c>
      <c r="AA20" s="4">
        <v>44824</v>
      </c>
      <c r="AB20" s="4">
        <f>DATE(YEAR(AA20)+5,MONTH(AA20),DAY(AA20))</f>
        <v>46650</v>
      </c>
      <c r="AC20" s="8">
        <f ca="1">AB20-TODAY()</f>
        <v>516</v>
      </c>
      <c r="AD20" s="5" t="str">
        <f t="shared" ca="1" si="7"/>
        <v>VIGENTE</v>
      </c>
      <c r="AE20" s="3"/>
      <c r="AF20" s="4">
        <v>45594</v>
      </c>
      <c r="AG20" s="4">
        <f>DATE(YEAR(AF20)+2,MONTH(AF20),DAY(AF20)-1)</f>
        <v>46323</v>
      </c>
      <c r="AH20" s="8">
        <f t="shared" ca="1" si="8"/>
        <v>189</v>
      </c>
      <c r="AI20" s="5" t="str">
        <f t="shared" ca="1" si="9"/>
        <v>VIGENTE</v>
      </c>
      <c r="AJ20" s="3"/>
      <c r="AK20" s="4">
        <v>45959</v>
      </c>
      <c r="AL20" s="4">
        <f t="shared" ref="AL20:AL26" si="189">DATE(YEAR(AK20)+2,MONTH(AK20),DAY(AK20))</f>
        <v>46689</v>
      </c>
      <c r="AM20" s="8">
        <f t="shared" ca="1" si="10"/>
        <v>555</v>
      </c>
      <c r="AN20" s="5" t="str">
        <f t="shared" ca="1" si="11"/>
        <v>VIGENTE</v>
      </c>
      <c r="AO20" s="3"/>
      <c r="AP20" s="4">
        <v>45967</v>
      </c>
      <c r="AQ20" s="4">
        <f t="shared" si="183"/>
        <v>46697</v>
      </c>
      <c r="AR20" s="8">
        <f t="shared" ca="1" si="12"/>
        <v>563</v>
      </c>
      <c r="AS20" s="5" t="str">
        <f t="shared" ca="1" si="13"/>
        <v>VIGENTE</v>
      </c>
      <c r="AT20" s="3"/>
      <c r="AU20" s="4">
        <v>45927</v>
      </c>
      <c r="AV20" s="4">
        <f>DATE(YEAR(AU20)+2,MONTH(AU20),DAY(AU20))</f>
        <v>46657</v>
      </c>
      <c r="AW20" s="8">
        <f t="shared" ca="1" si="15"/>
        <v>523</v>
      </c>
      <c r="AX20" s="5" t="str">
        <f t="shared" ca="1" si="16"/>
        <v>VIGENTE</v>
      </c>
      <c r="AY20" s="3"/>
      <c r="AZ20" s="4">
        <v>45930</v>
      </c>
      <c r="BA20" s="4">
        <f>DATE(YEAR(AZ20)+2,MONTH(AZ20),DAY(AZ20))</f>
        <v>46660</v>
      </c>
      <c r="BB20" s="8">
        <f t="shared" ca="1" si="17"/>
        <v>526</v>
      </c>
      <c r="BC20" s="5" t="str">
        <f t="shared" ca="1" si="18"/>
        <v>VIGENTE</v>
      </c>
      <c r="BD20" s="3"/>
      <c r="BE20" s="4">
        <v>45968</v>
      </c>
      <c r="BF20" s="4">
        <f>DATE(YEAR(BE20)+2,MONTH(BE20),DAY(BE20))</f>
        <v>46698</v>
      </c>
      <c r="BG20" s="8">
        <f t="shared" ca="1" si="19"/>
        <v>564</v>
      </c>
      <c r="BH20" s="5" t="str">
        <f t="shared" ca="1" si="20"/>
        <v>VIGENTE</v>
      </c>
      <c r="BI20" s="3"/>
      <c r="BJ20" s="4">
        <v>46051</v>
      </c>
      <c r="BK20" s="4">
        <f>DATE(YEAR(BJ20)+2,MONTH(BJ20),DAY(BJ20))</f>
        <v>46781</v>
      </c>
      <c r="BL20" s="8">
        <f t="shared" ca="1" si="21"/>
        <v>647</v>
      </c>
      <c r="BM20" s="5" t="str">
        <f t="shared" ca="1" si="22"/>
        <v>VIGENTE</v>
      </c>
      <c r="BN20" s="3"/>
      <c r="BO20" s="4">
        <v>46069</v>
      </c>
      <c r="BP20" s="4">
        <f>DATE(YEAR(BO20)+2,MONTH(BO20),DAY(BO20))</f>
        <v>46799</v>
      </c>
      <c r="BQ20" s="8">
        <f t="shared" ca="1" si="23"/>
        <v>665</v>
      </c>
      <c r="BR20" s="5" t="str">
        <f t="shared" ca="1" si="24"/>
        <v>VIGENTE</v>
      </c>
      <c r="BS20" s="3"/>
      <c r="BT20" s="4">
        <v>45484</v>
      </c>
      <c r="BU20" s="4">
        <f t="shared" ref="BU20:BU30" si="190">DATE(YEAR(BT20)+2,MONTH(BT20),DAY(BT20)-1)</f>
        <v>46213</v>
      </c>
      <c r="BV20" s="8">
        <f t="shared" ca="1" si="25"/>
        <v>79</v>
      </c>
      <c r="BW20" s="5" t="str">
        <f t="shared" ca="1" si="26"/>
        <v>POR VENCER</v>
      </c>
      <c r="BX20" s="3"/>
      <c r="BY20" s="4">
        <v>45944</v>
      </c>
      <c r="BZ20" s="4">
        <f t="shared" ref="BZ20:BZ25" si="191">DATE(YEAR(BY20)+2,MONTH(BY20),DAY(BY20))</f>
        <v>46674</v>
      </c>
      <c r="CA20" s="8">
        <f t="shared" ca="1" si="27"/>
        <v>540</v>
      </c>
      <c r="CB20" s="5" t="str">
        <f t="shared" ca="1" si="28"/>
        <v>VIGENTE</v>
      </c>
      <c r="CC20" s="6" t="s">
        <v>73</v>
      </c>
      <c r="CD20" s="4">
        <v>45301</v>
      </c>
      <c r="CE20" s="4">
        <f t="shared" si="29"/>
        <v>46762</v>
      </c>
      <c r="CF20" s="8">
        <f t="shared" ca="1" si="30"/>
        <v>628</v>
      </c>
      <c r="CG20" s="5" t="str">
        <f t="shared" ca="1" si="31"/>
        <v>VIGENTE</v>
      </c>
      <c r="CH20" s="4"/>
      <c r="CI20" s="4">
        <v>45511</v>
      </c>
      <c r="CJ20" s="4">
        <f t="shared" si="180"/>
        <v>46240</v>
      </c>
      <c r="CK20" s="8">
        <f t="shared" ca="1" si="32"/>
        <v>106</v>
      </c>
      <c r="CL20" s="5" t="str">
        <f t="shared" ca="1" si="33"/>
        <v>VIGENTE</v>
      </c>
      <c r="CM20" s="3"/>
      <c r="CN20" s="4">
        <v>45979</v>
      </c>
      <c r="CO20" s="4">
        <f>DATE(YEAR(CN20)+2,MONTH(CN20),DAY(CN20))</f>
        <v>46709</v>
      </c>
      <c r="CP20" s="8">
        <f t="shared" ca="1" si="34"/>
        <v>575</v>
      </c>
      <c r="CQ20" s="5" t="str">
        <f t="shared" ca="1" si="35"/>
        <v>VIGENTE</v>
      </c>
      <c r="CR20" s="3"/>
      <c r="CS20" s="4">
        <v>45645</v>
      </c>
      <c r="CT20" s="4">
        <f>DATE(YEAR(CS20)+2,MONTH(CS20),DAY(CS20)-1)</f>
        <v>46374</v>
      </c>
      <c r="CU20" s="8">
        <f t="shared" ca="1" si="36"/>
        <v>240</v>
      </c>
      <c r="CV20" s="5" t="str">
        <f t="shared" ca="1" si="37"/>
        <v>VIGENTE</v>
      </c>
      <c r="CW20" s="3"/>
      <c r="CX20" s="4">
        <v>45661</v>
      </c>
      <c r="CY20" s="4">
        <f>DATE(YEAR(CX20)+2,MONTH(CX20),DAY(CX20)-1)</f>
        <v>46390</v>
      </c>
      <c r="CZ20" s="8">
        <f t="shared" ca="1" si="38"/>
        <v>256</v>
      </c>
      <c r="DA20" s="5" t="str">
        <f t="shared" ca="1" si="39"/>
        <v>VIGENTE</v>
      </c>
      <c r="DB20" s="3"/>
      <c r="DC20" s="4">
        <v>45689</v>
      </c>
      <c r="DD20" s="4">
        <f>DATE(YEAR(DC20)+2,MONTH(DC20),DAY(DC20)-1)</f>
        <v>46418</v>
      </c>
      <c r="DE20" s="8">
        <f t="shared" ca="1" si="40"/>
        <v>284</v>
      </c>
      <c r="DF20" s="5" t="str">
        <f t="shared" ca="1" si="41"/>
        <v>VIGENTE</v>
      </c>
      <c r="DG20" s="3"/>
      <c r="DH20" s="4">
        <v>45924</v>
      </c>
      <c r="DI20" s="4">
        <f>DATE(YEAR(DH20)+2,MONTH(DH20),DAY(DH20))</f>
        <v>46654</v>
      </c>
      <c r="DJ20" s="8">
        <f t="shared" ca="1" si="43"/>
        <v>520</v>
      </c>
      <c r="DK20" s="5" t="str">
        <f t="shared" ca="1" si="44"/>
        <v>VIGENTE</v>
      </c>
      <c r="DL20" s="3"/>
      <c r="DM20" s="4">
        <v>46008</v>
      </c>
      <c r="DN20" s="4">
        <f>DATE(YEAR(DM20)+2,MONTH(DM20),DAY(DM20))</f>
        <v>46738</v>
      </c>
      <c r="DO20" s="8">
        <f t="shared" ca="1" si="46"/>
        <v>604</v>
      </c>
      <c r="DP20" s="5" t="str">
        <f t="shared" ca="1" si="47"/>
        <v>VIGENTE</v>
      </c>
      <c r="DQ20" s="3"/>
      <c r="DR20" s="4">
        <v>45918</v>
      </c>
      <c r="DS20" s="4">
        <f>DATE(YEAR(DR20)+2,MONTH(DR20),DAY(DR20))</f>
        <v>46648</v>
      </c>
      <c r="DT20" s="8">
        <f t="shared" ca="1" si="48"/>
        <v>514</v>
      </c>
      <c r="DU20" s="5" t="str">
        <f t="shared" ca="1" si="49"/>
        <v>VIGENTE</v>
      </c>
      <c r="DV20" s="3"/>
      <c r="DW20" s="4">
        <v>45934</v>
      </c>
      <c r="DX20" s="4">
        <f>DATE(YEAR(DW20)+2,MONTH(DW20),DAY(DW20))</f>
        <v>46664</v>
      </c>
      <c r="DY20" s="8">
        <f t="shared" ca="1" si="50"/>
        <v>530</v>
      </c>
      <c r="DZ20" s="5" t="str">
        <f t="shared" ca="1" si="51"/>
        <v>VIGENTE</v>
      </c>
      <c r="EA20" s="3"/>
      <c r="EB20" s="4">
        <v>45829</v>
      </c>
      <c r="EC20" s="4">
        <f>DATE(YEAR(EB20)+2,MONTH(EB20),DAY(EB20))</f>
        <v>46559</v>
      </c>
      <c r="ED20" s="8">
        <f t="shared" ca="1" si="52"/>
        <v>425</v>
      </c>
      <c r="EE20" s="5" t="str">
        <f t="shared" ca="1" si="53"/>
        <v>VIGENTE</v>
      </c>
      <c r="EF20" s="3"/>
      <c r="EG20" s="4">
        <v>45948</v>
      </c>
      <c r="EH20" s="4">
        <f t="shared" si="137"/>
        <v>46313</v>
      </c>
      <c r="EI20" s="8">
        <f t="shared" ca="1" si="54"/>
        <v>179</v>
      </c>
      <c r="EJ20" s="5" t="str">
        <f t="shared" ca="1" si="55"/>
        <v>VIGENTE</v>
      </c>
      <c r="EK20" s="3"/>
      <c r="EL20" s="4">
        <v>45737</v>
      </c>
      <c r="EM20" s="4">
        <f t="shared" si="186"/>
        <v>46466</v>
      </c>
      <c r="EN20" s="8">
        <f t="shared" ca="1" si="56"/>
        <v>332</v>
      </c>
      <c r="EO20" s="5" t="str">
        <f t="shared" ca="1" si="57"/>
        <v>VIGENTE</v>
      </c>
      <c r="EP20" s="3"/>
      <c r="EQ20" s="4">
        <v>45755</v>
      </c>
      <c r="ER20" s="4">
        <f t="shared" si="187"/>
        <v>46484</v>
      </c>
      <c r="ES20" s="8">
        <f t="shared" ca="1" si="58"/>
        <v>350</v>
      </c>
      <c r="ET20" s="5" t="str">
        <f t="shared" ca="1" si="59"/>
        <v>VIGENTE</v>
      </c>
      <c r="EU20" s="3"/>
      <c r="EV20" s="4">
        <v>45953</v>
      </c>
      <c r="EW20" s="4">
        <f>DATE(YEAR(EV20)+2,MONTH(EV20),DAY(EV20))</f>
        <v>46683</v>
      </c>
      <c r="EX20" s="8">
        <f t="shared" ca="1" si="60"/>
        <v>549</v>
      </c>
      <c r="EY20" s="5" t="str">
        <f t="shared" ca="1" si="61"/>
        <v>VIGENTE</v>
      </c>
      <c r="EZ20" s="3"/>
      <c r="FA20" s="4">
        <v>45951</v>
      </c>
      <c r="FB20" s="4">
        <f t="shared" si="179"/>
        <v>46681</v>
      </c>
      <c r="FC20" s="8">
        <f t="shared" ca="1" si="62"/>
        <v>547</v>
      </c>
      <c r="FD20" s="5" t="str">
        <f t="shared" ca="1" si="63"/>
        <v>VIGENTE</v>
      </c>
      <c r="FE20" s="3"/>
      <c r="FF20" s="4">
        <v>45969</v>
      </c>
      <c r="FG20" s="4">
        <f>DATE(YEAR(FF20)+2,MONTH(FF20),DAY(FF20))</f>
        <v>46699</v>
      </c>
      <c r="FH20" s="8">
        <f t="shared" ca="1" si="64"/>
        <v>565</v>
      </c>
      <c r="FI20" s="5" t="str">
        <f t="shared" ca="1" si="65"/>
        <v>VIGENTE</v>
      </c>
      <c r="FJ20" s="3"/>
      <c r="FK20" s="4">
        <v>46049</v>
      </c>
      <c r="FL20" s="4">
        <f>DATE(YEAR(FK20)+2,MONTH(FK20),DAY(FK20))</f>
        <v>46779</v>
      </c>
      <c r="FM20" s="8">
        <f t="shared" ca="1" si="67"/>
        <v>645</v>
      </c>
      <c r="FN20" s="5" t="str">
        <f t="shared" ca="1" si="68"/>
        <v>VIGENTE</v>
      </c>
      <c r="FO20" s="3"/>
      <c r="FP20" s="4">
        <v>46013</v>
      </c>
      <c r="FQ20" s="4">
        <f>DATE(YEAR(FP20)+2,MONTH(FP20),DAY(FP20))</f>
        <v>46743</v>
      </c>
      <c r="FR20" s="8">
        <f t="shared" ca="1" si="69"/>
        <v>609</v>
      </c>
      <c r="FS20" s="5" t="str">
        <f t="shared" ca="1" si="70"/>
        <v>VIGENTE</v>
      </c>
      <c r="FT20" s="4"/>
      <c r="FU20" s="4">
        <v>45536</v>
      </c>
      <c r="FV20" s="4">
        <f>DATE(YEAR(FU20)+2,MONTH(FU20),DAY(FU20)-1)</f>
        <v>46265</v>
      </c>
      <c r="FW20" s="8">
        <f t="shared" ca="1" si="71"/>
        <v>131</v>
      </c>
      <c r="FX20" s="5" t="str">
        <f t="shared" ca="1" si="72"/>
        <v>VIGENTE</v>
      </c>
      <c r="FY20" s="3"/>
      <c r="FZ20" s="4">
        <v>45469</v>
      </c>
      <c r="GA20" s="4">
        <f t="shared" si="188"/>
        <v>46198</v>
      </c>
      <c r="GB20" s="8">
        <f t="shared" ca="1" si="73"/>
        <v>64</v>
      </c>
      <c r="GC20" s="5" t="str">
        <f t="shared" ca="1" si="74"/>
        <v>POR VENCER</v>
      </c>
      <c r="GD20" s="3"/>
      <c r="GE20" s="4">
        <v>45960</v>
      </c>
      <c r="GF20" s="4">
        <f>DATE(YEAR(GE20)+2,MONTH(GE20),DAY(GE20))</f>
        <v>46690</v>
      </c>
      <c r="GG20" s="8">
        <f t="shared" ca="1" si="75"/>
        <v>556</v>
      </c>
      <c r="GH20" s="5" t="str">
        <f t="shared" ca="1" si="76"/>
        <v>VIGENTE</v>
      </c>
      <c r="GI20" s="3"/>
      <c r="GJ20" s="4">
        <v>45945</v>
      </c>
      <c r="GK20" s="4">
        <f>DATE(YEAR(GJ20)+2,MONTH(GJ20),DAY(GJ20))</f>
        <v>46675</v>
      </c>
      <c r="GL20" s="8">
        <f t="shared" ca="1" si="77"/>
        <v>541</v>
      </c>
      <c r="GM20" s="5" t="str">
        <f t="shared" ca="1" si="78"/>
        <v>VIGENTE</v>
      </c>
      <c r="GN20" s="4"/>
      <c r="GO20" s="4">
        <v>45283</v>
      </c>
      <c r="GP20" s="4">
        <f t="shared" si="79"/>
        <v>47110</v>
      </c>
      <c r="GQ20" s="8">
        <f t="shared" ca="1" si="181"/>
        <v>976</v>
      </c>
      <c r="GR20" s="5" t="str">
        <f t="shared" ca="1" si="81"/>
        <v>VIGENTE</v>
      </c>
      <c r="GS20" s="3"/>
      <c r="GT20" s="4">
        <v>45195</v>
      </c>
      <c r="GU20" s="4">
        <f t="shared" si="82"/>
        <v>47022</v>
      </c>
      <c r="GV20" s="8">
        <f t="shared" ca="1" si="83"/>
        <v>888</v>
      </c>
      <c r="GW20" s="5" t="str">
        <f t="shared" ca="1" si="84"/>
        <v>VIGENTE</v>
      </c>
      <c r="GX20" s="3"/>
      <c r="GY20" s="4">
        <v>45268</v>
      </c>
      <c r="GZ20" s="4">
        <f t="shared" si="85"/>
        <v>47095</v>
      </c>
      <c r="HA20" s="8">
        <f t="shared" ca="1" si="86"/>
        <v>961</v>
      </c>
      <c r="HB20" s="5" t="str">
        <f t="shared" ca="1" si="87"/>
        <v>VIGENTE</v>
      </c>
      <c r="HC20" s="6"/>
      <c r="HD20" s="4">
        <v>44900</v>
      </c>
      <c r="HE20" s="4">
        <f>DATE(YEAR(HD20)+5,MONTH(HD20),DAY(HD20))</f>
        <v>46726</v>
      </c>
      <c r="HF20" s="8">
        <f ca="1">HE20-TODAY()</f>
        <v>592</v>
      </c>
      <c r="HG20" s="5" t="str">
        <f t="shared" ca="1" si="182"/>
        <v>VIGENTE</v>
      </c>
      <c r="HH20" s="2"/>
      <c r="HI20" s="4">
        <v>45331</v>
      </c>
      <c r="HJ20" s="4">
        <f>DATE(YEAR(HI20)+5,MONTH(HI20),DAY(HI20))</f>
        <v>47158</v>
      </c>
      <c r="HK20" s="8">
        <f ca="1">HJ20-TODAY()</f>
        <v>1024</v>
      </c>
      <c r="HL20" s="5" t="str">
        <f t="shared" ca="1" si="91"/>
        <v>VIGENTE</v>
      </c>
      <c r="HM20" s="2"/>
      <c r="HN20" s="3">
        <v>45374</v>
      </c>
      <c r="HO20" s="4">
        <f>DATE(YEAR(HN20)+5,MONTH(HN20),DAY(HN20))</f>
        <v>47200</v>
      </c>
      <c r="HP20" s="8">
        <f ca="1">HO20-TODAY()</f>
        <v>1066</v>
      </c>
      <c r="HQ20" s="5" t="str">
        <f t="shared" ca="1" si="92"/>
        <v>VIGENTE</v>
      </c>
      <c r="HR20" s="3"/>
      <c r="HS20" s="4">
        <v>45440</v>
      </c>
      <c r="HT20" s="4">
        <f>DATE(YEAR(HS20)+5,MONTH(HS20),DAY(HS20))</f>
        <v>47266</v>
      </c>
      <c r="HU20" s="8">
        <f ca="1">HT20-TODAY()</f>
        <v>1132</v>
      </c>
      <c r="HV20" s="5" t="str">
        <f t="shared" ca="1" si="93"/>
        <v>VIGENTE</v>
      </c>
      <c r="HW20" s="3"/>
      <c r="HX20" s="4">
        <v>45194</v>
      </c>
      <c r="HY20" s="4">
        <f>DATE(YEAR(HX20)+5,MONTH(HX20),DAY(HX20))</f>
        <v>47021</v>
      </c>
      <c r="HZ20" s="8">
        <f ca="1">HY20-TODAY()</f>
        <v>887</v>
      </c>
      <c r="IA20" s="5" t="str">
        <f t="shared" ca="1" si="94"/>
        <v>VIGENTE</v>
      </c>
      <c r="IB20" s="3"/>
      <c r="IC20" s="4">
        <v>45230</v>
      </c>
      <c r="ID20" s="4">
        <f>DATE(YEAR(IC20)+5,MONTH(IC20),DAY(IC20))</f>
        <v>47057</v>
      </c>
      <c r="IE20" s="8">
        <f ca="1">ID20-TODAY()</f>
        <v>923</v>
      </c>
      <c r="IF20" s="5" t="str">
        <f t="shared" ca="1" si="95"/>
        <v>VIGENTE</v>
      </c>
      <c r="IG20" s="4"/>
      <c r="IH20" s="4">
        <v>45266</v>
      </c>
      <c r="II20" s="4">
        <f>DATE(YEAR(IH20)+5,MONTH(IH20),DAY(IH20))</f>
        <v>47093</v>
      </c>
      <c r="IJ20" s="8">
        <f ca="1">II20-TODAY()</f>
        <v>959</v>
      </c>
      <c r="IK20" s="5" t="str">
        <f t="shared" ca="1" si="96"/>
        <v>VIGENTE</v>
      </c>
      <c r="IL20" s="3"/>
      <c r="IM20" s="4">
        <v>45259</v>
      </c>
      <c r="IN20" s="4">
        <f>DATE(YEAR(IM20)+5,MONTH(IM20),DAY(IM20))</f>
        <v>47086</v>
      </c>
      <c r="IO20" s="8">
        <f ca="1">IN20-TODAY()</f>
        <v>952</v>
      </c>
      <c r="IP20" s="5" t="str">
        <f t="shared" ca="1" si="97"/>
        <v>VIGENTE</v>
      </c>
      <c r="IQ20" s="3"/>
      <c r="IR20" s="4">
        <v>45199</v>
      </c>
      <c r="IS20" s="4">
        <f>DATE(YEAR(IR20)+5,MONTH(IR20),DAY(IR20))</f>
        <v>47026</v>
      </c>
      <c r="IT20" s="8">
        <f ca="1">IS20-TODAY()</f>
        <v>892</v>
      </c>
      <c r="IU20" s="5" t="str">
        <f t="shared" ca="1" si="98"/>
        <v>VIGENTE</v>
      </c>
      <c r="IV20" s="3"/>
      <c r="IW20" s="4">
        <v>45198</v>
      </c>
      <c r="IX20" s="4">
        <f>DATE(YEAR(IW20)+5,MONTH(IW20),DAY(IW20))</f>
        <v>47025</v>
      </c>
      <c r="IY20" s="8">
        <f ca="1">IX20-TODAY()</f>
        <v>891</v>
      </c>
      <c r="IZ20" s="5" t="str">
        <f t="shared" ca="1" si="99"/>
        <v>VIGENTE</v>
      </c>
      <c r="JA20" s="3"/>
      <c r="JB20" s="3"/>
      <c r="JC20" s="4"/>
      <c r="JD20" s="8"/>
      <c r="JE20" s="5" t="str">
        <f t="shared" si="100"/>
        <v>NO APLICA</v>
      </c>
      <c r="JF20" s="6"/>
      <c r="JG20" s="6"/>
      <c r="JH20" s="6"/>
      <c r="JI20" s="6"/>
      <c r="JJ20" s="5" t="str">
        <f t="shared" si="101"/>
        <v>NO APLICA</v>
      </c>
      <c r="JK20" s="6"/>
      <c r="JL20" s="6"/>
      <c r="JM20" s="6"/>
      <c r="JN20" s="6"/>
      <c r="JO20" s="5" t="str">
        <f t="shared" si="102"/>
        <v>NO APLICA</v>
      </c>
      <c r="JP20" s="6"/>
      <c r="JQ20" s="6"/>
      <c r="JR20" s="6"/>
      <c r="JS20" s="6"/>
      <c r="JT20" s="5" t="str">
        <f t="shared" si="103"/>
        <v>NO APLICA</v>
      </c>
      <c r="JU20" s="5"/>
      <c r="JV20" s="5"/>
      <c r="JW20" s="5"/>
      <c r="JX20" s="5"/>
      <c r="JY20" s="5" t="str">
        <f t="shared" si="104"/>
        <v>NO APLICA</v>
      </c>
      <c r="JZ20" s="5"/>
      <c r="KA20" s="2"/>
      <c r="KB20" s="4"/>
      <c r="KC20" s="8"/>
      <c r="KD20" s="5" t="str">
        <f t="shared" si="105"/>
        <v>NO APLICA</v>
      </c>
      <c r="KE20" s="5"/>
      <c r="KF20" s="2"/>
      <c r="KG20" s="4"/>
      <c r="KH20" s="8"/>
      <c r="KI20" s="5" t="str">
        <f t="shared" si="141"/>
        <v>NO APLICA</v>
      </c>
      <c r="KJ20" s="5"/>
      <c r="KK20" s="2"/>
      <c r="KL20" s="4"/>
      <c r="KM20" s="8"/>
      <c r="KN20" s="5" t="str">
        <f t="shared" si="106"/>
        <v>NO APLICA</v>
      </c>
      <c r="KO20" s="5"/>
      <c r="KP20" s="2"/>
      <c r="KQ20" s="4"/>
      <c r="KR20" s="8"/>
      <c r="KS20" s="5" t="str">
        <f t="shared" si="142"/>
        <v>NO APLICA</v>
      </c>
      <c r="KT20" s="2"/>
      <c r="KU20" s="6"/>
      <c r="KV20" s="4"/>
      <c r="KW20" s="8"/>
      <c r="KX20" s="5" t="str">
        <f t="shared" si="156"/>
        <v>NO APLICA</v>
      </c>
      <c r="KY20" s="5"/>
      <c r="KZ20" s="4">
        <v>44613</v>
      </c>
      <c r="LA20" s="4">
        <f>DATE(YEAR(KZ20)+5,MONTH(KZ20),DAY(KZ20))</f>
        <v>46439</v>
      </c>
      <c r="LB20" s="8">
        <f ca="1">LA20-TODAY()</f>
        <v>305</v>
      </c>
      <c r="LC20" s="5" t="str">
        <f t="shared" ca="1" si="143"/>
        <v>VIGENTE</v>
      </c>
      <c r="LD20" s="6"/>
      <c r="LE20" s="4"/>
      <c r="LF20" s="4"/>
      <c r="LG20" s="8"/>
      <c r="LH20" s="5" t="str">
        <f t="shared" si="107"/>
        <v>NO APLICA</v>
      </c>
      <c r="LI20" s="5"/>
      <c r="LJ20" s="5"/>
      <c r="LK20" s="5"/>
      <c r="LL20" s="5"/>
      <c r="LM20" s="5" t="str">
        <f t="shared" si="157"/>
        <v>NO APLICA</v>
      </c>
      <c r="LN20" s="2"/>
      <c r="LO20" s="6"/>
      <c r="LP20" s="4"/>
      <c r="LQ20" s="8"/>
      <c r="LR20" s="5" t="str">
        <f t="shared" si="144"/>
        <v>NO APLICA</v>
      </c>
      <c r="LS20" s="4"/>
      <c r="LT20" s="4">
        <v>44986</v>
      </c>
      <c r="LU20" s="4">
        <f>DATE(YEAR(LT20)+5,MONTH(LT20),DAY(LT20))</f>
        <v>46813</v>
      </c>
      <c r="LV20" s="8">
        <f ca="1">LU20-TODAY()</f>
        <v>679</v>
      </c>
      <c r="LW20" s="5" t="str">
        <f t="shared" ca="1" si="145"/>
        <v>VIGENTE</v>
      </c>
      <c r="LX20" s="4"/>
      <c r="LY20" s="4">
        <v>44988</v>
      </c>
      <c r="LZ20" s="4">
        <f>DATE(YEAR(LY20)+5,MONTH(LY20),DAY(LY20))</f>
        <v>46815</v>
      </c>
      <c r="MA20" s="8">
        <f ca="1">LZ20-TODAY()</f>
        <v>681</v>
      </c>
      <c r="MB20" s="5" t="str">
        <f t="shared" ca="1" si="146"/>
        <v>VIGENTE</v>
      </c>
      <c r="MC20" s="2"/>
      <c r="MD20" s="2"/>
      <c r="ME20" s="4"/>
      <c r="MF20" s="8"/>
      <c r="MG20" s="5" t="str">
        <f t="shared" si="108"/>
        <v>NO APLICA</v>
      </c>
      <c r="MH20" s="2"/>
      <c r="MI20" s="2"/>
      <c r="MJ20" s="4"/>
      <c r="MK20" s="8"/>
      <c r="ML20" s="5" t="str">
        <f t="shared" si="109"/>
        <v>NO APLICA</v>
      </c>
      <c r="MM20" s="5"/>
      <c r="MN20" s="2"/>
      <c r="MO20" s="4"/>
      <c r="MP20" s="8"/>
      <c r="MQ20" s="5" t="str">
        <f t="shared" si="110"/>
        <v>NO APLICA</v>
      </c>
      <c r="MR20" s="5"/>
      <c r="MS20" s="2"/>
      <c r="MT20" s="4"/>
      <c r="MU20" s="2"/>
      <c r="MV20" s="5" t="str">
        <f t="shared" si="111"/>
        <v>NO APLICA</v>
      </c>
      <c r="MW20" s="2"/>
      <c r="MX20" s="6"/>
      <c r="MY20" s="4"/>
      <c r="MZ20" s="8"/>
      <c r="NA20" s="5" t="str">
        <f t="shared" si="112"/>
        <v>NO APLICA</v>
      </c>
      <c r="NB20" s="2"/>
      <c r="NC20" s="6"/>
      <c r="ND20" s="4"/>
      <c r="NE20" s="8"/>
      <c r="NF20" s="5" t="str">
        <f t="shared" si="113"/>
        <v>NO APLICA</v>
      </c>
      <c r="NG20" s="2"/>
      <c r="NH20" s="6"/>
      <c r="NI20" s="4"/>
      <c r="NJ20" s="8"/>
      <c r="NK20" s="5" t="str">
        <f t="shared" si="114"/>
        <v>NO APLICA</v>
      </c>
      <c r="NL20" s="2"/>
      <c r="NM20" s="2"/>
      <c r="NN20" s="4"/>
      <c r="NO20" s="2"/>
      <c r="NP20" s="5" t="str">
        <f t="shared" si="115"/>
        <v>NO APLICA</v>
      </c>
      <c r="NQ20" s="2"/>
      <c r="NR20" s="2"/>
      <c r="NS20" s="4"/>
      <c r="NT20" s="2"/>
      <c r="NU20" s="5" t="str">
        <f t="shared" si="116"/>
        <v>NO APLICA</v>
      </c>
      <c r="NV20" s="6"/>
      <c r="NW20" s="6"/>
      <c r="NX20" s="4"/>
      <c r="NY20" s="8"/>
      <c r="NZ20" s="5" t="str">
        <f t="shared" si="117"/>
        <v>NO APLICA</v>
      </c>
      <c r="OA20" s="6"/>
      <c r="OB20" s="6"/>
      <c r="OC20" s="6"/>
      <c r="OD20" s="6"/>
      <c r="OE20" s="5" t="str">
        <f t="shared" si="118"/>
        <v>NO APLICA</v>
      </c>
      <c r="OF20" s="6"/>
      <c r="OG20" s="6"/>
      <c r="OH20" s="4"/>
      <c r="OI20" s="8"/>
      <c r="OJ20" s="5" t="str">
        <f t="shared" si="119"/>
        <v>NO APLICA</v>
      </c>
      <c r="OK20" s="6"/>
      <c r="OL20" s="6"/>
      <c r="OM20" s="6"/>
      <c r="ON20" s="6"/>
      <c r="OO20" s="5" t="str">
        <f t="shared" si="120"/>
        <v>NO APLICA</v>
      </c>
      <c r="OP20" s="6"/>
      <c r="OQ20" s="6"/>
      <c r="OR20" s="6"/>
      <c r="OS20" s="6"/>
      <c r="OT20" s="5" t="str">
        <f t="shared" si="121"/>
        <v>NO APLICA</v>
      </c>
      <c r="OU20" s="6"/>
      <c r="OV20" s="6"/>
      <c r="OW20" s="6"/>
      <c r="OX20" s="6"/>
      <c r="OY20" s="5" t="str">
        <f t="shared" si="122"/>
        <v>NO APLICA</v>
      </c>
      <c r="OZ20" s="6"/>
      <c r="PA20" s="6"/>
      <c r="PB20" s="6"/>
      <c r="PC20" s="6"/>
      <c r="PD20" s="5" t="str">
        <f t="shared" si="123"/>
        <v>NO APLICA</v>
      </c>
      <c r="PE20" s="6"/>
      <c r="PF20" s="6"/>
      <c r="PG20" s="6"/>
      <c r="PH20" s="6"/>
      <c r="PI20" s="5" t="str">
        <f t="shared" si="124"/>
        <v>NO APLICA</v>
      </c>
      <c r="PJ20" s="5"/>
      <c r="PK20" s="6"/>
      <c r="PL20" s="4"/>
      <c r="PM20" s="8"/>
      <c r="PN20" s="5" t="str">
        <f t="shared" si="125"/>
        <v>NO APLICA</v>
      </c>
      <c r="PO20" s="6"/>
      <c r="PP20" s="6"/>
      <c r="PQ20" s="6"/>
      <c r="PR20" s="6"/>
      <c r="PS20" s="5" t="str">
        <f t="shared" si="126"/>
        <v>NO APLICA</v>
      </c>
      <c r="PT20" s="5"/>
      <c r="PU20" s="6"/>
      <c r="PV20" s="6"/>
      <c r="PW20" s="6"/>
      <c r="PX20" s="5" t="str">
        <f t="shared" si="127"/>
        <v>NO APLICA</v>
      </c>
    </row>
    <row r="21" spans="1:440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654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129</v>
      </c>
      <c r="V21" s="4">
        <v>44944</v>
      </c>
      <c r="W21" s="4">
        <f t="shared" si="2"/>
        <v>46770</v>
      </c>
      <c r="X21" s="8">
        <f t="shared" ca="1" si="3"/>
        <v>636</v>
      </c>
      <c r="Y21" s="5" t="str">
        <f t="shared" ca="1" si="4"/>
        <v>VIGENTE</v>
      </c>
      <c r="Z21" s="2"/>
      <c r="AA21" s="6"/>
      <c r="AB21" s="4"/>
      <c r="AC21" s="8"/>
      <c r="AD21" s="5" t="str">
        <f t="shared" si="7"/>
        <v>NO APLICA</v>
      </c>
      <c r="AE21" s="3"/>
      <c r="AF21" s="4">
        <v>45680</v>
      </c>
      <c r="AG21" s="4">
        <f>DATE(YEAR(AF21)+2,MONTH(AF21),DAY(AF21)-1)</f>
        <v>46409</v>
      </c>
      <c r="AH21" s="8">
        <f t="shared" ca="1" si="8"/>
        <v>275</v>
      </c>
      <c r="AI21" s="5" t="str">
        <f t="shared" ca="1" si="9"/>
        <v>VIGENTE</v>
      </c>
      <c r="AJ21" s="3"/>
      <c r="AK21" s="4">
        <v>45838</v>
      </c>
      <c r="AL21" s="4">
        <f t="shared" si="189"/>
        <v>46568</v>
      </c>
      <c r="AM21" s="8">
        <f t="shared" ca="1" si="10"/>
        <v>434</v>
      </c>
      <c r="AN21" s="5" t="str">
        <f t="shared" ca="1" si="11"/>
        <v>VIGENTE</v>
      </c>
      <c r="AO21" s="3"/>
      <c r="AP21" s="4">
        <v>45845</v>
      </c>
      <c r="AQ21" s="4">
        <f t="shared" si="183"/>
        <v>46575</v>
      </c>
      <c r="AR21" s="8">
        <f t="shared" ca="1" si="12"/>
        <v>441</v>
      </c>
      <c r="AS21" s="5" t="str">
        <f t="shared" ca="1" si="13"/>
        <v>VIGENTE</v>
      </c>
      <c r="AT21" s="3"/>
      <c r="AU21" s="4">
        <v>45514</v>
      </c>
      <c r="AV21" s="4">
        <f>DATE(YEAR(AU21)+2,MONTH(AU21),DAY(AU21)-1)</f>
        <v>46243</v>
      </c>
      <c r="AW21" s="8">
        <f t="shared" ca="1" si="15"/>
        <v>109</v>
      </c>
      <c r="AX21" s="5" t="str">
        <f t="shared" ca="1" si="16"/>
        <v>VIGENTE</v>
      </c>
      <c r="AY21" s="3"/>
      <c r="AZ21" s="4">
        <v>45742</v>
      </c>
      <c r="BA21" s="4">
        <f>DATE(YEAR(AZ21)+2,MONTH(AZ21),DAY(AZ21)-1)</f>
        <v>46471</v>
      </c>
      <c r="BB21" s="8">
        <f t="shared" ca="1" si="17"/>
        <v>337</v>
      </c>
      <c r="BC21" s="5" t="str">
        <f t="shared" ca="1" si="18"/>
        <v>VIGENTE</v>
      </c>
      <c r="BD21" s="3"/>
      <c r="BE21" s="4">
        <v>45495</v>
      </c>
      <c r="BF21" s="4">
        <f>DATE(YEAR(BE21)+2,MONTH(BE21),DAY(BE21)-1)</f>
        <v>46224</v>
      </c>
      <c r="BG21" s="8">
        <f t="shared" ca="1" si="19"/>
        <v>90</v>
      </c>
      <c r="BH21" s="5" t="str">
        <f t="shared" ca="1" si="20"/>
        <v>POR VENCER</v>
      </c>
      <c r="BI21" s="3"/>
      <c r="BJ21" s="4">
        <v>45819</v>
      </c>
      <c r="BK21" s="4">
        <f>DATE(YEAR(BJ21)+2,MONTH(BJ21),DAY(BJ21))</f>
        <v>46549</v>
      </c>
      <c r="BL21" s="8">
        <f t="shared" ca="1" si="21"/>
        <v>415</v>
      </c>
      <c r="BM21" s="5" t="str">
        <f t="shared" ca="1" si="22"/>
        <v>VIGENTE</v>
      </c>
      <c r="BN21" s="3"/>
      <c r="BO21" s="4">
        <v>45604</v>
      </c>
      <c r="BP21" s="4">
        <f>DATE(YEAR(BO21)+2,MONTH(BO21),DAY(BO21)-1)</f>
        <v>46333</v>
      </c>
      <c r="BQ21" s="8">
        <f t="shared" ca="1" si="23"/>
        <v>199</v>
      </c>
      <c r="BR21" s="5" t="str">
        <f t="shared" ca="1" si="24"/>
        <v>VIGENTE</v>
      </c>
      <c r="BS21" s="2"/>
      <c r="BT21" s="4">
        <v>45736</v>
      </c>
      <c r="BU21" s="4">
        <f t="shared" si="190"/>
        <v>46465</v>
      </c>
      <c r="BV21" s="8">
        <f t="shared" ca="1" si="25"/>
        <v>331</v>
      </c>
      <c r="BW21" s="5" t="str">
        <f t="shared" ca="1" si="26"/>
        <v>VIGENTE</v>
      </c>
      <c r="BX21" s="3"/>
      <c r="BY21" s="4">
        <v>45818</v>
      </c>
      <c r="BZ21" s="4">
        <f t="shared" si="191"/>
        <v>46548</v>
      </c>
      <c r="CA21" s="8">
        <f t="shared" ca="1" si="27"/>
        <v>414</v>
      </c>
      <c r="CB21" s="5" t="str">
        <f t="shared" ca="1" si="28"/>
        <v>VIGENTE</v>
      </c>
      <c r="CC21" s="6" t="s">
        <v>68</v>
      </c>
      <c r="CD21" s="4">
        <v>45832</v>
      </c>
      <c r="CE21" s="4">
        <f t="shared" si="29"/>
        <v>47293</v>
      </c>
      <c r="CF21" s="8">
        <f t="shared" ca="1" si="30"/>
        <v>1159</v>
      </c>
      <c r="CG21" s="5" t="str">
        <f t="shared" ca="1" si="31"/>
        <v>VIGENTE</v>
      </c>
      <c r="CH21" s="4"/>
      <c r="CI21" s="4">
        <v>45688</v>
      </c>
      <c r="CJ21" s="4">
        <f t="shared" si="180"/>
        <v>46417</v>
      </c>
      <c r="CK21" s="8">
        <f t="shared" ca="1" si="32"/>
        <v>283</v>
      </c>
      <c r="CL21" s="5" t="str">
        <f t="shared" ca="1" si="33"/>
        <v>VIGENTE</v>
      </c>
      <c r="CM21" s="3"/>
      <c r="CN21" s="4">
        <v>45817</v>
      </c>
      <c r="CO21" s="4">
        <f>DATE(YEAR(CN21)+2,MONTH(CN21),DAY(CN21))</f>
        <v>46547</v>
      </c>
      <c r="CP21" s="8">
        <f t="shared" ca="1" si="34"/>
        <v>413</v>
      </c>
      <c r="CQ21" s="5" t="str">
        <f t="shared" ca="1" si="35"/>
        <v>VIGENTE</v>
      </c>
      <c r="CR21" s="3"/>
      <c r="CS21" s="4">
        <v>45813</v>
      </c>
      <c r="CT21" s="4">
        <f>DATE(YEAR(CS21)+2,MONTH(CS21),DAY(CS21))</f>
        <v>46543</v>
      </c>
      <c r="CU21" s="8">
        <f t="shared" ca="1" si="36"/>
        <v>409</v>
      </c>
      <c r="CV21" s="5" t="str">
        <f t="shared" ca="1" si="37"/>
        <v>VIGENTE</v>
      </c>
      <c r="CW21" s="3"/>
      <c r="CX21" s="4">
        <v>45665</v>
      </c>
      <c r="CY21" s="4">
        <f>DATE(YEAR(CX21)+2,MONTH(CX21),DAY(CX21)-1)</f>
        <v>46394</v>
      </c>
      <c r="CZ21" s="8">
        <f t="shared" ca="1" si="38"/>
        <v>260</v>
      </c>
      <c r="DA21" s="5" t="str">
        <f t="shared" ca="1" si="39"/>
        <v>VIGENTE</v>
      </c>
      <c r="DB21" s="3"/>
      <c r="DC21" s="4">
        <v>45607</v>
      </c>
      <c r="DD21" s="4">
        <f>DATE(YEAR(DC21)+2,MONTH(DC21),DAY(DC21)-1)</f>
        <v>46336</v>
      </c>
      <c r="DE21" s="8">
        <f t="shared" ca="1" si="40"/>
        <v>202</v>
      </c>
      <c r="DF21" s="5" t="str">
        <f t="shared" ca="1" si="41"/>
        <v>VIGENTE</v>
      </c>
      <c r="DG21" s="3"/>
      <c r="DH21" s="4">
        <v>45580</v>
      </c>
      <c r="DI21" s="4">
        <f>DATE(YEAR(DH21)+2,MONTH(DH21),DAY(DH21)-1)</f>
        <v>46309</v>
      </c>
      <c r="DJ21" s="8">
        <f t="shared" ca="1" si="43"/>
        <v>175</v>
      </c>
      <c r="DK21" s="5" t="str">
        <f t="shared" ca="1" si="44"/>
        <v>VIGENTE</v>
      </c>
      <c r="DL21" s="4"/>
      <c r="DM21" s="4">
        <v>45873</v>
      </c>
      <c r="DN21" s="4">
        <f>DATE(YEAR(DM21)+2,MONTH(DM21),DAY(DM21))</f>
        <v>46603</v>
      </c>
      <c r="DO21" s="8">
        <f t="shared" ca="1" si="46"/>
        <v>469</v>
      </c>
      <c r="DP21" s="5" t="str">
        <f t="shared" ca="1" si="47"/>
        <v>VIGENTE</v>
      </c>
      <c r="DQ21" s="3"/>
      <c r="DR21" s="4">
        <v>45608</v>
      </c>
      <c r="DS21" s="4">
        <f>DATE(YEAR(DR21)+2,MONTH(DR21),DAY(DR21)-1)</f>
        <v>46337</v>
      </c>
      <c r="DT21" s="8">
        <f t="shared" ca="1" si="48"/>
        <v>203</v>
      </c>
      <c r="DU21" s="5" t="str">
        <f t="shared" ca="1" si="49"/>
        <v>VIGENTE</v>
      </c>
      <c r="DV21" s="3"/>
      <c r="DW21" s="4">
        <v>45663</v>
      </c>
      <c r="DX21" s="4">
        <f>DATE(YEAR(DW21)+2,MONTH(DW21),DAY(DW21)-1)</f>
        <v>46392</v>
      </c>
      <c r="DY21" s="8">
        <f t="shared" ca="1" si="50"/>
        <v>258</v>
      </c>
      <c r="DZ21" s="5" t="str">
        <f t="shared" ca="1" si="51"/>
        <v>VIGENTE</v>
      </c>
      <c r="EA21" s="3"/>
      <c r="EB21" s="4">
        <v>45602</v>
      </c>
      <c r="EC21" s="4">
        <f>DATE(YEAR(EB21)+2,MONTH(EB21),DAY(EB21)-1)</f>
        <v>46331</v>
      </c>
      <c r="ED21" s="8">
        <f t="shared" ca="1" si="52"/>
        <v>197</v>
      </c>
      <c r="EE21" s="5" t="str">
        <f t="shared" ca="1" si="53"/>
        <v>VIGENTE</v>
      </c>
      <c r="EF21" s="3"/>
      <c r="EG21" s="3">
        <v>46060</v>
      </c>
      <c r="EH21" s="4">
        <f t="shared" si="137"/>
        <v>46425</v>
      </c>
      <c r="EI21" s="8">
        <f t="shared" ca="1" si="54"/>
        <v>291</v>
      </c>
      <c r="EJ21" s="5" t="str">
        <f t="shared" ca="1" si="55"/>
        <v>VIGENTE</v>
      </c>
      <c r="EK21" s="3"/>
      <c r="EL21" s="4">
        <v>45671</v>
      </c>
      <c r="EM21" s="4">
        <f t="shared" si="186"/>
        <v>46400</v>
      </c>
      <c r="EN21" s="8">
        <f t="shared" ca="1" si="56"/>
        <v>266</v>
      </c>
      <c r="EO21" s="5" t="str">
        <f t="shared" ca="1" si="57"/>
        <v>VIGENTE</v>
      </c>
      <c r="EP21" s="2"/>
      <c r="EQ21" s="4">
        <v>45735</v>
      </c>
      <c r="ER21" s="4">
        <f t="shared" si="187"/>
        <v>46464</v>
      </c>
      <c r="ES21" s="8">
        <f t="shared" ca="1" si="58"/>
        <v>330</v>
      </c>
      <c r="ET21" s="5" t="str">
        <f t="shared" ca="1" si="59"/>
        <v>VIGENTE</v>
      </c>
      <c r="EU21" s="3"/>
      <c r="EV21" s="4">
        <v>45694</v>
      </c>
      <c r="EW21" s="4">
        <f>DATE(YEAR(EV21)+2,MONTH(EV21),DAY(EV21)-1)</f>
        <v>46423</v>
      </c>
      <c r="EX21" s="8">
        <f t="shared" ca="1" si="60"/>
        <v>289</v>
      </c>
      <c r="EY21" s="5" t="str">
        <f t="shared" ca="1" si="61"/>
        <v>VIGENTE</v>
      </c>
      <c r="EZ21" s="3"/>
      <c r="FA21" s="4">
        <v>45611</v>
      </c>
      <c r="FB21" s="4">
        <f>DATE(YEAR(FA21)+2,MONTH(FA21),DAY(FA21)-1)</f>
        <v>46340</v>
      </c>
      <c r="FC21" s="8">
        <f t="shared" ca="1" si="62"/>
        <v>206</v>
      </c>
      <c r="FD21" s="5" t="str">
        <f t="shared" ca="1" si="63"/>
        <v>VIGENTE</v>
      </c>
      <c r="FE21" s="3"/>
      <c r="FF21" s="4">
        <v>45790</v>
      </c>
      <c r="FG21" s="4">
        <f>DATE(YEAR(FF21)+2,MONTH(FF21),DAY(FF21))</f>
        <v>46520</v>
      </c>
      <c r="FH21" s="8">
        <f t="shared" ca="1" si="64"/>
        <v>386</v>
      </c>
      <c r="FI21" s="5" t="str">
        <f t="shared" ca="1" si="65"/>
        <v>VIGENTE</v>
      </c>
      <c r="FJ21" s="3"/>
      <c r="FK21" s="4">
        <v>45771</v>
      </c>
      <c r="FL21" s="4">
        <f>DATE(YEAR(FK21)+2,MONTH(FK21),DAY(FK21))</f>
        <v>46501</v>
      </c>
      <c r="FM21" s="8">
        <f t="shared" ca="1" si="67"/>
        <v>367</v>
      </c>
      <c r="FN21" s="5" t="str">
        <f t="shared" ca="1" si="68"/>
        <v>VIGENTE</v>
      </c>
      <c r="FO21" s="3"/>
      <c r="FP21" s="4">
        <v>45605</v>
      </c>
      <c r="FQ21" s="4">
        <f>DATE(YEAR(FP21)+2,MONTH(FP21),DAY(FP21)-1)</f>
        <v>46334</v>
      </c>
      <c r="FR21" s="8">
        <f t="shared" ca="1" si="69"/>
        <v>200</v>
      </c>
      <c r="FS21" s="5" t="str">
        <f t="shared" ca="1" si="70"/>
        <v>VIGENTE</v>
      </c>
      <c r="FT21" s="3"/>
      <c r="FU21" s="4">
        <v>45581</v>
      </c>
      <c r="FV21" s="4">
        <f>DATE(YEAR(FU21)+2,MONTH(FU21),DAY(FU21)-1)</f>
        <v>46310</v>
      </c>
      <c r="FW21" s="8">
        <f t="shared" ca="1" si="71"/>
        <v>176</v>
      </c>
      <c r="FX21" s="5" t="str">
        <f t="shared" ca="1" si="72"/>
        <v>VIGENTE</v>
      </c>
      <c r="FY21" s="3"/>
      <c r="FZ21" s="4">
        <v>45595</v>
      </c>
      <c r="GA21" s="4">
        <f t="shared" si="188"/>
        <v>46324</v>
      </c>
      <c r="GB21" s="8">
        <f t="shared" ca="1" si="73"/>
        <v>190</v>
      </c>
      <c r="GC21" s="5" t="str">
        <f t="shared" ca="1" si="74"/>
        <v>VIGENTE</v>
      </c>
      <c r="GD21" s="3"/>
      <c r="GE21" s="4">
        <v>45579</v>
      </c>
      <c r="GF21" s="4">
        <f>DATE(YEAR(GE21)+2,MONTH(GE21),DAY(GE21)-1)</f>
        <v>46308</v>
      </c>
      <c r="GG21" s="8">
        <f t="shared" ca="1" si="75"/>
        <v>174</v>
      </c>
      <c r="GH21" s="5" t="str">
        <f t="shared" ca="1" si="76"/>
        <v>VIGENTE</v>
      </c>
      <c r="GI21" s="3"/>
      <c r="GJ21" s="4">
        <v>45848</v>
      </c>
      <c r="GK21" s="4">
        <f>DATE(YEAR(GJ21)+2,MONTH(GJ21),DAY(GJ21))</f>
        <v>46578</v>
      </c>
      <c r="GL21" s="8">
        <f t="shared" ca="1" si="77"/>
        <v>444</v>
      </c>
      <c r="GM21" s="5" t="str">
        <f t="shared" ca="1" si="78"/>
        <v>VIGENTE</v>
      </c>
      <c r="GN21" s="4"/>
      <c r="GO21" s="4">
        <v>44952</v>
      </c>
      <c r="GP21" s="4">
        <f t="shared" si="79"/>
        <v>46778</v>
      </c>
      <c r="GQ21" s="8">
        <f t="shared" ca="1" si="181"/>
        <v>644</v>
      </c>
      <c r="GR21" s="5" t="str">
        <f t="shared" ca="1" si="81"/>
        <v>VIGENTE</v>
      </c>
      <c r="GS21" s="3"/>
      <c r="GT21" s="4">
        <v>45138</v>
      </c>
      <c r="GU21" s="4">
        <f t="shared" si="82"/>
        <v>46965</v>
      </c>
      <c r="GV21" s="8">
        <f t="shared" ca="1" si="83"/>
        <v>831</v>
      </c>
      <c r="GW21" s="5" t="str">
        <f t="shared" ca="1" si="84"/>
        <v>VIGENTE</v>
      </c>
      <c r="GX21" s="2"/>
      <c r="GY21" s="4">
        <v>45174</v>
      </c>
      <c r="GZ21" s="4">
        <f t="shared" si="85"/>
        <v>47001</v>
      </c>
      <c r="HA21" s="8">
        <f t="shared" ca="1" si="86"/>
        <v>867</v>
      </c>
      <c r="HB21" s="5" t="str">
        <f t="shared" ca="1" si="87"/>
        <v>VIGENTE</v>
      </c>
      <c r="HC21" s="6"/>
      <c r="HD21" s="4"/>
      <c r="HE21" s="4"/>
      <c r="HF21" s="8"/>
      <c r="HG21" s="5" t="str">
        <f t="shared" si="182"/>
        <v>NO APLICA</v>
      </c>
      <c r="HH21" s="2"/>
      <c r="HI21" s="6"/>
      <c r="HJ21" s="4"/>
      <c r="HK21" s="8"/>
      <c r="HL21" s="5" t="str">
        <f t="shared" si="91"/>
        <v>NO APLICA</v>
      </c>
      <c r="HM21" s="2"/>
      <c r="HN21" s="2"/>
      <c r="HO21" s="4"/>
      <c r="HP21" s="2"/>
      <c r="HQ21" s="5" t="str">
        <f t="shared" si="92"/>
        <v>NO APLICA</v>
      </c>
      <c r="HR21" s="2"/>
      <c r="HS21" s="6"/>
      <c r="HT21" s="4"/>
      <c r="HU21" s="8"/>
      <c r="HV21" s="5" t="str">
        <f t="shared" si="93"/>
        <v>NO APLICA</v>
      </c>
      <c r="HW21" s="2"/>
      <c r="HX21" s="6"/>
      <c r="HY21" s="4"/>
      <c r="HZ21" s="8"/>
      <c r="IA21" s="5" t="str">
        <f t="shared" si="94"/>
        <v>NO APLICA</v>
      </c>
      <c r="IB21" s="2"/>
      <c r="IC21" s="6"/>
      <c r="ID21" s="4"/>
      <c r="IE21" s="8"/>
      <c r="IF21" s="5" t="str">
        <f t="shared" si="95"/>
        <v>NO APLICA</v>
      </c>
      <c r="IG21" s="6"/>
      <c r="IH21" s="6"/>
      <c r="II21" s="4"/>
      <c r="IJ21" s="8"/>
      <c r="IK21" s="5" t="str">
        <f t="shared" si="96"/>
        <v>NO APLICA</v>
      </c>
      <c r="IL21" s="2"/>
      <c r="IM21" s="6"/>
      <c r="IN21" s="4"/>
      <c r="IO21" s="8"/>
      <c r="IP21" s="5" t="str">
        <f t="shared" si="97"/>
        <v>NO APLICA</v>
      </c>
      <c r="IQ21" s="2"/>
      <c r="IR21" s="6"/>
      <c r="IS21" s="4"/>
      <c r="IT21" s="8"/>
      <c r="IU21" s="5" t="str">
        <f t="shared" si="98"/>
        <v>NO APLICA</v>
      </c>
      <c r="IV21" s="2"/>
      <c r="IW21" s="6"/>
      <c r="IX21" s="4"/>
      <c r="IY21" s="8"/>
      <c r="IZ21" s="5" t="str">
        <f t="shared" si="99"/>
        <v>NO APLICA</v>
      </c>
      <c r="JA21" s="3"/>
      <c r="JB21" s="3"/>
      <c r="JC21" s="4"/>
      <c r="JD21" s="8"/>
      <c r="JE21" s="5" t="str">
        <f t="shared" si="100"/>
        <v>NO APLICA</v>
      </c>
      <c r="JF21" s="6"/>
      <c r="JG21" s="6"/>
      <c r="JH21" s="6"/>
      <c r="JI21" s="6"/>
      <c r="JJ21" s="5" t="str">
        <f t="shared" si="101"/>
        <v>NO APLICA</v>
      </c>
      <c r="JK21" s="6"/>
      <c r="JL21" s="6"/>
      <c r="JM21" s="6"/>
      <c r="JN21" s="6"/>
      <c r="JO21" s="5" t="str">
        <f t="shared" si="102"/>
        <v>NO APLICA</v>
      </c>
      <c r="JP21" s="6"/>
      <c r="JQ21" s="6"/>
      <c r="JR21" s="6"/>
      <c r="JS21" s="6"/>
      <c r="JT21" s="5" t="str">
        <f t="shared" si="103"/>
        <v>NO APLICA</v>
      </c>
      <c r="JU21" s="5"/>
      <c r="JV21" s="5"/>
      <c r="JW21" s="5"/>
      <c r="JX21" s="5"/>
      <c r="JY21" s="5" t="str">
        <f t="shared" si="104"/>
        <v>NO APLICA</v>
      </c>
      <c r="JZ21" s="5"/>
      <c r="KA21" s="2"/>
      <c r="KB21" s="4"/>
      <c r="KC21" s="8"/>
      <c r="KD21" s="5" t="str">
        <f t="shared" si="105"/>
        <v>NO APLICA</v>
      </c>
      <c r="KE21" s="5"/>
      <c r="KF21" s="2"/>
      <c r="KG21" s="4"/>
      <c r="KH21" s="8"/>
      <c r="KI21" s="5" t="str">
        <f t="shared" si="141"/>
        <v>NO APLICA</v>
      </c>
      <c r="KJ21" s="5"/>
      <c r="KK21" s="2"/>
      <c r="KL21" s="4"/>
      <c r="KM21" s="8"/>
      <c r="KN21" s="5" t="str">
        <f t="shared" si="106"/>
        <v>NO APLICA</v>
      </c>
      <c r="KO21" s="5"/>
      <c r="KP21" s="2"/>
      <c r="KQ21" s="4"/>
      <c r="KR21" s="8"/>
      <c r="KS21" s="5" t="str">
        <f t="shared" si="142"/>
        <v>NO APLICA</v>
      </c>
      <c r="KT21" s="2"/>
      <c r="KU21" s="6"/>
      <c r="KV21" s="4"/>
      <c r="KW21" s="8"/>
      <c r="KX21" s="5" t="str">
        <f t="shared" si="156"/>
        <v>NO APLICA</v>
      </c>
      <c r="KY21" s="5"/>
      <c r="KZ21" s="6"/>
      <c r="LA21" s="4"/>
      <c r="LB21" s="8"/>
      <c r="LC21" s="5" t="str">
        <f t="shared" si="143"/>
        <v>NO APLICA</v>
      </c>
      <c r="LD21" s="6"/>
      <c r="LE21" s="6"/>
      <c r="LF21" s="4"/>
      <c r="LG21" s="8"/>
      <c r="LH21" s="5" t="str">
        <f t="shared" si="107"/>
        <v>NO APLICA</v>
      </c>
      <c r="LI21" s="5"/>
      <c r="LJ21" s="5"/>
      <c r="LK21" s="4"/>
      <c r="LL21" s="8"/>
      <c r="LM21" s="5" t="str">
        <f t="shared" si="157"/>
        <v>NO APLICA</v>
      </c>
      <c r="LN21" s="2"/>
      <c r="LO21" s="6"/>
      <c r="LP21" s="4"/>
      <c r="LQ21" s="8"/>
      <c r="LR21" s="5" t="str">
        <f t="shared" si="144"/>
        <v>NO APLICA</v>
      </c>
      <c r="LS21" s="6"/>
      <c r="LT21" s="6"/>
      <c r="LU21" s="4"/>
      <c r="LV21" s="8"/>
      <c r="LW21" s="5" t="str">
        <f t="shared" si="145"/>
        <v>NO APLICA</v>
      </c>
      <c r="LX21" s="6"/>
      <c r="LY21" s="6"/>
      <c r="LZ21" s="4"/>
      <c r="MA21" s="8"/>
      <c r="MB21" s="5" t="str">
        <f t="shared" si="146"/>
        <v>NO APLICA</v>
      </c>
      <c r="MC21" s="2"/>
      <c r="MD21" s="2"/>
      <c r="ME21" s="4"/>
      <c r="MF21" s="8"/>
      <c r="MG21" s="5" t="str">
        <f t="shared" si="108"/>
        <v>NO APLICA</v>
      </c>
      <c r="MH21" s="2"/>
      <c r="MI21" s="2"/>
      <c r="MJ21" s="4"/>
      <c r="MK21" s="8"/>
      <c r="ML21" s="5" t="str">
        <f t="shared" si="109"/>
        <v>NO APLICA</v>
      </c>
      <c r="MM21" s="5"/>
      <c r="MN21" s="2"/>
      <c r="MO21" s="4"/>
      <c r="MP21" s="8"/>
      <c r="MQ21" s="5" t="str">
        <f t="shared" si="110"/>
        <v>NO APLICA</v>
      </c>
      <c r="MR21" s="5"/>
      <c r="MS21" s="2"/>
      <c r="MT21" s="4"/>
      <c r="MU21" s="2"/>
      <c r="MV21" s="5" t="str">
        <f t="shared" si="111"/>
        <v>NO APLICA</v>
      </c>
      <c r="MW21" s="2"/>
      <c r="MX21" s="6"/>
      <c r="MY21" s="4"/>
      <c r="MZ21" s="8"/>
      <c r="NA21" s="5" t="str">
        <f t="shared" si="112"/>
        <v>NO APLICA</v>
      </c>
      <c r="NB21" s="2"/>
      <c r="NC21" s="6"/>
      <c r="ND21" s="4"/>
      <c r="NE21" s="8"/>
      <c r="NF21" s="5" t="str">
        <f t="shared" si="113"/>
        <v>NO APLICA</v>
      </c>
      <c r="NG21" s="2"/>
      <c r="NH21" s="6"/>
      <c r="NI21" s="4"/>
      <c r="NJ21" s="8"/>
      <c r="NK21" s="5" t="str">
        <f t="shared" si="114"/>
        <v>NO APLICA</v>
      </c>
      <c r="NL21" s="2"/>
      <c r="NM21" s="2"/>
      <c r="NN21" s="4"/>
      <c r="NO21" s="2"/>
      <c r="NP21" s="5" t="str">
        <f t="shared" si="115"/>
        <v>NO APLICA</v>
      </c>
      <c r="NQ21" s="2"/>
      <c r="NR21" s="2"/>
      <c r="NS21" s="4"/>
      <c r="NT21" s="2"/>
      <c r="NU21" s="5" t="str">
        <f t="shared" si="116"/>
        <v>NO APLICA</v>
      </c>
      <c r="NV21" s="6"/>
      <c r="NW21" s="6"/>
      <c r="NX21" s="4"/>
      <c r="NY21" s="8"/>
      <c r="NZ21" s="5" t="str">
        <f t="shared" si="117"/>
        <v>NO APLICA</v>
      </c>
      <c r="OA21" s="6"/>
      <c r="OB21" s="6"/>
      <c r="OC21" s="6"/>
      <c r="OD21" s="6"/>
      <c r="OE21" s="5" t="str">
        <f t="shared" si="118"/>
        <v>NO APLICA</v>
      </c>
      <c r="OF21" s="2"/>
      <c r="OG21" s="2"/>
      <c r="OH21" s="4"/>
      <c r="OI21" s="8"/>
      <c r="OJ21" s="5" t="str">
        <f t="shared" si="119"/>
        <v>NO APLICA</v>
      </c>
      <c r="OK21" s="6"/>
      <c r="OL21" s="6"/>
      <c r="OM21" s="6"/>
      <c r="ON21" s="6"/>
      <c r="OO21" s="5" t="str">
        <f t="shared" si="120"/>
        <v>NO APLICA</v>
      </c>
      <c r="OP21" s="6"/>
      <c r="OQ21" s="6"/>
      <c r="OR21" s="6"/>
      <c r="OS21" s="6"/>
      <c r="OT21" s="5" t="str">
        <f t="shared" si="121"/>
        <v>NO APLICA</v>
      </c>
      <c r="OU21" s="6"/>
      <c r="OV21" s="6"/>
      <c r="OW21" s="6"/>
      <c r="OX21" s="6"/>
      <c r="OY21" s="5" t="str">
        <f t="shared" si="122"/>
        <v>NO APLICA</v>
      </c>
      <c r="OZ21" s="6"/>
      <c r="PA21" s="6"/>
      <c r="PB21" s="6"/>
      <c r="PC21" s="6"/>
      <c r="PD21" s="5" t="str">
        <f t="shared" si="123"/>
        <v>NO APLICA</v>
      </c>
      <c r="PE21" s="6"/>
      <c r="PF21" s="6"/>
      <c r="PG21" s="6"/>
      <c r="PH21" s="6"/>
      <c r="PI21" s="5" t="str">
        <f t="shared" si="124"/>
        <v>NO APLICA</v>
      </c>
      <c r="PJ21" s="5"/>
      <c r="PK21" s="6"/>
      <c r="PL21" s="4"/>
      <c r="PM21" s="8"/>
      <c r="PN21" s="5" t="str">
        <f t="shared" si="125"/>
        <v>NO APLICA</v>
      </c>
      <c r="PO21" s="6"/>
      <c r="PP21" s="6"/>
      <c r="PQ21" s="6"/>
      <c r="PR21" s="6"/>
      <c r="PS21" s="5" t="str">
        <f t="shared" si="126"/>
        <v>NO APLICA</v>
      </c>
      <c r="PT21" s="5"/>
      <c r="PU21" s="6"/>
      <c r="PV21" s="6"/>
      <c r="PW21" s="6"/>
      <c r="PX21" s="5" t="str">
        <f t="shared" si="127"/>
        <v>NO APLICA</v>
      </c>
    </row>
    <row r="22" spans="1:440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132</v>
      </c>
      <c r="V22" s="4">
        <v>45401</v>
      </c>
      <c r="W22" s="4">
        <f t="shared" si="2"/>
        <v>47227</v>
      </c>
      <c r="X22" s="8">
        <f t="shared" ca="1" si="3"/>
        <v>1093</v>
      </c>
      <c r="Y22" s="5" t="str">
        <f t="shared" ca="1" si="4"/>
        <v>VIGENTE</v>
      </c>
      <c r="Z22" s="2" t="s">
        <v>133</v>
      </c>
      <c r="AA22" s="4">
        <v>44603</v>
      </c>
      <c r="AB22" s="4">
        <f>DATE(YEAR(AA22)+5,MONTH(AA22),DAY(AA22))</f>
        <v>46429</v>
      </c>
      <c r="AC22" s="8">
        <f ca="1">AB22-TODAY()</f>
        <v>295</v>
      </c>
      <c r="AD22" s="5" t="str">
        <f t="shared" ca="1" si="7"/>
        <v>VIGENTE</v>
      </c>
      <c r="AE22" s="3"/>
      <c r="AF22" s="4">
        <v>45594</v>
      </c>
      <c r="AG22" s="4">
        <f>DATE(YEAR(AF22)+2,MONTH(AF22),DAY(AF22)-1)</f>
        <v>46323</v>
      </c>
      <c r="AH22" s="8">
        <f t="shared" ca="1" si="8"/>
        <v>189</v>
      </c>
      <c r="AI22" s="5" t="str">
        <f t="shared" ca="1" si="9"/>
        <v>VIGENTE</v>
      </c>
      <c r="AJ22" s="3"/>
      <c r="AK22" s="4">
        <v>45959</v>
      </c>
      <c r="AL22" s="4">
        <f t="shared" si="189"/>
        <v>46689</v>
      </c>
      <c r="AM22" s="8">
        <f t="shared" ca="1" si="10"/>
        <v>555</v>
      </c>
      <c r="AN22" s="5" t="str">
        <f t="shared" ca="1" si="11"/>
        <v>VIGENTE</v>
      </c>
      <c r="AO22" s="3"/>
      <c r="AP22" s="4">
        <v>45967</v>
      </c>
      <c r="AQ22" s="4">
        <f t="shared" si="183"/>
        <v>46697</v>
      </c>
      <c r="AR22" s="8">
        <f t="shared" ca="1" si="12"/>
        <v>563</v>
      </c>
      <c r="AS22" s="5" t="str">
        <f t="shared" ca="1" si="13"/>
        <v>VIGENTE</v>
      </c>
      <c r="AT22" s="3"/>
      <c r="AU22" s="4">
        <v>45972</v>
      </c>
      <c r="AV22" s="4">
        <f>DATE(YEAR(AU22)+2,MONTH(AU22),DAY(AU22))</f>
        <v>46702</v>
      </c>
      <c r="AW22" s="8">
        <f t="shared" ca="1" si="15"/>
        <v>568</v>
      </c>
      <c r="AX22" s="5" t="str">
        <f t="shared" ca="1" si="16"/>
        <v>VIGENTE</v>
      </c>
      <c r="AY22" s="3"/>
      <c r="AZ22" s="4">
        <v>45708</v>
      </c>
      <c r="BA22" s="4">
        <f>DATE(YEAR(AZ22)+2,MONTH(AZ22),DAY(AZ22)-1)</f>
        <v>46437</v>
      </c>
      <c r="BB22" s="8">
        <f t="shared" ca="1" si="17"/>
        <v>303</v>
      </c>
      <c r="BC22" s="5" t="str">
        <f t="shared" ca="1" si="18"/>
        <v>VIGENTE</v>
      </c>
      <c r="BD22" s="3"/>
      <c r="BE22" s="4">
        <v>45968</v>
      </c>
      <c r="BF22" s="4">
        <f>DATE(YEAR(BE22)+2,MONTH(BE22),DAY(BE22))</f>
        <v>46698</v>
      </c>
      <c r="BG22" s="8">
        <f t="shared" ca="1" si="19"/>
        <v>564</v>
      </c>
      <c r="BH22" s="5" t="str">
        <f t="shared" ca="1" si="20"/>
        <v>VIGENTE</v>
      </c>
      <c r="BI22" s="3"/>
      <c r="BJ22" s="4">
        <v>46017</v>
      </c>
      <c r="BK22" s="4">
        <f>DATE(YEAR(BJ22)+2,MONTH(BJ22),DAY(BJ22))</f>
        <v>46747</v>
      </c>
      <c r="BL22" s="8">
        <f t="shared" ca="1" si="21"/>
        <v>613</v>
      </c>
      <c r="BM22" s="5" t="str">
        <f t="shared" ca="1" si="22"/>
        <v>VIGENTE</v>
      </c>
      <c r="BN22" s="3"/>
      <c r="BO22" s="4">
        <v>46069</v>
      </c>
      <c r="BP22" s="4">
        <f>DATE(YEAR(BO22)+2,MONTH(BO22),DAY(BO22))</f>
        <v>46799</v>
      </c>
      <c r="BQ22" s="8">
        <f t="shared" ca="1" si="23"/>
        <v>665</v>
      </c>
      <c r="BR22" s="5" t="str">
        <f t="shared" ca="1" si="24"/>
        <v>VIGENTE</v>
      </c>
      <c r="BS22" s="3"/>
      <c r="BT22" s="4">
        <v>45484</v>
      </c>
      <c r="BU22" s="4">
        <f t="shared" si="190"/>
        <v>46213</v>
      </c>
      <c r="BV22" s="8">
        <f t="shared" ca="1" si="25"/>
        <v>79</v>
      </c>
      <c r="BW22" s="5" t="str">
        <f t="shared" ca="1" si="26"/>
        <v>POR VENCER</v>
      </c>
      <c r="BX22" s="3"/>
      <c r="BY22" s="4">
        <v>45944</v>
      </c>
      <c r="BZ22" s="4">
        <f t="shared" si="191"/>
        <v>46674</v>
      </c>
      <c r="CA22" s="8">
        <f t="shared" ca="1" si="27"/>
        <v>540</v>
      </c>
      <c r="CB22" s="5" t="str">
        <f t="shared" ca="1" si="28"/>
        <v>VIGENTE</v>
      </c>
      <c r="CC22" s="6" t="s">
        <v>73</v>
      </c>
      <c r="CD22" s="4">
        <v>45241</v>
      </c>
      <c r="CE22" s="4">
        <f t="shared" si="29"/>
        <v>46702</v>
      </c>
      <c r="CF22" s="8">
        <f t="shared" ca="1" si="30"/>
        <v>568</v>
      </c>
      <c r="CG22" s="5" t="str">
        <f t="shared" ca="1" si="31"/>
        <v>VIGENTE</v>
      </c>
      <c r="CH22" s="6"/>
      <c r="CI22" s="4">
        <v>45763</v>
      </c>
      <c r="CJ22" s="4">
        <f>DATE(YEAR(CI22)+2,MONTH(CI22),DAY(CI22))</f>
        <v>46493</v>
      </c>
      <c r="CK22" s="8">
        <f t="shared" ca="1" si="32"/>
        <v>359</v>
      </c>
      <c r="CL22" s="5" t="str">
        <f t="shared" ca="1" si="33"/>
        <v>VIGENTE</v>
      </c>
      <c r="CM22" s="3"/>
      <c r="CN22" s="4">
        <v>45517</v>
      </c>
      <c r="CO22" s="4">
        <f>DATE(YEAR(CN22)+2,MONTH(CN22),DAY(CN22)-1)</f>
        <v>46246</v>
      </c>
      <c r="CP22" s="8">
        <f t="shared" ca="1" si="34"/>
        <v>112</v>
      </c>
      <c r="CQ22" s="5" t="str">
        <f t="shared" ca="1" si="35"/>
        <v>VIGENTE</v>
      </c>
      <c r="CR22" s="3"/>
      <c r="CS22" s="4">
        <v>45645</v>
      </c>
      <c r="CT22" s="4">
        <f>DATE(YEAR(CS22)+2,MONTH(CS22),DAY(CS22)-1)</f>
        <v>46374</v>
      </c>
      <c r="CU22" s="8">
        <f t="shared" ca="1" si="36"/>
        <v>240</v>
      </c>
      <c r="CV22" s="5" t="str">
        <f t="shared" ca="1" si="37"/>
        <v>VIGENTE</v>
      </c>
      <c r="CW22" s="3"/>
      <c r="CX22" s="4">
        <v>45661</v>
      </c>
      <c r="CY22" s="4">
        <f>DATE(YEAR(CX22)+2,MONTH(CX22),DAY(CX22)-1)</f>
        <v>46390</v>
      </c>
      <c r="CZ22" s="8">
        <f t="shared" ca="1" si="38"/>
        <v>256</v>
      </c>
      <c r="DA22" s="5" t="str">
        <f t="shared" ca="1" si="39"/>
        <v>VIGENTE</v>
      </c>
      <c r="DB22" s="3"/>
      <c r="DC22" s="4">
        <v>45689</v>
      </c>
      <c r="DD22" s="4">
        <f>DATE(YEAR(DC22)+2,MONTH(DC22),DAY(DC22)-1)</f>
        <v>46418</v>
      </c>
      <c r="DE22" s="8">
        <f t="shared" ca="1" si="40"/>
        <v>284</v>
      </c>
      <c r="DF22" s="5" t="str">
        <f t="shared" ca="1" si="41"/>
        <v>VIGENTE</v>
      </c>
      <c r="DG22" s="3"/>
      <c r="DH22" s="4">
        <v>45696</v>
      </c>
      <c r="DI22" s="4">
        <f>DATE(YEAR(DH22)+2,MONTH(DH22),DAY(DH22)-1)</f>
        <v>46425</v>
      </c>
      <c r="DJ22" s="8">
        <f t="shared" ca="1" si="43"/>
        <v>291</v>
      </c>
      <c r="DK22" s="5" t="str">
        <f t="shared" ca="1" si="44"/>
        <v>VIGENTE</v>
      </c>
      <c r="DL22" s="3"/>
      <c r="DM22" s="4">
        <v>45731</v>
      </c>
      <c r="DN22" s="4">
        <f>DATE(YEAR(DM22)+2,MONTH(DM22),DAY(DM22)-1)</f>
        <v>46460</v>
      </c>
      <c r="DO22" s="8">
        <f t="shared" ca="1" si="46"/>
        <v>326</v>
      </c>
      <c r="DP22" s="5" t="str">
        <f t="shared" ca="1" si="47"/>
        <v>VIGENTE</v>
      </c>
      <c r="DQ22" s="3"/>
      <c r="DR22" s="4">
        <v>45728</v>
      </c>
      <c r="DS22" s="4">
        <f>DATE(YEAR(DR22)+2,MONTH(DR22),DAY(DR22)-1)</f>
        <v>46457</v>
      </c>
      <c r="DT22" s="8">
        <f t="shared" ca="1" si="48"/>
        <v>323</v>
      </c>
      <c r="DU22" s="5" t="str">
        <f t="shared" ca="1" si="49"/>
        <v>VIGENTE</v>
      </c>
      <c r="DV22" s="3"/>
      <c r="DW22" s="4">
        <v>45751</v>
      </c>
      <c r="DX22" s="4">
        <f>DATE(YEAR(DW22)+2,MONTH(DW22),DAY(DW22)-1)</f>
        <v>46480</v>
      </c>
      <c r="DY22" s="8">
        <f t="shared" ca="1" si="50"/>
        <v>346</v>
      </c>
      <c r="DZ22" s="5" t="str">
        <f t="shared" ca="1" si="51"/>
        <v>VIGENTE</v>
      </c>
      <c r="EA22" s="3"/>
      <c r="EB22" s="4">
        <v>45674</v>
      </c>
      <c r="EC22" s="4">
        <f>DATE(YEAR(EB22)+2,MONTH(EB22),DAY(EB22)-1)</f>
        <v>46403</v>
      </c>
      <c r="ED22" s="8">
        <f t="shared" ca="1" si="52"/>
        <v>269</v>
      </c>
      <c r="EE22" s="5" t="str">
        <f t="shared" ca="1" si="53"/>
        <v>VIGENTE</v>
      </c>
      <c r="EF22" s="3"/>
      <c r="EG22" s="4">
        <v>45808</v>
      </c>
      <c r="EH22" s="4">
        <f t="shared" si="137"/>
        <v>46173</v>
      </c>
      <c r="EI22" s="8">
        <f t="shared" ca="1" si="54"/>
        <v>39</v>
      </c>
      <c r="EJ22" s="5" t="str">
        <f t="shared" ca="1" si="55"/>
        <v>POR VENCER</v>
      </c>
      <c r="EK22" s="3"/>
      <c r="EL22" s="4">
        <v>45660</v>
      </c>
      <c r="EM22" s="4">
        <f t="shared" si="186"/>
        <v>46389</v>
      </c>
      <c r="EN22" s="8">
        <f t="shared" ca="1" si="56"/>
        <v>255</v>
      </c>
      <c r="EO22" s="5" t="str">
        <f t="shared" ca="1" si="57"/>
        <v>VIGENTE</v>
      </c>
      <c r="EP22" s="3"/>
      <c r="EQ22" s="4">
        <v>45677</v>
      </c>
      <c r="ER22" s="4">
        <f t="shared" si="187"/>
        <v>46406</v>
      </c>
      <c r="ES22" s="8">
        <f t="shared" ca="1" si="58"/>
        <v>272</v>
      </c>
      <c r="ET22" s="5" t="str">
        <f t="shared" ca="1" si="59"/>
        <v>VIGENTE</v>
      </c>
      <c r="EU22" s="3"/>
      <c r="EV22" s="4">
        <v>45973</v>
      </c>
      <c r="EW22" s="4">
        <f>DATE(YEAR(EV22)+2,MONTH(EV22),DAY(EV22))</f>
        <v>46703</v>
      </c>
      <c r="EX22" s="8">
        <f t="shared" ca="1" si="60"/>
        <v>569</v>
      </c>
      <c r="EY22" s="5" t="str">
        <f t="shared" ca="1" si="61"/>
        <v>VIGENTE</v>
      </c>
      <c r="EZ22" s="3"/>
      <c r="FA22" s="4">
        <v>45951</v>
      </c>
      <c r="FB22" s="4">
        <f>DATE(YEAR(FA22)+2,MONTH(FA22),DAY(FA22))</f>
        <v>46681</v>
      </c>
      <c r="FC22" s="8">
        <f t="shared" ca="1" si="62"/>
        <v>547</v>
      </c>
      <c r="FD22" s="5" t="str">
        <f t="shared" ca="1" si="63"/>
        <v>VIGENTE</v>
      </c>
      <c r="FE22" s="3"/>
      <c r="FF22" s="4">
        <v>45932</v>
      </c>
      <c r="FG22" s="4">
        <f>DATE(YEAR(FF22)+2,MONTH(FF22),DAY(FF22))</f>
        <v>46662</v>
      </c>
      <c r="FH22" s="8">
        <f t="shared" ca="1" si="64"/>
        <v>528</v>
      </c>
      <c r="FI22" s="5" t="str">
        <f t="shared" ca="1" si="65"/>
        <v>VIGENTE</v>
      </c>
      <c r="FJ22" s="3"/>
      <c r="FK22" s="4">
        <v>45933</v>
      </c>
      <c r="FL22" s="4">
        <f>DATE(YEAR(FK22)+2,MONTH(FK22),DAY(FK22))</f>
        <v>46663</v>
      </c>
      <c r="FM22" s="8">
        <f t="shared" ca="1" si="67"/>
        <v>529</v>
      </c>
      <c r="FN22" s="5" t="str">
        <f t="shared" ca="1" si="68"/>
        <v>VIGENTE</v>
      </c>
      <c r="FO22" s="3"/>
      <c r="FP22" s="4">
        <v>45957</v>
      </c>
      <c r="FQ22" s="4">
        <f>DATE(YEAR(FP22)+2,MONTH(FP22),DAY(FP22))</f>
        <v>46687</v>
      </c>
      <c r="FR22" s="8">
        <f t="shared" ca="1" si="69"/>
        <v>553</v>
      </c>
      <c r="FS22" s="5" t="str">
        <f t="shared" ca="1" si="70"/>
        <v>VIGENTE</v>
      </c>
      <c r="FT22" s="3"/>
      <c r="FU22" s="4">
        <v>46014</v>
      </c>
      <c r="FV22" s="4">
        <f>DATE(YEAR(FU22)+2,MONTH(FU22),DAY(FU22))</f>
        <v>46744</v>
      </c>
      <c r="FW22" s="8">
        <f t="shared" ca="1" si="71"/>
        <v>610</v>
      </c>
      <c r="FX22" s="5" t="str">
        <f t="shared" ca="1" si="72"/>
        <v>VIGENTE</v>
      </c>
      <c r="FY22" s="3"/>
      <c r="FZ22" s="4">
        <v>45667</v>
      </c>
      <c r="GA22" s="4">
        <f t="shared" si="188"/>
        <v>46396</v>
      </c>
      <c r="GB22" s="8">
        <f t="shared" ca="1" si="73"/>
        <v>262</v>
      </c>
      <c r="GC22" s="5" t="str">
        <f t="shared" ca="1" si="74"/>
        <v>VIGENTE</v>
      </c>
      <c r="GD22" s="3"/>
      <c r="GE22" s="4">
        <v>45672</v>
      </c>
      <c r="GF22" s="4">
        <f>DATE(YEAR(GE22)+2,MONTH(GE22),DAY(GE22)-1)</f>
        <v>46401</v>
      </c>
      <c r="GG22" s="8">
        <f t="shared" ca="1" si="75"/>
        <v>267</v>
      </c>
      <c r="GH22" s="5" t="str">
        <f t="shared" ca="1" si="76"/>
        <v>VIGENTE</v>
      </c>
      <c r="GI22" s="3"/>
      <c r="GJ22" s="4">
        <v>45945</v>
      </c>
      <c r="GK22" s="4">
        <f>DATE(YEAR(GJ22)+2,MONTH(GJ22),DAY(GJ22))</f>
        <v>46675</v>
      </c>
      <c r="GL22" s="8">
        <f t="shared" ca="1" si="77"/>
        <v>541</v>
      </c>
      <c r="GM22" s="5" t="str">
        <f t="shared" ca="1" si="78"/>
        <v>VIGENTE</v>
      </c>
      <c r="GN22" s="4"/>
      <c r="GO22" s="4">
        <v>45295</v>
      </c>
      <c r="GP22" s="4">
        <f t="shared" si="79"/>
        <v>47122</v>
      </c>
      <c r="GQ22" s="8">
        <f t="shared" ca="1" si="181"/>
        <v>988</v>
      </c>
      <c r="GR22" s="5" t="str">
        <f t="shared" ca="1" si="81"/>
        <v>VIGENTE</v>
      </c>
      <c r="GS22" s="3"/>
      <c r="GT22" s="4">
        <v>45254</v>
      </c>
      <c r="GU22" s="4">
        <f t="shared" si="82"/>
        <v>47081</v>
      </c>
      <c r="GV22" s="8">
        <f t="shared" ca="1" si="83"/>
        <v>947</v>
      </c>
      <c r="GW22" s="5" t="str">
        <f t="shared" ca="1" si="84"/>
        <v>VIGENTE</v>
      </c>
      <c r="GX22" s="3"/>
      <c r="GY22" s="4">
        <v>45268</v>
      </c>
      <c r="GZ22" s="4">
        <f t="shared" si="85"/>
        <v>47095</v>
      </c>
      <c r="HA22" s="8">
        <f t="shared" ca="1" si="86"/>
        <v>961</v>
      </c>
      <c r="HB22" s="5" t="str">
        <f t="shared" ca="1" si="87"/>
        <v>VIGENTE</v>
      </c>
      <c r="HC22" s="6"/>
      <c r="HD22" s="4">
        <v>44879</v>
      </c>
      <c r="HE22" s="4">
        <f>DATE(YEAR(HD22)+5,MONTH(HD22),DAY(HD22))</f>
        <v>46705</v>
      </c>
      <c r="HF22" s="8">
        <f ca="1">HE22-TODAY()</f>
        <v>571</v>
      </c>
      <c r="HG22" s="5" t="str">
        <f t="shared" ca="1" si="182"/>
        <v>VIGENTE</v>
      </c>
      <c r="HH22" s="2"/>
      <c r="HI22" s="4">
        <v>45331</v>
      </c>
      <c r="HJ22" s="4">
        <f>DATE(YEAR(HI22)+5,MONTH(HI22),DAY(HI22))</f>
        <v>47158</v>
      </c>
      <c r="HK22" s="8">
        <f ca="1">HJ22-TODAY()</f>
        <v>1024</v>
      </c>
      <c r="HL22" s="5" t="str">
        <f t="shared" ca="1" si="91"/>
        <v>VIGENTE</v>
      </c>
      <c r="HM22" s="2"/>
      <c r="HN22" s="3">
        <v>45374</v>
      </c>
      <c r="HO22" s="4">
        <f>DATE(YEAR(HN22)+5,MONTH(HN22),DAY(HN22))</f>
        <v>47200</v>
      </c>
      <c r="HP22" s="8">
        <f ca="1">HO22-TODAY()</f>
        <v>1066</v>
      </c>
      <c r="HQ22" s="5" t="str">
        <f t="shared" ca="1" si="92"/>
        <v>VIGENTE</v>
      </c>
      <c r="HR22" s="3"/>
      <c r="HS22" s="4">
        <v>45243</v>
      </c>
      <c r="HT22" s="4">
        <f>DATE(YEAR(HS22)+5,MONTH(HS22),DAY(HS22))</f>
        <v>47070</v>
      </c>
      <c r="HU22" s="8">
        <f ca="1">HT22-TODAY()</f>
        <v>936</v>
      </c>
      <c r="HV22" s="5" t="str">
        <f t="shared" ca="1" si="93"/>
        <v>VIGENTE</v>
      </c>
      <c r="HW22" s="3"/>
      <c r="HX22" s="4">
        <v>45428</v>
      </c>
      <c r="HY22" s="4">
        <f>DATE(YEAR(HX22)+5,MONTH(HX22),DAY(HX22))</f>
        <v>47254</v>
      </c>
      <c r="HZ22" s="8">
        <f ca="1">HY22-TODAY()</f>
        <v>1120</v>
      </c>
      <c r="IA22" s="5" t="str">
        <f t="shared" ca="1" si="94"/>
        <v>VIGENTE</v>
      </c>
      <c r="IB22" s="3"/>
      <c r="IC22" s="4">
        <v>45470</v>
      </c>
      <c r="ID22" s="4">
        <f>DATE(YEAR(IC22)+5,MONTH(IC22),DAY(IC22))</f>
        <v>47296</v>
      </c>
      <c r="IE22" s="8">
        <f ca="1">ID22-TODAY()</f>
        <v>1162</v>
      </c>
      <c r="IF22" s="5" t="str">
        <f t="shared" ca="1" si="95"/>
        <v>VIGENTE</v>
      </c>
      <c r="IG22" s="4"/>
      <c r="IH22" s="4">
        <v>45452</v>
      </c>
      <c r="II22" s="4">
        <f>DATE(YEAR(IH22)+5,MONTH(IH22),DAY(IH22))</f>
        <v>47278</v>
      </c>
      <c r="IJ22" s="8">
        <f ca="1">II22-TODAY()</f>
        <v>1144</v>
      </c>
      <c r="IK22" s="5" t="str">
        <f t="shared" ca="1" si="96"/>
        <v>VIGENTE</v>
      </c>
      <c r="IL22" s="3"/>
      <c r="IM22" s="4">
        <v>45453</v>
      </c>
      <c r="IN22" s="4">
        <f>DATE(YEAR(IM22)+5,MONTH(IM22),DAY(IM22))</f>
        <v>47279</v>
      </c>
      <c r="IO22" s="8">
        <f ca="1">IN22-TODAY()</f>
        <v>1145</v>
      </c>
      <c r="IP22" s="5" t="str">
        <f t="shared" ca="1" si="97"/>
        <v>VIGENTE</v>
      </c>
      <c r="IQ22" s="3"/>
      <c r="IR22" s="4">
        <v>45489</v>
      </c>
      <c r="IS22" s="4">
        <f>DATE(YEAR(IR22)+5,MONTH(IR22),DAY(IR22))</f>
        <v>47315</v>
      </c>
      <c r="IT22" s="8">
        <f ca="1">IS22-TODAY()</f>
        <v>1181</v>
      </c>
      <c r="IU22" s="5" t="str">
        <f t="shared" ca="1" si="98"/>
        <v>VIGENTE</v>
      </c>
      <c r="IV22" s="3"/>
      <c r="IW22" s="4">
        <v>45477</v>
      </c>
      <c r="IX22" s="4">
        <f>DATE(YEAR(IW22)+5,MONTH(IW22),DAY(IW22))</f>
        <v>47303</v>
      </c>
      <c r="IY22" s="8">
        <f ca="1">IX22-TODAY()</f>
        <v>1169</v>
      </c>
      <c r="IZ22" s="5" t="str">
        <f t="shared" ca="1" si="99"/>
        <v>VIGENTE</v>
      </c>
      <c r="JA22" s="3"/>
      <c r="JB22" s="3"/>
      <c r="JC22" s="4"/>
      <c r="JD22" s="8"/>
      <c r="JE22" s="5" t="str">
        <f t="shared" si="100"/>
        <v>NO APLICA</v>
      </c>
      <c r="JF22" s="6"/>
      <c r="JG22" s="6"/>
      <c r="JH22" s="6"/>
      <c r="JI22" s="6"/>
      <c r="JJ22" s="5" t="str">
        <f t="shared" si="101"/>
        <v>NO APLICA</v>
      </c>
      <c r="JK22" s="6"/>
      <c r="JL22" s="6"/>
      <c r="JM22" s="6"/>
      <c r="JN22" s="6"/>
      <c r="JO22" s="5" t="str">
        <f t="shared" si="102"/>
        <v>NO APLICA</v>
      </c>
      <c r="JP22" s="6"/>
      <c r="JQ22" s="6"/>
      <c r="JR22" s="6"/>
      <c r="JS22" s="6"/>
      <c r="JT22" s="5" t="str">
        <f t="shared" si="103"/>
        <v>NO APLICA</v>
      </c>
      <c r="JU22" s="5"/>
      <c r="JV22" s="3"/>
      <c r="JW22" s="4"/>
      <c r="JX22" s="8"/>
      <c r="JY22" s="5" t="str">
        <f t="shared" si="104"/>
        <v>NO APLICA</v>
      </c>
      <c r="JZ22" s="5"/>
      <c r="KA22" s="5"/>
      <c r="KB22" s="4"/>
      <c r="KC22" s="8"/>
      <c r="KD22" s="5" t="str">
        <f t="shared" si="105"/>
        <v>NO APLICA</v>
      </c>
      <c r="KE22" s="5"/>
      <c r="KF22" s="5"/>
      <c r="KG22" s="4"/>
      <c r="KH22" s="8"/>
      <c r="KI22" s="5" t="str">
        <f t="shared" si="141"/>
        <v>NO APLICA</v>
      </c>
      <c r="KJ22" s="5"/>
      <c r="KK22" s="5"/>
      <c r="KL22" s="4"/>
      <c r="KM22" s="8"/>
      <c r="KN22" s="5" t="str">
        <f t="shared" si="106"/>
        <v>NO APLICA</v>
      </c>
      <c r="KO22" s="5"/>
      <c r="KP22" s="2"/>
      <c r="KQ22" s="4"/>
      <c r="KR22" s="8"/>
      <c r="KS22" s="5" t="str">
        <f t="shared" si="142"/>
        <v>NO APLICA</v>
      </c>
      <c r="KT22" s="3"/>
      <c r="KU22" s="4">
        <v>44653</v>
      </c>
      <c r="KV22" s="4">
        <f>DATE(YEAR(KU22)+5,MONTH(KU22),DAY(KU22))</f>
        <v>46479</v>
      </c>
      <c r="KW22" s="8">
        <f ca="1">KV22-TODAY()</f>
        <v>345</v>
      </c>
      <c r="KX22" s="5" t="str">
        <f t="shared" ca="1" si="156"/>
        <v>VIGENTE</v>
      </c>
      <c r="KY22" s="5"/>
      <c r="KZ22" s="6"/>
      <c r="LA22" s="4"/>
      <c r="LB22" s="8"/>
      <c r="LC22" s="5" t="str">
        <f t="shared" si="143"/>
        <v>NO APLICA</v>
      </c>
      <c r="LD22" s="6"/>
      <c r="LE22" s="4"/>
      <c r="LF22" s="4"/>
      <c r="LG22" s="8"/>
      <c r="LH22" s="5" t="str">
        <f t="shared" si="107"/>
        <v>NO APLICA</v>
      </c>
      <c r="LI22" s="5"/>
      <c r="LJ22" s="5"/>
      <c r="LK22" s="4"/>
      <c r="LL22" s="8"/>
      <c r="LM22" s="5" t="str">
        <f t="shared" si="157"/>
        <v>NO APLICA</v>
      </c>
      <c r="LN22" s="5"/>
      <c r="LO22" s="6"/>
      <c r="LP22" s="4"/>
      <c r="LQ22" s="8"/>
      <c r="LR22" s="5" t="str">
        <f t="shared" si="144"/>
        <v>NO APLICA</v>
      </c>
      <c r="LS22" s="6"/>
      <c r="LT22" s="6"/>
      <c r="LU22" s="4"/>
      <c r="LV22" s="8"/>
      <c r="LW22" s="5" t="str">
        <f t="shared" si="145"/>
        <v>NO APLICA</v>
      </c>
      <c r="LX22" s="6"/>
      <c r="LY22" s="6"/>
      <c r="LZ22" s="4"/>
      <c r="MA22" s="8"/>
      <c r="MB22" s="5" t="str">
        <f t="shared" si="146"/>
        <v>NO APLICA</v>
      </c>
      <c r="MC22" s="5"/>
      <c r="MD22" s="5"/>
      <c r="ME22" s="4"/>
      <c r="MF22" s="8"/>
      <c r="MG22" s="5" t="str">
        <f t="shared" si="108"/>
        <v>NO APLICA</v>
      </c>
      <c r="MH22" s="5"/>
      <c r="MI22" s="5"/>
      <c r="MJ22" s="4"/>
      <c r="MK22" s="8"/>
      <c r="ML22" s="5" t="str">
        <f t="shared" si="109"/>
        <v>NO APLICA</v>
      </c>
      <c r="MM22" s="5"/>
      <c r="MN22" s="5"/>
      <c r="MO22" s="4"/>
      <c r="MP22" s="8"/>
      <c r="MQ22" s="5" t="str">
        <f t="shared" si="110"/>
        <v>NO APLICA</v>
      </c>
      <c r="MR22" s="5"/>
      <c r="MS22" s="5"/>
      <c r="MT22" s="4"/>
      <c r="MU22" s="5"/>
      <c r="MV22" s="5" t="str">
        <f t="shared" si="111"/>
        <v>NO APLICA</v>
      </c>
      <c r="MW22" s="5"/>
      <c r="MX22" s="6"/>
      <c r="MY22" s="4"/>
      <c r="MZ22" s="8"/>
      <c r="NA22" s="5" t="str">
        <f t="shared" si="112"/>
        <v>NO APLICA</v>
      </c>
      <c r="NB22" s="5"/>
      <c r="NC22" s="6"/>
      <c r="ND22" s="4"/>
      <c r="NE22" s="8"/>
      <c r="NF22" s="5" t="str">
        <f t="shared" si="113"/>
        <v>NO APLICA</v>
      </c>
      <c r="NG22" s="5"/>
      <c r="NH22" s="6"/>
      <c r="NI22" s="4"/>
      <c r="NJ22" s="8"/>
      <c r="NK22" s="5" t="str">
        <f t="shared" si="114"/>
        <v>NO APLICA</v>
      </c>
      <c r="NL22" s="5"/>
      <c r="NM22" s="5"/>
      <c r="NN22" s="4"/>
      <c r="NO22" s="5"/>
      <c r="NP22" s="5" t="str">
        <f t="shared" si="115"/>
        <v>NO APLICA</v>
      </c>
      <c r="NQ22" s="5"/>
      <c r="NR22" s="5"/>
      <c r="NS22" s="5"/>
      <c r="NT22" s="5"/>
      <c r="NU22" s="5" t="str">
        <f t="shared" si="116"/>
        <v>NO APLICA</v>
      </c>
      <c r="NV22" s="6"/>
      <c r="NW22" s="6"/>
      <c r="NX22" s="4"/>
      <c r="NY22" s="8"/>
      <c r="NZ22" s="5" t="str">
        <f t="shared" si="117"/>
        <v>NO APLICA</v>
      </c>
      <c r="OA22" s="6"/>
      <c r="OB22" s="6"/>
      <c r="OC22" s="6"/>
      <c r="OD22" s="6"/>
      <c r="OE22" s="5" t="str">
        <f t="shared" si="118"/>
        <v>NO APLICA</v>
      </c>
      <c r="OF22" s="5"/>
      <c r="OG22" s="5"/>
      <c r="OH22" s="4"/>
      <c r="OI22" s="8"/>
      <c r="OJ22" s="5" t="str">
        <f t="shared" si="119"/>
        <v>NO APLICA</v>
      </c>
      <c r="OK22" s="6"/>
      <c r="OL22" s="6"/>
      <c r="OM22" s="6"/>
      <c r="ON22" s="6"/>
      <c r="OO22" s="5" t="str">
        <f t="shared" si="120"/>
        <v>NO APLICA</v>
      </c>
      <c r="OP22" s="6"/>
      <c r="OQ22" s="6"/>
      <c r="OR22" s="6"/>
      <c r="OS22" s="6"/>
      <c r="OT22" s="5" t="str">
        <f t="shared" si="121"/>
        <v>NO APLICA</v>
      </c>
      <c r="OU22" s="6"/>
      <c r="OV22" s="6"/>
      <c r="OW22" s="6"/>
      <c r="OX22" s="6"/>
      <c r="OY22" s="5" t="str">
        <f t="shared" si="122"/>
        <v>NO APLICA</v>
      </c>
      <c r="OZ22" s="6"/>
      <c r="PA22" s="6"/>
      <c r="PB22" s="6"/>
      <c r="PC22" s="6"/>
      <c r="PD22" s="5" t="str">
        <f t="shared" si="123"/>
        <v>NO APLICA</v>
      </c>
      <c r="PE22" s="6"/>
      <c r="PF22" s="6"/>
      <c r="PG22" s="6"/>
      <c r="PH22" s="6"/>
      <c r="PI22" s="5" t="str">
        <f t="shared" si="124"/>
        <v>NO APLICA</v>
      </c>
      <c r="PJ22" s="5"/>
      <c r="PK22" s="6"/>
      <c r="PL22" s="4"/>
      <c r="PM22" s="8"/>
      <c r="PN22" s="5" t="str">
        <f t="shared" si="125"/>
        <v>NO APLICA</v>
      </c>
      <c r="PO22" s="6"/>
      <c r="PP22" s="6"/>
      <c r="PQ22" s="6"/>
      <c r="PR22" s="6"/>
      <c r="PS22" s="5" t="str">
        <f t="shared" si="126"/>
        <v>NO APLICA</v>
      </c>
      <c r="PT22" s="5"/>
      <c r="PU22" s="6"/>
      <c r="PV22" s="6"/>
      <c r="PW22" s="6"/>
      <c r="PX22" s="5" t="str">
        <f t="shared" si="127"/>
        <v>NO APLICA</v>
      </c>
    </row>
    <row r="23" spans="1:440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199</v>
      </c>
      <c r="T23" s="5" t="str">
        <f t="shared" ca="1" si="128"/>
        <v>VIGENTE</v>
      </c>
      <c r="U23" s="2" t="s">
        <v>136</v>
      </c>
      <c r="V23" s="4">
        <v>45391</v>
      </c>
      <c r="W23" s="4">
        <f t="shared" si="2"/>
        <v>47217</v>
      </c>
      <c r="X23" s="8">
        <f t="shared" ca="1" si="3"/>
        <v>1083</v>
      </c>
      <c r="Y23" s="5" t="str">
        <f t="shared" ca="1" si="4"/>
        <v>VIGENTE</v>
      </c>
      <c r="Z23" s="2" t="s">
        <v>137</v>
      </c>
      <c r="AA23" s="4">
        <v>45190</v>
      </c>
      <c r="AB23" s="4">
        <f>DATE(YEAR(AA23)+5,MONTH(AA23),DAY(AA23))</f>
        <v>47017</v>
      </c>
      <c r="AC23" s="8">
        <f ca="1">AB23-TODAY()</f>
        <v>883</v>
      </c>
      <c r="AD23" s="5" t="str">
        <f t="shared" ca="1" si="7"/>
        <v>VIGENTE</v>
      </c>
      <c r="AE23" s="3"/>
      <c r="AF23" s="4">
        <v>45902</v>
      </c>
      <c r="AG23" s="4">
        <f>DATE(YEAR(AF23)+2,MONTH(AF23),DAY(AF23))</f>
        <v>46632</v>
      </c>
      <c r="AH23" s="8">
        <f t="shared" ca="1" si="8"/>
        <v>498</v>
      </c>
      <c r="AI23" s="5" t="str">
        <f t="shared" ca="1" si="9"/>
        <v>VIGENTE</v>
      </c>
      <c r="AJ23" s="3"/>
      <c r="AK23" s="4">
        <v>45937</v>
      </c>
      <c r="AL23" s="4">
        <f t="shared" si="189"/>
        <v>46667</v>
      </c>
      <c r="AM23" s="8">
        <f t="shared" ca="1" si="10"/>
        <v>533</v>
      </c>
      <c r="AN23" s="5" t="str">
        <f t="shared" ca="1" si="11"/>
        <v>VIGENTE</v>
      </c>
      <c r="AO23" s="3"/>
      <c r="AP23" s="4">
        <v>45989</v>
      </c>
      <c r="AQ23" s="4">
        <f t="shared" si="183"/>
        <v>46719</v>
      </c>
      <c r="AR23" s="8">
        <f t="shared" ca="1" si="12"/>
        <v>585</v>
      </c>
      <c r="AS23" s="5" t="str">
        <f t="shared" ca="1" si="13"/>
        <v>VIGENTE</v>
      </c>
      <c r="AT23" s="3"/>
      <c r="AU23" s="4">
        <v>45990</v>
      </c>
      <c r="AV23" s="4">
        <f>DATE(YEAR(AU23)+2,MONTH(AU23),DAY(AU23))</f>
        <v>46720</v>
      </c>
      <c r="AW23" s="8">
        <f t="shared" ca="1" si="15"/>
        <v>586</v>
      </c>
      <c r="AX23" s="5" t="str">
        <f t="shared" ca="1" si="16"/>
        <v>VIGENTE</v>
      </c>
      <c r="AY23" s="3"/>
      <c r="AZ23" s="4">
        <v>45622</v>
      </c>
      <c r="BA23" s="4">
        <f>DATE(YEAR(AZ23)+2,MONTH(AZ23),DAY(AZ23)-1)</f>
        <v>46351</v>
      </c>
      <c r="BB23" s="8">
        <f t="shared" ca="1" si="17"/>
        <v>217</v>
      </c>
      <c r="BC23" s="5" t="str">
        <f t="shared" ca="1" si="18"/>
        <v>VIGENTE</v>
      </c>
      <c r="BD23" s="3"/>
      <c r="BE23" s="4">
        <v>45698</v>
      </c>
      <c r="BF23" s="4">
        <f>DATE(YEAR(BE23)+2,MONTH(BE23),DAY(BE23)-1)</f>
        <v>46427</v>
      </c>
      <c r="BG23" s="8">
        <f t="shared" ca="1" si="19"/>
        <v>293</v>
      </c>
      <c r="BH23" s="5" t="str">
        <f t="shared" ca="1" si="20"/>
        <v>VIGENTE</v>
      </c>
      <c r="BI23" s="3"/>
      <c r="BJ23" s="4">
        <v>45600</v>
      </c>
      <c r="BK23" s="4">
        <f>DATE(YEAR(BJ23)+2,MONTH(BJ23),DAY(BJ23)-1)</f>
        <v>46329</v>
      </c>
      <c r="BL23" s="8">
        <f t="shared" ca="1" si="21"/>
        <v>195</v>
      </c>
      <c r="BM23" s="5" t="str">
        <f t="shared" ca="1" si="22"/>
        <v>VIGENTE</v>
      </c>
      <c r="BN23" s="3"/>
      <c r="BO23" s="4">
        <v>45478</v>
      </c>
      <c r="BP23" s="4">
        <f>DATE(YEAR(BO23)+2,MONTH(BO23),DAY(BO23)-1)</f>
        <v>46207</v>
      </c>
      <c r="BQ23" s="8">
        <f t="shared" ca="1" si="23"/>
        <v>73</v>
      </c>
      <c r="BR23" s="5" t="str">
        <f t="shared" ca="1" si="24"/>
        <v>POR VENCER</v>
      </c>
      <c r="BS23" s="3"/>
      <c r="BT23" s="4">
        <v>45484</v>
      </c>
      <c r="BU23" s="4">
        <f t="shared" si="190"/>
        <v>46213</v>
      </c>
      <c r="BV23" s="8">
        <f t="shared" ca="1" si="25"/>
        <v>79</v>
      </c>
      <c r="BW23" s="5" t="str">
        <f t="shared" ca="1" si="26"/>
        <v>POR VENCER</v>
      </c>
      <c r="BX23" s="3"/>
      <c r="BY23" s="4">
        <v>45944</v>
      </c>
      <c r="BZ23" s="4">
        <f t="shared" si="191"/>
        <v>46674</v>
      </c>
      <c r="CA23" s="8">
        <f t="shared" ca="1" si="27"/>
        <v>540</v>
      </c>
      <c r="CB23" s="5" t="str">
        <f t="shared" ca="1" si="28"/>
        <v>VIGENTE</v>
      </c>
      <c r="CC23" s="6" t="s">
        <v>68</v>
      </c>
      <c r="CD23" s="4">
        <v>45828</v>
      </c>
      <c r="CE23" s="4">
        <f t="shared" si="29"/>
        <v>47289</v>
      </c>
      <c r="CF23" s="8">
        <f t="shared" ca="1" si="30"/>
        <v>1155</v>
      </c>
      <c r="CG23" s="5" t="str">
        <f t="shared" ca="1" si="31"/>
        <v>VIGENTE</v>
      </c>
      <c r="CH23" s="4"/>
      <c r="CI23" s="4">
        <v>45601</v>
      </c>
      <c r="CJ23" s="4">
        <f>DATE(YEAR(CI23)+2,MONTH(CI23),DAY(CI23)-1)</f>
        <v>46330</v>
      </c>
      <c r="CK23" s="8">
        <f t="shared" ca="1" si="32"/>
        <v>196</v>
      </c>
      <c r="CL23" s="5" t="str">
        <f t="shared" ca="1" si="33"/>
        <v>VIGENTE</v>
      </c>
      <c r="CM23" s="3"/>
      <c r="CN23" s="4">
        <v>45597</v>
      </c>
      <c r="CO23" s="4">
        <f>DATE(YEAR(CN23)+2,MONTH(CN23),DAY(CN23)-1)</f>
        <v>46326</v>
      </c>
      <c r="CP23" s="8">
        <f t="shared" ca="1" si="34"/>
        <v>192</v>
      </c>
      <c r="CQ23" s="5" t="str">
        <f t="shared" ca="1" si="35"/>
        <v>VIGENTE</v>
      </c>
      <c r="CR23" s="3"/>
      <c r="CS23" s="4">
        <v>45905</v>
      </c>
      <c r="CT23" s="4">
        <f>DATE(YEAR(CS23)+2,MONTH(CS23),DAY(CS23))</f>
        <v>46635</v>
      </c>
      <c r="CU23" s="8">
        <f t="shared" ca="1" si="36"/>
        <v>501</v>
      </c>
      <c r="CV23" s="5" t="str">
        <f t="shared" ca="1" si="37"/>
        <v>VIGENTE</v>
      </c>
      <c r="CW23" s="3"/>
      <c r="CX23" s="4">
        <v>46000</v>
      </c>
      <c r="CY23" s="4">
        <f>DATE(YEAR(CX23)+2,MONTH(CX23),DAY(CX23))</f>
        <v>46730</v>
      </c>
      <c r="CZ23" s="8">
        <f t="shared" ca="1" si="38"/>
        <v>596</v>
      </c>
      <c r="DA23" s="5" t="str">
        <f t="shared" ca="1" si="39"/>
        <v>VIGENTE</v>
      </c>
      <c r="DB23" s="3"/>
      <c r="DC23" s="4">
        <v>45596</v>
      </c>
      <c r="DD23" s="4">
        <f>DATE(YEAR(DC23)+2,MONTH(DC23),DAY(DC23)-1)</f>
        <v>46325</v>
      </c>
      <c r="DE23" s="8">
        <f t="shared" ca="1" si="40"/>
        <v>191</v>
      </c>
      <c r="DF23" s="5" t="str">
        <f t="shared" ca="1" si="41"/>
        <v>VIGENTE</v>
      </c>
      <c r="DG23" s="3"/>
      <c r="DH23" s="4">
        <v>45975</v>
      </c>
      <c r="DI23" s="4">
        <f>DATE(YEAR(DH23)+2,MONTH(DH23),DAY(DH23))</f>
        <v>46705</v>
      </c>
      <c r="DJ23" s="8">
        <f t="shared" ca="1" si="43"/>
        <v>571</v>
      </c>
      <c r="DK23" s="5" t="str">
        <f t="shared" ca="1" si="44"/>
        <v>VIGENTE</v>
      </c>
      <c r="DL23" s="3"/>
      <c r="DM23" s="4">
        <v>45982</v>
      </c>
      <c r="DN23" s="4">
        <f>DATE(YEAR(DM23)+2,MONTH(DM23),DAY(DM23))</f>
        <v>46712</v>
      </c>
      <c r="DO23" s="8">
        <f t="shared" ca="1" si="46"/>
        <v>578</v>
      </c>
      <c r="DP23" s="5" t="str">
        <f t="shared" ca="1" si="47"/>
        <v>VIGENTE</v>
      </c>
      <c r="DQ23" s="3"/>
      <c r="DR23" s="4">
        <v>45608</v>
      </c>
      <c r="DS23" s="4">
        <f>DATE(YEAR(DR23)+2,MONTH(DR23),DAY(DR23)-1)</f>
        <v>46337</v>
      </c>
      <c r="DT23" s="8">
        <f t="shared" ca="1" si="48"/>
        <v>203</v>
      </c>
      <c r="DU23" s="5" t="str">
        <f t="shared" ca="1" si="49"/>
        <v>VIGENTE</v>
      </c>
      <c r="DV23" s="3"/>
      <c r="DW23" s="4">
        <v>45582</v>
      </c>
      <c r="DX23" s="4">
        <f>DATE(YEAR(DW23)+2,MONTH(DW23),DAY(DW23)-1)</f>
        <v>46311</v>
      </c>
      <c r="DY23" s="8">
        <f t="shared" ca="1" si="50"/>
        <v>177</v>
      </c>
      <c r="DZ23" s="5" t="str">
        <f t="shared" ca="1" si="51"/>
        <v>VIGENTE</v>
      </c>
      <c r="EA23" s="3"/>
      <c r="EB23" s="4">
        <v>45602</v>
      </c>
      <c r="EC23" s="4">
        <f>DATE(YEAR(EB23)+2,MONTH(EB23),DAY(EB23)-1)</f>
        <v>46331</v>
      </c>
      <c r="ED23" s="8">
        <f t="shared" ca="1" si="52"/>
        <v>197</v>
      </c>
      <c r="EE23" s="5" t="str">
        <f t="shared" ca="1" si="53"/>
        <v>VIGENTE</v>
      </c>
      <c r="EF23" s="3"/>
      <c r="EG23" s="3">
        <v>46107</v>
      </c>
      <c r="EH23" s="4">
        <f t="shared" si="137"/>
        <v>46472</v>
      </c>
      <c r="EI23" s="8">
        <f t="shared" ca="1" si="54"/>
        <v>338</v>
      </c>
      <c r="EJ23" s="5" t="str">
        <f t="shared" ca="1" si="55"/>
        <v>VIGENTE</v>
      </c>
      <c r="EK23" s="3"/>
      <c r="EL23" s="4">
        <v>45584</v>
      </c>
      <c r="EM23" s="4">
        <f t="shared" si="186"/>
        <v>46313</v>
      </c>
      <c r="EN23" s="8">
        <f t="shared" ca="1" si="56"/>
        <v>179</v>
      </c>
      <c r="EO23" s="5" t="str">
        <f t="shared" ca="1" si="57"/>
        <v>VIGENTE</v>
      </c>
      <c r="EP23" s="3"/>
      <c r="EQ23" s="4">
        <v>45575</v>
      </c>
      <c r="ER23" s="4">
        <f t="shared" si="187"/>
        <v>46304</v>
      </c>
      <c r="ES23" s="8">
        <f t="shared" ca="1" si="58"/>
        <v>170</v>
      </c>
      <c r="ET23" s="5" t="str">
        <f t="shared" ca="1" si="59"/>
        <v>VIGENTE</v>
      </c>
      <c r="EU23" s="3"/>
      <c r="EV23" s="4">
        <v>45917</v>
      </c>
      <c r="EW23" s="4">
        <f>DATE(YEAR(EV23)+2,MONTH(EV23),DAY(EV23))</f>
        <v>46647</v>
      </c>
      <c r="EX23" s="8">
        <f t="shared" ca="1" si="60"/>
        <v>513</v>
      </c>
      <c r="EY23" s="5" t="str">
        <f t="shared" ca="1" si="61"/>
        <v>VIGENTE</v>
      </c>
      <c r="EZ23" s="3"/>
      <c r="FA23" s="4">
        <v>45931</v>
      </c>
      <c r="FB23" s="4">
        <f>DATE(YEAR(FA23)+2,MONTH(FA23),DAY(FA23))</f>
        <v>46661</v>
      </c>
      <c r="FC23" s="8">
        <f t="shared" ca="1" si="62"/>
        <v>527</v>
      </c>
      <c r="FD23" s="5" t="str">
        <f t="shared" ca="1" si="63"/>
        <v>VIGENTE</v>
      </c>
      <c r="FE23" s="3"/>
      <c r="FF23" s="4">
        <v>45919</v>
      </c>
      <c r="FG23" s="4">
        <f>DATE(YEAR(FF23)+2,MONTH(FF23),DAY(FF23))</f>
        <v>46649</v>
      </c>
      <c r="FH23" s="8">
        <f t="shared" ca="1" si="64"/>
        <v>515</v>
      </c>
      <c r="FI23" s="5" t="str">
        <f t="shared" ca="1" si="65"/>
        <v>VIGENTE</v>
      </c>
      <c r="FJ23" s="3"/>
      <c r="FK23" s="4">
        <v>45588</v>
      </c>
      <c r="FL23" s="4">
        <f>DATE(YEAR(FK23)+2,MONTH(FK23),DAY(FK23)-1)</f>
        <v>46317</v>
      </c>
      <c r="FM23" s="8">
        <f t="shared" ca="1" si="67"/>
        <v>183</v>
      </c>
      <c r="FN23" s="5" t="str">
        <f t="shared" ca="1" si="68"/>
        <v>VIGENTE</v>
      </c>
      <c r="FO23" s="3"/>
      <c r="FP23" s="4">
        <v>45664</v>
      </c>
      <c r="FQ23" s="4">
        <f>DATE(YEAR(FP23)+2,MONTH(FP23),DAY(FP23)-1)</f>
        <v>46393</v>
      </c>
      <c r="FR23" s="8">
        <f t="shared" ca="1" si="69"/>
        <v>259</v>
      </c>
      <c r="FS23" s="5" t="str">
        <f t="shared" ca="1" si="70"/>
        <v>VIGENTE</v>
      </c>
      <c r="FT23" s="3"/>
      <c r="FU23" s="4">
        <v>45941</v>
      </c>
      <c r="FV23" s="4">
        <f>DATE(YEAR(FU23)+2,MONTH(FU23),DAY(FU23))</f>
        <v>46671</v>
      </c>
      <c r="FW23" s="8">
        <f t="shared" ca="1" si="71"/>
        <v>537</v>
      </c>
      <c r="FX23" s="5" t="str">
        <f t="shared" ca="1" si="72"/>
        <v>VIGENTE</v>
      </c>
      <c r="FY23" s="3"/>
      <c r="FZ23" s="4">
        <v>45595</v>
      </c>
      <c r="GA23" s="4">
        <f t="shared" si="188"/>
        <v>46324</v>
      </c>
      <c r="GB23" s="8">
        <f t="shared" ca="1" si="73"/>
        <v>190</v>
      </c>
      <c r="GC23" s="5" t="str">
        <f t="shared" ca="1" si="74"/>
        <v>VIGENTE</v>
      </c>
      <c r="GD23" s="3"/>
      <c r="GE23" s="4">
        <v>45579</v>
      </c>
      <c r="GF23" s="4">
        <f>DATE(YEAR(GE23)+2,MONTH(GE23),DAY(GE23)-1)</f>
        <v>46308</v>
      </c>
      <c r="GG23" s="8">
        <f t="shared" ca="1" si="75"/>
        <v>174</v>
      </c>
      <c r="GH23" s="5" t="str">
        <f t="shared" ca="1" si="76"/>
        <v>VIGENTE</v>
      </c>
      <c r="GI23" s="3"/>
      <c r="GJ23" s="4">
        <v>45567</v>
      </c>
      <c r="GK23" s="4">
        <f>DATE(YEAR(GJ23)+2,MONTH(GJ23),DAY(GJ23)-1)</f>
        <v>46296</v>
      </c>
      <c r="GL23" s="8">
        <f t="shared" ca="1" si="77"/>
        <v>162</v>
      </c>
      <c r="GM23" s="5" t="str">
        <f t="shared" ca="1" si="78"/>
        <v>VIGENTE</v>
      </c>
      <c r="GN23" s="4"/>
      <c r="GO23" s="4">
        <v>45495</v>
      </c>
      <c r="GP23" s="4">
        <f t="shared" si="79"/>
        <v>47321</v>
      </c>
      <c r="GQ23" s="8">
        <f t="shared" ca="1" si="181"/>
        <v>1187</v>
      </c>
      <c r="GR23" s="5" t="str">
        <f t="shared" ca="1" si="81"/>
        <v>VIGENTE</v>
      </c>
      <c r="GS23" s="3"/>
      <c r="GT23" s="4">
        <v>45507</v>
      </c>
      <c r="GU23" s="4">
        <f t="shared" si="82"/>
        <v>47333</v>
      </c>
      <c r="GV23" s="8">
        <f t="shared" ca="1" si="83"/>
        <v>1199</v>
      </c>
      <c r="GW23" s="5" t="str">
        <f t="shared" ca="1" si="84"/>
        <v>VIGENTE</v>
      </c>
      <c r="GX23" s="3"/>
      <c r="GY23" s="4">
        <v>45294</v>
      </c>
      <c r="GZ23" s="4">
        <f t="shared" si="85"/>
        <v>47121</v>
      </c>
      <c r="HA23" s="8">
        <f t="shared" ca="1" si="86"/>
        <v>987</v>
      </c>
      <c r="HB23" s="5" t="str">
        <f t="shared" ca="1" si="87"/>
        <v>VIGENTE</v>
      </c>
      <c r="HC23" s="6"/>
      <c r="HD23" s="6"/>
      <c r="HE23" s="4">
        <f>DATE(YEAR(HD23)+5,MONTH(HD23),DAY(HD23))</f>
        <v>1827</v>
      </c>
      <c r="HF23" s="8">
        <f ca="1">HE23-TODAY()</f>
        <v>-44307</v>
      </c>
      <c r="HG23" s="5" t="str">
        <f ca="1">IF(HF23&gt;=61,"VIGENTE",IF(HF23&gt;=1,"POR VENCER",IF(HF23&lt;=-1,"PROGRAMAR",IF(HD23=0,"NO APLICA"))))</f>
        <v>PROGRAMAR</v>
      </c>
      <c r="HH23" s="2"/>
      <c r="HI23" s="6"/>
      <c r="HJ23" s="4"/>
      <c r="HK23" s="8"/>
      <c r="HL23" s="5" t="str">
        <f t="shared" si="91"/>
        <v>NO APLICA</v>
      </c>
      <c r="HM23" s="2"/>
      <c r="HN23" s="5"/>
      <c r="HO23" s="5"/>
      <c r="HP23" s="5"/>
      <c r="HQ23" s="5" t="str">
        <f t="shared" si="92"/>
        <v>NO APLICA</v>
      </c>
      <c r="HR23" s="2"/>
      <c r="HS23" s="6"/>
      <c r="HT23" s="4"/>
      <c r="HU23" s="8"/>
      <c r="HV23" s="5" t="str">
        <f t="shared" si="93"/>
        <v>NO APLICA</v>
      </c>
      <c r="HW23" s="2"/>
      <c r="HX23" s="6"/>
      <c r="HY23" s="4"/>
      <c r="HZ23" s="8"/>
      <c r="IA23" s="5" t="str">
        <f t="shared" si="94"/>
        <v>NO APLICA</v>
      </c>
      <c r="IB23" s="2"/>
      <c r="IC23" s="6"/>
      <c r="ID23" s="4"/>
      <c r="IE23" s="8"/>
      <c r="IF23" s="5" t="str">
        <f t="shared" si="95"/>
        <v>NO APLICA</v>
      </c>
      <c r="IG23" s="6"/>
      <c r="IH23" s="6"/>
      <c r="II23" s="4"/>
      <c r="IJ23" s="8"/>
      <c r="IK23" s="5" t="str">
        <f t="shared" si="96"/>
        <v>NO APLICA</v>
      </c>
      <c r="IL23" s="2"/>
      <c r="IM23" s="6"/>
      <c r="IN23" s="4"/>
      <c r="IO23" s="8"/>
      <c r="IP23" s="5" t="str">
        <f t="shared" si="97"/>
        <v>NO APLICA</v>
      </c>
      <c r="IQ23" s="2"/>
      <c r="IR23" s="6"/>
      <c r="IS23" s="4"/>
      <c r="IT23" s="8"/>
      <c r="IU23" s="5" t="str">
        <f t="shared" si="98"/>
        <v>NO APLICA</v>
      </c>
      <c r="IV23" s="2"/>
      <c r="IW23" s="6"/>
      <c r="IX23" s="4"/>
      <c r="IY23" s="8"/>
      <c r="IZ23" s="5" t="str">
        <f t="shared" si="99"/>
        <v>NO APLICA</v>
      </c>
      <c r="JA23" s="3"/>
      <c r="JB23" s="3"/>
      <c r="JC23" s="4"/>
      <c r="JD23" s="8"/>
      <c r="JE23" s="5" t="str">
        <f t="shared" si="100"/>
        <v>NO APLICA</v>
      </c>
      <c r="JF23" s="6"/>
      <c r="JG23" s="6"/>
      <c r="JH23" s="6"/>
      <c r="JI23" s="6"/>
      <c r="JJ23" s="5" t="str">
        <f t="shared" si="101"/>
        <v>NO APLICA</v>
      </c>
      <c r="JK23" s="6"/>
      <c r="JL23" s="6"/>
      <c r="JM23" s="6"/>
      <c r="JN23" s="6"/>
      <c r="JO23" s="5" t="str">
        <f t="shared" si="102"/>
        <v>NO APLICA</v>
      </c>
      <c r="JP23" s="6"/>
      <c r="JQ23" s="6"/>
      <c r="JR23" s="6"/>
      <c r="JS23" s="6"/>
      <c r="JT23" s="5" t="str">
        <f t="shared" si="103"/>
        <v>NO APLICA</v>
      </c>
      <c r="JU23" s="5"/>
      <c r="JV23" s="5"/>
      <c r="JW23" s="5"/>
      <c r="JX23" s="5"/>
      <c r="JY23" s="5" t="str">
        <f t="shared" si="104"/>
        <v>NO APLICA</v>
      </c>
      <c r="JZ23" s="5"/>
      <c r="KA23" s="5"/>
      <c r="KB23" s="4"/>
      <c r="KC23" s="8"/>
      <c r="KD23" s="5" t="str">
        <f t="shared" si="105"/>
        <v>NO APLICA</v>
      </c>
      <c r="KE23" s="5"/>
      <c r="KF23" s="5"/>
      <c r="KG23" s="4"/>
      <c r="KH23" s="8"/>
      <c r="KI23" s="5" t="str">
        <f t="shared" si="141"/>
        <v>NO APLICA</v>
      </c>
      <c r="KJ23" s="5"/>
      <c r="KK23" s="5"/>
      <c r="KL23" s="4"/>
      <c r="KM23" s="8"/>
      <c r="KN23" s="5" t="str">
        <f t="shared" si="106"/>
        <v>NO APLICA</v>
      </c>
      <c r="KO23" s="5"/>
      <c r="KP23" s="2"/>
      <c r="KQ23" s="4"/>
      <c r="KR23" s="8"/>
      <c r="KS23" s="5" t="str">
        <f t="shared" si="142"/>
        <v>NO APLICA</v>
      </c>
      <c r="KT23" s="3"/>
      <c r="KU23" s="4">
        <v>44658</v>
      </c>
      <c r="KV23" s="4">
        <f>DATE(YEAR(KU23)+5,MONTH(KU23),DAY(KU23))</f>
        <v>46484</v>
      </c>
      <c r="KW23" s="8">
        <f ca="1">KV23-TODAY()</f>
        <v>350</v>
      </c>
      <c r="KX23" s="5" t="str">
        <f t="shared" ca="1" si="156"/>
        <v>VIGENTE</v>
      </c>
      <c r="KY23" s="5"/>
      <c r="KZ23" s="4">
        <v>44545</v>
      </c>
      <c r="LA23" s="4">
        <f>DATE(YEAR(KZ23)+5,MONTH(KZ23),DAY(KZ23))</f>
        <v>46371</v>
      </c>
      <c r="LB23" s="8">
        <f ca="1">LA23-TODAY()</f>
        <v>237</v>
      </c>
      <c r="LC23" s="5" t="str">
        <f t="shared" ca="1" si="143"/>
        <v>VIGENTE</v>
      </c>
      <c r="LD23" s="6"/>
      <c r="LE23" s="6"/>
      <c r="LF23" s="4"/>
      <c r="LG23" s="8"/>
      <c r="LH23" s="5" t="str">
        <f t="shared" si="107"/>
        <v>NO APLICA</v>
      </c>
      <c r="LI23" s="5"/>
      <c r="LJ23" s="5"/>
      <c r="LK23" s="4"/>
      <c r="LL23" s="8"/>
      <c r="LM23" s="5" t="str">
        <f t="shared" si="157"/>
        <v>NO APLICA</v>
      </c>
      <c r="LN23" s="5"/>
      <c r="LO23" s="6"/>
      <c r="LP23" s="4"/>
      <c r="LQ23" s="8"/>
      <c r="LR23" s="5" t="str">
        <f t="shared" si="144"/>
        <v>NO APLICA</v>
      </c>
      <c r="LS23" s="6"/>
      <c r="LT23" s="6"/>
      <c r="LU23" s="4"/>
      <c r="LV23" s="8"/>
      <c r="LW23" s="5" t="str">
        <f t="shared" si="145"/>
        <v>NO APLICA</v>
      </c>
      <c r="LX23" s="6"/>
      <c r="LY23" s="6"/>
      <c r="LZ23" s="4"/>
      <c r="MA23" s="8"/>
      <c r="MB23" s="5" t="str">
        <f t="shared" si="146"/>
        <v>NO APLICA</v>
      </c>
      <c r="MC23" s="5"/>
      <c r="MD23" s="5"/>
      <c r="ME23" s="4"/>
      <c r="MF23" s="8"/>
      <c r="MG23" s="5" t="str">
        <f t="shared" si="108"/>
        <v>NO APLICA</v>
      </c>
      <c r="MH23" s="5"/>
      <c r="MI23" s="5"/>
      <c r="MJ23" s="4"/>
      <c r="MK23" s="8"/>
      <c r="ML23" s="5" t="str">
        <f t="shared" si="109"/>
        <v>NO APLICA</v>
      </c>
      <c r="MM23" s="5"/>
      <c r="MN23" s="5"/>
      <c r="MO23" s="4"/>
      <c r="MP23" s="8"/>
      <c r="MQ23" s="5" t="str">
        <f t="shared" si="110"/>
        <v>NO APLICA</v>
      </c>
      <c r="MR23" s="5"/>
      <c r="MS23" s="5"/>
      <c r="MT23" s="4"/>
      <c r="MU23" s="5"/>
      <c r="MV23" s="5" t="str">
        <f t="shared" si="111"/>
        <v>NO APLICA</v>
      </c>
      <c r="MW23" s="5"/>
      <c r="MX23" s="6"/>
      <c r="MY23" s="4"/>
      <c r="MZ23" s="8"/>
      <c r="NA23" s="5" t="str">
        <f t="shared" si="112"/>
        <v>NO APLICA</v>
      </c>
      <c r="NB23" s="5"/>
      <c r="NC23" s="6"/>
      <c r="ND23" s="4"/>
      <c r="NE23" s="8"/>
      <c r="NF23" s="5" t="str">
        <f t="shared" si="113"/>
        <v>NO APLICA</v>
      </c>
      <c r="NG23" s="5"/>
      <c r="NH23" s="6"/>
      <c r="NI23" s="4"/>
      <c r="NJ23" s="8"/>
      <c r="NK23" s="5" t="str">
        <f t="shared" si="114"/>
        <v>NO APLICA</v>
      </c>
      <c r="NL23" s="5"/>
      <c r="NM23" s="5"/>
      <c r="NN23" s="4"/>
      <c r="NO23" s="8"/>
      <c r="NP23" s="5" t="str">
        <f t="shared" si="115"/>
        <v>NO APLICA</v>
      </c>
      <c r="NQ23" s="5"/>
      <c r="NR23" s="5"/>
      <c r="NS23" s="5"/>
      <c r="NT23" s="5"/>
      <c r="NU23" s="5" t="str">
        <f t="shared" si="116"/>
        <v>NO APLICA</v>
      </c>
      <c r="NV23" s="6"/>
      <c r="NW23" s="6"/>
      <c r="NX23" s="6"/>
      <c r="NY23" s="6"/>
      <c r="NZ23" s="5" t="str">
        <f t="shared" si="117"/>
        <v>NO APLICA</v>
      </c>
      <c r="OA23" s="6"/>
      <c r="OB23" s="6"/>
      <c r="OC23" s="6"/>
      <c r="OD23" s="6"/>
      <c r="OE23" s="5" t="str">
        <f t="shared" si="118"/>
        <v>NO APLICA</v>
      </c>
      <c r="OF23" s="5"/>
      <c r="OG23" s="5"/>
      <c r="OH23" s="4"/>
      <c r="OI23" s="8"/>
      <c r="OJ23" s="5" t="str">
        <f t="shared" si="119"/>
        <v>NO APLICA</v>
      </c>
      <c r="OK23" s="6"/>
      <c r="OL23" s="6"/>
      <c r="OM23" s="6"/>
      <c r="ON23" s="6"/>
      <c r="OO23" s="5" t="str">
        <f t="shared" si="120"/>
        <v>NO APLICA</v>
      </c>
      <c r="OP23" s="6"/>
      <c r="OQ23" s="6"/>
      <c r="OR23" s="6"/>
      <c r="OS23" s="6"/>
      <c r="OT23" s="5" t="str">
        <f t="shared" si="121"/>
        <v>NO APLICA</v>
      </c>
      <c r="OU23" s="6"/>
      <c r="OV23" s="6"/>
      <c r="OW23" s="6"/>
      <c r="OX23" s="6"/>
      <c r="OY23" s="5" t="str">
        <f t="shared" si="122"/>
        <v>NO APLICA</v>
      </c>
      <c r="OZ23" s="6"/>
      <c r="PA23" s="6"/>
      <c r="PB23" s="6"/>
      <c r="PC23" s="6"/>
      <c r="PD23" s="5" t="str">
        <f t="shared" si="123"/>
        <v>NO APLICA</v>
      </c>
      <c r="PE23" s="6"/>
      <c r="PF23" s="6"/>
      <c r="PG23" s="6"/>
      <c r="PH23" s="6"/>
      <c r="PI23" s="5" t="str">
        <f t="shared" si="124"/>
        <v>NO APLICA</v>
      </c>
      <c r="PJ23" s="5"/>
      <c r="PK23" s="6"/>
      <c r="PL23" s="4"/>
      <c r="PM23" s="8"/>
      <c r="PN23" s="5" t="str">
        <f t="shared" si="125"/>
        <v>NO APLICA</v>
      </c>
      <c r="PO23" s="6"/>
      <c r="PP23" s="6"/>
      <c r="PQ23" s="6"/>
      <c r="PR23" s="6"/>
      <c r="PS23" s="5" t="str">
        <f t="shared" si="126"/>
        <v>NO APLICA</v>
      </c>
      <c r="PT23" s="5"/>
      <c r="PU23" s="6"/>
      <c r="PV23" s="6"/>
      <c r="PW23" s="6"/>
      <c r="PX23" s="5" t="str">
        <f t="shared" si="127"/>
        <v>NO APLICA</v>
      </c>
    </row>
    <row r="24" spans="1:440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353</v>
      </c>
      <c r="T24" s="5" t="str">
        <f t="shared" ca="1" si="128"/>
        <v>VIGENTE</v>
      </c>
      <c r="U24" s="2" t="s">
        <v>139</v>
      </c>
      <c r="V24" s="4">
        <v>45498</v>
      </c>
      <c r="W24" s="4">
        <f t="shared" si="2"/>
        <v>47324</v>
      </c>
      <c r="X24" s="8">
        <f t="shared" ca="1" si="3"/>
        <v>1190</v>
      </c>
      <c r="Y24" s="5" t="str">
        <f t="shared" ca="1" si="4"/>
        <v>VIGENTE</v>
      </c>
      <c r="Z24" s="2" t="s">
        <v>140</v>
      </c>
      <c r="AA24" s="4">
        <v>45190</v>
      </c>
      <c r="AB24" s="4">
        <f>DATE(YEAR(AA24)+5,MONTH(AA24),DAY(AA24))</f>
        <v>47017</v>
      </c>
      <c r="AC24" s="8">
        <f ca="1">AB24-TODAY()</f>
        <v>883</v>
      </c>
      <c r="AD24" s="5" t="str">
        <f t="shared" ca="1" si="7"/>
        <v>VIGENTE</v>
      </c>
      <c r="AE24" s="3"/>
      <c r="AF24" s="4">
        <v>45609</v>
      </c>
      <c r="AG24" s="4">
        <f>DATE(YEAR(AF24)+2,MONTH(AF24),DAY(AF24)-1)</f>
        <v>46338</v>
      </c>
      <c r="AH24" s="8">
        <f t="shared" ca="1" si="8"/>
        <v>204</v>
      </c>
      <c r="AI24" s="5" t="str">
        <f t="shared" ca="1" si="9"/>
        <v>VIGENTE</v>
      </c>
      <c r="AJ24" s="3"/>
      <c r="AK24" s="4">
        <v>45937</v>
      </c>
      <c r="AL24" s="4">
        <f t="shared" si="189"/>
        <v>46667</v>
      </c>
      <c r="AM24" s="8">
        <f t="shared" ca="1" si="10"/>
        <v>533</v>
      </c>
      <c r="AN24" s="5" t="str">
        <f t="shared" ca="1" si="11"/>
        <v>VIGENTE</v>
      </c>
      <c r="AO24" s="3"/>
      <c r="AP24" s="4">
        <v>45904</v>
      </c>
      <c r="AQ24" s="4">
        <f t="shared" si="183"/>
        <v>46634</v>
      </c>
      <c r="AR24" s="8">
        <f t="shared" ca="1" si="12"/>
        <v>500</v>
      </c>
      <c r="AS24" s="5" t="str">
        <f t="shared" ca="1" si="13"/>
        <v>VIGENTE</v>
      </c>
      <c r="AT24" s="3"/>
      <c r="AU24" s="4">
        <v>45927</v>
      </c>
      <c r="AV24" s="4">
        <f>DATE(YEAR(AU24)+2,MONTH(AU24),DAY(AU24))</f>
        <v>46657</v>
      </c>
      <c r="AW24" s="8">
        <f t="shared" ca="1" si="15"/>
        <v>523</v>
      </c>
      <c r="AX24" s="5" t="str">
        <f t="shared" ca="1" si="16"/>
        <v>VIGENTE</v>
      </c>
      <c r="AY24" s="3"/>
      <c r="AZ24" s="4">
        <v>45901</v>
      </c>
      <c r="BA24" s="4">
        <f>DATE(YEAR(AZ24)+2,MONTH(AZ24),DAY(AZ24))</f>
        <v>46631</v>
      </c>
      <c r="BB24" s="8">
        <f t="shared" ca="1" si="17"/>
        <v>497</v>
      </c>
      <c r="BC24" s="5" t="str">
        <f t="shared" ca="1" si="18"/>
        <v>VIGENTE</v>
      </c>
      <c r="BD24" s="3"/>
      <c r="BE24" s="4">
        <v>45997</v>
      </c>
      <c r="BF24" s="4">
        <f>DATE(YEAR(BE24)+2,MONTH(BE24),DAY(BE24))</f>
        <v>46727</v>
      </c>
      <c r="BG24" s="8">
        <f t="shared" ca="1" si="19"/>
        <v>593</v>
      </c>
      <c r="BH24" s="5" t="str">
        <f t="shared" ca="1" si="20"/>
        <v>VIGENTE</v>
      </c>
      <c r="BI24" s="3"/>
      <c r="BJ24" s="4">
        <v>46035</v>
      </c>
      <c r="BK24" s="4">
        <f>DATE(YEAR(BJ24)+2,MONTH(BJ24),DAY(BJ24))</f>
        <v>46765</v>
      </c>
      <c r="BL24" s="8">
        <f t="shared" ca="1" si="21"/>
        <v>631</v>
      </c>
      <c r="BM24" s="5" t="str">
        <f t="shared" ca="1" si="22"/>
        <v>VIGENTE</v>
      </c>
      <c r="BN24" s="3"/>
      <c r="BO24" s="4">
        <v>46050</v>
      </c>
      <c r="BP24" s="4">
        <f>DATE(YEAR(BO24)+2,MONTH(BO24),DAY(BO24))</f>
        <v>46780</v>
      </c>
      <c r="BQ24" s="8">
        <f t="shared" ca="1" si="23"/>
        <v>646</v>
      </c>
      <c r="BR24" s="5" t="str">
        <f t="shared" ca="1" si="24"/>
        <v>VIGENTE</v>
      </c>
      <c r="BS24" s="3"/>
      <c r="BT24" s="4">
        <v>45455</v>
      </c>
      <c r="BU24" s="4">
        <f t="shared" si="190"/>
        <v>46184</v>
      </c>
      <c r="BV24" s="8">
        <f t="shared" ca="1" si="25"/>
        <v>50</v>
      </c>
      <c r="BW24" s="5" t="str">
        <f t="shared" ca="1" si="26"/>
        <v>POR VENCER</v>
      </c>
      <c r="BX24" s="3"/>
      <c r="BY24" s="4">
        <v>45944</v>
      </c>
      <c r="BZ24" s="4">
        <f t="shared" si="191"/>
        <v>46674</v>
      </c>
      <c r="CA24" s="8">
        <f t="shared" ca="1" si="27"/>
        <v>540</v>
      </c>
      <c r="CB24" s="5" t="str">
        <f t="shared" ca="1" si="28"/>
        <v>VIGENTE</v>
      </c>
      <c r="CC24" s="6" t="s">
        <v>73</v>
      </c>
      <c r="CD24" s="4">
        <v>45616</v>
      </c>
      <c r="CE24" s="4">
        <f t="shared" si="29"/>
        <v>47077</v>
      </c>
      <c r="CF24" s="8">
        <f t="shared" ca="1" si="30"/>
        <v>943</v>
      </c>
      <c r="CG24" s="5" t="str">
        <f t="shared" ca="1" si="31"/>
        <v>VIGENTE</v>
      </c>
      <c r="CH24" s="4"/>
      <c r="CI24" s="4">
        <v>45929</v>
      </c>
      <c r="CJ24" s="4">
        <f>DATE(YEAR(CI24)+2,MONTH(CI24),DAY(CI24))</f>
        <v>46659</v>
      </c>
      <c r="CK24" s="8">
        <f t="shared" ca="1" si="32"/>
        <v>525</v>
      </c>
      <c r="CL24" s="5" t="str">
        <f t="shared" ca="1" si="33"/>
        <v>VIGENTE</v>
      </c>
      <c r="CM24" s="3"/>
      <c r="CN24" s="4">
        <v>45888</v>
      </c>
      <c r="CO24" s="4">
        <f>DATE(YEAR(CN24)+2,MONTH(CN24),DAY(CN24))</f>
        <v>46618</v>
      </c>
      <c r="CP24" s="8">
        <f t="shared" ca="1" si="34"/>
        <v>484</v>
      </c>
      <c r="CQ24" s="5" t="str">
        <f t="shared" ca="1" si="35"/>
        <v>VIGENTE</v>
      </c>
      <c r="CR24" s="3"/>
      <c r="CS24" s="4">
        <v>45905</v>
      </c>
      <c r="CT24" s="4">
        <f>DATE(YEAR(CS24)+2,MONTH(CS24),DAY(CS24))</f>
        <v>46635</v>
      </c>
      <c r="CU24" s="8">
        <f t="shared" ca="1" si="36"/>
        <v>501</v>
      </c>
      <c r="CV24" s="5" t="str">
        <f t="shared" ca="1" si="37"/>
        <v>VIGENTE</v>
      </c>
      <c r="CW24" s="3"/>
      <c r="CX24" s="4">
        <v>45665</v>
      </c>
      <c r="CY24" s="4">
        <f>DATE(YEAR(CX24)+2,MONTH(CX24),DAY(CX24)-1)</f>
        <v>46394</v>
      </c>
      <c r="CZ24" s="8">
        <f t="shared" ca="1" si="38"/>
        <v>260</v>
      </c>
      <c r="DA24" s="5" t="str">
        <f t="shared" ca="1" si="39"/>
        <v>VIGENTE</v>
      </c>
      <c r="DB24" s="3"/>
      <c r="DC24" s="4">
        <v>45896</v>
      </c>
      <c r="DD24" s="4">
        <f>DATE(YEAR(DC24)+2,MONTH(DC24),DAY(DC24))</f>
        <v>46626</v>
      </c>
      <c r="DE24" s="8">
        <f t="shared" ca="1" si="40"/>
        <v>492</v>
      </c>
      <c r="DF24" s="5" t="str">
        <f t="shared" ca="1" si="41"/>
        <v>VIGENTE</v>
      </c>
      <c r="DG24" s="3"/>
      <c r="DH24" s="4">
        <v>45899</v>
      </c>
      <c r="DI24" s="4">
        <f>DATE(YEAR(DH24)+2,MONTH(DH24),DAY(DH24))</f>
        <v>46629</v>
      </c>
      <c r="DJ24" s="8">
        <f t="shared" ca="1" si="43"/>
        <v>495</v>
      </c>
      <c r="DK24" s="5" t="str">
        <f t="shared" ca="1" si="44"/>
        <v>VIGENTE</v>
      </c>
      <c r="DL24" s="3"/>
      <c r="DM24" s="4">
        <v>45577</v>
      </c>
      <c r="DN24" s="4">
        <f>DATE(YEAR(DM24)+2,MONTH(DM24),DAY(DM24)-1)</f>
        <v>46306</v>
      </c>
      <c r="DO24" s="8">
        <f t="shared" ca="1" si="46"/>
        <v>172</v>
      </c>
      <c r="DP24" s="5" t="str">
        <f t="shared" ca="1" si="47"/>
        <v>VIGENTE</v>
      </c>
      <c r="DQ24" s="3"/>
      <c r="DR24" s="4">
        <v>45852</v>
      </c>
      <c r="DS24" s="4">
        <f>DATE(YEAR(DR24)+2,MONTH(DR24),DAY(DR24))</f>
        <v>46582</v>
      </c>
      <c r="DT24" s="8">
        <f t="shared" ca="1" si="48"/>
        <v>448</v>
      </c>
      <c r="DU24" s="5" t="str">
        <f t="shared" ca="1" si="49"/>
        <v>VIGENTE</v>
      </c>
      <c r="DV24" s="3"/>
      <c r="DW24" s="4">
        <v>45663</v>
      </c>
      <c r="DX24" s="4">
        <f>DATE(YEAR(DW24)+2,MONTH(DW24),DAY(DW24)-1)</f>
        <v>46392</v>
      </c>
      <c r="DY24" s="8">
        <f t="shared" ca="1" si="50"/>
        <v>258</v>
      </c>
      <c r="DZ24" s="5" t="str">
        <f t="shared" ca="1" si="51"/>
        <v>VIGENTE</v>
      </c>
      <c r="EA24" s="3"/>
      <c r="EB24" s="4">
        <v>45583</v>
      </c>
      <c r="EC24" s="4">
        <f>DATE(YEAR(EB24)+2,MONTH(EB24),DAY(EB24)-1)</f>
        <v>46312</v>
      </c>
      <c r="ED24" s="8">
        <f t="shared" ca="1" si="52"/>
        <v>178</v>
      </c>
      <c r="EE24" s="5" t="str">
        <f t="shared" ca="1" si="53"/>
        <v>VIGENTE</v>
      </c>
      <c r="EF24" s="3"/>
      <c r="EG24" s="3">
        <v>45911</v>
      </c>
      <c r="EH24" s="4">
        <f t="shared" si="137"/>
        <v>46276</v>
      </c>
      <c r="EI24" s="8">
        <f t="shared" ca="1" si="54"/>
        <v>142</v>
      </c>
      <c r="EJ24" s="5" t="str">
        <f t="shared" ca="1" si="55"/>
        <v>VIGENTE</v>
      </c>
      <c r="EK24" s="3"/>
      <c r="EL24" s="4">
        <v>45636</v>
      </c>
      <c r="EM24" s="4">
        <f t="shared" si="186"/>
        <v>46365</v>
      </c>
      <c r="EN24" s="8">
        <f t="shared" ca="1" si="56"/>
        <v>231</v>
      </c>
      <c r="EO24" s="5" t="str">
        <f t="shared" ca="1" si="57"/>
        <v>VIGENTE</v>
      </c>
      <c r="EP24" s="3"/>
      <c r="EQ24" s="4">
        <v>45677</v>
      </c>
      <c r="ER24" s="4">
        <f t="shared" si="187"/>
        <v>46406</v>
      </c>
      <c r="ES24" s="8">
        <f t="shared" ca="1" si="58"/>
        <v>272</v>
      </c>
      <c r="ET24" s="5" t="str">
        <f t="shared" ca="1" si="59"/>
        <v>VIGENTE</v>
      </c>
      <c r="EU24" s="3"/>
      <c r="EV24" s="4">
        <v>45694</v>
      </c>
      <c r="EW24" s="4">
        <f>DATE(YEAR(EV24)+2,MONTH(EV24),DAY(EV24)-1)</f>
        <v>46423</v>
      </c>
      <c r="EX24" s="8">
        <f t="shared" ca="1" si="60"/>
        <v>289</v>
      </c>
      <c r="EY24" s="5" t="str">
        <f t="shared" ca="1" si="61"/>
        <v>VIGENTE</v>
      </c>
      <c r="EZ24" s="3"/>
      <c r="FA24" s="4">
        <v>45666</v>
      </c>
      <c r="FB24" s="4">
        <f>DATE(YEAR(FA24)+2,MONTH(FA24),DAY(FA24)-1)</f>
        <v>46395</v>
      </c>
      <c r="FC24" s="8">
        <f t="shared" ca="1" si="62"/>
        <v>261</v>
      </c>
      <c r="FD24" s="5" t="str">
        <f t="shared" ca="1" si="63"/>
        <v>VIGENTE</v>
      </c>
      <c r="FE24" s="3"/>
      <c r="FF24" s="4">
        <v>45668</v>
      </c>
      <c r="FG24" s="4">
        <f>DATE(YEAR(FF24)+2,MONTH(FF24),DAY(FF24)-1)</f>
        <v>46397</v>
      </c>
      <c r="FH24" s="8">
        <f t="shared" ca="1" si="64"/>
        <v>263</v>
      </c>
      <c r="FI24" s="5" t="str">
        <f t="shared" ca="1" si="65"/>
        <v>VIGENTE</v>
      </c>
      <c r="FJ24" s="3"/>
      <c r="FK24" s="4">
        <v>45670</v>
      </c>
      <c r="FL24" s="4">
        <f>DATE(YEAR(FK24)+2,MONTH(FK24),DAY(FK24)-1)</f>
        <v>46399</v>
      </c>
      <c r="FM24" s="8">
        <f t="shared" ca="1" si="67"/>
        <v>265</v>
      </c>
      <c r="FN24" s="5" t="str">
        <f t="shared" ca="1" si="68"/>
        <v>VIGENTE</v>
      </c>
      <c r="FO24" s="3"/>
      <c r="FP24" s="4">
        <v>45957</v>
      </c>
      <c r="FQ24" s="4">
        <f>DATE(YEAR(FP24)+2,MONTH(FP24),DAY(FP24))</f>
        <v>46687</v>
      </c>
      <c r="FR24" s="8">
        <f t="shared" ca="1" si="69"/>
        <v>553</v>
      </c>
      <c r="FS24" s="5" t="str">
        <f t="shared" ca="1" si="70"/>
        <v>VIGENTE</v>
      </c>
      <c r="FT24" s="3"/>
      <c r="FU24" s="4">
        <v>45587</v>
      </c>
      <c r="FV24" s="4">
        <f>DATE(YEAR(FU24)+2,MONTH(FU24),DAY(FU24)-1)</f>
        <v>46316</v>
      </c>
      <c r="FW24" s="8">
        <f t="shared" ca="1" si="71"/>
        <v>182</v>
      </c>
      <c r="FX24" s="5" t="str">
        <f t="shared" ca="1" si="72"/>
        <v>VIGENTE</v>
      </c>
      <c r="FY24" s="3"/>
      <c r="FZ24" s="4">
        <v>45595</v>
      </c>
      <c r="GA24" s="4">
        <f t="shared" si="188"/>
        <v>46324</v>
      </c>
      <c r="GB24" s="8">
        <f t="shared" ca="1" si="73"/>
        <v>190</v>
      </c>
      <c r="GC24" s="5" t="str">
        <f t="shared" ca="1" si="74"/>
        <v>VIGENTE</v>
      </c>
      <c r="GD24" s="3"/>
      <c r="GE24" s="4">
        <v>45672</v>
      </c>
      <c r="GF24" s="4">
        <f>DATE(YEAR(GE24)+2,MONTH(GE24),DAY(GE24)-1)</f>
        <v>46401</v>
      </c>
      <c r="GG24" s="8">
        <f t="shared" ca="1" si="75"/>
        <v>267</v>
      </c>
      <c r="GH24" s="5" t="str">
        <f t="shared" ca="1" si="76"/>
        <v>VIGENTE</v>
      </c>
      <c r="GI24" s="3"/>
      <c r="GJ24" s="4">
        <v>45923</v>
      </c>
      <c r="GK24" s="4">
        <f>DATE(YEAR(GJ24)+2,MONTH(GJ24),DAY(GJ24))</f>
        <v>46653</v>
      </c>
      <c r="GL24" s="8">
        <f t="shared" ca="1" si="77"/>
        <v>519</v>
      </c>
      <c r="GM24" s="5" t="str">
        <f t="shared" ca="1" si="78"/>
        <v>VIGENTE</v>
      </c>
      <c r="GN24" s="4"/>
      <c r="GO24" s="4">
        <v>44912</v>
      </c>
      <c r="GP24" s="4">
        <f t="shared" si="79"/>
        <v>46738</v>
      </c>
      <c r="GQ24" s="8">
        <f t="shared" ca="1" si="181"/>
        <v>604</v>
      </c>
      <c r="GR24" s="5" t="str">
        <f t="shared" ca="1" si="81"/>
        <v>VIGENTE</v>
      </c>
      <c r="GS24" s="3"/>
      <c r="GT24" s="4">
        <v>44984</v>
      </c>
      <c r="GU24" s="4">
        <f t="shared" si="82"/>
        <v>46810</v>
      </c>
      <c r="GV24" s="8">
        <f t="shared" ca="1" si="83"/>
        <v>676</v>
      </c>
      <c r="GW24" s="5" t="str">
        <f t="shared" ca="1" si="84"/>
        <v>VIGENTE</v>
      </c>
      <c r="GX24" s="3"/>
      <c r="GY24" s="4">
        <v>45268</v>
      </c>
      <c r="GZ24" s="4">
        <f t="shared" si="85"/>
        <v>47095</v>
      </c>
      <c r="HA24" s="8">
        <f t="shared" ca="1" si="86"/>
        <v>961</v>
      </c>
      <c r="HB24" s="5" t="str">
        <f t="shared" ca="1" si="87"/>
        <v>VIGENTE</v>
      </c>
      <c r="HC24" s="6"/>
      <c r="HD24" s="4">
        <v>44900</v>
      </c>
      <c r="HE24" s="4">
        <f>DATE(YEAR(HD24)+5,MONTH(HD24),DAY(HD24))</f>
        <v>46726</v>
      </c>
      <c r="HF24" s="8">
        <f ca="1">HE24-TODAY()</f>
        <v>592</v>
      </c>
      <c r="HG24" s="5" t="str">
        <f t="shared" ref="HG24:HG44" ca="1" si="192">IF(HF24&gt;=61,"VIGENTE",IF(HF24&gt;=1,"POR VENCER",IF(HF24&lt;=-1,"VENCIDA",IF(HD24=0,"NO APLICA"))))</f>
        <v>VIGENTE</v>
      </c>
      <c r="HH24" s="3"/>
      <c r="HI24" s="4">
        <v>45414</v>
      </c>
      <c r="HJ24" s="4">
        <f>DATE(YEAR(HI24)+5,MONTH(HI24),DAY(HI24))</f>
        <v>47240</v>
      </c>
      <c r="HK24" s="8">
        <f ca="1">HJ24-TODAY()</f>
        <v>1106</v>
      </c>
      <c r="HL24" s="5" t="str">
        <f t="shared" ca="1" si="91"/>
        <v>VIGENTE</v>
      </c>
      <c r="HM24" s="2"/>
      <c r="HN24" s="2"/>
      <c r="HO24" s="4"/>
      <c r="HP24" s="2"/>
      <c r="HQ24" s="5" t="str">
        <f t="shared" si="92"/>
        <v>NO APLICA</v>
      </c>
      <c r="HR24" s="2"/>
      <c r="HS24" s="4">
        <v>44987</v>
      </c>
      <c r="HT24" s="4">
        <f>DATE(YEAR(HS24)+5,MONTH(HS24),DAY(HS24))</f>
        <v>46814</v>
      </c>
      <c r="HU24" s="8">
        <f ca="1">HT24-TODAY()</f>
        <v>680</v>
      </c>
      <c r="HV24" s="5" t="str">
        <f t="shared" ca="1" si="93"/>
        <v>VIGENTE</v>
      </c>
      <c r="HW24" s="2"/>
      <c r="HX24" s="4">
        <v>44981</v>
      </c>
      <c r="HY24" s="4">
        <f>DATE(YEAR(HX24)+5,MONTH(HX24),DAY(HX24))</f>
        <v>46807</v>
      </c>
      <c r="HZ24" s="8">
        <f ca="1">HY24-TODAY()</f>
        <v>673</v>
      </c>
      <c r="IA24" s="5" t="str">
        <f t="shared" ca="1" si="94"/>
        <v>VIGENTE</v>
      </c>
      <c r="IB24" s="2"/>
      <c r="IC24" s="4">
        <v>45024</v>
      </c>
      <c r="ID24" s="4">
        <f>DATE(YEAR(IC24)+5,MONTH(IC24),DAY(IC24))</f>
        <v>46851</v>
      </c>
      <c r="IE24" s="8">
        <f ca="1">ID24-TODAY()</f>
        <v>717</v>
      </c>
      <c r="IF24" s="5" t="str">
        <f t="shared" ca="1" si="95"/>
        <v>VIGENTE</v>
      </c>
      <c r="IG24" s="6"/>
      <c r="IH24" s="4">
        <v>45009</v>
      </c>
      <c r="II24" s="4">
        <f>DATE(YEAR(IH24)+5,MONTH(IH24),DAY(IH24))</f>
        <v>46836</v>
      </c>
      <c r="IJ24" s="8">
        <f ca="1">II24-TODAY()</f>
        <v>702</v>
      </c>
      <c r="IK24" s="5" t="str">
        <f t="shared" ca="1" si="96"/>
        <v>VIGENTE</v>
      </c>
      <c r="IL24" s="2"/>
      <c r="IM24" s="4">
        <v>44977</v>
      </c>
      <c r="IN24" s="4">
        <f>DATE(YEAR(IM24)+5,MONTH(IM24),DAY(IM24))</f>
        <v>46803</v>
      </c>
      <c r="IO24" s="8">
        <f ca="1">IN24-TODAY()</f>
        <v>669</v>
      </c>
      <c r="IP24" s="5" t="str">
        <f t="shared" ca="1" si="97"/>
        <v>VIGENTE</v>
      </c>
      <c r="IQ24" s="2"/>
      <c r="IR24" s="4">
        <v>45013</v>
      </c>
      <c r="IS24" s="4">
        <f>DATE(YEAR(IR24)+5,MONTH(IR24),DAY(IR24))</f>
        <v>46840</v>
      </c>
      <c r="IT24" s="8">
        <f ca="1">IS24-TODAY()</f>
        <v>706</v>
      </c>
      <c r="IU24" s="5" t="str">
        <f t="shared" ca="1" si="98"/>
        <v>VIGENTE</v>
      </c>
      <c r="IV24" s="2"/>
      <c r="IW24" s="4">
        <v>44996</v>
      </c>
      <c r="IX24" s="4">
        <f>DATE(YEAR(IW24)+5,MONTH(IW24),DAY(IW24))</f>
        <v>46823</v>
      </c>
      <c r="IY24" s="8">
        <f ca="1">IX24-TODAY()</f>
        <v>689</v>
      </c>
      <c r="IZ24" s="5" t="str">
        <f t="shared" ca="1" si="99"/>
        <v>VIGENTE</v>
      </c>
      <c r="JA24" s="3"/>
      <c r="JB24" s="3"/>
      <c r="JC24" s="4"/>
      <c r="JD24" s="8"/>
      <c r="JE24" s="5" t="str">
        <f t="shared" si="100"/>
        <v>NO APLICA</v>
      </c>
      <c r="JF24" s="6"/>
      <c r="JG24" s="6"/>
      <c r="JH24" s="6"/>
      <c r="JI24" s="6"/>
      <c r="JJ24" s="5" t="str">
        <f t="shared" si="101"/>
        <v>NO APLICA</v>
      </c>
      <c r="JK24" s="6"/>
      <c r="JL24" s="6"/>
      <c r="JM24" s="6"/>
      <c r="JN24" s="6"/>
      <c r="JO24" s="5" t="str">
        <f t="shared" si="102"/>
        <v>NO APLICA</v>
      </c>
      <c r="JP24" s="6"/>
      <c r="JQ24" s="6"/>
      <c r="JR24" s="6"/>
      <c r="JS24" s="6"/>
      <c r="JT24" s="5" t="str">
        <f t="shared" si="103"/>
        <v>NO APLICA</v>
      </c>
      <c r="JU24" s="5"/>
      <c r="JV24" s="5"/>
      <c r="JW24" s="5"/>
      <c r="JX24" s="5"/>
      <c r="JY24" s="5" t="str">
        <f t="shared" si="104"/>
        <v>NO APLICA</v>
      </c>
      <c r="JZ24" s="5"/>
      <c r="KA24" s="2"/>
      <c r="KB24" s="4"/>
      <c r="KC24" s="8"/>
      <c r="KD24" s="5" t="str">
        <f t="shared" si="105"/>
        <v>NO APLICA</v>
      </c>
      <c r="KE24" s="5"/>
      <c r="KF24" s="2"/>
      <c r="KG24" s="4"/>
      <c r="KH24" s="8"/>
      <c r="KI24" s="5" t="str">
        <f t="shared" si="141"/>
        <v>NO APLICA</v>
      </c>
      <c r="KJ24" s="5"/>
      <c r="KK24" s="2"/>
      <c r="KL24" s="4"/>
      <c r="KM24" s="8"/>
      <c r="KN24" s="5" t="str">
        <f t="shared" si="106"/>
        <v>NO APLICA</v>
      </c>
      <c r="KO24" s="5"/>
      <c r="KP24" s="2"/>
      <c r="KQ24" s="4"/>
      <c r="KR24" s="8"/>
      <c r="KS24" s="5" t="str">
        <f t="shared" si="142"/>
        <v>NO APLICA</v>
      </c>
      <c r="KT24" s="3"/>
      <c r="KU24" s="4">
        <v>44653</v>
      </c>
      <c r="KV24" s="4">
        <f>DATE(YEAR(KU24)+5,MONTH(KU24),DAY(KU24))</f>
        <v>46479</v>
      </c>
      <c r="KW24" s="8">
        <f ca="1">KV24-TODAY()</f>
        <v>345</v>
      </c>
      <c r="KX24" s="5" t="str">
        <f t="shared" ca="1" si="156"/>
        <v>VIGENTE</v>
      </c>
      <c r="KY24" s="5"/>
      <c r="KZ24" s="4">
        <v>44614</v>
      </c>
      <c r="LA24" s="4">
        <f>DATE(YEAR(KZ24)+5,MONTH(KZ24),DAY(KZ24))</f>
        <v>46440</v>
      </c>
      <c r="LB24" s="8">
        <f ca="1">LA24-TODAY()</f>
        <v>306</v>
      </c>
      <c r="LC24" s="5" t="str">
        <f t="shared" ca="1" si="143"/>
        <v>VIGENTE</v>
      </c>
      <c r="LD24" s="6"/>
      <c r="LE24" s="6"/>
      <c r="LF24" s="4"/>
      <c r="LG24" s="8"/>
      <c r="LH24" s="5" t="str">
        <f t="shared" si="107"/>
        <v>NO APLICA</v>
      </c>
      <c r="LI24" s="5"/>
      <c r="LJ24" s="3">
        <v>44218</v>
      </c>
      <c r="LK24" s="4">
        <f>DATE(YEAR(LJ24)+5,MONTH(LJ24),DAY(LJ24))</f>
        <v>46044</v>
      </c>
      <c r="LL24" s="8">
        <f ca="1">LK24-TODAY()</f>
        <v>-90</v>
      </c>
      <c r="LM24" s="5" t="str">
        <f t="shared" ca="1" si="157"/>
        <v>VENCIDA</v>
      </c>
      <c r="LN24" s="2"/>
      <c r="LO24" s="6"/>
      <c r="LP24" s="4"/>
      <c r="LQ24" s="8"/>
      <c r="LR24" s="5" t="str">
        <f t="shared" si="144"/>
        <v>NO APLICA</v>
      </c>
      <c r="LS24" s="6"/>
      <c r="LT24" s="6"/>
      <c r="LU24" s="4"/>
      <c r="LV24" s="8"/>
      <c r="LW24" s="5" t="str">
        <f t="shared" si="145"/>
        <v>NO APLICA</v>
      </c>
      <c r="LX24" s="6"/>
      <c r="LY24" s="6"/>
      <c r="LZ24" s="4"/>
      <c r="MA24" s="8"/>
      <c r="MB24" s="5" t="str">
        <f t="shared" si="146"/>
        <v>NO APLICA</v>
      </c>
      <c r="MC24" s="2"/>
      <c r="MD24" s="2"/>
      <c r="ME24" s="4"/>
      <c r="MF24" s="8"/>
      <c r="MG24" s="5" t="str">
        <f t="shared" si="108"/>
        <v>NO APLICA</v>
      </c>
      <c r="MH24" s="2"/>
      <c r="MI24" s="2"/>
      <c r="MJ24" s="4"/>
      <c r="MK24" s="8"/>
      <c r="ML24" s="5" t="str">
        <f t="shared" si="109"/>
        <v>NO APLICA</v>
      </c>
      <c r="MM24" s="5"/>
      <c r="MN24" s="2"/>
      <c r="MO24" s="4"/>
      <c r="MP24" s="8"/>
      <c r="MQ24" s="5" t="str">
        <f t="shared" si="110"/>
        <v>NO APLICA</v>
      </c>
      <c r="MR24" s="5"/>
      <c r="MS24" s="2"/>
      <c r="MT24" s="4"/>
      <c r="MU24" s="2"/>
      <c r="MV24" s="5" t="str">
        <f t="shared" si="111"/>
        <v>NO APLICA</v>
      </c>
      <c r="MW24" s="2"/>
      <c r="MX24" s="6"/>
      <c r="MY24" s="4"/>
      <c r="MZ24" s="8"/>
      <c r="NA24" s="5" t="str">
        <f t="shared" si="112"/>
        <v>NO APLICA</v>
      </c>
      <c r="NB24" s="2"/>
      <c r="NC24" s="6"/>
      <c r="ND24" s="4"/>
      <c r="NE24" s="8"/>
      <c r="NF24" s="5" t="str">
        <f t="shared" si="113"/>
        <v>NO APLICA</v>
      </c>
      <c r="NG24" s="2"/>
      <c r="NH24" s="6"/>
      <c r="NI24" s="4"/>
      <c r="NJ24" s="8"/>
      <c r="NK24" s="5" t="str">
        <f t="shared" si="114"/>
        <v>NO APLICA</v>
      </c>
      <c r="NL24" s="2"/>
      <c r="NM24" s="2"/>
      <c r="NN24" s="4"/>
      <c r="NO24" s="8"/>
      <c r="NP24" s="5" t="str">
        <f t="shared" si="115"/>
        <v>NO APLICA</v>
      </c>
      <c r="NQ24" s="2"/>
      <c r="NR24" s="2"/>
      <c r="NS24" s="4"/>
      <c r="NT24" s="2"/>
      <c r="NU24" s="5" t="str">
        <f t="shared" si="116"/>
        <v>NO APLICA</v>
      </c>
      <c r="NV24" s="6"/>
      <c r="NW24" s="6"/>
      <c r="NX24" s="4"/>
      <c r="NY24" s="8"/>
      <c r="NZ24" s="5" t="str">
        <f t="shared" si="117"/>
        <v>NO APLICA</v>
      </c>
      <c r="OA24" s="6"/>
      <c r="OB24" s="6"/>
      <c r="OC24" s="6"/>
      <c r="OD24" s="6"/>
      <c r="OE24" s="5" t="str">
        <f t="shared" si="118"/>
        <v>NO APLICA</v>
      </c>
      <c r="OF24" s="2"/>
      <c r="OG24" s="2"/>
      <c r="OH24" s="4"/>
      <c r="OI24" s="8"/>
      <c r="OJ24" s="5" t="str">
        <f t="shared" si="119"/>
        <v>NO APLICA</v>
      </c>
      <c r="OK24" s="6"/>
      <c r="OL24" s="6"/>
      <c r="OM24" s="6"/>
      <c r="ON24" s="6"/>
      <c r="OO24" s="5" t="str">
        <f t="shared" si="120"/>
        <v>NO APLICA</v>
      </c>
      <c r="OP24" s="6"/>
      <c r="OQ24" s="6"/>
      <c r="OR24" s="6"/>
      <c r="OS24" s="6"/>
      <c r="OT24" s="5" t="str">
        <f t="shared" si="121"/>
        <v>NO APLICA</v>
      </c>
      <c r="OU24" s="6"/>
      <c r="OV24" s="6"/>
      <c r="OW24" s="6"/>
      <c r="OX24" s="6"/>
      <c r="OY24" s="5" t="str">
        <f t="shared" si="122"/>
        <v>NO APLICA</v>
      </c>
      <c r="OZ24" s="6"/>
      <c r="PA24" s="6"/>
      <c r="PB24" s="6"/>
      <c r="PC24" s="6"/>
      <c r="PD24" s="5" t="str">
        <f t="shared" si="123"/>
        <v>NO APLICA</v>
      </c>
      <c r="PE24" s="6"/>
      <c r="PF24" s="6"/>
      <c r="PG24" s="6"/>
      <c r="PH24" s="6"/>
      <c r="PI24" s="5" t="str">
        <f t="shared" si="124"/>
        <v>NO APLICA</v>
      </c>
      <c r="PJ24" s="5"/>
      <c r="PK24" s="6"/>
      <c r="PL24" s="4"/>
      <c r="PM24" s="8"/>
      <c r="PN24" s="5" t="str">
        <f t="shared" si="125"/>
        <v>NO APLICA</v>
      </c>
      <c r="PO24" s="6"/>
      <c r="PP24" s="6"/>
      <c r="PQ24" s="6"/>
      <c r="PR24" s="6"/>
      <c r="PS24" s="5" t="str">
        <f t="shared" si="126"/>
        <v>NO APLICA</v>
      </c>
      <c r="PT24" s="5"/>
      <c r="PU24" s="4">
        <v>46126</v>
      </c>
      <c r="PV24" s="4">
        <f>DATE(YEAR(PU24)+1,MONTH(PU24),DAY(PU24))</f>
        <v>46491</v>
      </c>
      <c r="PW24" s="8">
        <f ca="1">PV24-TODAY()</f>
        <v>357</v>
      </c>
      <c r="PX24" s="5" t="str">
        <f t="shared" ca="1" si="127"/>
        <v>VIGENTE</v>
      </c>
    </row>
    <row r="25" spans="1:440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142</v>
      </c>
      <c r="V25" s="4">
        <v>45142</v>
      </c>
      <c r="W25" s="4">
        <f t="shared" si="2"/>
        <v>46969</v>
      </c>
      <c r="X25" s="8">
        <f t="shared" ca="1" si="3"/>
        <v>835</v>
      </c>
      <c r="Y25" s="5" t="str">
        <f t="shared" ca="1" si="4"/>
        <v>VIGENTE</v>
      </c>
      <c r="Z25" s="2" t="s">
        <v>143</v>
      </c>
      <c r="AA25" s="4">
        <v>45149</v>
      </c>
      <c r="AB25" s="4">
        <f>DATE(YEAR(AA25)+5,MONTH(AA25),DAY(AA25))</f>
        <v>46976</v>
      </c>
      <c r="AC25" s="8">
        <f ca="1">AB25-TODAY()</f>
        <v>842</v>
      </c>
      <c r="AD25" s="5" t="str">
        <f t="shared" ca="1" si="7"/>
        <v>VIGENTE</v>
      </c>
      <c r="AE25" s="3"/>
      <c r="AF25" s="4">
        <v>45902</v>
      </c>
      <c r="AG25" s="4">
        <f>DATE(YEAR(AF25)+2,MONTH(AF25),DAY(AF25))</f>
        <v>46632</v>
      </c>
      <c r="AH25" s="8">
        <f t="shared" ca="1" si="8"/>
        <v>498</v>
      </c>
      <c r="AI25" s="5" t="str">
        <f t="shared" ca="1" si="9"/>
        <v>VIGENTE</v>
      </c>
      <c r="AJ25" s="2"/>
      <c r="AK25" s="4">
        <v>45937</v>
      </c>
      <c r="AL25" s="4">
        <f t="shared" si="189"/>
        <v>46667</v>
      </c>
      <c r="AM25" s="8">
        <f t="shared" ca="1" si="10"/>
        <v>533</v>
      </c>
      <c r="AN25" s="5" t="str">
        <f t="shared" ca="1" si="11"/>
        <v>VIGENTE</v>
      </c>
      <c r="AO25" s="3"/>
      <c r="AP25" s="4">
        <v>45820</v>
      </c>
      <c r="AQ25" s="4">
        <f t="shared" si="183"/>
        <v>46550</v>
      </c>
      <c r="AR25" s="8">
        <f t="shared" ca="1" si="12"/>
        <v>416</v>
      </c>
      <c r="AS25" s="5" t="str">
        <f t="shared" ca="1" si="13"/>
        <v>VIGENTE</v>
      </c>
      <c r="AT25" s="3"/>
      <c r="AU25" s="4">
        <v>45765</v>
      </c>
      <c r="AV25" s="4">
        <f>DATE(YEAR(AU25)+2,MONTH(AU25),DAY(AU25))</f>
        <v>46495</v>
      </c>
      <c r="AW25" s="8">
        <f t="shared" ca="1" si="15"/>
        <v>361</v>
      </c>
      <c r="AX25" s="5" t="str">
        <f t="shared" ca="1" si="16"/>
        <v>VIGENTE</v>
      </c>
      <c r="AY25" s="3"/>
      <c r="AZ25" s="4">
        <v>45901</v>
      </c>
      <c r="BA25" s="4">
        <f>DATE(YEAR(AZ25)+2,MONTH(AZ25),DAY(AZ25))</f>
        <v>46631</v>
      </c>
      <c r="BB25" s="8">
        <f t="shared" ca="1" si="17"/>
        <v>497</v>
      </c>
      <c r="BC25" s="5" t="str">
        <f t="shared" ca="1" si="18"/>
        <v>VIGENTE</v>
      </c>
      <c r="BD25" s="3"/>
      <c r="BE25" s="4">
        <v>45842</v>
      </c>
      <c r="BF25" s="4">
        <f>DATE(YEAR(BE25)+2,MONTH(BE25),DAY(BE25))</f>
        <v>46572</v>
      </c>
      <c r="BG25" s="8">
        <f t="shared" ca="1" si="19"/>
        <v>438</v>
      </c>
      <c r="BH25" s="5" t="str">
        <f t="shared" ca="1" si="20"/>
        <v>VIGENTE</v>
      </c>
      <c r="BI25" s="3"/>
      <c r="BJ25" s="4">
        <v>45797</v>
      </c>
      <c r="BK25" s="4">
        <f>DATE(YEAR(BJ25)+2,MONTH(BJ25),DAY(BJ25))</f>
        <v>46527</v>
      </c>
      <c r="BL25" s="8">
        <f t="shared" ca="1" si="21"/>
        <v>393</v>
      </c>
      <c r="BM25" s="5" t="str">
        <f t="shared" ca="1" si="22"/>
        <v>VIGENTE</v>
      </c>
      <c r="BN25" s="3"/>
      <c r="BO25" s="4">
        <v>45750</v>
      </c>
      <c r="BP25" s="4">
        <f>DATE(YEAR(BO25)+2,MONTH(BO25),DAY(BO25)-1)</f>
        <v>46479</v>
      </c>
      <c r="BQ25" s="8">
        <f t="shared" ca="1" si="23"/>
        <v>345</v>
      </c>
      <c r="BR25" s="5" t="str">
        <f t="shared" ca="1" si="24"/>
        <v>VIGENTE</v>
      </c>
      <c r="BS25" s="3"/>
      <c r="BT25" s="4">
        <v>45813</v>
      </c>
      <c r="BU25" s="4">
        <f t="shared" si="190"/>
        <v>46542</v>
      </c>
      <c r="BV25" s="8">
        <f t="shared" ca="1" si="25"/>
        <v>408</v>
      </c>
      <c r="BW25" s="5" t="str">
        <f t="shared" ca="1" si="26"/>
        <v>VIGENTE</v>
      </c>
      <c r="BX25" s="3"/>
      <c r="BY25" s="4">
        <v>45954</v>
      </c>
      <c r="BZ25" s="4">
        <f t="shared" si="191"/>
        <v>46684</v>
      </c>
      <c r="CA25" s="8">
        <f t="shared" ca="1" si="27"/>
        <v>550</v>
      </c>
      <c r="CB25" s="5" t="str">
        <f t="shared" ca="1" si="28"/>
        <v>VIGENTE</v>
      </c>
      <c r="CC25" s="6" t="s">
        <v>73</v>
      </c>
      <c r="CD25" s="4">
        <v>45227</v>
      </c>
      <c r="CE25" s="4">
        <f t="shared" si="29"/>
        <v>46688</v>
      </c>
      <c r="CF25" s="8">
        <f t="shared" ca="1" si="30"/>
        <v>554</v>
      </c>
      <c r="CG25" s="5" t="str">
        <f t="shared" ca="1" si="31"/>
        <v>VIGENTE</v>
      </c>
      <c r="CH25" s="4"/>
      <c r="CI25" s="4">
        <v>45801</v>
      </c>
      <c r="CJ25" s="4">
        <f>DATE(YEAR(CI25)+2,MONTH(CI25),DAY(CI25)-1)</f>
        <v>46530</v>
      </c>
      <c r="CK25" s="8">
        <f t="shared" ca="1" si="32"/>
        <v>396</v>
      </c>
      <c r="CL25" s="5" t="str">
        <f t="shared" ca="1" si="33"/>
        <v>VIGENTE</v>
      </c>
      <c r="CM25" s="2"/>
      <c r="CN25" s="4">
        <v>45769</v>
      </c>
      <c r="CO25" s="4">
        <f>DATE(YEAR(CN25)+2,MONTH(CN25),DAY(CN25))</f>
        <v>46499</v>
      </c>
      <c r="CP25" s="8">
        <f t="shared" ca="1" si="34"/>
        <v>365</v>
      </c>
      <c r="CQ25" s="5" t="str">
        <f t="shared" ca="1" si="35"/>
        <v>VIGENTE</v>
      </c>
      <c r="CR25" s="3"/>
      <c r="CS25" s="4">
        <v>45965</v>
      </c>
      <c r="CT25" s="4">
        <f>DATE(YEAR(CS25)+2,MONTH(CS25),DAY(CS25))</f>
        <v>46695</v>
      </c>
      <c r="CU25" s="8">
        <f t="shared" ca="1" si="36"/>
        <v>561</v>
      </c>
      <c r="CV25" s="5" t="str">
        <f t="shared" ca="1" si="37"/>
        <v>VIGENTE</v>
      </c>
      <c r="CW25" s="3"/>
      <c r="CX25" s="4">
        <v>45835</v>
      </c>
      <c r="CY25" s="4">
        <f>DATE(YEAR(CX25)+2,MONTH(CX25),DAY(CX25))</f>
        <v>46565</v>
      </c>
      <c r="CZ25" s="8">
        <f t="shared" ca="1" si="38"/>
        <v>431</v>
      </c>
      <c r="DA25" s="5" t="str">
        <f t="shared" ca="1" si="39"/>
        <v>VIGENTE</v>
      </c>
      <c r="DB25" s="3"/>
      <c r="DC25" s="4">
        <v>45836</v>
      </c>
      <c r="DD25" s="4">
        <f>DATE(YEAR(DC25)+2,MONTH(DC25),DAY(DC25))</f>
        <v>46566</v>
      </c>
      <c r="DE25" s="8">
        <f t="shared" ca="1" si="40"/>
        <v>432</v>
      </c>
      <c r="DF25" s="5" t="str">
        <f t="shared" ca="1" si="41"/>
        <v>VIGENTE</v>
      </c>
      <c r="DG25" s="3"/>
      <c r="DH25" s="4">
        <v>45899</v>
      </c>
      <c r="DI25" s="4">
        <f>DATE(YEAR(DH25)+2,MONTH(DH25),DAY(DH25))</f>
        <v>46629</v>
      </c>
      <c r="DJ25" s="8">
        <f t="shared" ca="1" si="43"/>
        <v>495</v>
      </c>
      <c r="DK25" s="5" t="str">
        <f t="shared" ca="1" si="44"/>
        <v>VIGENTE</v>
      </c>
      <c r="DL25" s="3"/>
      <c r="DM25" s="4">
        <v>45857</v>
      </c>
      <c r="DN25" s="4">
        <f>DATE(YEAR(DM25)+2,MONTH(DM25),DAY(DM25))</f>
        <v>46587</v>
      </c>
      <c r="DO25" s="8">
        <f t="shared" ca="1" si="46"/>
        <v>453</v>
      </c>
      <c r="DP25" s="5" t="str">
        <f t="shared" ca="1" si="47"/>
        <v>VIGENTE</v>
      </c>
      <c r="DQ25" s="3"/>
      <c r="DR25" s="4">
        <v>45852</v>
      </c>
      <c r="DS25" s="4">
        <f>DATE(YEAR(DR25)+2,MONTH(DR25),DAY(DR25))</f>
        <v>46582</v>
      </c>
      <c r="DT25" s="8">
        <f t="shared" ca="1" si="48"/>
        <v>448</v>
      </c>
      <c r="DU25" s="5" t="str">
        <f t="shared" ca="1" si="49"/>
        <v>VIGENTE</v>
      </c>
      <c r="DV25" s="3"/>
      <c r="DW25" s="4">
        <v>45915</v>
      </c>
      <c r="DX25" s="4">
        <f>DATE(YEAR(DW25)+2,MONTH(DW25),DAY(DW25))</f>
        <v>46645</v>
      </c>
      <c r="DY25" s="8">
        <f t="shared" ca="1" si="50"/>
        <v>511</v>
      </c>
      <c r="DZ25" s="5" t="str">
        <f t="shared" ca="1" si="51"/>
        <v>VIGENTE</v>
      </c>
      <c r="EA25" s="3"/>
      <c r="EB25" s="4">
        <v>45913</v>
      </c>
      <c r="EC25" s="4">
        <f>DATE(YEAR(EB25)+2,MONTH(EB25),DAY(EB25))</f>
        <v>46643</v>
      </c>
      <c r="ED25" s="8">
        <f t="shared" ca="1" si="52"/>
        <v>509</v>
      </c>
      <c r="EE25" s="5" t="str">
        <f t="shared" ca="1" si="53"/>
        <v>VIGENTE</v>
      </c>
      <c r="EF25" s="3"/>
      <c r="EG25" s="4">
        <v>45812</v>
      </c>
      <c r="EH25" s="4">
        <f t="shared" si="137"/>
        <v>46177</v>
      </c>
      <c r="EI25" s="8">
        <f t="shared" ca="1" si="54"/>
        <v>43</v>
      </c>
      <c r="EJ25" s="5" t="str">
        <f t="shared" ca="1" si="55"/>
        <v>POR VENCER</v>
      </c>
      <c r="EK25" s="3"/>
      <c r="EL25" s="4">
        <v>45966</v>
      </c>
      <c r="EM25" s="4">
        <f>DATE(YEAR(EL25)+2,MONTH(EL25),DAY(EL25))</f>
        <v>46696</v>
      </c>
      <c r="EN25" s="8">
        <f t="shared" ca="1" si="56"/>
        <v>562</v>
      </c>
      <c r="EO25" s="5" t="str">
        <f t="shared" ca="1" si="57"/>
        <v>VIGENTE</v>
      </c>
      <c r="EP25" s="3"/>
      <c r="EQ25" s="4">
        <v>45824</v>
      </c>
      <c r="ER25" s="4">
        <f>DATE(YEAR(EQ25)+2,MONTH(EQ25),DAY(EQ25))</f>
        <v>46554</v>
      </c>
      <c r="ES25" s="8">
        <f t="shared" ca="1" si="58"/>
        <v>420</v>
      </c>
      <c r="ET25" s="5" t="str">
        <f t="shared" ca="1" si="59"/>
        <v>VIGENTE</v>
      </c>
      <c r="EU25" s="2"/>
      <c r="EV25" s="4">
        <v>45953</v>
      </c>
      <c r="EW25" s="4">
        <f>DATE(YEAR(EV25)+2,MONTH(EV25),DAY(EV25))</f>
        <v>46683</v>
      </c>
      <c r="EX25" s="8">
        <f t="shared" ca="1" si="60"/>
        <v>549</v>
      </c>
      <c r="EY25" s="5" t="str">
        <f t="shared" ca="1" si="61"/>
        <v>VIGENTE</v>
      </c>
      <c r="EZ25" s="3"/>
      <c r="FA25" s="4">
        <v>45783</v>
      </c>
      <c r="FB25" s="4">
        <f>DATE(YEAR(FA25)+2,MONTH(FA25),DAY(FA25))</f>
        <v>46513</v>
      </c>
      <c r="FC25" s="8">
        <f t="shared" ca="1" si="62"/>
        <v>379</v>
      </c>
      <c r="FD25" s="5" t="str">
        <f t="shared" ca="1" si="63"/>
        <v>VIGENTE</v>
      </c>
      <c r="FE25" s="3"/>
      <c r="FF25" s="4">
        <v>45790</v>
      </c>
      <c r="FG25" s="4">
        <f>DATE(YEAR(FF25)+2,MONTH(FF25),DAY(FF25))</f>
        <v>46520</v>
      </c>
      <c r="FH25" s="8">
        <f t="shared" ca="1" si="64"/>
        <v>386</v>
      </c>
      <c r="FI25" s="5" t="str">
        <f t="shared" ca="1" si="65"/>
        <v>VIGENTE</v>
      </c>
      <c r="FJ25" s="3"/>
      <c r="FK25" s="4">
        <v>45850</v>
      </c>
      <c r="FL25" s="4">
        <f>DATE(YEAR(FK25)+2,MONTH(FK25),DAY(FK25))</f>
        <v>46580</v>
      </c>
      <c r="FM25" s="8">
        <f t="shared" ca="1" si="67"/>
        <v>446</v>
      </c>
      <c r="FN25" s="5" t="str">
        <f t="shared" ca="1" si="68"/>
        <v>VIGENTE</v>
      </c>
      <c r="FO25" s="3"/>
      <c r="FP25" s="4">
        <v>45957</v>
      </c>
      <c r="FQ25" s="4">
        <f>DATE(YEAR(FP25)+2,MONTH(FP25),DAY(FP25))</f>
        <v>46687</v>
      </c>
      <c r="FR25" s="8">
        <f t="shared" ca="1" si="69"/>
        <v>553</v>
      </c>
      <c r="FS25" s="5" t="str">
        <f t="shared" ca="1" si="70"/>
        <v>VIGENTE</v>
      </c>
      <c r="FT25" s="3"/>
      <c r="FU25" s="4">
        <v>45822</v>
      </c>
      <c r="FV25" s="4">
        <f>DATE(YEAR(FU25)+2,MONTH(FU25),DAY(FU25))</f>
        <v>46552</v>
      </c>
      <c r="FW25" s="8">
        <f t="shared" ca="1" si="71"/>
        <v>418</v>
      </c>
      <c r="FX25" s="5" t="str">
        <f t="shared" ca="1" si="72"/>
        <v>VIGENTE</v>
      </c>
      <c r="FY25" s="3"/>
      <c r="FZ25" s="4">
        <v>45821</v>
      </c>
      <c r="GA25" s="4">
        <f>DATE(YEAR(FZ25)+2,MONTH(FZ25),DAY(FZ25))</f>
        <v>46551</v>
      </c>
      <c r="GB25" s="8">
        <f t="shared" ca="1" si="73"/>
        <v>417</v>
      </c>
      <c r="GC25" s="5" t="str">
        <f t="shared" ca="1" si="74"/>
        <v>VIGENTE</v>
      </c>
      <c r="GD25" s="3"/>
      <c r="GE25" s="4">
        <v>45814</v>
      </c>
      <c r="GF25" s="4">
        <f>DATE(YEAR(GE25)+2,MONTH(GE25),DAY(GE25))</f>
        <v>46544</v>
      </c>
      <c r="GG25" s="8">
        <f t="shared" ca="1" si="75"/>
        <v>410</v>
      </c>
      <c r="GH25" s="5" t="str">
        <f t="shared" ca="1" si="76"/>
        <v>VIGENTE</v>
      </c>
      <c r="GI25" s="3"/>
      <c r="GJ25" s="4">
        <v>45958</v>
      </c>
      <c r="GK25" s="4">
        <f>DATE(YEAR(GJ25)+2,MONTH(GJ25),DAY(GJ25))</f>
        <v>46688</v>
      </c>
      <c r="GL25" s="8">
        <f t="shared" ca="1" si="77"/>
        <v>554</v>
      </c>
      <c r="GM25" s="5" t="str">
        <f t="shared" ca="1" si="78"/>
        <v>VIGENTE</v>
      </c>
      <c r="GN25" s="4"/>
      <c r="GO25" s="4">
        <v>45164</v>
      </c>
      <c r="GP25" s="4">
        <f t="shared" si="79"/>
        <v>46991</v>
      </c>
      <c r="GQ25" s="8">
        <f t="shared" ca="1" si="181"/>
        <v>857</v>
      </c>
      <c r="GR25" s="5" t="str">
        <f t="shared" ca="1" si="81"/>
        <v>VIGENTE</v>
      </c>
      <c r="GS25" s="3"/>
      <c r="GT25" s="4">
        <v>45252</v>
      </c>
      <c r="GU25" s="4">
        <f t="shared" si="82"/>
        <v>47079</v>
      </c>
      <c r="GV25" s="8">
        <f t="shared" ca="1" si="83"/>
        <v>945</v>
      </c>
      <c r="GW25" s="5" t="str">
        <f t="shared" ca="1" si="84"/>
        <v>VIGENTE</v>
      </c>
      <c r="GX25" s="2"/>
      <c r="GY25" s="4">
        <v>45127</v>
      </c>
      <c r="GZ25" s="4">
        <f t="shared" si="85"/>
        <v>46954</v>
      </c>
      <c r="HA25" s="8">
        <f t="shared" ca="1" si="86"/>
        <v>820</v>
      </c>
      <c r="HB25" s="5" t="str">
        <f t="shared" ca="1" si="87"/>
        <v>VIGENTE</v>
      </c>
      <c r="HC25" s="6"/>
      <c r="HD25" s="4">
        <v>45150</v>
      </c>
      <c r="HE25" s="4">
        <f>DATE(YEAR(HD25)+5,MONTH(HD25),DAY(HD25))</f>
        <v>46977</v>
      </c>
      <c r="HF25" s="8">
        <f ca="1">HE25-TODAY()</f>
        <v>843</v>
      </c>
      <c r="HG25" s="5" t="str">
        <f t="shared" ca="1" si="192"/>
        <v>VIGENTE</v>
      </c>
      <c r="HH25" s="2"/>
      <c r="HI25" s="6"/>
      <c r="HJ25" s="4"/>
      <c r="HK25" s="8"/>
      <c r="HL25" s="5" t="str">
        <f t="shared" si="91"/>
        <v>NO APLICA</v>
      </c>
      <c r="HM25" s="2"/>
      <c r="HN25" s="2"/>
      <c r="HO25" s="4"/>
      <c r="HP25" s="2"/>
      <c r="HQ25" s="5" t="str">
        <f t="shared" si="92"/>
        <v>NO APLICA</v>
      </c>
      <c r="HR25" s="2"/>
      <c r="HS25" s="6"/>
      <c r="HT25" s="4"/>
      <c r="HU25" s="8"/>
      <c r="HV25" s="5" t="str">
        <f t="shared" si="93"/>
        <v>NO APLICA</v>
      </c>
      <c r="HW25" s="2"/>
      <c r="HX25" s="6"/>
      <c r="HY25" s="4"/>
      <c r="HZ25" s="8"/>
      <c r="IA25" s="5" t="str">
        <f t="shared" si="94"/>
        <v>NO APLICA</v>
      </c>
      <c r="IB25" s="2"/>
      <c r="IC25" s="4">
        <v>45355</v>
      </c>
      <c r="ID25" s="4">
        <f>DATE(YEAR(IC25)+5,MONTH(IC25),DAY(IC25))</f>
        <v>47181</v>
      </c>
      <c r="IE25" s="8">
        <f ca="1">ID25-TODAY()</f>
        <v>1047</v>
      </c>
      <c r="IF25" s="5" t="str">
        <f t="shared" ca="1" si="95"/>
        <v>VIGENTE</v>
      </c>
      <c r="IG25" s="6"/>
      <c r="IH25" s="6"/>
      <c r="II25" s="4"/>
      <c r="IJ25" s="8"/>
      <c r="IK25" s="5" t="str">
        <f t="shared" si="96"/>
        <v>NO APLICA</v>
      </c>
      <c r="IL25" s="2"/>
      <c r="IM25" s="4">
        <v>45354</v>
      </c>
      <c r="IN25" s="4">
        <f>DATE(YEAR(IM25)+5,MONTH(IM25),DAY(IM25))</f>
        <v>47180</v>
      </c>
      <c r="IO25" s="8">
        <f ca="1">IN25-TODAY()</f>
        <v>1046</v>
      </c>
      <c r="IP25" s="5" t="str">
        <f t="shared" ca="1" si="97"/>
        <v>VIGENTE</v>
      </c>
      <c r="IQ25" s="2"/>
      <c r="IR25" s="4">
        <v>45350</v>
      </c>
      <c r="IS25" s="4">
        <f>DATE(YEAR(IR25)+5,MONTH(IR25),DAY(IR25))</f>
        <v>47177</v>
      </c>
      <c r="IT25" s="8">
        <f ca="1">IS25-TODAY()</f>
        <v>1043</v>
      </c>
      <c r="IU25" s="5" t="str">
        <f t="shared" ca="1" si="98"/>
        <v>VIGENTE</v>
      </c>
      <c r="IV25" s="2"/>
      <c r="IW25" s="4">
        <v>45339</v>
      </c>
      <c r="IX25" s="4">
        <f>DATE(YEAR(IW25)+5,MONTH(IW25),DAY(IW25))</f>
        <v>47166</v>
      </c>
      <c r="IY25" s="8">
        <f ca="1">IX25-TODAY()</f>
        <v>1032</v>
      </c>
      <c r="IZ25" s="5" t="str">
        <f t="shared" ca="1" si="99"/>
        <v>VIGENTE</v>
      </c>
      <c r="JA25" s="3"/>
      <c r="JB25" s="3"/>
      <c r="JC25" s="4"/>
      <c r="JD25" s="8"/>
      <c r="JE25" s="5" t="str">
        <f t="shared" si="100"/>
        <v>NO APLICA</v>
      </c>
      <c r="JF25" s="6"/>
      <c r="JG25" s="6"/>
      <c r="JH25" s="6"/>
      <c r="JI25" s="6"/>
      <c r="JJ25" s="5" t="str">
        <f t="shared" si="101"/>
        <v>NO APLICA</v>
      </c>
      <c r="JK25" s="6"/>
      <c r="JL25" s="6"/>
      <c r="JM25" s="6"/>
      <c r="JN25" s="6"/>
      <c r="JO25" s="5" t="str">
        <f t="shared" si="102"/>
        <v>NO APLICA</v>
      </c>
      <c r="JP25" s="6"/>
      <c r="JQ25" s="6"/>
      <c r="JR25" s="6"/>
      <c r="JS25" s="6"/>
      <c r="JT25" s="5" t="str">
        <f t="shared" si="103"/>
        <v>NO APLICA</v>
      </c>
      <c r="JU25" s="5"/>
      <c r="JV25" s="5"/>
      <c r="JW25" s="5"/>
      <c r="JX25" s="5"/>
      <c r="JY25" s="5" t="str">
        <f t="shared" si="104"/>
        <v>NO APLICA</v>
      </c>
      <c r="JZ25" s="5"/>
      <c r="KA25" s="2"/>
      <c r="KB25" s="4"/>
      <c r="KC25" s="8"/>
      <c r="KD25" s="5" t="str">
        <f t="shared" si="105"/>
        <v>NO APLICA</v>
      </c>
      <c r="KE25" s="5"/>
      <c r="KF25" s="2"/>
      <c r="KG25" s="4"/>
      <c r="KH25" s="8"/>
      <c r="KI25" s="5" t="str">
        <f t="shared" si="141"/>
        <v>NO APLICA</v>
      </c>
      <c r="KJ25" s="5"/>
      <c r="KK25" s="2"/>
      <c r="KL25" s="4"/>
      <c r="KM25" s="8"/>
      <c r="KN25" s="5" t="str">
        <f t="shared" si="106"/>
        <v>NO APLICA</v>
      </c>
      <c r="KO25" s="5"/>
      <c r="KP25" s="2"/>
      <c r="KQ25" s="4"/>
      <c r="KR25" s="8"/>
      <c r="KS25" s="5" t="str">
        <f t="shared" si="142"/>
        <v>NO APLICA</v>
      </c>
      <c r="KT25" s="2"/>
      <c r="KU25" s="6"/>
      <c r="KV25" s="4"/>
      <c r="KW25" s="8"/>
      <c r="KX25" s="5" t="str">
        <f t="shared" si="156"/>
        <v>NO APLICA</v>
      </c>
      <c r="KY25" s="5"/>
      <c r="KZ25" s="6"/>
      <c r="LA25" s="4"/>
      <c r="LB25" s="8"/>
      <c r="LC25" s="5" t="str">
        <f t="shared" si="143"/>
        <v>NO APLICA</v>
      </c>
      <c r="LD25" s="6"/>
      <c r="LE25" s="6"/>
      <c r="LF25" s="4"/>
      <c r="LG25" s="8"/>
      <c r="LH25" s="5" t="str">
        <f t="shared" si="107"/>
        <v>NO APLICA</v>
      </c>
      <c r="LI25" s="5"/>
      <c r="LJ25" s="5"/>
      <c r="LK25" s="4"/>
      <c r="LL25" s="8"/>
      <c r="LM25" s="5" t="str">
        <f t="shared" si="157"/>
        <v>NO APLICA</v>
      </c>
      <c r="LN25" s="2"/>
      <c r="LO25" s="6"/>
      <c r="LP25" s="4"/>
      <c r="LQ25" s="8"/>
      <c r="LR25" s="5" t="str">
        <f t="shared" si="144"/>
        <v>NO APLICA</v>
      </c>
      <c r="LS25" s="6"/>
      <c r="LT25" s="6"/>
      <c r="LU25" s="4"/>
      <c r="LV25" s="8"/>
      <c r="LW25" s="5" t="str">
        <f t="shared" si="145"/>
        <v>NO APLICA</v>
      </c>
      <c r="LX25" s="6"/>
      <c r="LY25" s="6"/>
      <c r="LZ25" s="4"/>
      <c r="MA25" s="8"/>
      <c r="MB25" s="5" t="str">
        <f t="shared" si="146"/>
        <v>NO APLICA</v>
      </c>
      <c r="MC25" s="2"/>
      <c r="MD25" s="2"/>
      <c r="ME25" s="4"/>
      <c r="MF25" s="8"/>
      <c r="MG25" s="5" t="str">
        <f t="shared" si="108"/>
        <v>NO APLICA</v>
      </c>
      <c r="MH25" s="2"/>
      <c r="MI25" s="2"/>
      <c r="MJ25" s="4"/>
      <c r="MK25" s="8"/>
      <c r="ML25" s="5" t="str">
        <f t="shared" si="109"/>
        <v>NO APLICA</v>
      </c>
      <c r="MM25" s="5"/>
      <c r="MN25" s="3">
        <v>45154</v>
      </c>
      <c r="MO25" s="4">
        <f>DATE(YEAR(MN25)+5,MONTH(MN25),DAY(MN25))</f>
        <v>46981</v>
      </c>
      <c r="MP25" s="8">
        <f ca="1">MO25-TODAY()</f>
        <v>847</v>
      </c>
      <c r="MQ25" s="5" t="str">
        <f t="shared" ca="1" si="110"/>
        <v>VIGENTE</v>
      </c>
      <c r="MR25" s="5"/>
      <c r="MS25" s="3">
        <v>45155</v>
      </c>
      <c r="MT25" s="4">
        <f>DATE(YEAR(MS25)+5,MONTH(MS25),DAY(MS25))</f>
        <v>46982</v>
      </c>
      <c r="MU25" s="8">
        <f ca="1">MT25-TODAY()</f>
        <v>848</v>
      </c>
      <c r="MV25" s="5" t="str">
        <f t="shared" ca="1" si="111"/>
        <v>VIGENTE</v>
      </c>
      <c r="MW25" s="2"/>
      <c r="MX25" s="6"/>
      <c r="MY25" s="4"/>
      <c r="MZ25" s="8"/>
      <c r="NA25" s="5" t="str">
        <f t="shared" si="112"/>
        <v>NO APLICA</v>
      </c>
      <c r="NB25" s="2"/>
      <c r="NC25" s="6"/>
      <c r="ND25" s="4"/>
      <c r="NE25" s="8"/>
      <c r="NF25" s="5" t="str">
        <f t="shared" si="113"/>
        <v>NO APLICA</v>
      </c>
      <c r="NG25" s="2"/>
      <c r="NH25" s="6"/>
      <c r="NI25" s="4"/>
      <c r="NJ25" s="8"/>
      <c r="NK25" s="5" t="str">
        <f t="shared" si="114"/>
        <v>NO APLICA</v>
      </c>
      <c r="NL25" s="2"/>
      <c r="NM25" s="2"/>
      <c r="NN25" s="4"/>
      <c r="NO25" s="8"/>
      <c r="NP25" s="5" t="str">
        <f t="shared" si="115"/>
        <v>NO APLICA</v>
      </c>
      <c r="NQ25" s="2"/>
      <c r="NR25" s="2"/>
      <c r="NS25" s="4"/>
      <c r="NT25" s="2"/>
      <c r="NU25" s="5" t="str">
        <f t="shared" si="116"/>
        <v>NO APLICA</v>
      </c>
      <c r="NV25" s="6"/>
      <c r="NW25" s="6"/>
      <c r="NX25" s="4"/>
      <c r="NY25" s="8"/>
      <c r="NZ25" s="5" t="str">
        <f t="shared" si="117"/>
        <v>NO APLICA</v>
      </c>
      <c r="OA25" s="6"/>
      <c r="OB25" s="6"/>
      <c r="OC25" s="6"/>
      <c r="OD25" s="6"/>
      <c r="OE25" s="5" t="str">
        <f t="shared" si="118"/>
        <v>NO APLICA</v>
      </c>
      <c r="OF25" s="6"/>
      <c r="OG25" s="6"/>
      <c r="OH25" s="4"/>
      <c r="OI25" s="8"/>
      <c r="OJ25" s="5" t="str">
        <f t="shared" si="119"/>
        <v>NO APLICA</v>
      </c>
      <c r="OK25" s="6"/>
      <c r="OL25" s="6"/>
      <c r="OM25" s="6"/>
      <c r="ON25" s="6"/>
      <c r="OO25" s="5" t="str">
        <f t="shared" si="120"/>
        <v>NO APLICA</v>
      </c>
      <c r="OP25" s="6"/>
      <c r="OQ25" s="6"/>
      <c r="OR25" s="6"/>
      <c r="OS25" s="6"/>
      <c r="OT25" s="5" t="str">
        <f t="shared" si="121"/>
        <v>NO APLICA</v>
      </c>
      <c r="OU25" s="6"/>
      <c r="OV25" s="6"/>
      <c r="OW25" s="6"/>
      <c r="OX25" s="6"/>
      <c r="OY25" s="5" t="str">
        <f t="shared" si="122"/>
        <v>NO APLICA</v>
      </c>
      <c r="OZ25" s="6"/>
      <c r="PA25" s="6"/>
      <c r="PB25" s="6"/>
      <c r="PC25" s="6"/>
      <c r="PD25" s="5" t="str">
        <f t="shared" si="123"/>
        <v>NO APLICA</v>
      </c>
      <c r="PE25" s="6"/>
      <c r="PF25" s="6"/>
      <c r="PG25" s="6"/>
      <c r="PH25" s="6"/>
      <c r="PI25" s="5" t="str">
        <f t="shared" si="124"/>
        <v>NO APLICA</v>
      </c>
      <c r="PJ25" s="5"/>
      <c r="PK25" s="6"/>
      <c r="PL25" s="4"/>
      <c r="PM25" s="8"/>
      <c r="PN25" s="5" t="str">
        <f t="shared" si="125"/>
        <v>NO APLICA</v>
      </c>
      <c r="PO25" s="6"/>
      <c r="PP25" s="6"/>
      <c r="PQ25" s="6"/>
      <c r="PR25" s="6"/>
      <c r="PS25" s="5" t="str">
        <f t="shared" si="126"/>
        <v>NO APLICA</v>
      </c>
      <c r="PT25" s="5"/>
      <c r="PU25" s="6"/>
      <c r="PV25" s="6"/>
      <c r="PW25" s="6"/>
      <c r="PX25" s="5" t="str">
        <f t="shared" si="127"/>
        <v>NO APLICA</v>
      </c>
    </row>
    <row r="26" spans="1:440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654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145</v>
      </c>
      <c r="V26" s="4">
        <v>45735</v>
      </c>
      <c r="W26" s="4">
        <f t="shared" si="2"/>
        <v>47561</v>
      </c>
      <c r="X26" s="8">
        <f t="shared" ca="1" si="3"/>
        <v>1427</v>
      </c>
      <c r="Y26" s="5" t="str">
        <f t="shared" ca="1" si="4"/>
        <v>VIGENTE</v>
      </c>
      <c r="Z26" s="2"/>
      <c r="AA26" s="4"/>
      <c r="AB26" s="4"/>
      <c r="AC26" s="8"/>
      <c r="AD26" s="5" t="str">
        <f t="shared" si="7"/>
        <v>NO APLICA</v>
      </c>
      <c r="AE26" s="3"/>
      <c r="AF26" s="4">
        <v>45680</v>
      </c>
      <c r="AG26" s="4">
        <f>DATE(YEAR(AF26)+2,MONTH(AF26),DAY(AF26)-1)</f>
        <v>46409</v>
      </c>
      <c r="AH26" s="8">
        <f t="shared" ca="1" si="8"/>
        <v>275</v>
      </c>
      <c r="AI26" s="5" t="str">
        <f t="shared" ca="1" si="9"/>
        <v>VIGENTE</v>
      </c>
      <c r="AJ26" s="3"/>
      <c r="AK26" s="4">
        <v>45937</v>
      </c>
      <c r="AL26" s="4">
        <f t="shared" si="189"/>
        <v>46667</v>
      </c>
      <c r="AM26" s="8">
        <f t="shared" ca="1" si="10"/>
        <v>533</v>
      </c>
      <c r="AN26" s="5" t="str">
        <f t="shared" ca="1" si="11"/>
        <v>VIGENTE</v>
      </c>
      <c r="AO26" s="3"/>
      <c r="AP26" s="4">
        <v>45904</v>
      </c>
      <c r="AQ26" s="4">
        <f t="shared" si="183"/>
        <v>46634</v>
      </c>
      <c r="AR26" s="8">
        <f t="shared" ca="1" si="12"/>
        <v>500</v>
      </c>
      <c r="AS26" s="5" t="str">
        <f t="shared" ca="1" si="13"/>
        <v>VIGENTE</v>
      </c>
      <c r="AT26" s="3"/>
      <c r="AU26" s="4">
        <v>45927</v>
      </c>
      <c r="AV26" s="4">
        <f>DATE(YEAR(AU26)+2,MONTH(AU26),DAY(AU26))</f>
        <v>46657</v>
      </c>
      <c r="AW26" s="8">
        <f t="shared" ca="1" si="15"/>
        <v>523</v>
      </c>
      <c r="AX26" s="5" t="str">
        <f t="shared" ca="1" si="16"/>
        <v>VIGENTE</v>
      </c>
      <c r="AY26" s="3"/>
      <c r="AZ26" s="4">
        <v>45717</v>
      </c>
      <c r="BA26" s="4">
        <f>DATE(YEAR(AZ26)+2,MONTH(AZ26),DAY(AZ26)-1)</f>
        <v>46446</v>
      </c>
      <c r="BB26" s="8">
        <f t="shared" ca="1" si="17"/>
        <v>312</v>
      </c>
      <c r="BC26" s="5" t="str">
        <f t="shared" ca="1" si="18"/>
        <v>VIGENTE</v>
      </c>
      <c r="BD26" s="3"/>
      <c r="BE26" s="4">
        <v>45968</v>
      </c>
      <c r="BF26" s="4">
        <f>DATE(YEAR(BE26)+2,MONTH(BE26),DAY(BE26))</f>
        <v>46698</v>
      </c>
      <c r="BG26" s="8">
        <f t="shared" ca="1" si="19"/>
        <v>564</v>
      </c>
      <c r="BH26" s="5" t="str">
        <f t="shared" ca="1" si="20"/>
        <v>VIGENTE</v>
      </c>
      <c r="BI26" s="3"/>
      <c r="BJ26" s="4">
        <v>46051</v>
      </c>
      <c r="BK26" s="4">
        <f>DATE(YEAR(BJ26)+2,MONTH(BJ26),DAY(BJ26))</f>
        <v>46781</v>
      </c>
      <c r="BL26" s="8">
        <f t="shared" ca="1" si="21"/>
        <v>647</v>
      </c>
      <c r="BM26" s="5" t="str">
        <f t="shared" ca="1" si="22"/>
        <v>VIGENTE</v>
      </c>
      <c r="BN26" s="3"/>
      <c r="BO26" s="4">
        <v>46050</v>
      </c>
      <c r="BP26" s="4">
        <f>DATE(YEAR(BO26)+2,MONTH(BO26),DAY(BO26))</f>
        <v>46780</v>
      </c>
      <c r="BQ26" s="8">
        <f t="shared" ca="1" si="23"/>
        <v>646</v>
      </c>
      <c r="BR26" s="5" t="str">
        <f t="shared" ca="1" si="24"/>
        <v>VIGENTE</v>
      </c>
      <c r="BS26" s="3"/>
      <c r="BT26" s="4">
        <v>45695</v>
      </c>
      <c r="BU26" s="4">
        <f t="shared" si="190"/>
        <v>46424</v>
      </c>
      <c r="BV26" s="8">
        <f t="shared" ca="1" si="25"/>
        <v>290</v>
      </c>
      <c r="BW26" s="5" t="str">
        <f t="shared" ca="1" si="26"/>
        <v>VIGENTE</v>
      </c>
      <c r="BX26" s="3"/>
      <c r="BY26" s="4">
        <v>45600</v>
      </c>
      <c r="BZ26" s="4">
        <f>DATE(YEAR(BY26)+2,MONTH(BY26),DAY(BY26)-1)</f>
        <v>46329</v>
      </c>
      <c r="CA26" s="8">
        <f t="shared" ca="1" si="27"/>
        <v>195</v>
      </c>
      <c r="CB26" s="5" t="str">
        <f t="shared" ca="1" si="28"/>
        <v>VIGENTE</v>
      </c>
      <c r="CC26" s="6" t="s">
        <v>146</v>
      </c>
      <c r="CD26" s="4">
        <v>44541</v>
      </c>
      <c r="CE26" s="4">
        <f t="shared" si="29"/>
        <v>46002</v>
      </c>
      <c r="CF26" s="8">
        <f t="shared" ca="1" si="30"/>
        <v>-132</v>
      </c>
      <c r="CG26" s="5" t="str">
        <f t="shared" ca="1" si="31"/>
        <v>VENCIDA</v>
      </c>
      <c r="CH26" s="4"/>
      <c r="CI26" s="4">
        <v>45504</v>
      </c>
      <c r="CJ26" s="4">
        <f>DATE(YEAR(CI26)+2,MONTH(CI26),DAY(CI26)-1)</f>
        <v>46233</v>
      </c>
      <c r="CK26" s="8">
        <f t="shared" ca="1" si="32"/>
        <v>99</v>
      </c>
      <c r="CL26" s="5" t="str">
        <f t="shared" ca="1" si="33"/>
        <v>VIGENTE</v>
      </c>
      <c r="CM26" s="3"/>
      <c r="CN26" s="4">
        <v>45513</v>
      </c>
      <c r="CO26" s="4">
        <f>DATE(YEAR(CN26)+2,MONTH(CN26),DAY(CN26)-1)</f>
        <v>46242</v>
      </c>
      <c r="CP26" s="8">
        <f t="shared" ca="1" si="34"/>
        <v>108</v>
      </c>
      <c r="CQ26" s="5" t="str">
        <f t="shared" ca="1" si="35"/>
        <v>VIGENTE</v>
      </c>
      <c r="CR26" s="3"/>
      <c r="CS26" s="4">
        <v>45624</v>
      </c>
      <c r="CT26" s="4">
        <f>DATE(YEAR(CS26)+2,MONTH(CS26),DAY(CS26)-1)</f>
        <v>46353</v>
      </c>
      <c r="CU26" s="8">
        <f t="shared" ca="1" si="36"/>
        <v>219</v>
      </c>
      <c r="CV26" s="5" t="str">
        <f t="shared" ca="1" si="37"/>
        <v>VIGENTE</v>
      </c>
      <c r="CW26" s="3"/>
      <c r="CX26" s="4">
        <v>45744</v>
      </c>
      <c r="CY26" s="4">
        <f>DATE(YEAR(CX26)+2,MONTH(CX26),DAY(CX26)-1)</f>
        <v>46473</v>
      </c>
      <c r="CZ26" s="8">
        <f t="shared" ca="1" si="38"/>
        <v>339</v>
      </c>
      <c r="DA26" s="5" t="str">
        <f t="shared" ca="1" si="39"/>
        <v>VIGENTE</v>
      </c>
      <c r="DB26" s="3"/>
      <c r="DC26" s="4">
        <v>45723</v>
      </c>
      <c r="DD26" s="4">
        <f t="shared" ref="DD26:DD34" si="193">DATE(YEAR(DC26)+2,MONTH(DC26),DAY(DC26)-1)</f>
        <v>46452</v>
      </c>
      <c r="DE26" s="8">
        <f t="shared" ca="1" si="40"/>
        <v>318</v>
      </c>
      <c r="DF26" s="5" t="str">
        <f t="shared" ca="1" si="41"/>
        <v>VIGENTE</v>
      </c>
      <c r="DG26" s="3"/>
      <c r="DH26" s="4">
        <v>45696</v>
      </c>
      <c r="DI26" s="4">
        <f>DATE(YEAR(DH26)+2,MONTH(DH26),DAY(DH26)-1)</f>
        <v>46425</v>
      </c>
      <c r="DJ26" s="8">
        <f t="shared" ca="1" si="43"/>
        <v>291</v>
      </c>
      <c r="DK26" s="5" t="str">
        <f t="shared" ca="1" si="44"/>
        <v>VIGENTE</v>
      </c>
      <c r="DL26" s="3"/>
      <c r="DM26" s="4">
        <v>45731</v>
      </c>
      <c r="DN26" s="4">
        <f>DATE(YEAR(DM26)+2,MONTH(DM26),DAY(DM26)-1)</f>
        <v>46460</v>
      </c>
      <c r="DO26" s="8">
        <f t="shared" ca="1" si="46"/>
        <v>326</v>
      </c>
      <c r="DP26" s="5" t="str">
        <f t="shared" ca="1" si="47"/>
        <v>VIGENTE</v>
      </c>
      <c r="DQ26" s="3"/>
      <c r="DR26" s="4">
        <v>45608</v>
      </c>
      <c r="DS26" s="4">
        <f>DATE(YEAR(DR26)+2,MONTH(DR26),DAY(DR26)-1)</f>
        <v>46337</v>
      </c>
      <c r="DT26" s="8">
        <f t="shared" ca="1" si="48"/>
        <v>203</v>
      </c>
      <c r="DU26" s="5" t="str">
        <f t="shared" ca="1" si="49"/>
        <v>VIGENTE</v>
      </c>
      <c r="DV26" s="3"/>
      <c r="DW26" s="4">
        <v>45663</v>
      </c>
      <c r="DX26" s="4">
        <f>DATE(YEAR(DW26)+2,MONTH(DW26),DAY(DW26)-1)</f>
        <v>46392</v>
      </c>
      <c r="DY26" s="8">
        <f t="shared" ca="1" si="50"/>
        <v>258</v>
      </c>
      <c r="DZ26" s="5" t="str">
        <f t="shared" ca="1" si="51"/>
        <v>VIGENTE</v>
      </c>
      <c r="EA26" s="3"/>
      <c r="EB26" s="4">
        <v>45602</v>
      </c>
      <c r="EC26" s="4">
        <f>DATE(YEAR(EB26)+2,MONTH(EB26),DAY(EB26)-1)</f>
        <v>46331</v>
      </c>
      <c r="ED26" s="8">
        <f t="shared" ca="1" si="52"/>
        <v>197</v>
      </c>
      <c r="EE26" s="5" t="str">
        <f t="shared" ca="1" si="53"/>
        <v>VIGENTE</v>
      </c>
      <c r="EF26" s="3"/>
      <c r="EG26" s="3">
        <v>46085</v>
      </c>
      <c r="EH26" s="4">
        <f t="shared" si="137"/>
        <v>46450</v>
      </c>
      <c r="EI26" s="8">
        <f t="shared" ca="1" si="54"/>
        <v>316</v>
      </c>
      <c r="EJ26" s="5" t="str">
        <f t="shared" ca="1" si="55"/>
        <v>VIGENTE</v>
      </c>
      <c r="EK26" s="3"/>
      <c r="EL26" s="4">
        <v>45671</v>
      </c>
      <c r="EM26" s="4">
        <f>DATE(YEAR(EL26)+2,MONTH(EL26),DAY(EL26)-1)</f>
        <v>46400</v>
      </c>
      <c r="EN26" s="8">
        <f t="shared" ca="1" si="56"/>
        <v>266</v>
      </c>
      <c r="EO26" s="5" t="str">
        <f t="shared" ca="1" si="57"/>
        <v>VIGENTE</v>
      </c>
      <c r="EP26" s="3"/>
      <c r="EQ26" s="4">
        <v>45623</v>
      </c>
      <c r="ER26" s="4">
        <f>DATE(YEAR(EQ26)+2,MONTH(EQ26),DAY(EQ26)-1)</f>
        <v>46352</v>
      </c>
      <c r="ES26" s="8">
        <f t="shared" ca="1" si="58"/>
        <v>218</v>
      </c>
      <c r="ET26" s="5" t="str">
        <f t="shared" ca="1" si="59"/>
        <v>VIGENTE</v>
      </c>
      <c r="EU26" s="3"/>
      <c r="EV26" s="4">
        <v>45694</v>
      </c>
      <c r="EW26" s="4">
        <f>DATE(YEAR(EV26)+2,MONTH(EV26),DAY(EV26)-1)</f>
        <v>46423</v>
      </c>
      <c r="EX26" s="8">
        <f t="shared" ca="1" si="60"/>
        <v>289</v>
      </c>
      <c r="EY26" s="5" t="str">
        <f t="shared" ca="1" si="61"/>
        <v>VIGENTE</v>
      </c>
      <c r="EZ26" s="3"/>
      <c r="FA26" s="4">
        <v>45666</v>
      </c>
      <c r="FB26" s="4">
        <f>DATE(YEAR(FA26)+2,MONTH(FA26),DAY(FA26)-1)</f>
        <v>46395</v>
      </c>
      <c r="FC26" s="8">
        <f t="shared" ca="1" si="62"/>
        <v>261</v>
      </c>
      <c r="FD26" s="5" t="str">
        <f t="shared" ca="1" si="63"/>
        <v>VIGENTE</v>
      </c>
      <c r="FE26" s="3"/>
      <c r="FF26" s="4">
        <v>45668</v>
      </c>
      <c r="FG26" s="4">
        <f>DATE(YEAR(FF26)+2,MONTH(FF26),DAY(FF26)-1)</f>
        <v>46397</v>
      </c>
      <c r="FH26" s="8">
        <f t="shared" ca="1" si="64"/>
        <v>263</v>
      </c>
      <c r="FI26" s="5" t="str">
        <f t="shared" ca="1" si="65"/>
        <v>VIGENTE</v>
      </c>
      <c r="FJ26" s="3"/>
      <c r="FK26" s="4">
        <v>45670</v>
      </c>
      <c r="FL26" s="4">
        <f>DATE(YEAR(FK26)+2,MONTH(FK26),DAY(FK26)-1)</f>
        <v>46399</v>
      </c>
      <c r="FM26" s="8">
        <f t="shared" ca="1" si="67"/>
        <v>265</v>
      </c>
      <c r="FN26" s="5" t="str">
        <f t="shared" ca="1" si="68"/>
        <v>VIGENTE</v>
      </c>
      <c r="FO26" s="3"/>
      <c r="FP26" s="4">
        <v>45678</v>
      </c>
      <c r="FQ26" s="4">
        <f>DATE(YEAR(FP26)+2,MONTH(FP26),DAY(FP26)-1)</f>
        <v>46407</v>
      </c>
      <c r="FR26" s="8">
        <f t="shared" ca="1" si="69"/>
        <v>273</v>
      </c>
      <c r="FS26" s="5" t="str">
        <f t="shared" ca="1" si="70"/>
        <v>VIGENTE</v>
      </c>
      <c r="FT26" s="3"/>
      <c r="FU26" s="4">
        <v>45700</v>
      </c>
      <c r="FV26" s="4">
        <f>DATE(YEAR(FU26)+2,MONTH(FU26),DAY(FU26)-1)</f>
        <v>46429</v>
      </c>
      <c r="FW26" s="8">
        <f t="shared" ca="1" si="71"/>
        <v>295</v>
      </c>
      <c r="FX26" s="5" t="str">
        <f t="shared" ca="1" si="72"/>
        <v>VIGENTE</v>
      </c>
      <c r="FY26" s="3"/>
      <c r="FZ26" s="4">
        <v>45667</v>
      </c>
      <c r="GA26" s="4">
        <f>DATE(YEAR(FZ26)+2,MONTH(FZ26),DAY(FZ26)-1)</f>
        <v>46396</v>
      </c>
      <c r="GB26" s="8">
        <f t="shared" ca="1" si="73"/>
        <v>262</v>
      </c>
      <c r="GC26" s="5" t="str">
        <f t="shared" ca="1" si="74"/>
        <v>VIGENTE</v>
      </c>
      <c r="GD26" s="3"/>
      <c r="GE26" s="4">
        <v>45672</v>
      </c>
      <c r="GF26" s="4">
        <f t="shared" ref="GF26:GF31" si="194">DATE(YEAR(GE26)+2,MONTH(GE26),DAY(GE26)-1)</f>
        <v>46401</v>
      </c>
      <c r="GG26" s="8">
        <f t="shared" ca="1" si="75"/>
        <v>267</v>
      </c>
      <c r="GH26" s="5" t="str">
        <f t="shared" ca="1" si="76"/>
        <v>VIGENTE</v>
      </c>
      <c r="GI26" s="3"/>
      <c r="GJ26" s="4">
        <v>45923</v>
      </c>
      <c r="GK26" s="4">
        <f>DATE(YEAR(GJ26)+2,MONTH(GJ26),DAY(GJ26))</f>
        <v>46653</v>
      </c>
      <c r="GL26" s="8">
        <f t="shared" ca="1" si="77"/>
        <v>519</v>
      </c>
      <c r="GM26" s="5" t="str">
        <f t="shared" ca="1" si="78"/>
        <v>VIGENTE</v>
      </c>
      <c r="GN26" s="4"/>
      <c r="GO26" s="4">
        <v>45013</v>
      </c>
      <c r="GP26" s="4">
        <f t="shared" si="79"/>
        <v>46840</v>
      </c>
      <c r="GQ26" s="8">
        <f t="shared" ca="1" si="181"/>
        <v>706</v>
      </c>
      <c r="GR26" s="5" t="str">
        <f t="shared" ca="1" si="81"/>
        <v>VIGENTE</v>
      </c>
      <c r="GS26" s="3"/>
      <c r="GT26" s="4">
        <v>45010</v>
      </c>
      <c r="GU26" s="4">
        <f t="shared" si="82"/>
        <v>46837</v>
      </c>
      <c r="GV26" s="8">
        <f t="shared" ca="1" si="83"/>
        <v>703</v>
      </c>
      <c r="GW26" s="5" t="str">
        <f t="shared" ca="1" si="84"/>
        <v>VIGENTE</v>
      </c>
      <c r="GX26" s="2"/>
      <c r="GY26" s="4">
        <v>44980</v>
      </c>
      <c r="GZ26" s="4">
        <f t="shared" si="85"/>
        <v>46806</v>
      </c>
      <c r="HA26" s="8">
        <f t="shared" ca="1" si="86"/>
        <v>672</v>
      </c>
      <c r="HB26" s="5" t="str">
        <f t="shared" ca="1" si="87"/>
        <v>VIGENTE</v>
      </c>
      <c r="HC26" s="6"/>
      <c r="HD26" s="6"/>
      <c r="HE26" s="4"/>
      <c r="HF26" s="8"/>
      <c r="HG26" s="5" t="str">
        <f t="shared" si="192"/>
        <v>NO APLICA</v>
      </c>
      <c r="HH26" s="2"/>
      <c r="HI26" s="4"/>
      <c r="HJ26" s="4"/>
      <c r="HK26" s="8"/>
      <c r="HL26" s="5" t="str">
        <f t="shared" si="91"/>
        <v>NO APLICA</v>
      </c>
      <c r="HM26" s="2"/>
      <c r="HN26" s="5"/>
      <c r="HO26" s="4"/>
      <c r="HP26" s="5"/>
      <c r="HQ26" s="5" t="str">
        <f t="shared" si="92"/>
        <v>NO APLICA</v>
      </c>
      <c r="HR26" s="2"/>
      <c r="HS26" s="6"/>
      <c r="HT26" s="4"/>
      <c r="HU26" s="8"/>
      <c r="HV26" s="5" t="str">
        <f t="shared" si="93"/>
        <v>NO APLICA</v>
      </c>
      <c r="HW26" s="2"/>
      <c r="HX26" s="6"/>
      <c r="HY26" s="4"/>
      <c r="HZ26" s="8"/>
      <c r="IA26" s="5" t="str">
        <f t="shared" si="94"/>
        <v>NO APLICA</v>
      </c>
      <c r="IB26" s="2"/>
      <c r="IC26" s="6"/>
      <c r="ID26" s="4"/>
      <c r="IE26" s="8"/>
      <c r="IF26" s="5" t="str">
        <f t="shared" si="95"/>
        <v>NO APLICA</v>
      </c>
      <c r="IG26" s="6"/>
      <c r="IH26" s="6"/>
      <c r="II26" s="4"/>
      <c r="IJ26" s="8"/>
      <c r="IK26" s="5" t="str">
        <f t="shared" si="96"/>
        <v>NO APLICA</v>
      </c>
      <c r="IL26" s="2"/>
      <c r="IM26" s="6"/>
      <c r="IN26" s="4"/>
      <c r="IO26" s="8"/>
      <c r="IP26" s="5" t="str">
        <f t="shared" si="97"/>
        <v>NO APLICA</v>
      </c>
      <c r="IQ26" s="2"/>
      <c r="IR26" s="6"/>
      <c r="IS26" s="4"/>
      <c r="IT26" s="8"/>
      <c r="IU26" s="5" t="str">
        <f t="shared" si="98"/>
        <v>NO APLICA</v>
      </c>
      <c r="IV26" s="2"/>
      <c r="IW26" s="6"/>
      <c r="IX26" s="4"/>
      <c r="IY26" s="8"/>
      <c r="IZ26" s="5" t="str">
        <f t="shared" si="99"/>
        <v>NO APLICA</v>
      </c>
      <c r="JA26" s="3"/>
      <c r="JB26" s="3"/>
      <c r="JC26" s="4"/>
      <c r="JD26" s="8"/>
      <c r="JE26" s="5" t="str">
        <f t="shared" si="100"/>
        <v>NO APLICA</v>
      </c>
      <c r="JF26" s="6"/>
      <c r="JG26" s="6"/>
      <c r="JH26" s="6"/>
      <c r="JI26" s="6"/>
      <c r="JJ26" s="5" t="str">
        <f t="shared" si="101"/>
        <v>NO APLICA</v>
      </c>
      <c r="JK26" s="6"/>
      <c r="JL26" s="6"/>
      <c r="JM26" s="6"/>
      <c r="JN26" s="6"/>
      <c r="JO26" s="5" t="str">
        <f t="shared" si="102"/>
        <v>NO APLICA</v>
      </c>
      <c r="JP26" s="6"/>
      <c r="JQ26" s="6"/>
      <c r="JR26" s="6"/>
      <c r="JS26" s="6"/>
      <c r="JT26" s="5" t="str">
        <f t="shared" si="103"/>
        <v>NO APLICA</v>
      </c>
      <c r="JU26" s="5"/>
      <c r="JV26" s="3"/>
      <c r="JW26" s="4"/>
      <c r="JX26" s="8"/>
      <c r="JY26" s="5" t="str">
        <f t="shared" si="104"/>
        <v>NO APLICA</v>
      </c>
      <c r="JZ26" s="5"/>
      <c r="KA26" s="5"/>
      <c r="KB26" s="4"/>
      <c r="KC26" s="8"/>
      <c r="KD26" s="5" t="str">
        <f t="shared" si="105"/>
        <v>NO APLICA</v>
      </c>
      <c r="KE26" s="5"/>
      <c r="KF26" s="5"/>
      <c r="KG26" s="4"/>
      <c r="KH26" s="8"/>
      <c r="KI26" s="5" t="str">
        <f t="shared" si="141"/>
        <v>NO APLICA</v>
      </c>
      <c r="KJ26" s="5"/>
      <c r="KK26" s="5"/>
      <c r="KL26" s="4"/>
      <c r="KM26" s="8"/>
      <c r="KN26" s="5" t="str">
        <f t="shared" si="106"/>
        <v>NO APLICA</v>
      </c>
      <c r="KO26" s="5"/>
      <c r="KP26" s="2"/>
      <c r="KQ26" s="4"/>
      <c r="KR26" s="8"/>
      <c r="KS26" s="5" t="str">
        <f t="shared" si="142"/>
        <v>NO APLICA</v>
      </c>
      <c r="KT26" s="2"/>
      <c r="KU26" s="6"/>
      <c r="KV26" s="4"/>
      <c r="KW26" s="8"/>
      <c r="KX26" s="5" t="str">
        <f t="shared" si="156"/>
        <v>NO APLICA</v>
      </c>
      <c r="KY26" s="5"/>
      <c r="KZ26" s="6"/>
      <c r="LA26" s="4"/>
      <c r="LB26" s="8"/>
      <c r="LC26" s="5" t="str">
        <f t="shared" si="143"/>
        <v>NO APLICA</v>
      </c>
      <c r="LD26" s="6"/>
      <c r="LE26" s="6"/>
      <c r="LF26" s="4"/>
      <c r="LG26" s="8"/>
      <c r="LH26" s="5" t="str">
        <f t="shared" si="107"/>
        <v>NO APLICA</v>
      </c>
      <c r="LI26" s="5"/>
      <c r="LJ26" s="5"/>
      <c r="LK26" s="4"/>
      <c r="LL26" s="8"/>
      <c r="LM26" s="5" t="str">
        <f t="shared" si="157"/>
        <v>NO APLICA</v>
      </c>
      <c r="LN26" s="5"/>
      <c r="LO26" s="6"/>
      <c r="LP26" s="4"/>
      <c r="LQ26" s="8"/>
      <c r="LR26" s="5" t="str">
        <f t="shared" si="144"/>
        <v>NO APLICA</v>
      </c>
      <c r="LS26" s="6"/>
      <c r="LT26" s="6"/>
      <c r="LU26" s="4"/>
      <c r="LV26" s="8"/>
      <c r="LW26" s="5" t="str">
        <f t="shared" si="145"/>
        <v>NO APLICA</v>
      </c>
      <c r="LX26" s="6"/>
      <c r="LY26" s="6"/>
      <c r="LZ26" s="4"/>
      <c r="MA26" s="8"/>
      <c r="MB26" s="5" t="str">
        <f t="shared" si="146"/>
        <v>NO APLICA</v>
      </c>
      <c r="MC26" s="5"/>
      <c r="MD26" s="5"/>
      <c r="ME26" s="4"/>
      <c r="MF26" s="8"/>
      <c r="MG26" s="5" t="str">
        <f t="shared" si="108"/>
        <v>NO APLICA</v>
      </c>
      <c r="MH26" s="5"/>
      <c r="MI26" s="5"/>
      <c r="MJ26" s="4"/>
      <c r="MK26" s="8"/>
      <c r="ML26" s="5" t="str">
        <f t="shared" si="109"/>
        <v>NO APLICA</v>
      </c>
      <c r="MM26" s="5"/>
      <c r="MN26" s="5"/>
      <c r="MO26" s="4"/>
      <c r="MP26" s="8"/>
      <c r="MQ26" s="5" t="str">
        <f t="shared" si="110"/>
        <v>NO APLICA</v>
      </c>
      <c r="MR26" s="5"/>
      <c r="MS26" s="5"/>
      <c r="MT26" s="4"/>
      <c r="MU26" s="5"/>
      <c r="MV26" s="5" t="str">
        <f t="shared" si="111"/>
        <v>NO APLICA</v>
      </c>
      <c r="MW26" s="5"/>
      <c r="MX26" s="6"/>
      <c r="MY26" s="4"/>
      <c r="MZ26" s="8"/>
      <c r="NA26" s="5" t="str">
        <f t="shared" si="112"/>
        <v>NO APLICA</v>
      </c>
      <c r="NB26" s="5"/>
      <c r="NC26" s="6"/>
      <c r="ND26" s="4"/>
      <c r="NE26" s="8"/>
      <c r="NF26" s="5" t="str">
        <f t="shared" si="113"/>
        <v>NO APLICA</v>
      </c>
      <c r="NG26" s="5"/>
      <c r="NH26" s="6"/>
      <c r="NI26" s="4"/>
      <c r="NJ26" s="8"/>
      <c r="NK26" s="5" t="str">
        <f t="shared" si="114"/>
        <v>NO APLICA</v>
      </c>
      <c r="NL26" s="5"/>
      <c r="NM26" s="5"/>
      <c r="NN26" s="4"/>
      <c r="NO26" s="8"/>
      <c r="NP26" s="5" t="str">
        <f t="shared" si="115"/>
        <v>NO APLICA</v>
      </c>
      <c r="NQ26" s="5"/>
      <c r="NR26" s="5"/>
      <c r="NS26" s="5"/>
      <c r="NT26" s="5"/>
      <c r="NU26" s="5" t="str">
        <f t="shared" si="116"/>
        <v>NO APLICA</v>
      </c>
      <c r="NV26" s="6"/>
      <c r="NW26" s="6"/>
      <c r="NX26" s="4"/>
      <c r="NY26" s="8"/>
      <c r="NZ26" s="5" t="str">
        <f t="shared" si="117"/>
        <v>NO APLICA</v>
      </c>
      <c r="OA26" s="6"/>
      <c r="OB26" s="6"/>
      <c r="OC26" s="6"/>
      <c r="OD26" s="6"/>
      <c r="OE26" s="5" t="str">
        <f t="shared" si="118"/>
        <v>NO APLICA</v>
      </c>
      <c r="OF26" s="5"/>
      <c r="OG26" s="5"/>
      <c r="OH26" s="4"/>
      <c r="OI26" s="8"/>
      <c r="OJ26" s="5" t="str">
        <f t="shared" si="119"/>
        <v>NO APLICA</v>
      </c>
      <c r="OK26" s="6"/>
      <c r="OL26" s="6"/>
      <c r="OM26" s="6"/>
      <c r="ON26" s="6"/>
      <c r="OO26" s="5" t="str">
        <f t="shared" si="120"/>
        <v>NO APLICA</v>
      </c>
      <c r="OP26" s="6"/>
      <c r="OQ26" s="6"/>
      <c r="OR26" s="6"/>
      <c r="OS26" s="6"/>
      <c r="OT26" s="5" t="str">
        <f t="shared" si="121"/>
        <v>NO APLICA</v>
      </c>
      <c r="OU26" s="6"/>
      <c r="OV26" s="6"/>
      <c r="OW26" s="6"/>
      <c r="OX26" s="6"/>
      <c r="OY26" s="5" t="str">
        <f t="shared" si="122"/>
        <v>NO APLICA</v>
      </c>
      <c r="OZ26" s="6"/>
      <c r="PA26" s="6"/>
      <c r="PB26" s="6"/>
      <c r="PC26" s="6"/>
      <c r="PD26" s="5" t="str">
        <f t="shared" si="123"/>
        <v>NO APLICA</v>
      </c>
      <c r="PE26" s="6"/>
      <c r="PF26" s="6"/>
      <c r="PG26" s="6"/>
      <c r="PH26" s="6"/>
      <c r="PI26" s="5" t="str">
        <f t="shared" si="124"/>
        <v>NO APLICA</v>
      </c>
      <c r="PJ26" s="5"/>
      <c r="PK26" s="6"/>
      <c r="PL26" s="4"/>
      <c r="PM26" s="8"/>
      <c r="PN26" s="5" t="str">
        <f t="shared" si="125"/>
        <v>NO APLICA</v>
      </c>
      <c r="PO26" s="6"/>
      <c r="PP26" s="6"/>
      <c r="PQ26" s="6"/>
      <c r="PR26" s="6"/>
      <c r="PS26" s="5" t="str">
        <f t="shared" si="126"/>
        <v>NO APLICA</v>
      </c>
      <c r="PT26" s="5"/>
      <c r="PU26" s="6"/>
      <c r="PV26" s="6"/>
      <c r="PW26" s="6"/>
      <c r="PX26" s="5" t="str">
        <f t="shared" si="127"/>
        <v>NO APLICA</v>
      </c>
    </row>
    <row r="27" spans="1:440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148</v>
      </c>
      <c r="V27" s="4">
        <v>44837</v>
      </c>
      <c r="W27" s="4">
        <f t="shared" si="2"/>
        <v>46663</v>
      </c>
      <c r="X27" s="8">
        <f t="shared" ca="1" si="3"/>
        <v>529</v>
      </c>
      <c r="Y27" s="5" t="str">
        <f t="shared" ca="1" si="4"/>
        <v>VIGENTE</v>
      </c>
      <c r="Z27" s="2" t="s">
        <v>149</v>
      </c>
      <c r="AA27" s="4">
        <v>44839</v>
      </c>
      <c r="AB27" s="4">
        <f>DATE(YEAR(AA27)+5,MONTH(AA27),DAY(AA27))</f>
        <v>46665</v>
      </c>
      <c r="AC27" s="8">
        <f ca="1">AB27-TODAY()</f>
        <v>531</v>
      </c>
      <c r="AD27" s="5" t="str">
        <f t="shared" ca="1" si="7"/>
        <v>VIGENTE</v>
      </c>
      <c r="AE27" s="4"/>
      <c r="AF27" s="4">
        <v>45680</v>
      </c>
      <c r="AG27" s="4">
        <f>DATE(YEAR(AF27)+2,MONTH(AF27),DAY(AF27)-1)</f>
        <v>46409</v>
      </c>
      <c r="AH27" s="8">
        <f t="shared" ca="1" si="8"/>
        <v>275</v>
      </c>
      <c r="AI27" s="5" t="str">
        <f t="shared" ca="1" si="9"/>
        <v>VIGENTE</v>
      </c>
      <c r="AJ27" s="4"/>
      <c r="AK27" s="4">
        <v>45516</v>
      </c>
      <c r="AL27" s="4">
        <f>DATE(YEAR(AK27)+2,MONTH(AK27),DAY(AK27)-1)</f>
        <v>46245</v>
      </c>
      <c r="AM27" s="8">
        <f t="shared" ca="1" si="10"/>
        <v>111</v>
      </c>
      <c r="AN27" s="5" t="str">
        <f t="shared" ca="1" si="11"/>
        <v>VIGENTE</v>
      </c>
      <c r="AO27" s="4"/>
      <c r="AP27" s="4">
        <v>45529</v>
      </c>
      <c r="AQ27" s="4">
        <f>DATE(YEAR(AP27)+2,MONTH(AP27),DAY(AP27)-1)</f>
        <v>46258</v>
      </c>
      <c r="AR27" s="8">
        <f t="shared" ca="1" si="12"/>
        <v>124</v>
      </c>
      <c r="AS27" s="5" t="str">
        <f t="shared" ca="1" si="13"/>
        <v>VIGENTE</v>
      </c>
      <c r="AT27" s="4"/>
      <c r="AU27" s="4">
        <v>45514</v>
      </c>
      <c r="AV27" s="4">
        <f>DATE(YEAR(AU27)+2,MONTH(AU27),DAY(AU27)-1)</f>
        <v>46243</v>
      </c>
      <c r="AW27" s="8">
        <f t="shared" ca="1" si="15"/>
        <v>109</v>
      </c>
      <c r="AX27" s="5" t="str">
        <f t="shared" ca="1" si="16"/>
        <v>VIGENTE</v>
      </c>
      <c r="AY27" s="4"/>
      <c r="AZ27" s="4">
        <v>45603</v>
      </c>
      <c r="BA27" s="4">
        <f>DATE(YEAR(AZ27)+2,MONTH(AZ27),DAY(AZ27)-1)</f>
        <v>46332</v>
      </c>
      <c r="BB27" s="8">
        <f t="shared" ca="1" si="17"/>
        <v>198</v>
      </c>
      <c r="BC27" s="5" t="str">
        <f t="shared" ca="1" si="18"/>
        <v>VIGENTE</v>
      </c>
      <c r="BD27" s="4"/>
      <c r="BE27" s="4">
        <v>45531</v>
      </c>
      <c r="BF27" s="4">
        <f>DATE(YEAR(BE27)+2,MONTH(BE27),DAY(BE27)-1)</f>
        <v>46260</v>
      </c>
      <c r="BG27" s="8">
        <f t="shared" ca="1" si="19"/>
        <v>126</v>
      </c>
      <c r="BH27" s="5" t="str">
        <f t="shared" ca="1" si="20"/>
        <v>VIGENTE</v>
      </c>
      <c r="BI27" s="4"/>
      <c r="BJ27" s="4">
        <v>45548</v>
      </c>
      <c r="BK27" s="4">
        <f>DATE(YEAR(BJ27)+2,MONTH(BJ27),DAY(BJ27)-1)</f>
        <v>46277</v>
      </c>
      <c r="BL27" s="8">
        <f t="shared" ca="1" si="21"/>
        <v>143</v>
      </c>
      <c r="BM27" s="5" t="str">
        <f t="shared" ca="1" si="22"/>
        <v>VIGENTE</v>
      </c>
      <c r="BN27" s="4"/>
      <c r="BO27" s="4">
        <v>45604</v>
      </c>
      <c r="BP27" s="4">
        <f>DATE(YEAR(BO27)+2,MONTH(BO27),DAY(BO27)-1)</f>
        <v>46333</v>
      </c>
      <c r="BQ27" s="8">
        <f t="shared" ca="1" si="23"/>
        <v>199</v>
      </c>
      <c r="BR27" s="5" t="str">
        <f t="shared" ca="1" si="24"/>
        <v>VIGENTE</v>
      </c>
      <c r="BS27" s="4"/>
      <c r="BT27" s="4">
        <v>45572</v>
      </c>
      <c r="BU27" s="4">
        <f t="shared" si="190"/>
        <v>46301</v>
      </c>
      <c r="BV27" s="8">
        <f t="shared" ca="1" si="25"/>
        <v>167</v>
      </c>
      <c r="BW27" s="5" t="str">
        <f t="shared" ca="1" si="26"/>
        <v>VIGENTE</v>
      </c>
      <c r="BX27" s="4"/>
      <c r="BY27" s="4">
        <v>45818</v>
      </c>
      <c r="BZ27" s="4">
        <f>DATE(YEAR(BY27)+2,MONTH(BY27),DAY(BY27))</f>
        <v>46548</v>
      </c>
      <c r="CA27" s="8">
        <f t="shared" ca="1" si="27"/>
        <v>414</v>
      </c>
      <c r="CB27" s="5" t="str">
        <f t="shared" ca="1" si="28"/>
        <v>VIGENTE</v>
      </c>
      <c r="CC27" s="6" t="s">
        <v>73</v>
      </c>
      <c r="CD27" s="4">
        <v>45227</v>
      </c>
      <c r="CE27" s="4">
        <f t="shared" si="29"/>
        <v>46688</v>
      </c>
      <c r="CF27" s="8">
        <f t="shared" ca="1" si="30"/>
        <v>554</v>
      </c>
      <c r="CG27" s="5" t="str">
        <f t="shared" ca="1" si="31"/>
        <v>VIGENTE</v>
      </c>
      <c r="CH27" s="4"/>
      <c r="CI27" s="4">
        <v>45777</v>
      </c>
      <c r="CJ27" s="4">
        <f>DATE(YEAR(CI27)+2,MONTH(CI27),DAY(CI27))</f>
        <v>46507</v>
      </c>
      <c r="CK27" s="8">
        <f t="shared" ca="1" si="32"/>
        <v>373</v>
      </c>
      <c r="CL27" s="5" t="str">
        <f t="shared" ca="1" si="33"/>
        <v>VIGENTE</v>
      </c>
      <c r="CM27" s="4"/>
      <c r="CN27" s="4">
        <v>45597</v>
      </c>
      <c r="CO27" s="4">
        <f>DATE(YEAR(CN27)+2,MONTH(CN27),DAY(CN27)-1)</f>
        <v>46326</v>
      </c>
      <c r="CP27" s="8">
        <f t="shared" ca="1" si="34"/>
        <v>192</v>
      </c>
      <c r="CQ27" s="5" t="str">
        <f t="shared" ca="1" si="35"/>
        <v>VIGENTE</v>
      </c>
      <c r="CR27" s="4"/>
      <c r="CS27" s="4">
        <v>45631</v>
      </c>
      <c r="CT27" s="4">
        <f>DATE(YEAR(CS27)+2,MONTH(CS27),DAY(CS27)-1)</f>
        <v>46360</v>
      </c>
      <c r="CU27" s="8">
        <f t="shared" ca="1" si="36"/>
        <v>226</v>
      </c>
      <c r="CV27" s="5" t="str">
        <f t="shared" ca="1" si="37"/>
        <v>VIGENTE</v>
      </c>
      <c r="CW27" s="4"/>
      <c r="CX27" s="4">
        <v>45593</v>
      </c>
      <c r="CY27" s="4">
        <f>DATE(YEAR(CX27)+2,MONTH(CX27),DAY(CX27)-1)</f>
        <v>46322</v>
      </c>
      <c r="CZ27" s="8">
        <f t="shared" ca="1" si="38"/>
        <v>188</v>
      </c>
      <c r="DA27" s="5" t="str">
        <f t="shared" ca="1" si="39"/>
        <v>VIGENTE</v>
      </c>
      <c r="DB27" s="4"/>
      <c r="DC27" s="4">
        <v>45596</v>
      </c>
      <c r="DD27" s="4">
        <f t="shared" si="193"/>
        <v>46325</v>
      </c>
      <c r="DE27" s="8">
        <f t="shared" ca="1" si="40"/>
        <v>191</v>
      </c>
      <c r="DF27" s="5" t="str">
        <f t="shared" ca="1" si="41"/>
        <v>VIGENTE</v>
      </c>
      <c r="DG27" s="4"/>
      <c r="DH27" s="4">
        <v>45580</v>
      </c>
      <c r="DI27" s="4">
        <f>DATE(YEAR(DH27)+2,MONTH(DH27),DAY(DH27)-1)</f>
        <v>46309</v>
      </c>
      <c r="DJ27" s="8">
        <f t="shared" ca="1" si="43"/>
        <v>175</v>
      </c>
      <c r="DK27" s="5" t="str">
        <f t="shared" ca="1" si="44"/>
        <v>VIGENTE</v>
      </c>
      <c r="DL27" s="4"/>
      <c r="DM27" s="4">
        <v>45577</v>
      </c>
      <c r="DN27" s="4">
        <f>DATE(YEAR(DM27)+2,MONTH(DM27),DAY(DM27)-1)</f>
        <v>46306</v>
      </c>
      <c r="DO27" s="8">
        <f t="shared" ca="1" si="46"/>
        <v>172</v>
      </c>
      <c r="DP27" s="5" t="str">
        <f t="shared" ca="1" si="47"/>
        <v>VIGENTE</v>
      </c>
      <c r="DQ27" s="4"/>
      <c r="DR27" s="4">
        <v>45619</v>
      </c>
      <c r="DS27" s="4">
        <f>DATE(YEAR(DR27)+2,MONTH(DR27),DAY(DR27)-1)</f>
        <v>46348</v>
      </c>
      <c r="DT27" s="8">
        <f t="shared" ca="1" si="48"/>
        <v>214</v>
      </c>
      <c r="DU27" s="5" t="str">
        <f t="shared" ca="1" si="49"/>
        <v>VIGENTE</v>
      </c>
      <c r="DV27" s="4"/>
      <c r="DW27" s="4">
        <v>45582</v>
      </c>
      <c r="DX27" s="4">
        <f>DATE(YEAR(DW27)+2,MONTH(DW27),DAY(DW27)-1)</f>
        <v>46311</v>
      </c>
      <c r="DY27" s="8">
        <f t="shared" ca="1" si="50"/>
        <v>177</v>
      </c>
      <c r="DZ27" s="5" t="str">
        <f t="shared" ca="1" si="51"/>
        <v>VIGENTE</v>
      </c>
      <c r="EA27" s="4"/>
      <c r="EB27" s="4">
        <v>45583</v>
      </c>
      <c r="EC27" s="4">
        <f>DATE(YEAR(EB27)+2,MONTH(EB27),DAY(EB27)-1)</f>
        <v>46312</v>
      </c>
      <c r="ED27" s="8">
        <f t="shared" ca="1" si="52"/>
        <v>178</v>
      </c>
      <c r="EE27" s="5" t="str">
        <f t="shared" ca="1" si="53"/>
        <v>VIGENTE</v>
      </c>
      <c r="EF27" s="4"/>
      <c r="EG27" s="4">
        <v>45808</v>
      </c>
      <c r="EH27" s="4">
        <f t="shared" si="137"/>
        <v>46173</v>
      </c>
      <c r="EI27" s="8">
        <f t="shared" ca="1" si="54"/>
        <v>39</v>
      </c>
      <c r="EJ27" s="5" t="str">
        <f t="shared" ca="1" si="55"/>
        <v>POR VENCER</v>
      </c>
      <c r="EK27" s="4"/>
      <c r="EL27" s="4">
        <v>45584</v>
      </c>
      <c r="EM27" s="4">
        <f>DATE(YEAR(EL27)+2,MONTH(EL27),DAY(EL27)-1)</f>
        <v>46313</v>
      </c>
      <c r="EN27" s="8">
        <f t="shared" ca="1" si="56"/>
        <v>179</v>
      </c>
      <c r="EO27" s="5" t="str">
        <f t="shared" ca="1" si="57"/>
        <v>VIGENTE</v>
      </c>
      <c r="EP27" s="4"/>
      <c r="EQ27" s="4">
        <v>45575</v>
      </c>
      <c r="ER27" s="4">
        <f>DATE(YEAR(EQ27)+2,MONTH(EQ27),DAY(EQ27)-1)</f>
        <v>46304</v>
      </c>
      <c r="ES27" s="8">
        <f t="shared" ca="1" si="58"/>
        <v>170</v>
      </c>
      <c r="ET27" s="5" t="str">
        <f t="shared" ca="1" si="59"/>
        <v>VIGENTE</v>
      </c>
      <c r="EU27" s="4"/>
      <c r="EV27" s="4">
        <v>45610</v>
      </c>
      <c r="EW27" s="4">
        <f>DATE(YEAR(EV27)+2,MONTH(EV27),DAY(EV27)-1)</f>
        <v>46339</v>
      </c>
      <c r="EX27" s="8">
        <f t="shared" ca="1" si="60"/>
        <v>205</v>
      </c>
      <c r="EY27" s="5" t="str">
        <f t="shared" ca="1" si="61"/>
        <v>VIGENTE</v>
      </c>
      <c r="EZ27" s="4"/>
      <c r="FA27" s="4">
        <v>45611</v>
      </c>
      <c r="FB27" s="4">
        <f>DATE(YEAR(FA27)+2,MONTH(FA27),DAY(FA27)-1)</f>
        <v>46340</v>
      </c>
      <c r="FC27" s="8">
        <f t="shared" ca="1" si="62"/>
        <v>206</v>
      </c>
      <c r="FD27" s="5" t="str">
        <f t="shared" ca="1" si="63"/>
        <v>VIGENTE</v>
      </c>
      <c r="FE27" s="6"/>
      <c r="FF27" s="4">
        <v>45542</v>
      </c>
      <c r="FG27" s="4">
        <f>DATE(YEAR(FF27)+2,MONTH(FF27),DAY(FF27)-1)</f>
        <v>46271</v>
      </c>
      <c r="FH27" s="8">
        <f t="shared" ca="1" si="64"/>
        <v>137</v>
      </c>
      <c r="FI27" s="5" t="str">
        <f t="shared" ca="1" si="65"/>
        <v>VIGENTE</v>
      </c>
      <c r="FJ27" s="4"/>
      <c r="FK27" s="4">
        <v>45670</v>
      </c>
      <c r="FL27" s="4">
        <f>DATE(YEAR(FK27)+2,MONTH(FK27),DAY(FK27)-1)</f>
        <v>46399</v>
      </c>
      <c r="FM27" s="8">
        <f t="shared" ca="1" si="67"/>
        <v>265</v>
      </c>
      <c r="FN27" s="5" t="str">
        <f t="shared" ca="1" si="68"/>
        <v>VIGENTE</v>
      </c>
      <c r="FO27" s="4"/>
      <c r="FP27" s="4">
        <v>45782</v>
      </c>
      <c r="FQ27" s="4">
        <f>DATE(YEAR(FP27)+2,MONTH(FP27),DAY(FP27))</f>
        <v>46512</v>
      </c>
      <c r="FR27" s="8">
        <f t="shared" ca="1" si="69"/>
        <v>378</v>
      </c>
      <c r="FS27" s="5" t="str">
        <f t="shared" ca="1" si="70"/>
        <v>VIGENTE</v>
      </c>
      <c r="FT27" s="4"/>
      <c r="FU27" s="4">
        <v>45700</v>
      </c>
      <c r="FV27" s="4">
        <f>DATE(YEAR(FU27)+2,MONTH(FU27),DAY(FU27)-1)</f>
        <v>46429</v>
      </c>
      <c r="FW27" s="8">
        <f t="shared" ca="1" si="71"/>
        <v>295</v>
      </c>
      <c r="FX27" s="5" t="str">
        <f t="shared" ca="1" si="72"/>
        <v>VIGENTE</v>
      </c>
      <c r="FY27" s="4"/>
      <c r="FZ27" s="4">
        <v>45757</v>
      </c>
      <c r="GA27" s="4">
        <f>DATE(YEAR(FZ27)+2,MONTH(FZ27),DAY(FZ27)-1)</f>
        <v>46486</v>
      </c>
      <c r="GB27" s="8">
        <f t="shared" ca="1" si="73"/>
        <v>352</v>
      </c>
      <c r="GC27" s="5" t="str">
        <f t="shared" ca="1" si="74"/>
        <v>VIGENTE</v>
      </c>
      <c r="GD27" s="4"/>
      <c r="GE27" s="4">
        <v>45752</v>
      </c>
      <c r="GF27" s="4">
        <f t="shared" si="194"/>
        <v>46481</v>
      </c>
      <c r="GG27" s="8">
        <f t="shared" ca="1" si="75"/>
        <v>347</v>
      </c>
      <c r="GH27" s="5" t="str">
        <f t="shared" ca="1" si="76"/>
        <v>VIGENTE</v>
      </c>
      <c r="GI27" s="4"/>
      <c r="GJ27" s="4">
        <v>45608</v>
      </c>
      <c r="GK27" s="4">
        <f>DATE(YEAR(GJ27)+2,MONTH(GJ27),DAY(GJ27)-1)</f>
        <v>46337</v>
      </c>
      <c r="GL27" s="8">
        <f t="shared" ca="1" si="77"/>
        <v>203</v>
      </c>
      <c r="GM27" s="5" t="str">
        <f t="shared" ca="1" si="78"/>
        <v>VIGENTE</v>
      </c>
      <c r="GN27" s="4"/>
      <c r="GO27" s="4">
        <v>45120</v>
      </c>
      <c r="GP27" s="4">
        <f t="shared" si="79"/>
        <v>46947</v>
      </c>
      <c r="GQ27" s="8">
        <f t="shared" ca="1" si="181"/>
        <v>813</v>
      </c>
      <c r="GR27" s="5" t="str">
        <f t="shared" ca="1" si="81"/>
        <v>VIGENTE</v>
      </c>
      <c r="GS27" s="4"/>
      <c r="GT27" s="4">
        <v>45117</v>
      </c>
      <c r="GU27" s="4">
        <f t="shared" si="82"/>
        <v>46944</v>
      </c>
      <c r="GV27" s="8">
        <f t="shared" ca="1" si="83"/>
        <v>810</v>
      </c>
      <c r="GW27" s="5" t="str">
        <f t="shared" ca="1" si="84"/>
        <v>VIGENTE</v>
      </c>
      <c r="GX27" s="6"/>
      <c r="GY27" s="4">
        <v>45119</v>
      </c>
      <c r="GZ27" s="4">
        <f t="shared" si="85"/>
        <v>46946</v>
      </c>
      <c r="HA27" s="8">
        <f t="shared" ca="1" si="86"/>
        <v>812</v>
      </c>
      <c r="HB27" s="5" t="str">
        <f t="shared" ca="1" si="87"/>
        <v>VIGENTE</v>
      </c>
      <c r="HC27" s="6"/>
      <c r="HD27" s="4">
        <v>45115</v>
      </c>
      <c r="HE27" s="4">
        <f>DATE(YEAR(HD27)+5,MONTH(HD27),DAY(HD27))</f>
        <v>46942</v>
      </c>
      <c r="HF27" s="8">
        <f ca="1">HE27-TODAY()</f>
        <v>808</v>
      </c>
      <c r="HG27" s="5" t="str">
        <f t="shared" ca="1" si="192"/>
        <v>VIGENTE</v>
      </c>
      <c r="HH27" s="6"/>
      <c r="HI27" s="6"/>
      <c r="HJ27" s="4"/>
      <c r="HK27" s="8"/>
      <c r="HL27" s="5" t="str">
        <f t="shared" si="91"/>
        <v>NO APLICA</v>
      </c>
      <c r="HM27" s="2"/>
      <c r="HN27" s="2"/>
      <c r="HO27" s="4"/>
      <c r="HP27" s="2"/>
      <c r="HQ27" s="5" t="str">
        <f t="shared" si="92"/>
        <v>NO APLICA</v>
      </c>
      <c r="HR27" s="6"/>
      <c r="HS27" s="4">
        <v>45149</v>
      </c>
      <c r="HT27" s="4">
        <f>DATE(YEAR(HS27)+5,MONTH(HS27),DAY(HS27))</f>
        <v>46976</v>
      </c>
      <c r="HU27" s="8">
        <f ca="1">HT27-TODAY()</f>
        <v>842</v>
      </c>
      <c r="HV27" s="5" t="str">
        <f t="shared" ca="1" si="93"/>
        <v>VIGENTE</v>
      </c>
      <c r="HW27" s="6"/>
      <c r="HX27" s="4">
        <v>45162</v>
      </c>
      <c r="HY27" s="4">
        <f>DATE(YEAR(HX27)+5,MONTH(HX27),DAY(HX27))</f>
        <v>46989</v>
      </c>
      <c r="HZ27" s="8">
        <f ca="1">HY27-TODAY()</f>
        <v>855</v>
      </c>
      <c r="IA27" s="5" t="str">
        <f t="shared" ca="1" si="94"/>
        <v>VIGENTE</v>
      </c>
      <c r="IB27" s="6"/>
      <c r="IC27" s="4">
        <v>45147</v>
      </c>
      <c r="ID27" s="4">
        <f>DATE(YEAR(IC27)+5,MONTH(IC27),DAY(IC27))</f>
        <v>46974</v>
      </c>
      <c r="IE27" s="8">
        <f ca="1">ID27-TODAY()</f>
        <v>840</v>
      </c>
      <c r="IF27" s="5" t="str">
        <f t="shared" ca="1" si="95"/>
        <v>VIGENTE</v>
      </c>
      <c r="IG27" s="6"/>
      <c r="IH27" s="4">
        <v>45399</v>
      </c>
      <c r="II27" s="4">
        <f>DATE(YEAR(IH27)+5,MONTH(IH27),DAY(IH27))</f>
        <v>47225</v>
      </c>
      <c r="IJ27" s="8">
        <f ca="1">II27-TODAY()</f>
        <v>1091</v>
      </c>
      <c r="IK27" s="5" t="str">
        <f t="shared" ca="1" si="96"/>
        <v>VIGENTE</v>
      </c>
      <c r="IL27" s="6"/>
      <c r="IM27" s="4">
        <v>45354</v>
      </c>
      <c r="IN27" s="4">
        <f>DATE(YEAR(IM27)+5,MONTH(IM27),DAY(IM27))</f>
        <v>47180</v>
      </c>
      <c r="IO27" s="8">
        <f ca="1">IN27-TODAY()</f>
        <v>1046</v>
      </c>
      <c r="IP27" s="5" t="str">
        <f t="shared" ca="1" si="97"/>
        <v>VIGENTE</v>
      </c>
      <c r="IQ27" s="6"/>
      <c r="IR27" s="4">
        <v>45146</v>
      </c>
      <c r="IS27" s="4">
        <f>DATE(YEAR(IR27)+5,MONTH(IR27),DAY(IR27))</f>
        <v>46973</v>
      </c>
      <c r="IT27" s="8">
        <f ca="1">IS27-TODAY()</f>
        <v>839</v>
      </c>
      <c r="IU27" s="5" t="str">
        <f t="shared" ca="1" si="98"/>
        <v>VIGENTE</v>
      </c>
      <c r="IV27" s="6"/>
      <c r="IW27" s="4">
        <v>45161</v>
      </c>
      <c r="IX27" s="4">
        <f>DATE(YEAR(IW27)+5,MONTH(IW27),DAY(IW27))</f>
        <v>46988</v>
      </c>
      <c r="IY27" s="8">
        <f ca="1">IX27-TODAY()</f>
        <v>854</v>
      </c>
      <c r="IZ27" s="5" t="str">
        <f t="shared" ca="1" si="99"/>
        <v>VIGENTE</v>
      </c>
      <c r="JA27" s="3"/>
      <c r="JB27" s="3"/>
      <c r="JC27" s="4"/>
      <c r="JD27" s="8"/>
      <c r="JE27" s="5" t="str">
        <f t="shared" si="100"/>
        <v>NO APLICA</v>
      </c>
      <c r="JF27" s="6"/>
      <c r="JG27" s="6"/>
      <c r="JH27" s="6"/>
      <c r="JI27" s="6"/>
      <c r="JJ27" s="5" t="str">
        <f t="shared" si="101"/>
        <v>NO APLICA</v>
      </c>
      <c r="JK27" s="6"/>
      <c r="JL27" s="6"/>
      <c r="JM27" s="6"/>
      <c r="JN27" s="6"/>
      <c r="JO27" s="5" t="str">
        <f t="shared" si="102"/>
        <v>NO APLICA</v>
      </c>
      <c r="JP27" s="6"/>
      <c r="JQ27" s="6"/>
      <c r="JR27" s="6"/>
      <c r="JS27" s="6"/>
      <c r="JT27" s="5" t="str">
        <f t="shared" si="103"/>
        <v>NO APLICA</v>
      </c>
      <c r="JU27" s="5"/>
      <c r="JV27" s="3"/>
      <c r="JW27" s="4"/>
      <c r="JX27" s="8"/>
      <c r="JY27" s="5" t="str">
        <f t="shared" si="104"/>
        <v>NO APLICA</v>
      </c>
      <c r="JZ27" s="5"/>
      <c r="KA27" s="2"/>
      <c r="KB27" s="4"/>
      <c r="KC27" s="8"/>
      <c r="KD27" s="5" t="str">
        <f t="shared" si="105"/>
        <v>NO APLICA</v>
      </c>
      <c r="KE27" s="5"/>
      <c r="KF27" s="2"/>
      <c r="KG27" s="4"/>
      <c r="KH27" s="8"/>
      <c r="KI27" s="5" t="str">
        <f t="shared" si="141"/>
        <v>NO APLICA</v>
      </c>
      <c r="KJ27" s="5"/>
      <c r="KK27" s="2"/>
      <c r="KL27" s="4"/>
      <c r="KM27" s="8"/>
      <c r="KN27" s="5" t="str">
        <f t="shared" si="106"/>
        <v>NO APLICA</v>
      </c>
      <c r="KO27" s="5"/>
      <c r="KP27" s="2"/>
      <c r="KQ27" s="4"/>
      <c r="KR27" s="8"/>
      <c r="KS27" s="5" t="str">
        <f t="shared" si="142"/>
        <v>NO APLICA</v>
      </c>
      <c r="KT27" s="6"/>
      <c r="KU27" s="6"/>
      <c r="KV27" s="4"/>
      <c r="KW27" s="8"/>
      <c r="KX27" s="5" t="str">
        <f t="shared" si="156"/>
        <v>NO APLICA</v>
      </c>
      <c r="KY27" s="5"/>
      <c r="KZ27" s="6"/>
      <c r="LA27" s="4"/>
      <c r="LB27" s="8"/>
      <c r="LC27" s="5" t="str">
        <f t="shared" si="143"/>
        <v>NO APLICA</v>
      </c>
      <c r="LD27" s="6"/>
      <c r="LE27" s="6"/>
      <c r="LF27" s="4"/>
      <c r="LG27" s="8"/>
      <c r="LH27" s="5" t="str">
        <f t="shared" si="107"/>
        <v>NO APLICA</v>
      </c>
      <c r="LI27" s="5"/>
      <c r="LJ27" s="5"/>
      <c r="LK27" s="5"/>
      <c r="LL27" s="5"/>
      <c r="LM27" s="5" t="str">
        <f t="shared" si="157"/>
        <v>NO APLICA</v>
      </c>
      <c r="LN27" s="6"/>
      <c r="LO27" s="6"/>
      <c r="LP27" s="4"/>
      <c r="LQ27" s="8"/>
      <c r="LR27" s="5" t="str">
        <f t="shared" si="144"/>
        <v>NO APLICA</v>
      </c>
      <c r="LS27" s="6"/>
      <c r="LT27" s="6"/>
      <c r="LU27" s="4"/>
      <c r="LV27" s="8"/>
      <c r="LW27" s="5" t="str">
        <f t="shared" si="145"/>
        <v>NO APLICA</v>
      </c>
      <c r="LX27" s="6"/>
      <c r="LY27" s="6"/>
      <c r="LZ27" s="4"/>
      <c r="MA27" s="8"/>
      <c r="MB27" s="5" t="str">
        <f t="shared" si="146"/>
        <v>NO APLICA</v>
      </c>
      <c r="MC27" s="2"/>
      <c r="MD27" s="2"/>
      <c r="ME27" s="4"/>
      <c r="MF27" s="8"/>
      <c r="MG27" s="5" t="str">
        <f t="shared" si="108"/>
        <v>NO APLICA</v>
      </c>
      <c r="MH27" s="2"/>
      <c r="MI27" s="2"/>
      <c r="MJ27" s="4"/>
      <c r="MK27" s="8"/>
      <c r="ML27" s="5" t="str">
        <f t="shared" si="109"/>
        <v>NO APLICA</v>
      </c>
      <c r="MM27" s="5"/>
      <c r="MN27" s="2"/>
      <c r="MO27" s="4"/>
      <c r="MP27" s="8"/>
      <c r="MQ27" s="5" t="str">
        <f t="shared" si="110"/>
        <v>NO APLICA</v>
      </c>
      <c r="MR27" s="5"/>
      <c r="MS27" s="2"/>
      <c r="MT27" s="4"/>
      <c r="MU27" s="2"/>
      <c r="MV27" s="5" t="str">
        <f t="shared" si="111"/>
        <v>NO APLICA</v>
      </c>
      <c r="MW27" s="6"/>
      <c r="MX27" s="6"/>
      <c r="MY27" s="4"/>
      <c r="MZ27" s="8"/>
      <c r="NA27" s="5" t="str">
        <f t="shared" si="112"/>
        <v>NO APLICA</v>
      </c>
      <c r="NB27" s="6"/>
      <c r="NC27" s="6"/>
      <c r="ND27" s="4"/>
      <c r="NE27" s="8"/>
      <c r="NF27" s="5" t="str">
        <f t="shared" si="113"/>
        <v>NO APLICA</v>
      </c>
      <c r="NG27" s="6"/>
      <c r="NH27" s="6"/>
      <c r="NI27" s="4"/>
      <c r="NJ27" s="8"/>
      <c r="NK27" s="5" t="str">
        <f t="shared" si="114"/>
        <v>NO APLICA</v>
      </c>
      <c r="NL27" s="2"/>
      <c r="NM27" s="2"/>
      <c r="NN27" s="4"/>
      <c r="NO27" s="2"/>
      <c r="NP27" s="5" t="str">
        <f t="shared" si="115"/>
        <v>NO APLICA</v>
      </c>
      <c r="NQ27" s="2"/>
      <c r="NR27" s="2"/>
      <c r="NS27" s="2"/>
      <c r="NT27" s="2"/>
      <c r="NU27" s="5" t="str">
        <f t="shared" si="116"/>
        <v>NO APLICA</v>
      </c>
      <c r="NV27" s="6"/>
      <c r="NW27" s="6"/>
      <c r="NX27" s="4"/>
      <c r="NY27" s="8"/>
      <c r="NZ27" s="5" t="str">
        <f t="shared" si="117"/>
        <v>NO APLICA</v>
      </c>
      <c r="OA27" s="6"/>
      <c r="OB27" s="6"/>
      <c r="OC27" s="6"/>
      <c r="OD27" s="6"/>
      <c r="OE27" s="5" t="str">
        <f t="shared" si="118"/>
        <v>NO APLICA</v>
      </c>
      <c r="OF27" s="6"/>
      <c r="OG27" s="6"/>
      <c r="OH27" s="4"/>
      <c r="OI27" s="8"/>
      <c r="OJ27" s="5" t="str">
        <f t="shared" si="119"/>
        <v>NO APLICA</v>
      </c>
      <c r="OK27" s="6"/>
      <c r="OL27" s="6"/>
      <c r="OM27" s="6"/>
      <c r="ON27" s="6"/>
      <c r="OO27" s="5" t="str">
        <f t="shared" si="120"/>
        <v>NO APLICA</v>
      </c>
      <c r="OP27" s="6"/>
      <c r="OQ27" s="6"/>
      <c r="OR27" s="6"/>
      <c r="OS27" s="6"/>
      <c r="OT27" s="5" t="str">
        <f t="shared" si="121"/>
        <v>NO APLICA</v>
      </c>
      <c r="OU27" s="6"/>
      <c r="OV27" s="6"/>
      <c r="OW27" s="6"/>
      <c r="OX27" s="6"/>
      <c r="OY27" s="5" t="str">
        <f t="shared" si="122"/>
        <v>NO APLICA</v>
      </c>
      <c r="OZ27" s="6"/>
      <c r="PA27" s="6"/>
      <c r="PB27" s="6"/>
      <c r="PC27" s="6"/>
      <c r="PD27" s="5" t="str">
        <f t="shared" si="123"/>
        <v>NO APLICA</v>
      </c>
      <c r="PE27" s="6"/>
      <c r="PF27" s="6"/>
      <c r="PG27" s="6"/>
      <c r="PH27" s="6"/>
      <c r="PI27" s="5" t="str">
        <f t="shared" si="124"/>
        <v>NO APLICA</v>
      </c>
      <c r="PJ27" s="5"/>
      <c r="PK27" s="6"/>
      <c r="PL27" s="4"/>
      <c r="PM27" s="8"/>
      <c r="PN27" s="5" t="str">
        <f t="shared" si="125"/>
        <v>NO APLICA</v>
      </c>
      <c r="PO27" s="6"/>
      <c r="PP27" s="6"/>
      <c r="PQ27" s="6"/>
      <c r="PR27" s="6"/>
      <c r="PS27" s="5" t="str">
        <f t="shared" si="126"/>
        <v>NO APLICA</v>
      </c>
      <c r="PT27" s="5"/>
      <c r="PU27" s="6"/>
      <c r="PV27" s="6"/>
      <c r="PW27" s="6"/>
      <c r="PX27" s="5" t="str">
        <f t="shared" si="127"/>
        <v>NO APLICA</v>
      </c>
    </row>
    <row r="28" spans="1:440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654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152</v>
      </c>
      <c r="V28" s="4">
        <v>46069</v>
      </c>
      <c r="W28" s="4">
        <f t="shared" si="2"/>
        <v>47895</v>
      </c>
      <c r="X28" s="8">
        <f t="shared" ca="1" si="3"/>
        <v>1761</v>
      </c>
      <c r="Y28" s="5" t="str">
        <f t="shared" ca="1" si="4"/>
        <v>VIGENTE</v>
      </c>
      <c r="Z28" s="2"/>
      <c r="AA28" s="6"/>
      <c r="AB28" s="4"/>
      <c r="AC28" s="8"/>
      <c r="AD28" s="5" t="str">
        <f t="shared" si="7"/>
        <v>NO APLICA</v>
      </c>
      <c r="AE28" s="3"/>
      <c r="AF28" s="4">
        <v>45936</v>
      </c>
      <c r="AG28" s="4">
        <f>DATE(YEAR(AF28)+2,MONTH(AF28),DAY(AF28))</f>
        <v>46666</v>
      </c>
      <c r="AH28" s="8">
        <f t="shared" ca="1" si="8"/>
        <v>532</v>
      </c>
      <c r="AI28" s="5" t="str">
        <f t="shared" ca="1" si="9"/>
        <v>VIGENTE</v>
      </c>
      <c r="AJ28" s="3"/>
      <c r="AK28" s="4">
        <v>45926</v>
      </c>
      <c r="AL28" s="4">
        <f>DATE(YEAR(AK28)+2,MONTH(AK28),DAY(AK28))</f>
        <v>46656</v>
      </c>
      <c r="AM28" s="8">
        <f t="shared" ca="1" si="10"/>
        <v>522</v>
      </c>
      <c r="AN28" s="5" t="str">
        <f t="shared" ca="1" si="11"/>
        <v>VIGENTE</v>
      </c>
      <c r="AO28" s="3"/>
      <c r="AP28" s="4">
        <v>45904</v>
      </c>
      <c r="AQ28" s="4">
        <f>DATE(YEAR(AP28)+2,MONTH(AP28),DAY(AP28))</f>
        <v>46634</v>
      </c>
      <c r="AR28" s="8">
        <f t="shared" ca="1" si="12"/>
        <v>500</v>
      </c>
      <c r="AS28" s="5" t="str">
        <f t="shared" ca="1" si="13"/>
        <v>VIGENTE</v>
      </c>
      <c r="AT28" s="3"/>
      <c r="AU28" s="4">
        <v>45927</v>
      </c>
      <c r="AV28" s="4">
        <f>DATE(YEAR(AU28)+2,MONTH(AU28),DAY(AU28))</f>
        <v>46657</v>
      </c>
      <c r="AW28" s="8">
        <f t="shared" ca="1" si="15"/>
        <v>523</v>
      </c>
      <c r="AX28" s="5" t="str">
        <f t="shared" ca="1" si="16"/>
        <v>VIGENTE</v>
      </c>
      <c r="AY28" s="3"/>
      <c r="AZ28" s="4">
        <v>45603</v>
      </c>
      <c r="BA28" s="4">
        <f>DATE(YEAR(AZ28)+2,MONTH(AZ28),DAY(AZ28)-1)</f>
        <v>46332</v>
      </c>
      <c r="BB28" s="8">
        <f t="shared" ca="1" si="17"/>
        <v>198</v>
      </c>
      <c r="BC28" s="5" t="str">
        <f t="shared" ca="1" si="18"/>
        <v>VIGENTE</v>
      </c>
      <c r="BD28" s="3"/>
      <c r="BE28" s="4">
        <v>45698</v>
      </c>
      <c r="BF28" s="4">
        <f>DATE(YEAR(BE28)+2,MONTH(BE28),DAY(BE28)-1)</f>
        <v>46427</v>
      </c>
      <c r="BG28" s="8">
        <f t="shared" ca="1" si="19"/>
        <v>293</v>
      </c>
      <c r="BH28" s="5" t="str">
        <f t="shared" ca="1" si="20"/>
        <v>VIGENTE</v>
      </c>
      <c r="BI28" s="3"/>
      <c r="BJ28" s="4">
        <v>45570</v>
      </c>
      <c r="BK28" s="4">
        <f>DATE(YEAR(BJ28)+2,MONTH(BJ28),DAY(BJ28)-1)</f>
        <v>46299</v>
      </c>
      <c r="BL28" s="8">
        <f t="shared" ca="1" si="21"/>
        <v>165</v>
      </c>
      <c r="BM28" s="5" t="str">
        <f t="shared" ca="1" si="22"/>
        <v>VIGENTE</v>
      </c>
      <c r="BN28" s="3"/>
      <c r="BO28" s="4">
        <v>45478</v>
      </c>
      <c r="BP28" s="4">
        <f>DATE(YEAR(BO28)+2,MONTH(BO28),DAY(BO28)-1)</f>
        <v>46207</v>
      </c>
      <c r="BQ28" s="8">
        <f t="shared" ca="1" si="23"/>
        <v>73</v>
      </c>
      <c r="BR28" s="5" t="str">
        <f t="shared" ca="1" si="24"/>
        <v>POR VENCER</v>
      </c>
      <c r="BS28" s="3"/>
      <c r="BT28" s="4">
        <v>45484</v>
      </c>
      <c r="BU28" s="4">
        <f t="shared" si="190"/>
        <v>46213</v>
      </c>
      <c r="BV28" s="8">
        <f t="shared" ca="1" si="25"/>
        <v>79</v>
      </c>
      <c r="BW28" s="5" t="str">
        <f t="shared" ca="1" si="26"/>
        <v>POR VENCER</v>
      </c>
      <c r="BX28" s="3"/>
      <c r="BY28" s="4">
        <v>45911</v>
      </c>
      <c r="BZ28" s="4">
        <f>DATE(YEAR(BY28)+2,MONTH(BY28),DAY(BY28))</f>
        <v>46641</v>
      </c>
      <c r="CA28" s="8">
        <f t="shared" ca="1" si="27"/>
        <v>507</v>
      </c>
      <c r="CB28" s="5" t="str">
        <f t="shared" ca="1" si="28"/>
        <v>VIGENTE</v>
      </c>
      <c r="CC28" s="6" t="s">
        <v>68</v>
      </c>
      <c r="CD28" s="4">
        <v>45723</v>
      </c>
      <c r="CE28" s="4">
        <f t="shared" si="29"/>
        <v>47184</v>
      </c>
      <c r="CF28" s="8">
        <f t="shared" ca="1" si="30"/>
        <v>1050</v>
      </c>
      <c r="CG28" s="5" t="str">
        <f t="shared" ca="1" si="31"/>
        <v>VIGENTE</v>
      </c>
      <c r="CH28" s="4"/>
      <c r="CI28" s="4">
        <v>45688</v>
      </c>
      <c r="CJ28" s="4">
        <f>DATE(YEAR(CI28)+2,MONTH(CI28),DAY(CI28)-1)</f>
        <v>46417</v>
      </c>
      <c r="CK28" s="8">
        <f t="shared" ca="1" si="32"/>
        <v>283</v>
      </c>
      <c r="CL28" s="5" t="str">
        <f t="shared" ca="1" si="33"/>
        <v>VIGENTE</v>
      </c>
      <c r="CM28" s="3"/>
      <c r="CN28" s="4">
        <v>45684</v>
      </c>
      <c r="CO28" s="4">
        <f>DATE(YEAR(CN28)+2,MONTH(CN28),DAY(CN28)-1)</f>
        <v>46413</v>
      </c>
      <c r="CP28" s="8">
        <f t="shared" ca="1" si="34"/>
        <v>279</v>
      </c>
      <c r="CQ28" s="5" t="str">
        <f t="shared" ca="1" si="35"/>
        <v>VIGENTE</v>
      </c>
      <c r="CR28" s="3"/>
      <c r="CS28" s="4">
        <v>45905</v>
      </c>
      <c r="CT28" s="4">
        <f>DATE(YEAR(CS28)+2,MONTH(CS28),DAY(CS28))</f>
        <v>46635</v>
      </c>
      <c r="CU28" s="8">
        <f t="shared" ca="1" si="36"/>
        <v>501</v>
      </c>
      <c r="CV28" s="5" t="str">
        <f t="shared" ca="1" si="37"/>
        <v>VIGENTE</v>
      </c>
      <c r="CW28" s="3"/>
      <c r="CX28" s="4">
        <v>45924</v>
      </c>
      <c r="CY28" s="4">
        <f>DATE(YEAR(CX28)+2,MONTH(CX28),DAY(CX28))</f>
        <v>46654</v>
      </c>
      <c r="CZ28" s="8">
        <f t="shared" ca="1" si="38"/>
        <v>520</v>
      </c>
      <c r="DA28" s="5" t="str">
        <f t="shared" ca="1" si="39"/>
        <v>VIGENTE</v>
      </c>
      <c r="DB28" s="3"/>
      <c r="DC28" s="4">
        <v>45689</v>
      </c>
      <c r="DD28" s="4">
        <f t="shared" si="193"/>
        <v>46418</v>
      </c>
      <c r="DE28" s="8">
        <f t="shared" ca="1" si="40"/>
        <v>284</v>
      </c>
      <c r="DF28" s="5" t="str">
        <f t="shared" ca="1" si="41"/>
        <v>VIGENTE</v>
      </c>
      <c r="DG28" s="3"/>
      <c r="DH28" s="4">
        <v>45834</v>
      </c>
      <c r="DI28" s="4">
        <f>DATE(YEAR(DH28)+2,MONTH(DH28),DAY(DH28))</f>
        <v>46564</v>
      </c>
      <c r="DJ28" s="8">
        <f t="shared" ca="1" si="43"/>
        <v>430</v>
      </c>
      <c r="DK28" s="5" t="str">
        <f t="shared" ca="1" si="44"/>
        <v>VIGENTE</v>
      </c>
      <c r="DL28" s="3"/>
      <c r="DM28" s="4">
        <v>46008</v>
      </c>
      <c r="DN28" s="4">
        <f>DATE(YEAR(DM28)+2,MONTH(DM28),DAY(DM28))</f>
        <v>46738</v>
      </c>
      <c r="DO28" s="8">
        <f t="shared" ca="1" si="46"/>
        <v>604</v>
      </c>
      <c r="DP28" s="5" t="str">
        <f t="shared" ca="1" si="47"/>
        <v>VIGENTE</v>
      </c>
      <c r="DQ28" s="3"/>
      <c r="DR28" s="4">
        <v>45608</v>
      </c>
      <c r="DS28" s="4">
        <f>DATE(YEAR(DR28)+2,MONTH(DR28),DAY(DR28)-1)</f>
        <v>46337</v>
      </c>
      <c r="DT28" s="8">
        <f t="shared" ca="1" si="48"/>
        <v>203</v>
      </c>
      <c r="DU28" s="5" t="str">
        <f t="shared" ca="1" si="49"/>
        <v>VIGENTE</v>
      </c>
      <c r="DV28" s="3"/>
      <c r="DW28" s="4">
        <v>45663</v>
      </c>
      <c r="DX28" s="4">
        <f>DATE(YEAR(DW28)+2,MONTH(DW28),DAY(DW28)-1)</f>
        <v>46392</v>
      </c>
      <c r="DY28" s="8">
        <f t="shared" ca="1" si="50"/>
        <v>258</v>
      </c>
      <c r="DZ28" s="5" t="str">
        <f t="shared" ca="1" si="51"/>
        <v>VIGENTE</v>
      </c>
      <c r="EA28" s="3"/>
      <c r="EB28" s="4">
        <v>45674</v>
      </c>
      <c r="EC28" s="4">
        <f>DATE(YEAR(EB28)+2,MONTH(EB28),DAY(EB28)-1)</f>
        <v>46403</v>
      </c>
      <c r="ED28" s="8">
        <f t="shared" ca="1" si="52"/>
        <v>269</v>
      </c>
      <c r="EE28" s="5" t="str">
        <f t="shared" ca="1" si="53"/>
        <v>VIGENTE</v>
      </c>
      <c r="EF28" s="3"/>
      <c r="EG28" s="3">
        <v>46085</v>
      </c>
      <c r="EH28" s="4">
        <f t="shared" si="137"/>
        <v>46450</v>
      </c>
      <c r="EI28" s="8">
        <f t="shared" ca="1" si="54"/>
        <v>316</v>
      </c>
      <c r="EJ28" s="5" t="str">
        <f t="shared" ca="1" si="55"/>
        <v>VIGENTE</v>
      </c>
      <c r="EK28" s="3"/>
      <c r="EL28" s="4">
        <v>45671</v>
      </c>
      <c r="EM28" s="4">
        <f>DATE(YEAR(EL28)+2,MONTH(EL28),DAY(EL28)-1)</f>
        <v>46400</v>
      </c>
      <c r="EN28" s="8">
        <f t="shared" ca="1" si="56"/>
        <v>266</v>
      </c>
      <c r="EO28" s="5" t="str">
        <f t="shared" ca="1" si="57"/>
        <v>VIGENTE</v>
      </c>
      <c r="EP28" s="3"/>
      <c r="EQ28" s="4">
        <v>45575</v>
      </c>
      <c r="ER28" s="4">
        <f>DATE(YEAR(EQ28)+2,MONTH(EQ28),DAY(EQ28)-1)</f>
        <v>46304</v>
      </c>
      <c r="ES28" s="8">
        <f t="shared" ca="1" si="58"/>
        <v>170</v>
      </c>
      <c r="ET28" s="5" t="str">
        <f t="shared" ca="1" si="59"/>
        <v>VIGENTE</v>
      </c>
      <c r="EU28" s="3"/>
      <c r="EV28" s="4">
        <v>45917</v>
      </c>
      <c r="EW28" s="4">
        <f>DATE(YEAR(EV28)+2,MONTH(EV28),DAY(EV28))</f>
        <v>46647</v>
      </c>
      <c r="EX28" s="8">
        <f t="shared" ca="1" si="60"/>
        <v>513</v>
      </c>
      <c r="EY28" s="5" t="str">
        <f t="shared" ca="1" si="61"/>
        <v>VIGENTE</v>
      </c>
      <c r="EZ28" s="3"/>
      <c r="FA28" s="4">
        <v>45931</v>
      </c>
      <c r="FB28" s="4">
        <f>DATE(YEAR(FA28)+2,MONTH(FA28),DAY(FA28))</f>
        <v>46661</v>
      </c>
      <c r="FC28" s="8">
        <f t="shared" ca="1" si="62"/>
        <v>527</v>
      </c>
      <c r="FD28" s="5" t="str">
        <f t="shared" ca="1" si="63"/>
        <v>VIGENTE</v>
      </c>
      <c r="FE28" s="3"/>
      <c r="FF28" s="4">
        <v>45832</v>
      </c>
      <c r="FG28" s="4">
        <f>DATE(YEAR(FF28)+2,MONTH(FF28),DAY(FF28))</f>
        <v>46562</v>
      </c>
      <c r="FH28" s="8">
        <f t="shared" ca="1" si="64"/>
        <v>428</v>
      </c>
      <c r="FI28" s="5" t="str">
        <f t="shared" ca="1" si="65"/>
        <v>VIGENTE</v>
      </c>
      <c r="FJ28" s="3"/>
      <c r="FK28" s="4">
        <v>45588</v>
      </c>
      <c r="FL28" s="4">
        <f>DATE(YEAR(FK28)+2,MONTH(FK28),DAY(FK28)-1)</f>
        <v>46317</v>
      </c>
      <c r="FM28" s="8">
        <f t="shared" ca="1" si="67"/>
        <v>183</v>
      </c>
      <c r="FN28" s="5" t="str">
        <f t="shared" ca="1" si="68"/>
        <v>VIGENTE</v>
      </c>
      <c r="FO28" s="3"/>
      <c r="FP28" s="4">
        <v>45664</v>
      </c>
      <c r="FQ28" s="4">
        <f t="shared" ref="FQ28:FQ33" si="195">DATE(YEAR(FP28)+2,MONTH(FP28),DAY(FP28)-1)</f>
        <v>46393</v>
      </c>
      <c r="FR28" s="8">
        <f t="shared" ca="1" si="69"/>
        <v>259</v>
      </c>
      <c r="FS28" s="5" t="str">
        <f t="shared" ca="1" si="70"/>
        <v>VIGENTE</v>
      </c>
      <c r="FT28" s="3"/>
      <c r="FU28" s="4">
        <v>45941</v>
      </c>
      <c r="FV28" s="4">
        <f>DATE(YEAR(FU28)+2,MONTH(FU28),DAY(FU28))</f>
        <v>46671</v>
      </c>
      <c r="FW28" s="8">
        <f t="shared" ca="1" si="71"/>
        <v>537</v>
      </c>
      <c r="FX28" s="5" t="str">
        <f t="shared" ca="1" si="72"/>
        <v>VIGENTE</v>
      </c>
      <c r="FY28" s="3"/>
      <c r="FZ28" s="4">
        <v>45626</v>
      </c>
      <c r="GA28" s="4">
        <f>DATE(YEAR(FZ28)+2,MONTH(FZ28),DAY(FZ28)-1)</f>
        <v>46355</v>
      </c>
      <c r="GB28" s="8">
        <f t="shared" ca="1" si="73"/>
        <v>221</v>
      </c>
      <c r="GC28" s="5" t="str">
        <f t="shared" ca="1" si="74"/>
        <v>VIGENTE</v>
      </c>
      <c r="GD28" s="3"/>
      <c r="GE28" s="4">
        <v>45579</v>
      </c>
      <c r="GF28" s="4">
        <f t="shared" si="194"/>
        <v>46308</v>
      </c>
      <c r="GG28" s="8">
        <f t="shared" ca="1" si="75"/>
        <v>174</v>
      </c>
      <c r="GH28" s="5" t="str">
        <f t="shared" ca="1" si="76"/>
        <v>VIGENTE</v>
      </c>
      <c r="GI28" s="3"/>
      <c r="GJ28" s="4">
        <v>45567</v>
      </c>
      <c r="GK28" s="4">
        <f>DATE(YEAR(GJ28)+2,MONTH(GJ28),DAY(GJ28)-1)</f>
        <v>46296</v>
      </c>
      <c r="GL28" s="8">
        <f t="shared" ca="1" si="77"/>
        <v>162</v>
      </c>
      <c r="GM28" s="5" t="str">
        <f t="shared" ca="1" si="78"/>
        <v>VIGENTE</v>
      </c>
      <c r="GN28" s="4"/>
      <c r="GO28" s="4">
        <v>44873</v>
      </c>
      <c r="GP28" s="4">
        <f t="shared" si="79"/>
        <v>46699</v>
      </c>
      <c r="GQ28" s="8">
        <f t="shared" ca="1" si="181"/>
        <v>565</v>
      </c>
      <c r="GR28" s="5" t="str">
        <f t="shared" ca="1" si="81"/>
        <v>VIGENTE</v>
      </c>
      <c r="GS28" s="3"/>
      <c r="GT28" s="4">
        <v>44886</v>
      </c>
      <c r="GU28" s="4">
        <f t="shared" si="82"/>
        <v>46712</v>
      </c>
      <c r="GV28" s="8">
        <f t="shared" ca="1" si="83"/>
        <v>578</v>
      </c>
      <c r="GW28" s="5" t="str">
        <f t="shared" ca="1" si="84"/>
        <v>VIGENTE</v>
      </c>
      <c r="GX28" s="2"/>
      <c r="GY28" s="4">
        <v>44883</v>
      </c>
      <c r="GZ28" s="4">
        <f t="shared" si="85"/>
        <v>46709</v>
      </c>
      <c r="HA28" s="8">
        <f t="shared" ca="1" si="86"/>
        <v>575</v>
      </c>
      <c r="HB28" s="5" t="str">
        <f t="shared" ca="1" si="87"/>
        <v>VIGENTE</v>
      </c>
      <c r="HC28" s="6"/>
      <c r="HD28" s="6"/>
      <c r="HE28" s="4"/>
      <c r="HF28" s="8"/>
      <c r="HG28" s="5" t="str">
        <f t="shared" si="192"/>
        <v>NO APLICA</v>
      </c>
      <c r="HH28" s="2"/>
      <c r="HI28" s="6"/>
      <c r="HJ28" s="4"/>
      <c r="HK28" s="8"/>
      <c r="HL28" s="5" t="str">
        <f t="shared" si="91"/>
        <v>NO APLICA</v>
      </c>
      <c r="HM28" s="2"/>
      <c r="HN28" s="2"/>
      <c r="HO28" s="4"/>
      <c r="HP28" s="2"/>
      <c r="HQ28" s="5" t="str">
        <f t="shared" si="92"/>
        <v>NO APLICA</v>
      </c>
      <c r="HR28" s="2"/>
      <c r="HS28" s="6"/>
      <c r="HT28" s="4"/>
      <c r="HU28" s="8"/>
      <c r="HV28" s="5" t="str">
        <f t="shared" si="93"/>
        <v>NO APLICA</v>
      </c>
      <c r="HW28" s="2"/>
      <c r="HX28" s="6"/>
      <c r="HY28" s="4"/>
      <c r="HZ28" s="8"/>
      <c r="IA28" s="5" t="str">
        <f t="shared" si="94"/>
        <v>NO APLICA</v>
      </c>
      <c r="IB28" s="2"/>
      <c r="IC28" s="6"/>
      <c r="ID28" s="4"/>
      <c r="IE28" s="8"/>
      <c r="IF28" s="5" t="str">
        <f t="shared" si="95"/>
        <v>NO APLICA</v>
      </c>
      <c r="IG28" s="6"/>
      <c r="IH28" s="6"/>
      <c r="II28" s="4"/>
      <c r="IJ28" s="8"/>
      <c r="IK28" s="5" t="str">
        <f t="shared" si="96"/>
        <v>NO APLICA</v>
      </c>
      <c r="IL28" s="2"/>
      <c r="IM28" s="6"/>
      <c r="IN28" s="4"/>
      <c r="IO28" s="8"/>
      <c r="IP28" s="5" t="str">
        <f t="shared" si="97"/>
        <v>NO APLICA</v>
      </c>
      <c r="IQ28" s="2"/>
      <c r="IR28" s="6"/>
      <c r="IS28" s="4"/>
      <c r="IT28" s="8"/>
      <c r="IU28" s="5" t="str">
        <f t="shared" si="98"/>
        <v>NO APLICA</v>
      </c>
      <c r="IV28" s="2"/>
      <c r="IW28" s="6"/>
      <c r="IX28" s="4"/>
      <c r="IY28" s="8"/>
      <c r="IZ28" s="5" t="str">
        <f t="shared" si="99"/>
        <v>NO APLICA</v>
      </c>
      <c r="JA28" s="3"/>
      <c r="JB28" s="3"/>
      <c r="JC28" s="4"/>
      <c r="JD28" s="8"/>
      <c r="JE28" s="5" t="str">
        <f t="shared" si="100"/>
        <v>NO APLICA</v>
      </c>
      <c r="JF28" s="6"/>
      <c r="JG28" s="6"/>
      <c r="JH28" s="6"/>
      <c r="JI28" s="6"/>
      <c r="JJ28" s="5" t="str">
        <f t="shared" si="101"/>
        <v>NO APLICA</v>
      </c>
      <c r="JK28" s="6"/>
      <c r="JL28" s="6"/>
      <c r="JM28" s="6"/>
      <c r="JN28" s="6"/>
      <c r="JO28" s="5" t="str">
        <f t="shared" si="102"/>
        <v>NO APLICA</v>
      </c>
      <c r="JP28" s="6"/>
      <c r="JQ28" s="6"/>
      <c r="JR28" s="6"/>
      <c r="JS28" s="6"/>
      <c r="JT28" s="5" t="str">
        <f t="shared" si="103"/>
        <v>NO APLICA</v>
      </c>
      <c r="JU28" s="5"/>
      <c r="JV28" s="5"/>
      <c r="JW28" s="5"/>
      <c r="JX28" s="5"/>
      <c r="JY28" s="5" t="str">
        <f t="shared" si="104"/>
        <v>NO APLICA</v>
      </c>
      <c r="JZ28" s="5"/>
      <c r="KA28" s="2"/>
      <c r="KB28" s="4"/>
      <c r="KC28" s="8"/>
      <c r="KD28" s="5" t="str">
        <f t="shared" si="105"/>
        <v>NO APLICA</v>
      </c>
      <c r="KE28" s="5"/>
      <c r="KF28" s="2"/>
      <c r="KG28" s="4"/>
      <c r="KH28" s="8"/>
      <c r="KI28" s="5" t="str">
        <f t="shared" si="141"/>
        <v>NO APLICA</v>
      </c>
      <c r="KJ28" s="5"/>
      <c r="KK28" s="2"/>
      <c r="KL28" s="4"/>
      <c r="KM28" s="8"/>
      <c r="KN28" s="5" t="str">
        <f t="shared" si="106"/>
        <v>NO APLICA</v>
      </c>
      <c r="KO28" s="5"/>
      <c r="KP28" s="2"/>
      <c r="KQ28" s="4"/>
      <c r="KR28" s="8"/>
      <c r="KS28" s="5" t="str">
        <f t="shared" si="142"/>
        <v>NO APLICA</v>
      </c>
      <c r="KT28" s="2"/>
      <c r="KU28" s="6"/>
      <c r="KV28" s="4"/>
      <c r="KW28" s="8"/>
      <c r="KX28" s="5" t="str">
        <f t="shared" si="156"/>
        <v>NO APLICA</v>
      </c>
      <c r="KY28" s="5"/>
      <c r="KZ28" s="6"/>
      <c r="LA28" s="4"/>
      <c r="LB28" s="8"/>
      <c r="LC28" s="5" t="str">
        <f t="shared" si="143"/>
        <v>NO APLICA</v>
      </c>
      <c r="LD28" s="6"/>
      <c r="LE28" s="6"/>
      <c r="LF28" s="4"/>
      <c r="LG28" s="8"/>
      <c r="LH28" s="5" t="str">
        <f t="shared" si="107"/>
        <v>NO APLICA</v>
      </c>
      <c r="LI28" s="5"/>
      <c r="LJ28" s="5"/>
      <c r="LK28" s="5"/>
      <c r="LL28" s="5"/>
      <c r="LM28" s="5" t="str">
        <f t="shared" si="157"/>
        <v>NO APLICA</v>
      </c>
      <c r="LN28" s="2"/>
      <c r="LO28" s="6"/>
      <c r="LP28" s="4"/>
      <c r="LQ28" s="8"/>
      <c r="LR28" s="5" t="str">
        <f t="shared" si="144"/>
        <v>NO APLICA</v>
      </c>
      <c r="LS28" s="6"/>
      <c r="LT28" s="6"/>
      <c r="LU28" s="4"/>
      <c r="LV28" s="8"/>
      <c r="LW28" s="5" t="str">
        <f t="shared" si="145"/>
        <v>NO APLICA</v>
      </c>
      <c r="LX28" s="6"/>
      <c r="LY28" s="6"/>
      <c r="LZ28" s="4"/>
      <c r="MA28" s="8"/>
      <c r="MB28" s="5" t="str">
        <f t="shared" si="146"/>
        <v>NO APLICA</v>
      </c>
      <c r="MC28" s="2"/>
      <c r="MD28" s="2"/>
      <c r="ME28" s="4"/>
      <c r="MF28" s="8"/>
      <c r="MG28" s="5" t="str">
        <f t="shared" si="108"/>
        <v>NO APLICA</v>
      </c>
      <c r="MH28" s="2"/>
      <c r="MI28" s="2"/>
      <c r="MJ28" s="4"/>
      <c r="MK28" s="8"/>
      <c r="ML28" s="5" t="str">
        <f t="shared" si="109"/>
        <v>NO APLICA</v>
      </c>
      <c r="MM28" s="5"/>
      <c r="MN28" s="2"/>
      <c r="MO28" s="4"/>
      <c r="MP28" s="8"/>
      <c r="MQ28" s="5" t="str">
        <f t="shared" si="110"/>
        <v>NO APLICA</v>
      </c>
      <c r="MR28" s="5"/>
      <c r="MS28" s="2"/>
      <c r="MT28" s="4"/>
      <c r="MU28" s="2"/>
      <c r="MV28" s="5" t="str">
        <f t="shared" si="111"/>
        <v>NO APLICA</v>
      </c>
      <c r="MW28" s="2"/>
      <c r="MX28" s="6"/>
      <c r="MY28" s="4"/>
      <c r="MZ28" s="8"/>
      <c r="NA28" s="5" t="str">
        <f t="shared" si="112"/>
        <v>NO APLICA</v>
      </c>
      <c r="NB28" s="2"/>
      <c r="NC28" s="6"/>
      <c r="ND28" s="4"/>
      <c r="NE28" s="8"/>
      <c r="NF28" s="5" t="str">
        <f t="shared" si="113"/>
        <v>NO APLICA</v>
      </c>
      <c r="NG28" s="2"/>
      <c r="NH28" s="6"/>
      <c r="NI28" s="4"/>
      <c r="NJ28" s="8"/>
      <c r="NK28" s="5" t="str">
        <f t="shared" si="114"/>
        <v>NO APLICA</v>
      </c>
      <c r="NL28" s="2"/>
      <c r="NM28" s="2"/>
      <c r="NN28" s="4"/>
      <c r="NO28" s="2"/>
      <c r="NP28" s="5" t="str">
        <f t="shared" si="115"/>
        <v>NO APLICA</v>
      </c>
      <c r="NQ28" s="2"/>
      <c r="NR28" s="2"/>
      <c r="NS28" s="4"/>
      <c r="NT28" s="2"/>
      <c r="NU28" s="5" t="str">
        <f t="shared" si="116"/>
        <v>NO APLICA</v>
      </c>
      <c r="NV28" s="6"/>
      <c r="NW28" s="6"/>
      <c r="NX28" s="4"/>
      <c r="NY28" s="8"/>
      <c r="NZ28" s="5" t="str">
        <f t="shared" si="117"/>
        <v>NO APLICA</v>
      </c>
      <c r="OA28" s="6"/>
      <c r="OB28" s="6"/>
      <c r="OC28" s="6"/>
      <c r="OD28" s="6"/>
      <c r="OE28" s="5" t="str">
        <f t="shared" si="118"/>
        <v>NO APLICA</v>
      </c>
      <c r="OF28" s="6"/>
      <c r="OG28" s="6"/>
      <c r="OH28" s="4"/>
      <c r="OI28" s="8"/>
      <c r="OJ28" s="5" t="str">
        <f t="shared" si="119"/>
        <v>NO APLICA</v>
      </c>
      <c r="OK28" s="6"/>
      <c r="OL28" s="6"/>
      <c r="OM28" s="6"/>
      <c r="ON28" s="6"/>
      <c r="OO28" s="5" t="str">
        <f t="shared" si="120"/>
        <v>NO APLICA</v>
      </c>
      <c r="OP28" s="6"/>
      <c r="OQ28" s="6"/>
      <c r="OR28" s="6"/>
      <c r="OS28" s="6"/>
      <c r="OT28" s="5" t="str">
        <f t="shared" si="121"/>
        <v>NO APLICA</v>
      </c>
      <c r="OU28" s="6"/>
      <c r="OV28" s="6"/>
      <c r="OW28" s="6"/>
      <c r="OX28" s="6"/>
      <c r="OY28" s="5" t="str">
        <f t="shared" si="122"/>
        <v>NO APLICA</v>
      </c>
      <c r="OZ28" s="6"/>
      <c r="PA28" s="6"/>
      <c r="PB28" s="6"/>
      <c r="PC28" s="6"/>
      <c r="PD28" s="5" t="str">
        <f t="shared" si="123"/>
        <v>NO APLICA</v>
      </c>
      <c r="PE28" s="6"/>
      <c r="PF28" s="6"/>
      <c r="PG28" s="6"/>
      <c r="PH28" s="6"/>
      <c r="PI28" s="5" t="str">
        <f t="shared" si="124"/>
        <v>NO APLICA</v>
      </c>
      <c r="PJ28" s="5"/>
      <c r="PK28" s="6"/>
      <c r="PL28" s="4"/>
      <c r="PM28" s="8"/>
      <c r="PN28" s="5" t="str">
        <f t="shared" si="125"/>
        <v>NO APLICA</v>
      </c>
      <c r="PO28" s="6"/>
      <c r="PP28" s="6"/>
      <c r="PQ28" s="6"/>
      <c r="PR28" s="6"/>
      <c r="PS28" s="5" t="str">
        <f t="shared" si="126"/>
        <v>NO APLICA</v>
      </c>
      <c r="PT28" s="5"/>
      <c r="PU28" s="6"/>
      <c r="PV28" s="6"/>
      <c r="PW28" s="6"/>
      <c r="PX28" s="5" t="str">
        <f t="shared" si="127"/>
        <v>NO APLICA</v>
      </c>
    </row>
    <row r="29" spans="1:440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656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154</v>
      </c>
      <c r="V29" s="4">
        <v>44932</v>
      </c>
      <c r="W29" s="4">
        <f t="shared" si="2"/>
        <v>46758</v>
      </c>
      <c r="X29" s="8">
        <f t="shared" ca="1" si="3"/>
        <v>624</v>
      </c>
      <c r="Y29" s="5" t="str">
        <f t="shared" ca="1" si="4"/>
        <v>VIGENTE</v>
      </c>
      <c r="Z29" s="2"/>
      <c r="AA29" s="6"/>
      <c r="AB29" s="4"/>
      <c r="AC29" s="8"/>
      <c r="AD29" s="5" t="str">
        <f t="shared" si="7"/>
        <v>NO APLICA</v>
      </c>
      <c r="AE29" s="3"/>
      <c r="AF29" s="4">
        <v>45680</v>
      </c>
      <c r="AG29" s="4">
        <f>DATE(YEAR(AF29)+2,MONTH(AF29),DAY(AF29)-1)</f>
        <v>46409</v>
      </c>
      <c r="AH29" s="8">
        <f t="shared" ca="1" si="8"/>
        <v>275</v>
      </c>
      <c r="AI29" s="5" t="str">
        <f t="shared" ca="1" si="9"/>
        <v>VIGENTE</v>
      </c>
      <c r="AJ29" s="3"/>
      <c r="AK29" s="4">
        <v>45602</v>
      </c>
      <c r="AL29" s="4">
        <f>DATE(YEAR(AK29)+2,MONTH(AK29),DAY(AK29)-1)</f>
        <v>46331</v>
      </c>
      <c r="AM29" s="8">
        <f t="shared" ca="1" si="10"/>
        <v>197</v>
      </c>
      <c r="AN29" s="5" t="str">
        <f t="shared" ca="1" si="11"/>
        <v>VIGENTE</v>
      </c>
      <c r="AO29" s="3"/>
      <c r="AP29" s="4">
        <v>45591</v>
      </c>
      <c r="AQ29" s="4">
        <f>DATE(YEAR(AP29)+2,MONTH(AP29),DAY(AP29)-1)</f>
        <v>46320</v>
      </c>
      <c r="AR29" s="8">
        <f t="shared" ca="1" si="12"/>
        <v>186</v>
      </c>
      <c r="AS29" s="5" t="str">
        <f t="shared" ca="1" si="13"/>
        <v>VIGENTE</v>
      </c>
      <c r="AT29" s="3"/>
      <c r="AU29" s="4">
        <v>45496</v>
      </c>
      <c r="AV29" s="4">
        <f>DATE(YEAR(AU29)+2,MONTH(AU29),DAY(AU29)-1)</f>
        <v>46225</v>
      </c>
      <c r="AW29" s="8">
        <f t="shared" ca="1" si="15"/>
        <v>91</v>
      </c>
      <c r="AX29" s="5" t="str">
        <f t="shared" ca="1" si="16"/>
        <v>VIGENTE</v>
      </c>
      <c r="AY29" s="3"/>
      <c r="AZ29" s="4">
        <v>45534</v>
      </c>
      <c r="BA29" s="4">
        <f>DATE(YEAR(AZ29)+2,MONTH(AZ29),DAY(AZ29)-1)</f>
        <v>46263</v>
      </c>
      <c r="BB29" s="8">
        <f t="shared" ca="1" si="17"/>
        <v>129</v>
      </c>
      <c r="BC29" s="5" t="str">
        <f t="shared" ca="1" si="18"/>
        <v>VIGENTE</v>
      </c>
      <c r="BD29" s="3"/>
      <c r="BE29" s="4">
        <v>45698</v>
      </c>
      <c r="BF29" s="4">
        <f>DATE(YEAR(BE29)+2,MONTH(BE29),DAY(BE29)-1)</f>
        <v>46427</v>
      </c>
      <c r="BG29" s="8">
        <f t="shared" ca="1" si="19"/>
        <v>293</v>
      </c>
      <c r="BH29" s="5" t="str">
        <f t="shared" ca="1" si="20"/>
        <v>VIGENTE</v>
      </c>
      <c r="BI29" s="3"/>
      <c r="BJ29" s="4">
        <v>45600</v>
      </c>
      <c r="BK29" s="4">
        <f>DATE(YEAR(BJ29)+2,MONTH(BJ29),DAY(BJ29)-1)</f>
        <v>46329</v>
      </c>
      <c r="BL29" s="8">
        <f t="shared" ca="1" si="21"/>
        <v>195</v>
      </c>
      <c r="BM29" s="5" t="str">
        <f t="shared" ca="1" si="22"/>
        <v>VIGENTE</v>
      </c>
      <c r="BN29" s="3"/>
      <c r="BO29" s="4">
        <v>45604</v>
      </c>
      <c r="BP29" s="4">
        <f>DATE(YEAR(BO29)+2,MONTH(BO29),DAY(BO29)-1)</f>
        <v>46333</v>
      </c>
      <c r="BQ29" s="8">
        <f t="shared" ca="1" si="23"/>
        <v>199</v>
      </c>
      <c r="BR29" s="5" t="str">
        <f t="shared" ca="1" si="24"/>
        <v>VIGENTE</v>
      </c>
      <c r="BS29" s="2"/>
      <c r="BT29" s="4">
        <v>45736</v>
      </c>
      <c r="BU29" s="4">
        <f t="shared" si="190"/>
        <v>46465</v>
      </c>
      <c r="BV29" s="8">
        <f t="shared" ca="1" si="25"/>
        <v>331</v>
      </c>
      <c r="BW29" s="5" t="str">
        <f t="shared" ca="1" si="26"/>
        <v>VIGENTE</v>
      </c>
      <c r="BX29" s="3"/>
      <c r="BY29" s="4">
        <v>45629</v>
      </c>
      <c r="BZ29" s="4">
        <f>DATE(YEAR(BY29)+2,MONTH(BY29),DAY(BY29)-1)</f>
        <v>46358</v>
      </c>
      <c r="CA29" s="8">
        <f t="shared" ca="1" si="27"/>
        <v>224</v>
      </c>
      <c r="CB29" s="5" t="str">
        <f t="shared" ca="1" si="28"/>
        <v>VIGENTE</v>
      </c>
      <c r="CC29" s="6" t="s">
        <v>68</v>
      </c>
      <c r="CD29" s="4">
        <v>45832</v>
      </c>
      <c r="CE29" s="4">
        <f t="shared" si="29"/>
        <v>47293</v>
      </c>
      <c r="CF29" s="8">
        <f t="shared" ca="1" si="30"/>
        <v>1159</v>
      </c>
      <c r="CG29" s="5" t="str">
        <f t="shared" ca="1" si="31"/>
        <v>VIGENTE</v>
      </c>
      <c r="CH29" s="4"/>
      <c r="CI29" s="4">
        <v>45688</v>
      </c>
      <c r="CJ29" s="4">
        <f>DATE(YEAR(CI29)+2,MONTH(CI29),DAY(CI29)-1)</f>
        <v>46417</v>
      </c>
      <c r="CK29" s="8">
        <f t="shared" ca="1" si="32"/>
        <v>283</v>
      </c>
      <c r="CL29" s="5" t="str">
        <f t="shared" ca="1" si="33"/>
        <v>VIGENTE</v>
      </c>
      <c r="CM29" s="3"/>
      <c r="CN29" s="4">
        <v>45684</v>
      </c>
      <c r="CO29" s="4">
        <f>DATE(YEAR(CN29)+2,MONTH(CN29),DAY(CN29)-1)</f>
        <v>46413</v>
      </c>
      <c r="CP29" s="8">
        <f t="shared" ca="1" si="34"/>
        <v>279</v>
      </c>
      <c r="CQ29" s="5" t="str">
        <f t="shared" ca="1" si="35"/>
        <v>VIGENTE</v>
      </c>
      <c r="CR29" s="3"/>
      <c r="CS29" s="4">
        <v>45624</v>
      </c>
      <c r="CT29" s="4">
        <f>DATE(YEAR(CS29)+2,MONTH(CS29),DAY(CS29)-1)</f>
        <v>46353</v>
      </c>
      <c r="CU29" s="8">
        <f t="shared" ca="1" si="36"/>
        <v>219</v>
      </c>
      <c r="CV29" s="5" t="str">
        <f t="shared" ca="1" si="37"/>
        <v>VIGENTE</v>
      </c>
      <c r="CW29" s="3"/>
      <c r="CX29" s="4">
        <v>45665</v>
      </c>
      <c r="CY29" s="4">
        <f>DATE(YEAR(CX29)+2,MONTH(CX29),DAY(CX29)-1)</f>
        <v>46394</v>
      </c>
      <c r="CZ29" s="8">
        <f t="shared" ca="1" si="38"/>
        <v>260</v>
      </c>
      <c r="DA29" s="5" t="str">
        <f t="shared" ca="1" si="39"/>
        <v>VIGENTE</v>
      </c>
      <c r="DB29" s="3"/>
      <c r="DC29" s="4">
        <v>45689</v>
      </c>
      <c r="DD29" s="4">
        <f t="shared" si="193"/>
        <v>46418</v>
      </c>
      <c r="DE29" s="8">
        <f t="shared" ca="1" si="40"/>
        <v>284</v>
      </c>
      <c r="DF29" s="5" t="str">
        <f t="shared" ca="1" si="41"/>
        <v>VIGENTE</v>
      </c>
      <c r="DG29" s="3"/>
      <c r="DH29" s="4">
        <v>45497</v>
      </c>
      <c r="DI29" s="4">
        <f>DATE(YEAR(DH29)+2,MONTH(DH29),DAY(DH29)-1)</f>
        <v>46226</v>
      </c>
      <c r="DJ29" s="8">
        <f t="shared" ca="1" si="43"/>
        <v>92</v>
      </c>
      <c r="DK29" s="5" t="str">
        <f t="shared" ca="1" si="44"/>
        <v>VIGENTE</v>
      </c>
      <c r="DL29" s="3"/>
      <c r="DM29" s="4">
        <v>45577</v>
      </c>
      <c r="DN29" s="4">
        <f>DATE(YEAR(DM29)+2,MONTH(DM29),DAY(DM29)-1)</f>
        <v>46306</v>
      </c>
      <c r="DO29" s="8">
        <f t="shared" ca="1" si="46"/>
        <v>172</v>
      </c>
      <c r="DP29" s="5" t="str">
        <f t="shared" ca="1" si="47"/>
        <v>VIGENTE</v>
      </c>
      <c r="DQ29" s="3"/>
      <c r="DR29" s="4">
        <v>45625</v>
      </c>
      <c r="DS29" s="4">
        <f>DATE(YEAR(DR29)+2,MONTH(DR29),DAY(DR29)-1)</f>
        <v>46354</v>
      </c>
      <c r="DT29" s="8">
        <f t="shared" ca="1" si="48"/>
        <v>220</v>
      </c>
      <c r="DU29" s="5" t="str">
        <f t="shared" ca="1" si="49"/>
        <v>VIGENTE</v>
      </c>
      <c r="DV29" s="3"/>
      <c r="DW29" s="4">
        <v>45612</v>
      </c>
      <c r="DX29" s="4">
        <f>DATE(YEAR(DW29)+2,MONTH(DW29),DAY(DW29)-1)</f>
        <v>46341</v>
      </c>
      <c r="DY29" s="8">
        <f t="shared" ca="1" si="50"/>
        <v>207</v>
      </c>
      <c r="DZ29" s="5" t="str">
        <f t="shared" ca="1" si="51"/>
        <v>VIGENTE</v>
      </c>
      <c r="EA29" s="3"/>
      <c r="EB29" s="4">
        <v>45674</v>
      </c>
      <c r="EC29" s="4">
        <f>DATE(YEAR(EB29)+2,MONTH(EB29),DAY(EB29)-1)</f>
        <v>46403</v>
      </c>
      <c r="ED29" s="8">
        <f t="shared" ca="1" si="52"/>
        <v>269</v>
      </c>
      <c r="EE29" s="5" t="str">
        <f t="shared" ca="1" si="53"/>
        <v>VIGENTE</v>
      </c>
      <c r="EF29" s="3"/>
      <c r="EG29" s="3">
        <v>46085</v>
      </c>
      <c r="EH29" s="4">
        <f t="shared" si="137"/>
        <v>46450</v>
      </c>
      <c r="EI29" s="8">
        <f t="shared" ca="1" si="54"/>
        <v>316</v>
      </c>
      <c r="EJ29" s="5" t="str">
        <f t="shared" ca="1" si="55"/>
        <v>VIGENTE</v>
      </c>
      <c r="EK29" s="3"/>
      <c r="EL29" s="3">
        <v>45596</v>
      </c>
      <c r="EM29" s="4">
        <f>DATE(YEAR(EL29)+2,MONTH(EL29),DAY(EL29)-1)</f>
        <v>46325</v>
      </c>
      <c r="EN29" s="8">
        <f t="shared" ca="1" si="56"/>
        <v>191</v>
      </c>
      <c r="EO29" s="5" t="str">
        <f t="shared" ca="1" si="57"/>
        <v>VIGENTE</v>
      </c>
      <c r="EP29" s="2"/>
      <c r="EQ29" s="4">
        <v>45735</v>
      </c>
      <c r="ER29" s="4">
        <f>DATE(YEAR(EQ29)+2,MONTH(EQ29),DAY(EQ29)-1)</f>
        <v>46464</v>
      </c>
      <c r="ES29" s="8">
        <f t="shared" ca="1" si="58"/>
        <v>330</v>
      </c>
      <c r="ET29" s="5" t="str">
        <f t="shared" ca="1" si="59"/>
        <v>VIGENTE</v>
      </c>
      <c r="EU29" s="3"/>
      <c r="EV29" s="4">
        <v>45610</v>
      </c>
      <c r="EW29" s="4">
        <f>DATE(YEAR(EV29)+2,MONTH(EV29),DAY(EV29)-1)</f>
        <v>46339</v>
      </c>
      <c r="EX29" s="8">
        <f t="shared" ca="1" si="60"/>
        <v>205</v>
      </c>
      <c r="EY29" s="5" t="str">
        <f t="shared" ca="1" si="61"/>
        <v>VIGENTE</v>
      </c>
      <c r="EZ29" s="3"/>
      <c r="FA29" s="4">
        <v>45666</v>
      </c>
      <c r="FB29" s="4">
        <f>DATE(YEAR(FA29)+2,MONTH(FA29),DAY(FA29)-1)</f>
        <v>46395</v>
      </c>
      <c r="FC29" s="8">
        <f t="shared" ca="1" si="62"/>
        <v>261</v>
      </c>
      <c r="FD29" s="5" t="str">
        <f t="shared" ca="1" si="63"/>
        <v>VIGENTE</v>
      </c>
      <c r="FE29" s="3"/>
      <c r="FF29" s="4">
        <v>45668</v>
      </c>
      <c r="FG29" s="4">
        <f>DATE(YEAR(FF29)+2,MONTH(FF29),DAY(FF29)-1)</f>
        <v>46397</v>
      </c>
      <c r="FH29" s="8">
        <f t="shared" ca="1" si="64"/>
        <v>263</v>
      </c>
      <c r="FI29" s="5" t="str">
        <f t="shared" ca="1" si="65"/>
        <v>VIGENTE</v>
      </c>
      <c r="FJ29" s="3"/>
      <c r="FK29" s="4">
        <v>45738</v>
      </c>
      <c r="FL29" s="4">
        <f>DATE(YEAR(FK29)+2,MONTH(FK29),DAY(FK29)-1)</f>
        <v>46467</v>
      </c>
      <c r="FM29" s="8">
        <f t="shared" ca="1" si="67"/>
        <v>333</v>
      </c>
      <c r="FN29" s="5" t="str">
        <f t="shared" ca="1" si="68"/>
        <v>VIGENTE</v>
      </c>
      <c r="FO29" s="3"/>
      <c r="FP29" s="4">
        <v>45664</v>
      </c>
      <c r="FQ29" s="4">
        <f t="shared" si="195"/>
        <v>46393</v>
      </c>
      <c r="FR29" s="8">
        <f t="shared" ca="1" si="69"/>
        <v>259</v>
      </c>
      <c r="FS29" s="5" t="str">
        <f t="shared" ca="1" si="70"/>
        <v>VIGENTE</v>
      </c>
      <c r="FT29" s="3"/>
      <c r="FU29" s="4">
        <v>45587</v>
      </c>
      <c r="FV29" s="4">
        <f>DATE(YEAR(FU29)+2,MONTH(FU29),DAY(FU29)-1)</f>
        <v>46316</v>
      </c>
      <c r="FW29" s="8">
        <f t="shared" ca="1" si="71"/>
        <v>182</v>
      </c>
      <c r="FX29" s="5" t="str">
        <f t="shared" ca="1" si="72"/>
        <v>VIGENTE</v>
      </c>
      <c r="FY29" s="3"/>
      <c r="FZ29" s="4">
        <v>45595</v>
      </c>
      <c r="GA29" s="4">
        <f>DATE(YEAR(FZ29)+2,MONTH(FZ29),DAY(FZ29)-1)</f>
        <v>46324</v>
      </c>
      <c r="GB29" s="8">
        <f t="shared" ca="1" si="73"/>
        <v>190</v>
      </c>
      <c r="GC29" s="5" t="str">
        <f t="shared" ca="1" si="74"/>
        <v>VIGENTE</v>
      </c>
      <c r="GD29" s="3"/>
      <c r="GE29" s="4">
        <v>45579</v>
      </c>
      <c r="GF29" s="4">
        <f t="shared" si="194"/>
        <v>46308</v>
      </c>
      <c r="GG29" s="8">
        <f t="shared" ca="1" si="75"/>
        <v>174</v>
      </c>
      <c r="GH29" s="5" t="str">
        <f t="shared" ca="1" si="76"/>
        <v>VIGENTE</v>
      </c>
      <c r="GI29" s="3"/>
      <c r="GJ29" s="4">
        <v>45608</v>
      </c>
      <c r="GK29" s="4">
        <f>DATE(YEAR(GJ29)+2,MONTH(GJ29),DAY(GJ29)-1)</f>
        <v>46337</v>
      </c>
      <c r="GL29" s="8">
        <f t="shared" ca="1" si="77"/>
        <v>203</v>
      </c>
      <c r="GM29" s="5" t="str">
        <f t="shared" ca="1" si="78"/>
        <v>VIGENTE</v>
      </c>
      <c r="GN29" s="4"/>
      <c r="GO29" s="4">
        <v>45495</v>
      </c>
      <c r="GP29" s="4">
        <f t="shared" si="79"/>
        <v>47321</v>
      </c>
      <c r="GQ29" s="8">
        <f t="shared" ca="1" si="181"/>
        <v>1187</v>
      </c>
      <c r="GR29" s="5" t="str">
        <f t="shared" ca="1" si="81"/>
        <v>VIGENTE</v>
      </c>
      <c r="GS29" s="3"/>
      <c r="GT29" s="4">
        <v>44984</v>
      </c>
      <c r="GU29" s="4">
        <f t="shared" si="82"/>
        <v>46810</v>
      </c>
      <c r="GV29" s="8">
        <f t="shared" ca="1" si="83"/>
        <v>676</v>
      </c>
      <c r="GW29" s="5" t="str">
        <f t="shared" ca="1" si="84"/>
        <v>VIGENTE</v>
      </c>
      <c r="GX29" s="2"/>
      <c r="GY29" s="4">
        <v>45016</v>
      </c>
      <c r="GZ29" s="4">
        <f t="shared" si="85"/>
        <v>46843</v>
      </c>
      <c r="HA29" s="8">
        <f t="shared" ca="1" si="86"/>
        <v>709</v>
      </c>
      <c r="HB29" s="5" t="str">
        <f t="shared" ca="1" si="87"/>
        <v>VIGENTE</v>
      </c>
      <c r="HC29" s="6"/>
      <c r="HD29" s="6"/>
      <c r="HE29" s="4"/>
      <c r="HF29" s="8"/>
      <c r="HG29" s="5" t="str">
        <f t="shared" si="192"/>
        <v>NO APLICA</v>
      </c>
      <c r="HH29" s="2"/>
      <c r="HI29" s="6"/>
      <c r="HJ29" s="4"/>
      <c r="HK29" s="8"/>
      <c r="HL29" s="5" t="str">
        <f t="shared" si="91"/>
        <v>NO APLICA</v>
      </c>
      <c r="HM29" s="2"/>
      <c r="HN29" s="2"/>
      <c r="HO29" s="4"/>
      <c r="HP29" s="2"/>
      <c r="HQ29" s="5" t="str">
        <f t="shared" si="92"/>
        <v>NO APLICA</v>
      </c>
      <c r="HR29" s="2"/>
      <c r="HS29" s="6"/>
      <c r="HT29" s="4"/>
      <c r="HU29" s="8"/>
      <c r="HV29" s="5" t="str">
        <f t="shared" si="93"/>
        <v>NO APLICA</v>
      </c>
      <c r="HW29" s="2"/>
      <c r="HX29" s="6"/>
      <c r="HY29" s="4"/>
      <c r="HZ29" s="8"/>
      <c r="IA29" s="5" t="str">
        <f t="shared" si="94"/>
        <v>NO APLICA</v>
      </c>
      <c r="IB29" s="2"/>
      <c r="IC29" s="6"/>
      <c r="ID29" s="4"/>
      <c r="IE29" s="8"/>
      <c r="IF29" s="5" t="str">
        <f t="shared" si="95"/>
        <v>NO APLICA</v>
      </c>
      <c r="IG29" s="6"/>
      <c r="IH29" s="6"/>
      <c r="II29" s="4"/>
      <c r="IJ29" s="8"/>
      <c r="IK29" s="5" t="str">
        <f t="shared" si="96"/>
        <v>NO APLICA</v>
      </c>
      <c r="IL29" s="2"/>
      <c r="IM29" s="6"/>
      <c r="IN29" s="4"/>
      <c r="IO29" s="8"/>
      <c r="IP29" s="5" t="str">
        <f t="shared" si="97"/>
        <v>NO APLICA</v>
      </c>
      <c r="IQ29" s="2"/>
      <c r="IR29" s="6"/>
      <c r="IS29" s="4"/>
      <c r="IT29" s="8"/>
      <c r="IU29" s="5" t="str">
        <f t="shared" si="98"/>
        <v>NO APLICA</v>
      </c>
      <c r="IV29" s="2"/>
      <c r="IW29" s="6"/>
      <c r="IX29" s="4"/>
      <c r="IY29" s="8"/>
      <c r="IZ29" s="5" t="str">
        <f t="shared" si="99"/>
        <v>NO APLICA</v>
      </c>
      <c r="JA29" s="3"/>
      <c r="JB29" s="3"/>
      <c r="JC29" s="4"/>
      <c r="JD29" s="8"/>
      <c r="JE29" s="5" t="str">
        <f t="shared" si="100"/>
        <v>NO APLICA</v>
      </c>
      <c r="JF29" s="6"/>
      <c r="JG29" s="6"/>
      <c r="JH29" s="6"/>
      <c r="JI29" s="6"/>
      <c r="JJ29" s="5" t="str">
        <f t="shared" si="101"/>
        <v>NO APLICA</v>
      </c>
      <c r="JK29" s="6"/>
      <c r="JL29" s="6"/>
      <c r="JM29" s="6"/>
      <c r="JN29" s="6"/>
      <c r="JO29" s="5" t="str">
        <f t="shared" si="102"/>
        <v>NO APLICA</v>
      </c>
      <c r="JP29" s="6"/>
      <c r="JQ29" s="6"/>
      <c r="JR29" s="6"/>
      <c r="JS29" s="6"/>
      <c r="JT29" s="5" t="str">
        <f t="shared" si="103"/>
        <v>NO APLICA</v>
      </c>
      <c r="JU29" s="5"/>
      <c r="JV29" s="5"/>
      <c r="JW29" s="5"/>
      <c r="JX29" s="5"/>
      <c r="JY29" s="5" t="str">
        <f t="shared" si="104"/>
        <v>NO APLICA</v>
      </c>
      <c r="JZ29" s="5"/>
      <c r="KA29" s="2"/>
      <c r="KB29" s="4"/>
      <c r="KC29" s="8"/>
      <c r="KD29" s="5" t="str">
        <f t="shared" si="105"/>
        <v>NO APLICA</v>
      </c>
      <c r="KE29" s="5"/>
      <c r="KF29" s="2"/>
      <c r="KG29" s="4"/>
      <c r="KH29" s="8"/>
      <c r="KI29" s="5" t="str">
        <f t="shared" si="141"/>
        <v>NO APLICA</v>
      </c>
      <c r="KJ29" s="5"/>
      <c r="KK29" s="2"/>
      <c r="KL29" s="4"/>
      <c r="KM29" s="8"/>
      <c r="KN29" s="5" t="str">
        <f t="shared" si="106"/>
        <v>NO APLICA</v>
      </c>
      <c r="KO29" s="5"/>
      <c r="KP29" s="2"/>
      <c r="KQ29" s="4"/>
      <c r="KR29" s="8"/>
      <c r="KS29" s="5" t="str">
        <f t="shared" si="142"/>
        <v>NO APLICA</v>
      </c>
      <c r="KT29" s="2"/>
      <c r="KU29" s="6"/>
      <c r="KV29" s="4"/>
      <c r="KW29" s="8"/>
      <c r="KX29" s="5" t="str">
        <f t="shared" si="156"/>
        <v>NO APLICA</v>
      </c>
      <c r="KY29" s="5"/>
      <c r="KZ29" s="6"/>
      <c r="LA29" s="4"/>
      <c r="LB29" s="8"/>
      <c r="LC29" s="5" t="str">
        <f t="shared" si="143"/>
        <v>NO APLICA</v>
      </c>
      <c r="LD29" s="6"/>
      <c r="LE29" s="6"/>
      <c r="LF29" s="4"/>
      <c r="LG29" s="8"/>
      <c r="LH29" s="5" t="str">
        <f t="shared" si="107"/>
        <v>NO APLICA</v>
      </c>
      <c r="LI29" s="5"/>
      <c r="LJ29" s="5"/>
      <c r="LK29" s="4"/>
      <c r="LL29" s="8"/>
      <c r="LM29" s="5" t="str">
        <f t="shared" si="157"/>
        <v>NO APLICA</v>
      </c>
      <c r="LN29" s="2"/>
      <c r="LO29" s="6"/>
      <c r="LP29" s="4"/>
      <c r="LQ29" s="8"/>
      <c r="LR29" s="5" t="str">
        <f t="shared" si="144"/>
        <v>NO APLICA</v>
      </c>
      <c r="LS29" s="6"/>
      <c r="LT29" s="6"/>
      <c r="LU29" s="4"/>
      <c r="LV29" s="8"/>
      <c r="LW29" s="5" t="str">
        <f t="shared" si="145"/>
        <v>NO APLICA</v>
      </c>
      <c r="LX29" s="6"/>
      <c r="LY29" s="6"/>
      <c r="LZ29" s="4"/>
      <c r="MA29" s="8"/>
      <c r="MB29" s="5" t="str">
        <f t="shared" si="146"/>
        <v>NO APLICA</v>
      </c>
      <c r="MC29" s="2"/>
      <c r="MD29" s="2"/>
      <c r="ME29" s="4"/>
      <c r="MF29" s="8"/>
      <c r="MG29" s="5" t="str">
        <f t="shared" si="108"/>
        <v>NO APLICA</v>
      </c>
      <c r="MH29" s="2"/>
      <c r="MI29" s="2"/>
      <c r="MJ29" s="4"/>
      <c r="MK29" s="8"/>
      <c r="ML29" s="5" t="str">
        <f t="shared" si="109"/>
        <v>NO APLICA</v>
      </c>
      <c r="MM29" s="5"/>
      <c r="MN29" s="2"/>
      <c r="MO29" s="4"/>
      <c r="MP29" s="8"/>
      <c r="MQ29" s="5" t="str">
        <f t="shared" si="110"/>
        <v>NO APLICA</v>
      </c>
      <c r="MR29" s="5"/>
      <c r="MS29" s="2"/>
      <c r="MT29" s="4"/>
      <c r="MU29" s="2"/>
      <c r="MV29" s="5" t="str">
        <f t="shared" si="111"/>
        <v>NO APLICA</v>
      </c>
      <c r="MW29" s="2"/>
      <c r="MX29" s="6"/>
      <c r="MY29" s="4"/>
      <c r="MZ29" s="8"/>
      <c r="NA29" s="5" t="str">
        <f t="shared" si="112"/>
        <v>NO APLICA</v>
      </c>
      <c r="NB29" s="2"/>
      <c r="NC29" s="6"/>
      <c r="ND29" s="4"/>
      <c r="NE29" s="8"/>
      <c r="NF29" s="5" t="str">
        <f t="shared" si="113"/>
        <v>NO APLICA</v>
      </c>
      <c r="NG29" s="2"/>
      <c r="NH29" s="6"/>
      <c r="NI29" s="4"/>
      <c r="NJ29" s="8"/>
      <c r="NK29" s="5" t="str">
        <f t="shared" si="114"/>
        <v>NO APLICA</v>
      </c>
      <c r="NL29" s="2"/>
      <c r="NM29" s="2"/>
      <c r="NN29" s="4"/>
      <c r="NO29" s="8"/>
      <c r="NP29" s="5" t="str">
        <f t="shared" si="115"/>
        <v>NO APLICA</v>
      </c>
      <c r="NQ29" s="2"/>
      <c r="NR29" s="2"/>
      <c r="NS29" s="4"/>
      <c r="NT29" s="2"/>
      <c r="NU29" s="5" t="str">
        <f t="shared" si="116"/>
        <v>NO APLICA</v>
      </c>
      <c r="NV29" s="6"/>
      <c r="NW29" s="6"/>
      <c r="NX29" s="4"/>
      <c r="NY29" s="8"/>
      <c r="NZ29" s="5" t="str">
        <f t="shared" si="117"/>
        <v>NO APLICA</v>
      </c>
      <c r="OA29" s="6"/>
      <c r="OB29" s="6"/>
      <c r="OC29" s="6"/>
      <c r="OD29" s="6"/>
      <c r="OE29" s="5" t="str">
        <f t="shared" si="118"/>
        <v>NO APLICA</v>
      </c>
      <c r="OF29" s="6"/>
      <c r="OG29" s="6"/>
      <c r="OH29" s="4"/>
      <c r="OI29" s="8"/>
      <c r="OJ29" s="5" t="str">
        <f t="shared" si="119"/>
        <v>NO APLICA</v>
      </c>
      <c r="OK29" s="6"/>
      <c r="OL29" s="6"/>
      <c r="OM29" s="6"/>
      <c r="ON29" s="6"/>
      <c r="OO29" s="5" t="str">
        <f t="shared" si="120"/>
        <v>NO APLICA</v>
      </c>
      <c r="OP29" s="6"/>
      <c r="OQ29" s="6"/>
      <c r="OR29" s="6"/>
      <c r="OS29" s="6"/>
      <c r="OT29" s="5" t="str">
        <f t="shared" si="121"/>
        <v>NO APLICA</v>
      </c>
      <c r="OU29" s="6"/>
      <c r="OV29" s="6"/>
      <c r="OW29" s="6"/>
      <c r="OX29" s="6"/>
      <c r="OY29" s="5" t="str">
        <f t="shared" si="122"/>
        <v>NO APLICA</v>
      </c>
      <c r="OZ29" s="6"/>
      <c r="PA29" s="6"/>
      <c r="PB29" s="6"/>
      <c r="PC29" s="6"/>
      <c r="PD29" s="5" t="str">
        <f t="shared" si="123"/>
        <v>NO APLICA</v>
      </c>
      <c r="PE29" s="6"/>
      <c r="PF29" s="6"/>
      <c r="PG29" s="6"/>
      <c r="PH29" s="6"/>
      <c r="PI29" s="5" t="str">
        <f t="shared" si="124"/>
        <v>NO APLICA</v>
      </c>
      <c r="PJ29" s="5"/>
      <c r="PK29" s="6"/>
      <c r="PL29" s="4"/>
      <c r="PM29" s="8"/>
      <c r="PN29" s="5" t="str">
        <f t="shared" si="125"/>
        <v>NO APLICA</v>
      </c>
      <c r="PO29" s="6"/>
      <c r="PP29" s="6"/>
      <c r="PQ29" s="6"/>
      <c r="PR29" s="6"/>
      <c r="PS29" s="5" t="str">
        <f t="shared" si="126"/>
        <v>NO APLICA</v>
      </c>
      <c r="PT29" s="5"/>
      <c r="PU29" s="6"/>
      <c r="PV29" s="6"/>
      <c r="PW29" s="6"/>
      <c r="PX29" s="5" t="str">
        <f t="shared" si="127"/>
        <v>NO APLICA</v>
      </c>
    </row>
    <row r="30" spans="1:440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192</v>
      </c>
      <c r="T30" s="5" t="str">
        <f t="shared" ca="1" si="128"/>
        <v>VIGENTE</v>
      </c>
      <c r="U30" s="2" t="s">
        <v>157</v>
      </c>
      <c r="V30" s="4">
        <v>45391</v>
      </c>
      <c r="W30" s="4">
        <f t="shared" si="2"/>
        <v>47217</v>
      </c>
      <c r="X30" s="8">
        <f t="shared" ca="1" si="3"/>
        <v>1083</v>
      </c>
      <c r="Y30" s="5" t="str">
        <f t="shared" ca="1" si="4"/>
        <v>VIGENTE</v>
      </c>
      <c r="Z30" s="2" t="s">
        <v>158</v>
      </c>
      <c r="AA30" s="4">
        <v>44826</v>
      </c>
      <c r="AB30" s="4">
        <f t="shared" ref="AB30:AB35" si="196">DATE(YEAR(AA30)+5,MONTH(AA30),DAY(AA30))</f>
        <v>46652</v>
      </c>
      <c r="AC30" s="8">
        <f t="shared" ref="AC30:AC35" ca="1" si="197">AB30-TODAY()</f>
        <v>518</v>
      </c>
      <c r="AD30" s="5" t="str">
        <f t="shared" ca="1" si="7"/>
        <v>VIGENTE</v>
      </c>
      <c r="AE30" s="3"/>
      <c r="AF30" s="4">
        <v>45589</v>
      </c>
      <c r="AG30" s="4">
        <f>DATE(YEAR(AF30)+2,MONTH(AF30),DAY(AF30)-1)</f>
        <v>46318</v>
      </c>
      <c r="AH30" s="8">
        <f t="shared" ca="1" si="8"/>
        <v>184</v>
      </c>
      <c r="AI30" s="5" t="str">
        <f t="shared" ca="1" si="9"/>
        <v>VIGENTE</v>
      </c>
      <c r="AJ30" s="3"/>
      <c r="AK30" s="4">
        <v>45926</v>
      </c>
      <c r="AL30" s="4">
        <f t="shared" ref="AL30:AL38" si="198">DATE(YEAR(AK30)+2,MONTH(AK30),DAY(AK30))</f>
        <v>46656</v>
      </c>
      <c r="AM30" s="8">
        <f t="shared" ca="1" si="10"/>
        <v>522</v>
      </c>
      <c r="AN30" s="5" t="str">
        <f t="shared" ca="1" si="11"/>
        <v>VIGENTE</v>
      </c>
      <c r="AO30" s="3"/>
      <c r="AP30" s="4">
        <v>45989</v>
      </c>
      <c r="AQ30" s="4">
        <f>DATE(YEAR(AP30)+2,MONTH(AP30),DAY(AP30))</f>
        <v>46719</v>
      </c>
      <c r="AR30" s="8">
        <f t="shared" ca="1" si="12"/>
        <v>585</v>
      </c>
      <c r="AS30" s="5" t="str">
        <f t="shared" ca="1" si="13"/>
        <v>VIGENTE</v>
      </c>
      <c r="AT30" s="3"/>
      <c r="AU30" s="4">
        <v>45972</v>
      </c>
      <c r="AV30" s="4">
        <f t="shared" ref="AV30:AV38" si="199">DATE(YEAR(AU30)+2,MONTH(AU30),DAY(AU30))</f>
        <v>46702</v>
      </c>
      <c r="AW30" s="8">
        <f t="shared" ca="1" si="15"/>
        <v>568</v>
      </c>
      <c r="AX30" s="5" t="str">
        <f t="shared" ca="1" si="16"/>
        <v>VIGENTE</v>
      </c>
      <c r="AY30" s="3"/>
      <c r="AZ30" s="4">
        <v>46041</v>
      </c>
      <c r="BA30" s="4">
        <f>DATE(YEAR(AZ30)+2,MONTH(AZ30),DAY(AZ30))</f>
        <v>46771</v>
      </c>
      <c r="BB30" s="8">
        <f t="shared" ca="1" si="17"/>
        <v>637</v>
      </c>
      <c r="BC30" s="5" t="str">
        <f t="shared" ca="1" si="18"/>
        <v>VIGENTE</v>
      </c>
      <c r="BD30" s="3"/>
      <c r="BE30" s="4">
        <v>46027</v>
      </c>
      <c r="BF30" s="4">
        <f t="shared" ref="BF30:BF38" si="200">DATE(YEAR(BE30)+2,MONTH(BE30),DAY(BE30))</f>
        <v>46757</v>
      </c>
      <c r="BG30" s="8">
        <f t="shared" ca="1" si="19"/>
        <v>623</v>
      </c>
      <c r="BH30" s="5" t="str">
        <f t="shared" ca="1" si="20"/>
        <v>VIGENTE</v>
      </c>
      <c r="BI30" s="3"/>
      <c r="BJ30" s="4">
        <v>45976</v>
      </c>
      <c r="BK30" s="4">
        <f t="shared" ref="BK30:BK38" si="201">DATE(YEAR(BJ30)+2,MONTH(BJ30),DAY(BJ30))</f>
        <v>46706</v>
      </c>
      <c r="BL30" s="8">
        <f t="shared" ca="1" si="21"/>
        <v>572</v>
      </c>
      <c r="BM30" s="5" t="str">
        <f t="shared" ca="1" si="22"/>
        <v>VIGENTE</v>
      </c>
      <c r="BN30" s="3"/>
      <c r="BO30" s="4">
        <v>45981</v>
      </c>
      <c r="BP30" s="4">
        <f>DATE(YEAR(BO30)+2,MONTH(BO30),DAY(BO30))</f>
        <v>46711</v>
      </c>
      <c r="BQ30" s="8">
        <f t="shared" ca="1" si="23"/>
        <v>577</v>
      </c>
      <c r="BR30" s="5" t="str">
        <f t="shared" ca="1" si="24"/>
        <v>VIGENTE</v>
      </c>
      <c r="BS30" s="3"/>
      <c r="BT30" s="4">
        <v>45449</v>
      </c>
      <c r="BU30" s="4">
        <f t="shared" si="190"/>
        <v>46178</v>
      </c>
      <c r="BV30" s="8">
        <f t="shared" ca="1" si="25"/>
        <v>44</v>
      </c>
      <c r="BW30" s="5" t="str">
        <f t="shared" ca="1" si="26"/>
        <v>POR VENCER</v>
      </c>
      <c r="BX30" s="3"/>
      <c r="BY30" s="4">
        <v>45944</v>
      </c>
      <c r="BZ30" s="4">
        <f>DATE(YEAR(BY30)+2,MONTH(BY30),DAY(BY30))</f>
        <v>46674</v>
      </c>
      <c r="CA30" s="8">
        <f t="shared" ca="1" si="27"/>
        <v>540</v>
      </c>
      <c r="CB30" s="5" t="str">
        <f t="shared" ca="1" si="28"/>
        <v>VIGENTE</v>
      </c>
      <c r="CC30" s="6" t="s">
        <v>73</v>
      </c>
      <c r="CD30" s="4">
        <v>45241</v>
      </c>
      <c r="CE30" s="4">
        <f t="shared" si="29"/>
        <v>46702</v>
      </c>
      <c r="CF30" s="8">
        <f t="shared" ca="1" si="30"/>
        <v>568</v>
      </c>
      <c r="CG30" s="5" t="str">
        <f t="shared" ca="1" si="31"/>
        <v>VIGENTE</v>
      </c>
      <c r="CH30" s="4"/>
      <c r="CI30" s="4">
        <v>45511</v>
      </c>
      <c r="CJ30" s="4">
        <f>DATE(YEAR(CI30)+2,MONTH(CI30),DAY(CI30)-1)</f>
        <v>46240</v>
      </c>
      <c r="CK30" s="8">
        <f t="shared" ca="1" si="32"/>
        <v>106</v>
      </c>
      <c r="CL30" s="5" t="str">
        <f t="shared" ca="1" si="33"/>
        <v>VIGENTE</v>
      </c>
      <c r="CM30" s="3"/>
      <c r="CN30" s="4">
        <v>45888</v>
      </c>
      <c r="CO30" s="4">
        <f>DATE(YEAR(CN30)+2,MONTH(CN30),DAY(CN30))</f>
        <v>46618</v>
      </c>
      <c r="CP30" s="8">
        <f t="shared" ca="1" si="34"/>
        <v>484</v>
      </c>
      <c r="CQ30" s="5" t="str">
        <f t="shared" ca="1" si="35"/>
        <v>VIGENTE</v>
      </c>
      <c r="CR30" s="3"/>
      <c r="CS30" s="4">
        <v>45631</v>
      </c>
      <c r="CT30" s="4">
        <f>DATE(YEAR(CS30)+2,MONTH(CS30),DAY(CS30)-1)</f>
        <v>46360</v>
      </c>
      <c r="CU30" s="8">
        <f t="shared" ca="1" si="36"/>
        <v>226</v>
      </c>
      <c r="CV30" s="5" t="str">
        <f t="shared" ca="1" si="37"/>
        <v>VIGENTE</v>
      </c>
      <c r="CW30" s="3"/>
      <c r="CX30" s="4">
        <v>45661</v>
      </c>
      <c r="CY30" s="4">
        <f>DATE(YEAR(CX30)+2,MONTH(CX30),DAY(CX30)-1)</f>
        <v>46390</v>
      </c>
      <c r="CZ30" s="8">
        <f t="shared" ca="1" si="38"/>
        <v>256</v>
      </c>
      <c r="DA30" s="5" t="str">
        <f t="shared" ca="1" si="39"/>
        <v>VIGENTE</v>
      </c>
      <c r="DB30" s="3"/>
      <c r="DC30" s="4">
        <v>45689</v>
      </c>
      <c r="DD30" s="4">
        <f t="shared" si="193"/>
        <v>46418</v>
      </c>
      <c r="DE30" s="8">
        <f t="shared" ca="1" si="40"/>
        <v>284</v>
      </c>
      <c r="DF30" s="5" t="str">
        <f t="shared" ca="1" si="41"/>
        <v>VIGENTE</v>
      </c>
      <c r="DG30" s="3"/>
      <c r="DH30" s="4">
        <v>45955</v>
      </c>
      <c r="DI30" s="4">
        <f>DATE(YEAR(DH30)+2,MONTH(DH30),DAY(DH30))</f>
        <v>46685</v>
      </c>
      <c r="DJ30" s="8">
        <f t="shared" ca="1" si="43"/>
        <v>551</v>
      </c>
      <c r="DK30" s="5" t="str">
        <f t="shared" ca="1" si="44"/>
        <v>VIGENTE</v>
      </c>
      <c r="DL30" s="3"/>
      <c r="DM30" s="4">
        <v>45982</v>
      </c>
      <c r="DN30" s="4">
        <f>DATE(YEAR(DM30)+2,MONTH(DM30),DAY(DM30))</f>
        <v>46712</v>
      </c>
      <c r="DO30" s="8">
        <f t="shared" ca="1" si="46"/>
        <v>578</v>
      </c>
      <c r="DP30" s="5" t="str">
        <f t="shared" ca="1" si="47"/>
        <v>VIGENTE</v>
      </c>
      <c r="DQ30" s="3"/>
      <c r="DR30" s="4">
        <v>46053</v>
      </c>
      <c r="DS30" s="4">
        <f>DATE(YEAR(DR30)+2,MONTH(DR30),DAY(DR30))</f>
        <v>46783</v>
      </c>
      <c r="DT30" s="8">
        <f t="shared" ca="1" si="48"/>
        <v>649</v>
      </c>
      <c r="DU30" s="5" t="str">
        <f t="shared" ca="1" si="49"/>
        <v>VIGENTE</v>
      </c>
      <c r="DV30" s="3"/>
      <c r="DW30" s="4">
        <v>46020</v>
      </c>
      <c r="DX30" s="4">
        <f>DATE(YEAR(DW30)+2,MONTH(DW30),DAY(DW30))</f>
        <v>46750</v>
      </c>
      <c r="DY30" s="8">
        <f t="shared" ca="1" si="50"/>
        <v>616</v>
      </c>
      <c r="DZ30" s="5" t="str">
        <f t="shared" ca="1" si="51"/>
        <v>VIGENTE</v>
      </c>
      <c r="EA30" s="3"/>
      <c r="EB30" s="4">
        <v>45913</v>
      </c>
      <c r="EC30" s="4">
        <f>DATE(YEAR(EB30)+2,MONTH(EB30),DAY(EB30))</f>
        <v>46643</v>
      </c>
      <c r="ED30" s="8">
        <f t="shared" ca="1" si="52"/>
        <v>509</v>
      </c>
      <c r="EE30" s="5" t="str">
        <f t="shared" ca="1" si="53"/>
        <v>VIGENTE</v>
      </c>
      <c r="EF30" s="3"/>
      <c r="EG30" s="4">
        <v>45948</v>
      </c>
      <c r="EH30" s="4">
        <f t="shared" si="137"/>
        <v>46313</v>
      </c>
      <c r="EI30" s="8">
        <f t="shared" ca="1" si="54"/>
        <v>179</v>
      </c>
      <c r="EJ30" s="5" t="str">
        <f t="shared" ca="1" si="55"/>
        <v>VIGENTE</v>
      </c>
      <c r="EK30" s="3"/>
      <c r="EL30" s="4">
        <v>45940</v>
      </c>
      <c r="EM30" s="4">
        <f>DATE(YEAR(EL30)+2,MONTH(EL30),DAY(EL30))</f>
        <v>46670</v>
      </c>
      <c r="EN30" s="8">
        <f t="shared" ca="1" si="56"/>
        <v>536</v>
      </c>
      <c r="EO30" s="5" t="str">
        <f t="shared" ca="1" si="57"/>
        <v>VIGENTE</v>
      </c>
      <c r="EP30" s="3"/>
      <c r="EQ30" s="4">
        <v>45999</v>
      </c>
      <c r="ER30" s="4">
        <f>DATE(YEAR(EQ30)+2,MONTH(EQ30),DAY(EQ30))</f>
        <v>46729</v>
      </c>
      <c r="ES30" s="8">
        <f t="shared" ca="1" si="58"/>
        <v>595</v>
      </c>
      <c r="ET30" s="5" t="str">
        <f t="shared" ca="1" si="59"/>
        <v>VIGENTE</v>
      </c>
      <c r="EU30" s="3"/>
      <c r="EV30" s="4">
        <v>45953</v>
      </c>
      <c r="EW30" s="4">
        <f t="shared" ref="EW30:EW38" si="202">DATE(YEAR(EV30)+2,MONTH(EV30),DAY(EV30))</f>
        <v>46683</v>
      </c>
      <c r="EX30" s="8">
        <f t="shared" ca="1" si="60"/>
        <v>549</v>
      </c>
      <c r="EY30" s="5" t="str">
        <f t="shared" ca="1" si="61"/>
        <v>VIGENTE</v>
      </c>
      <c r="EZ30" s="3"/>
      <c r="FA30" s="4">
        <v>45951</v>
      </c>
      <c r="FB30" s="4">
        <f t="shared" ref="FB30:FB38" si="203">DATE(YEAR(FA30)+2,MONTH(FA30),DAY(FA30))</f>
        <v>46681</v>
      </c>
      <c r="FC30" s="8">
        <f t="shared" ca="1" si="62"/>
        <v>547</v>
      </c>
      <c r="FD30" s="5" t="str">
        <f t="shared" ca="1" si="63"/>
        <v>VIGENTE</v>
      </c>
      <c r="FE30" s="3"/>
      <c r="FF30" s="4">
        <v>45932</v>
      </c>
      <c r="FG30" s="4">
        <f t="shared" ref="FG30:FG38" si="204">DATE(YEAR(FF30)+2,MONTH(FF30),DAY(FF30))</f>
        <v>46662</v>
      </c>
      <c r="FH30" s="8">
        <f t="shared" ca="1" si="64"/>
        <v>528</v>
      </c>
      <c r="FI30" s="5" t="str">
        <f t="shared" ca="1" si="65"/>
        <v>VIGENTE</v>
      </c>
      <c r="FJ30" s="3"/>
      <c r="FK30" s="4">
        <v>45479</v>
      </c>
      <c r="FL30" s="4">
        <f>DATE(YEAR(FK30)+2,MONTH(FK30),DAY(FK30)-1)</f>
        <v>46208</v>
      </c>
      <c r="FM30" s="8">
        <f t="shared" ca="1" si="67"/>
        <v>74</v>
      </c>
      <c r="FN30" s="5" t="str">
        <f t="shared" ca="1" si="68"/>
        <v>POR VENCER</v>
      </c>
      <c r="FO30" s="3"/>
      <c r="FP30" s="4">
        <v>45458</v>
      </c>
      <c r="FQ30" s="4">
        <f t="shared" si="195"/>
        <v>46187</v>
      </c>
      <c r="FR30" s="8">
        <f t="shared" ca="1" si="69"/>
        <v>53</v>
      </c>
      <c r="FS30" s="5" t="str">
        <f t="shared" ca="1" si="70"/>
        <v>POR VENCER</v>
      </c>
      <c r="FT30" s="4"/>
      <c r="FU30" s="4">
        <v>45941</v>
      </c>
      <c r="FV30" s="4">
        <f>DATE(YEAR(FU30)+2,MONTH(FU30),DAY(FU30))</f>
        <v>46671</v>
      </c>
      <c r="FW30" s="8">
        <f t="shared" ca="1" si="71"/>
        <v>537</v>
      </c>
      <c r="FX30" s="5" t="str">
        <f t="shared" ca="1" si="72"/>
        <v>VIGENTE</v>
      </c>
      <c r="FY30" s="3"/>
      <c r="FZ30" s="4">
        <v>46030</v>
      </c>
      <c r="GA30" s="4">
        <f>DATE(YEAR(FZ30)+2,MONTH(FZ30),DAY(FZ30))</f>
        <v>46760</v>
      </c>
      <c r="GB30" s="8">
        <f t="shared" ca="1" si="73"/>
        <v>626</v>
      </c>
      <c r="GC30" s="5" t="str">
        <f t="shared" ca="1" si="74"/>
        <v>VIGENTE</v>
      </c>
      <c r="GD30" s="3"/>
      <c r="GE30" s="4">
        <v>45475</v>
      </c>
      <c r="GF30" s="4">
        <f t="shared" si="194"/>
        <v>46204</v>
      </c>
      <c r="GG30" s="8">
        <f t="shared" ca="1" si="75"/>
        <v>70</v>
      </c>
      <c r="GH30" s="5" t="str">
        <f t="shared" ca="1" si="76"/>
        <v>POR VENCER</v>
      </c>
      <c r="GI30" s="3"/>
      <c r="GJ30" s="4">
        <v>46093</v>
      </c>
      <c r="GK30" s="4">
        <f>DATE(YEAR(GJ30)+2,MONTH(GJ30),DAY(GJ30))</f>
        <v>46824</v>
      </c>
      <c r="GL30" s="8">
        <f t="shared" ca="1" si="77"/>
        <v>690</v>
      </c>
      <c r="GM30" s="5" t="str">
        <f t="shared" ca="1" si="78"/>
        <v>VIGENTE</v>
      </c>
      <c r="GN30" s="4"/>
      <c r="GO30" s="4">
        <v>45265</v>
      </c>
      <c r="GP30" s="4">
        <f t="shared" si="79"/>
        <v>47092</v>
      </c>
      <c r="GQ30" s="8">
        <f t="shared" ca="1" si="181"/>
        <v>958</v>
      </c>
      <c r="GR30" s="5" t="str">
        <f t="shared" ca="1" si="81"/>
        <v>VIGENTE</v>
      </c>
      <c r="GS30" s="3"/>
      <c r="GT30" s="4">
        <v>45277</v>
      </c>
      <c r="GU30" s="4">
        <f t="shared" si="82"/>
        <v>47104</v>
      </c>
      <c r="GV30" s="8">
        <f t="shared" ca="1" si="83"/>
        <v>970</v>
      </c>
      <c r="GW30" s="5" t="str">
        <f t="shared" ca="1" si="84"/>
        <v>VIGENTE</v>
      </c>
      <c r="GX30" s="3"/>
      <c r="GY30" s="4">
        <v>45268</v>
      </c>
      <c r="GZ30" s="4">
        <f t="shared" si="85"/>
        <v>47095</v>
      </c>
      <c r="HA30" s="8">
        <f t="shared" ca="1" si="86"/>
        <v>961</v>
      </c>
      <c r="HB30" s="5" t="str">
        <f t="shared" ca="1" si="87"/>
        <v>VIGENTE</v>
      </c>
      <c r="HC30" s="6"/>
      <c r="HD30" s="4">
        <v>45404</v>
      </c>
      <c r="HE30" s="4">
        <f t="shared" ref="HE30:HE35" si="205">DATE(YEAR(HD30)+5,MONTH(HD30),DAY(HD30))</f>
        <v>47230</v>
      </c>
      <c r="HF30" s="8">
        <f t="shared" ref="HF30:HF35" ca="1" si="206">HE30-TODAY()</f>
        <v>1096</v>
      </c>
      <c r="HG30" s="5" t="str">
        <f t="shared" ca="1" si="192"/>
        <v>VIGENTE</v>
      </c>
      <c r="HH30" s="2"/>
      <c r="HI30" s="4">
        <v>45368</v>
      </c>
      <c r="HJ30" s="4">
        <f>DATE(YEAR(HI30)+5,MONTH(HI30),DAY(HI30))</f>
        <v>47194</v>
      </c>
      <c r="HK30" s="8">
        <f ca="1">HJ30-TODAY()</f>
        <v>1060</v>
      </c>
      <c r="HL30" s="5" t="str">
        <f t="shared" ca="1" si="91"/>
        <v>VIGENTE</v>
      </c>
      <c r="HM30" s="2"/>
      <c r="HN30" s="5"/>
      <c r="HO30" s="4"/>
      <c r="HP30" s="5"/>
      <c r="HQ30" s="5" t="str">
        <f t="shared" si="92"/>
        <v>NO APLICA</v>
      </c>
      <c r="HR30" s="3"/>
      <c r="HS30" s="4">
        <v>45469</v>
      </c>
      <c r="HT30" s="4">
        <f>DATE(YEAR(HS30)+5,MONTH(HS30),DAY(HS30))</f>
        <v>47295</v>
      </c>
      <c r="HU30" s="8">
        <f ca="1">HT30-TODAY()</f>
        <v>1161</v>
      </c>
      <c r="HV30" s="5" t="str">
        <f t="shared" ca="1" si="93"/>
        <v>VIGENTE</v>
      </c>
      <c r="HW30" s="3"/>
      <c r="HX30" s="4">
        <v>45234</v>
      </c>
      <c r="HY30" s="4">
        <f>DATE(YEAR(HX30)+5,MONTH(HX30),DAY(HX30))</f>
        <v>47061</v>
      </c>
      <c r="HZ30" s="8">
        <f ca="1">HY30-TODAY()</f>
        <v>927</v>
      </c>
      <c r="IA30" s="5" t="str">
        <f t="shared" ca="1" si="94"/>
        <v>VIGENTE</v>
      </c>
      <c r="IB30" s="3"/>
      <c r="IC30" s="4">
        <v>45470</v>
      </c>
      <c r="ID30" s="4">
        <f>DATE(YEAR(IC30)+5,MONTH(IC30),DAY(IC30))</f>
        <v>47296</v>
      </c>
      <c r="IE30" s="8">
        <f ca="1">ID30-TODAY()</f>
        <v>1162</v>
      </c>
      <c r="IF30" s="5" t="str">
        <f t="shared" ca="1" si="95"/>
        <v>VIGENTE</v>
      </c>
      <c r="IG30" s="4"/>
      <c r="IH30" s="4">
        <v>45455</v>
      </c>
      <c r="II30" s="4">
        <f>DATE(YEAR(IH30)+5,MONTH(IH30),DAY(IH30))</f>
        <v>47281</v>
      </c>
      <c r="IJ30" s="8">
        <f ca="1">II30-TODAY()</f>
        <v>1147</v>
      </c>
      <c r="IK30" s="5" t="str">
        <f t="shared" ca="1" si="96"/>
        <v>VIGENTE</v>
      </c>
      <c r="IL30" s="3"/>
      <c r="IM30" s="4">
        <v>45453</v>
      </c>
      <c r="IN30" s="4">
        <f>DATE(YEAR(IM30)+5,MONTH(IM30),DAY(IM30))</f>
        <v>47279</v>
      </c>
      <c r="IO30" s="8">
        <f ca="1">IN30-TODAY()</f>
        <v>1145</v>
      </c>
      <c r="IP30" s="5" t="str">
        <f t="shared" ca="1" si="97"/>
        <v>VIGENTE</v>
      </c>
      <c r="IQ30" s="3"/>
      <c r="IR30" s="4">
        <v>45435</v>
      </c>
      <c r="IS30" s="4">
        <f>DATE(YEAR(IR30)+5,MONTH(IR30),DAY(IR30))</f>
        <v>47261</v>
      </c>
      <c r="IT30" s="8">
        <f ca="1">IS30-TODAY()</f>
        <v>1127</v>
      </c>
      <c r="IU30" s="5" t="str">
        <f t="shared" ca="1" si="98"/>
        <v>VIGENTE</v>
      </c>
      <c r="IV30" s="3"/>
      <c r="IW30" s="4">
        <v>45251</v>
      </c>
      <c r="IX30" s="4">
        <f>DATE(YEAR(IW30)+5,MONTH(IW30),DAY(IW30))</f>
        <v>47078</v>
      </c>
      <c r="IY30" s="8">
        <f ca="1">IX30-TODAY()</f>
        <v>944</v>
      </c>
      <c r="IZ30" s="5" t="str">
        <f t="shared" ca="1" si="99"/>
        <v>VIGENTE</v>
      </c>
      <c r="JA30" s="3"/>
      <c r="JB30" s="3"/>
      <c r="JC30" s="4"/>
      <c r="JD30" s="8"/>
      <c r="JE30" s="5" t="str">
        <f t="shared" si="100"/>
        <v>NO APLICA</v>
      </c>
      <c r="JF30" s="6"/>
      <c r="JG30" s="6"/>
      <c r="JH30" s="6"/>
      <c r="JI30" s="6"/>
      <c r="JJ30" s="5" t="str">
        <f t="shared" si="101"/>
        <v>NO APLICA</v>
      </c>
      <c r="JK30" s="6"/>
      <c r="JL30" s="6"/>
      <c r="JM30" s="6"/>
      <c r="JN30" s="6"/>
      <c r="JO30" s="5" t="str">
        <f t="shared" si="102"/>
        <v>NO APLICA</v>
      </c>
      <c r="JP30" s="6"/>
      <c r="JQ30" s="6"/>
      <c r="JR30" s="6"/>
      <c r="JS30" s="6"/>
      <c r="JT30" s="5" t="str">
        <f t="shared" si="103"/>
        <v>NO APLICA</v>
      </c>
      <c r="JU30" s="5"/>
      <c r="JV30" s="5"/>
      <c r="JW30" s="5"/>
      <c r="JX30" s="5"/>
      <c r="JY30" s="5" t="str">
        <f t="shared" si="104"/>
        <v>NO APLICA</v>
      </c>
      <c r="JZ30" s="5"/>
      <c r="KA30" s="3">
        <v>45362</v>
      </c>
      <c r="KB30" s="4">
        <f>DATE(YEAR(KA30)+5,MONTH(KA30),DAY(KA30))</f>
        <v>47188</v>
      </c>
      <c r="KC30" s="8">
        <f ca="1">KB30-TODAY()</f>
        <v>1054</v>
      </c>
      <c r="KD30" s="5" t="str">
        <f t="shared" ca="1" si="105"/>
        <v>VIGENTE</v>
      </c>
      <c r="KE30" s="5"/>
      <c r="KF30" s="5"/>
      <c r="KG30" s="4"/>
      <c r="KH30" s="8"/>
      <c r="KI30" s="5" t="str">
        <f t="shared" si="141"/>
        <v>NO APLICA</v>
      </c>
      <c r="KJ30" s="5"/>
      <c r="KK30" s="3">
        <v>45364</v>
      </c>
      <c r="KL30" s="4">
        <f>DATE(YEAR(KK30)+5,MONTH(KK30),DAY(KK30))</f>
        <v>47190</v>
      </c>
      <c r="KM30" s="8">
        <f ca="1">KL30-TODAY()</f>
        <v>1056</v>
      </c>
      <c r="KN30" s="5" t="str">
        <f t="shared" ca="1" si="106"/>
        <v>VIGENTE</v>
      </c>
      <c r="KO30" s="5"/>
      <c r="KP30" s="3">
        <v>45346</v>
      </c>
      <c r="KQ30" s="4">
        <f>DATE(YEAR(KP30)+5,MONTH(KP30),DAY(KP30))</f>
        <v>47173</v>
      </c>
      <c r="KR30" s="8">
        <f ca="1">KQ30-TODAY()</f>
        <v>1039</v>
      </c>
      <c r="KS30" s="5" t="str">
        <f t="shared" ca="1" si="142"/>
        <v>VIGENTE</v>
      </c>
      <c r="KT30" s="2"/>
      <c r="KU30" s="6"/>
      <c r="KV30" s="4"/>
      <c r="KW30" s="8"/>
      <c r="KX30" s="5" t="str">
        <f t="shared" si="156"/>
        <v>NO APLICA</v>
      </c>
      <c r="KY30" s="5"/>
      <c r="KZ30" s="4">
        <v>44603</v>
      </c>
      <c r="LA30" s="4">
        <f>DATE(YEAR(KZ30)+5,MONTH(KZ30),DAY(KZ30))</f>
        <v>46429</v>
      </c>
      <c r="LB30" s="8">
        <f ca="1">LA30-TODAY()</f>
        <v>295</v>
      </c>
      <c r="LC30" s="5" t="str">
        <f t="shared" ca="1" si="143"/>
        <v>VIGENTE</v>
      </c>
      <c r="LD30" s="6"/>
      <c r="LE30" s="6"/>
      <c r="LF30" s="4"/>
      <c r="LG30" s="8"/>
      <c r="LH30" s="5" t="str">
        <f t="shared" si="107"/>
        <v>NO APLICA</v>
      </c>
      <c r="LI30" s="5"/>
      <c r="LJ30" s="5"/>
      <c r="LK30" s="4"/>
      <c r="LL30" s="8"/>
      <c r="LM30" s="5" t="str">
        <f t="shared" si="157"/>
        <v>NO APLICA</v>
      </c>
      <c r="LN30" s="5"/>
      <c r="LO30" s="6"/>
      <c r="LP30" s="4"/>
      <c r="LQ30" s="8"/>
      <c r="LR30" s="5" t="str">
        <f t="shared" si="144"/>
        <v>NO APLICA</v>
      </c>
      <c r="LS30" s="4"/>
      <c r="LT30" s="4">
        <v>44986</v>
      </c>
      <c r="LU30" s="4">
        <f>DATE(YEAR(LT30)+5,MONTH(LT30),DAY(LT30))</f>
        <v>46813</v>
      </c>
      <c r="LV30" s="8">
        <f ca="1">LU30-TODAY()</f>
        <v>679</v>
      </c>
      <c r="LW30" s="5" t="str">
        <f t="shared" ca="1" si="145"/>
        <v>VIGENTE</v>
      </c>
      <c r="LX30" s="4"/>
      <c r="LY30" s="4">
        <v>44988</v>
      </c>
      <c r="LZ30" s="4">
        <f>DATE(YEAR(LY30)+5,MONTH(LY30),DAY(LY30))</f>
        <v>46815</v>
      </c>
      <c r="MA30" s="8">
        <f ca="1">LZ30-TODAY()</f>
        <v>681</v>
      </c>
      <c r="MB30" s="5" t="str">
        <f t="shared" ca="1" si="146"/>
        <v>VIGENTE</v>
      </c>
      <c r="MC30" s="5"/>
      <c r="MD30" s="5"/>
      <c r="ME30" s="4"/>
      <c r="MF30" s="8"/>
      <c r="MG30" s="5" t="str">
        <f t="shared" si="108"/>
        <v>NO APLICA</v>
      </c>
      <c r="MH30" s="5"/>
      <c r="MI30" s="5"/>
      <c r="MJ30" s="4"/>
      <c r="MK30" s="8"/>
      <c r="ML30" s="5" t="str">
        <f t="shared" si="109"/>
        <v>NO APLICA</v>
      </c>
      <c r="MM30" s="5"/>
      <c r="MN30" s="5"/>
      <c r="MO30" s="4"/>
      <c r="MP30" s="8"/>
      <c r="MQ30" s="5" t="str">
        <f t="shared" si="110"/>
        <v>NO APLICA</v>
      </c>
      <c r="MR30" s="5"/>
      <c r="MS30" s="5"/>
      <c r="MT30" s="4"/>
      <c r="MU30" s="5"/>
      <c r="MV30" s="5" t="str">
        <f t="shared" si="111"/>
        <v>NO APLICA</v>
      </c>
      <c r="MW30" s="5"/>
      <c r="MX30" s="4">
        <v>44834</v>
      </c>
      <c r="MY30" s="4">
        <f>DATE(YEAR(MX30)+5,MONTH(MX30),DAY(MX30))</f>
        <v>46660</v>
      </c>
      <c r="MZ30" s="8">
        <f ca="1">MY30-TODAY()</f>
        <v>526</v>
      </c>
      <c r="NA30" s="5" t="str">
        <f t="shared" ca="1" si="112"/>
        <v>VIGENTE</v>
      </c>
      <c r="NB30" s="5"/>
      <c r="NC30" s="4">
        <v>44835</v>
      </c>
      <c r="ND30" s="4">
        <f>DATE(YEAR(NC30)+5,MONTH(NC30),DAY(NC30))</f>
        <v>46661</v>
      </c>
      <c r="NE30" s="8">
        <f ca="1">ND30-TODAY()</f>
        <v>527</v>
      </c>
      <c r="NF30" s="5" t="str">
        <f t="shared" ca="1" si="113"/>
        <v>VIGENTE</v>
      </c>
      <c r="NG30" s="5"/>
      <c r="NH30" s="6"/>
      <c r="NI30" s="4"/>
      <c r="NJ30" s="8"/>
      <c r="NK30" s="5" t="str">
        <f t="shared" si="114"/>
        <v>NO APLICA</v>
      </c>
      <c r="NL30" s="3"/>
      <c r="NM30" s="4">
        <v>45001</v>
      </c>
      <c r="NN30" s="4">
        <f>DATE(YEAR(NM30)+5,MONTH(NM30),DAY(NM30))</f>
        <v>46828</v>
      </c>
      <c r="NO30" s="8">
        <f ca="1">NN30-TODAY()</f>
        <v>694</v>
      </c>
      <c r="NP30" s="5" t="str">
        <f t="shared" ca="1" si="115"/>
        <v>VIGENTE</v>
      </c>
      <c r="NQ30" s="5"/>
      <c r="NR30" s="5"/>
      <c r="NS30" s="5"/>
      <c r="NT30" s="5"/>
      <c r="NU30" s="5" t="str">
        <f t="shared" si="116"/>
        <v>NO APLICA</v>
      </c>
      <c r="NV30" s="6"/>
      <c r="NW30" s="6"/>
      <c r="NX30" s="4"/>
      <c r="NY30" s="8"/>
      <c r="NZ30" s="5" t="str">
        <f t="shared" si="117"/>
        <v>NO APLICA</v>
      </c>
      <c r="OA30" s="4"/>
      <c r="OB30" s="4"/>
      <c r="OC30" s="4"/>
      <c r="OD30" s="8"/>
      <c r="OE30" s="5" t="str">
        <f t="shared" si="118"/>
        <v>NO APLICA</v>
      </c>
      <c r="OF30" s="5"/>
      <c r="OG30" s="5"/>
      <c r="OH30" s="4"/>
      <c r="OI30" s="8"/>
      <c r="OJ30" s="5" t="str">
        <f t="shared" si="119"/>
        <v>NO APLICA</v>
      </c>
      <c r="OK30" s="6"/>
      <c r="OL30" s="6"/>
      <c r="OM30" s="6"/>
      <c r="ON30" s="6"/>
      <c r="OO30" s="5" t="str">
        <f t="shared" si="120"/>
        <v>NO APLICA</v>
      </c>
      <c r="OP30" s="6"/>
      <c r="OQ30" s="6"/>
      <c r="OR30" s="6"/>
      <c r="OS30" s="6"/>
      <c r="OT30" s="5" t="str">
        <f t="shared" si="121"/>
        <v>NO APLICA</v>
      </c>
      <c r="OU30" s="6"/>
      <c r="OV30" s="6"/>
      <c r="OW30" s="6"/>
      <c r="OX30" s="6"/>
      <c r="OY30" s="5" t="str">
        <f t="shared" si="122"/>
        <v>NO APLICA</v>
      </c>
      <c r="OZ30" s="6"/>
      <c r="PA30" s="6"/>
      <c r="PB30" s="6"/>
      <c r="PC30" s="6"/>
      <c r="PD30" s="5" t="str">
        <f t="shared" si="123"/>
        <v>NO APLICA</v>
      </c>
      <c r="PE30" s="6"/>
      <c r="PF30" s="6"/>
      <c r="PG30" s="6"/>
      <c r="PH30" s="6"/>
      <c r="PI30" s="5" t="str">
        <f t="shared" si="124"/>
        <v>NO APLICA</v>
      </c>
      <c r="PJ30" s="5"/>
      <c r="PK30" s="6"/>
      <c r="PL30" s="4"/>
      <c r="PM30" s="8"/>
      <c r="PN30" s="5" t="str">
        <f t="shared" si="125"/>
        <v>NO APLICA</v>
      </c>
      <c r="PO30" s="6"/>
      <c r="PP30" s="6"/>
      <c r="PQ30" s="6"/>
      <c r="PR30" s="6"/>
      <c r="PS30" s="5" t="str">
        <f t="shared" si="126"/>
        <v>NO APLICA</v>
      </c>
      <c r="PT30" s="5"/>
      <c r="PU30" s="6"/>
      <c r="PV30" s="6"/>
      <c r="PW30" s="6"/>
      <c r="PX30" s="5" t="str">
        <f t="shared" si="127"/>
        <v>NO APLICA</v>
      </c>
    </row>
    <row r="31" spans="1:440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162</v>
      </c>
      <c r="V31" s="4">
        <v>44590</v>
      </c>
      <c r="W31" s="4">
        <f t="shared" si="2"/>
        <v>46416</v>
      </c>
      <c r="X31" s="8">
        <f t="shared" ca="1" si="3"/>
        <v>282</v>
      </c>
      <c r="Y31" s="5" t="str">
        <f t="shared" ca="1" si="4"/>
        <v>VIGENTE</v>
      </c>
      <c r="Z31" s="2" t="s">
        <v>163</v>
      </c>
      <c r="AA31" s="4">
        <v>45192</v>
      </c>
      <c r="AB31" s="4">
        <f t="shared" si="196"/>
        <v>47019</v>
      </c>
      <c r="AC31" s="8">
        <f t="shared" ca="1" si="197"/>
        <v>885</v>
      </c>
      <c r="AD31" s="5" t="str">
        <f t="shared" ca="1" si="7"/>
        <v>VIGENTE</v>
      </c>
      <c r="AE31" s="3"/>
      <c r="AF31" s="4">
        <v>45902</v>
      </c>
      <c r="AG31" s="4">
        <f>DATE(YEAR(AF31)+2,MONTH(AF31),DAY(AF31))</f>
        <v>46632</v>
      </c>
      <c r="AH31" s="8">
        <f t="shared" ca="1" si="8"/>
        <v>498</v>
      </c>
      <c r="AI31" s="5" t="str">
        <f t="shared" ca="1" si="9"/>
        <v>VIGENTE</v>
      </c>
      <c r="AJ31" s="3"/>
      <c r="AK31" s="4">
        <v>45937</v>
      </c>
      <c r="AL31" s="4">
        <f t="shared" si="198"/>
        <v>46667</v>
      </c>
      <c r="AM31" s="8">
        <f t="shared" ca="1" si="10"/>
        <v>533</v>
      </c>
      <c r="AN31" s="5" t="str">
        <f t="shared" ca="1" si="11"/>
        <v>VIGENTE</v>
      </c>
      <c r="AO31" s="3"/>
      <c r="AP31" s="4">
        <v>45887</v>
      </c>
      <c r="AQ31" s="4">
        <f>DATE(YEAR(AP31)+2,MONTH(AP31),DAY(AP31))</f>
        <v>46617</v>
      </c>
      <c r="AR31" s="8">
        <f t="shared" ca="1" si="12"/>
        <v>483</v>
      </c>
      <c r="AS31" s="5" t="str">
        <f t="shared" ca="1" si="13"/>
        <v>VIGENTE</v>
      </c>
      <c r="AT31" s="3"/>
      <c r="AU31" s="4">
        <v>45927</v>
      </c>
      <c r="AV31" s="4">
        <f t="shared" si="199"/>
        <v>46657</v>
      </c>
      <c r="AW31" s="8">
        <f t="shared" ca="1" si="15"/>
        <v>523</v>
      </c>
      <c r="AX31" s="5" t="str">
        <f t="shared" ca="1" si="16"/>
        <v>VIGENTE</v>
      </c>
      <c r="AY31" s="3"/>
      <c r="AZ31" s="4">
        <v>45943</v>
      </c>
      <c r="BA31" s="4">
        <f>DATE(YEAR(AZ31)+2,MONTH(AZ31),DAY(AZ31))</f>
        <v>46673</v>
      </c>
      <c r="BB31" s="8">
        <f t="shared" ca="1" si="17"/>
        <v>539</v>
      </c>
      <c r="BC31" s="5" t="str">
        <f t="shared" ca="1" si="18"/>
        <v>VIGENTE</v>
      </c>
      <c r="BD31" s="3"/>
      <c r="BE31" s="4">
        <v>45997</v>
      </c>
      <c r="BF31" s="4">
        <f t="shared" si="200"/>
        <v>46727</v>
      </c>
      <c r="BG31" s="8">
        <f t="shared" ca="1" si="19"/>
        <v>593</v>
      </c>
      <c r="BH31" s="5" t="str">
        <f t="shared" ca="1" si="20"/>
        <v>VIGENTE</v>
      </c>
      <c r="BI31" s="3"/>
      <c r="BJ31" s="4">
        <v>46051</v>
      </c>
      <c r="BK31" s="4">
        <f t="shared" si="201"/>
        <v>46781</v>
      </c>
      <c r="BL31" s="8">
        <f t="shared" ca="1" si="21"/>
        <v>647</v>
      </c>
      <c r="BM31" s="5" t="str">
        <f t="shared" ca="1" si="22"/>
        <v>VIGENTE</v>
      </c>
      <c r="BN31" s="3"/>
      <c r="BO31" s="4">
        <v>45470</v>
      </c>
      <c r="BP31" s="4">
        <f>DATE(YEAR(BO31)+2,MONTH(BO31),DAY(BO31)-1)</f>
        <v>46199</v>
      </c>
      <c r="BQ31" s="8">
        <f t="shared" ca="1" si="23"/>
        <v>65</v>
      </c>
      <c r="BR31" s="5" t="str">
        <f t="shared" ca="1" si="24"/>
        <v>POR VENCER</v>
      </c>
      <c r="BS31" s="3"/>
      <c r="BT31" s="4">
        <v>45950</v>
      </c>
      <c r="BU31" s="4">
        <f>DATE(YEAR(BT31)+2,MONTH(BT31),DAY(BT31))</f>
        <v>46680</v>
      </c>
      <c r="BV31" s="8">
        <f t="shared" ca="1" si="25"/>
        <v>546</v>
      </c>
      <c r="BW31" s="5" t="str">
        <f t="shared" ca="1" si="26"/>
        <v>VIGENTE</v>
      </c>
      <c r="BX31" s="3"/>
      <c r="BY31" s="4">
        <v>45944</v>
      </c>
      <c r="BZ31" s="4">
        <f>DATE(YEAR(BY31)+2,MONTH(BY31),DAY(BY31))</f>
        <v>46674</v>
      </c>
      <c r="CA31" s="8">
        <f t="shared" ca="1" si="27"/>
        <v>540</v>
      </c>
      <c r="CB31" s="5" t="str">
        <f t="shared" ca="1" si="28"/>
        <v>VIGENTE</v>
      </c>
      <c r="CC31" s="6" t="s">
        <v>68</v>
      </c>
      <c r="CD31" s="4">
        <v>45828</v>
      </c>
      <c r="CE31" s="4">
        <f t="shared" si="29"/>
        <v>47289</v>
      </c>
      <c r="CF31" s="8">
        <f t="shared" ca="1" si="30"/>
        <v>1155</v>
      </c>
      <c r="CG31" s="5" t="str">
        <f t="shared" ca="1" si="31"/>
        <v>VIGENTE</v>
      </c>
      <c r="CH31" s="4"/>
      <c r="CI31" s="4">
        <v>45929</v>
      </c>
      <c r="CJ31" s="4">
        <f>DATE(YEAR(CI31)+2,MONTH(CI31),DAY(CI31))</f>
        <v>46659</v>
      </c>
      <c r="CK31" s="8">
        <f t="shared" ca="1" si="32"/>
        <v>525</v>
      </c>
      <c r="CL31" s="5" t="str">
        <f t="shared" ca="1" si="33"/>
        <v>VIGENTE</v>
      </c>
      <c r="CM31" s="3"/>
      <c r="CN31" s="4">
        <v>45888</v>
      </c>
      <c r="CO31" s="4">
        <f>DATE(YEAR(CN31)+2,MONTH(CN31),DAY(CN31))</f>
        <v>46618</v>
      </c>
      <c r="CP31" s="8">
        <f t="shared" ca="1" si="34"/>
        <v>484</v>
      </c>
      <c r="CQ31" s="5" t="str">
        <f t="shared" ca="1" si="35"/>
        <v>VIGENTE</v>
      </c>
      <c r="CR31" s="3"/>
      <c r="CS31" s="4">
        <v>45905</v>
      </c>
      <c r="CT31" s="4">
        <f>DATE(YEAR(CS31)+2,MONTH(CS31),DAY(CS31))</f>
        <v>46635</v>
      </c>
      <c r="CU31" s="8">
        <f t="shared" ca="1" si="36"/>
        <v>501</v>
      </c>
      <c r="CV31" s="5" t="str">
        <f t="shared" ca="1" si="37"/>
        <v>VIGENTE</v>
      </c>
      <c r="CW31" s="3"/>
      <c r="CX31" s="4">
        <v>45924</v>
      </c>
      <c r="CY31" s="4">
        <f>DATE(YEAR(CX31)+2,MONTH(CX31),DAY(CX31))</f>
        <v>46654</v>
      </c>
      <c r="CZ31" s="8">
        <f t="shared" ca="1" si="38"/>
        <v>520</v>
      </c>
      <c r="DA31" s="5" t="str">
        <f t="shared" ca="1" si="39"/>
        <v>VIGENTE</v>
      </c>
      <c r="DB31" s="3"/>
      <c r="DC31" s="4">
        <v>45463</v>
      </c>
      <c r="DD31" s="4">
        <f t="shared" si="193"/>
        <v>46192</v>
      </c>
      <c r="DE31" s="8">
        <f t="shared" ca="1" si="40"/>
        <v>58</v>
      </c>
      <c r="DF31" s="5" t="str">
        <f t="shared" ca="1" si="41"/>
        <v>POR VENCER</v>
      </c>
      <c r="DG31" s="3"/>
      <c r="DH31" s="4">
        <v>45975</v>
      </c>
      <c r="DI31" s="4">
        <f>DATE(YEAR(DH31)+2,MONTH(DH31),DAY(DH31))</f>
        <v>46705</v>
      </c>
      <c r="DJ31" s="8">
        <f t="shared" ca="1" si="43"/>
        <v>571</v>
      </c>
      <c r="DK31" s="5" t="str">
        <f t="shared" ca="1" si="44"/>
        <v>VIGENTE</v>
      </c>
      <c r="DL31" s="3"/>
      <c r="DM31" s="4">
        <v>45731</v>
      </c>
      <c r="DN31" s="4">
        <f>DATE(YEAR(DM31)+2,MONTH(DM31),DAY(DM31)-1)</f>
        <v>46460</v>
      </c>
      <c r="DO31" s="8">
        <f t="shared" ca="1" si="46"/>
        <v>326</v>
      </c>
      <c r="DP31" s="5" t="str">
        <f t="shared" ca="1" si="47"/>
        <v>VIGENTE</v>
      </c>
      <c r="DQ31" s="3"/>
      <c r="DR31" s="4">
        <v>45885</v>
      </c>
      <c r="DS31" s="4">
        <f>DATE(YEAR(DR31)+2,MONTH(DR31),DAY(DR31))</f>
        <v>46615</v>
      </c>
      <c r="DT31" s="8">
        <f t="shared" ca="1" si="48"/>
        <v>481</v>
      </c>
      <c r="DU31" s="5" t="str">
        <f t="shared" ca="1" si="49"/>
        <v>VIGENTE</v>
      </c>
      <c r="DV31" s="3"/>
      <c r="DW31" s="4">
        <v>45934</v>
      </c>
      <c r="DX31" s="4">
        <f>DATE(YEAR(DW31)+2,MONTH(DW31),DAY(DW31))</f>
        <v>46664</v>
      </c>
      <c r="DY31" s="8">
        <f t="shared" ca="1" si="50"/>
        <v>530</v>
      </c>
      <c r="DZ31" s="5" t="str">
        <f t="shared" ca="1" si="51"/>
        <v>VIGENTE</v>
      </c>
      <c r="EA31" s="3"/>
      <c r="EB31" s="4">
        <v>45938</v>
      </c>
      <c r="EC31" s="4">
        <f>DATE(YEAR(EB31)+2,MONTH(EB31),DAY(EB31))</f>
        <v>46668</v>
      </c>
      <c r="ED31" s="8">
        <f t="shared" ca="1" si="52"/>
        <v>534</v>
      </c>
      <c r="EE31" s="5" t="str">
        <f t="shared" ca="1" si="53"/>
        <v>VIGENTE</v>
      </c>
      <c r="EF31" s="3"/>
      <c r="EG31" s="3">
        <v>45911</v>
      </c>
      <c r="EH31" s="4">
        <f t="shared" si="137"/>
        <v>46276</v>
      </c>
      <c r="EI31" s="8">
        <f t="shared" ca="1" si="54"/>
        <v>142</v>
      </c>
      <c r="EJ31" s="5" t="str">
        <f t="shared" ca="1" si="55"/>
        <v>VIGENTE</v>
      </c>
      <c r="EK31" s="3"/>
      <c r="EL31" s="4">
        <v>46100</v>
      </c>
      <c r="EM31" s="4">
        <f>DATE(YEAR(EL31)+2,MONTH(EL31),DAY(EL31))</f>
        <v>46831</v>
      </c>
      <c r="EN31" s="8">
        <f t="shared" ca="1" si="56"/>
        <v>697</v>
      </c>
      <c r="EO31" s="5" t="str">
        <f t="shared" ca="1" si="57"/>
        <v>VIGENTE</v>
      </c>
      <c r="EP31" s="3"/>
      <c r="EQ31" s="4">
        <v>45922</v>
      </c>
      <c r="ER31" s="4">
        <f>DATE(YEAR(EQ31)+2,MONTH(EQ31),DAY(EQ31))</f>
        <v>46652</v>
      </c>
      <c r="ES31" s="8">
        <f t="shared" ca="1" si="58"/>
        <v>518</v>
      </c>
      <c r="ET31" s="5" t="str">
        <f t="shared" ca="1" si="59"/>
        <v>VIGENTE</v>
      </c>
      <c r="EU31" s="3"/>
      <c r="EV31" s="4">
        <v>45917</v>
      </c>
      <c r="EW31" s="4">
        <f t="shared" si="202"/>
        <v>46647</v>
      </c>
      <c r="EX31" s="8">
        <f t="shared" ca="1" si="60"/>
        <v>513</v>
      </c>
      <c r="EY31" s="5" t="str">
        <f t="shared" ca="1" si="61"/>
        <v>VIGENTE</v>
      </c>
      <c r="EZ31" s="3"/>
      <c r="FA31" s="4">
        <v>45931</v>
      </c>
      <c r="FB31" s="4">
        <f t="shared" si="203"/>
        <v>46661</v>
      </c>
      <c r="FC31" s="8">
        <f t="shared" ca="1" si="62"/>
        <v>527</v>
      </c>
      <c r="FD31" s="5" t="str">
        <f t="shared" ca="1" si="63"/>
        <v>VIGENTE</v>
      </c>
      <c r="FE31" s="3"/>
      <c r="FF31" s="4">
        <v>45932</v>
      </c>
      <c r="FG31" s="4">
        <f t="shared" si="204"/>
        <v>46662</v>
      </c>
      <c r="FH31" s="8">
        <f t="shared" ca="1" si="64"/>
        <v>528</v>
      </c>
      <c r="FI31" s="5" t="str">
        <f t="shared" ca="1" si="65"/>
        <v>VIGENTE</v>
      </c>
      <c r="FJ31" s="3"/>
      <c r="FK31" s="4">
        <v>45920</v>
      </c>
      <c r="FL31" s="4">
        <f>DATE(YEAR(FK31)+2,MONTH(FK31),DAY(FK31))</f>
        <v>46650</v>
      </c>
      <c r="FM31" s="8">
        <f t="shared" ca="1" si="67"/>
        <v>516</v>
      </c>
      <c r="FN31" s="5" t="str">
        <f t="shared" ca="1" si="68"/>
        <v>VIGENTE</v>
      </c>
      <c r="FO31" s="3"/>
      <c r="FP31" s="4">
        <v>45458</v>
      </c>
      <c r="FQ31" s="4">
        <f t="shared" si="195"/>
        <v>46187</v>
      </c>
      <c r="FR31" s="8">
        <f t="shared" ca="1" si="69"/>
        <v>53</v>
      </c>
      <c r="FS31" s="5" t="str">
        <f t="shared" ca="1" si="70"/>
        <v>POR VENCER</v>
      </c>
      <c r="FT31" s="3"/>
      <c r="FU31" s="4">
        <v>45941</v>
      </c>
      <c r="FV31" s="4">
        <f>DATE(YEAR(FU31)+2,MONTH(FU31),DAY(FU31))</f>
        <v>46671</v>
      </c>
      <c r="FW31" s="8">
        <f t="shared" ca="1" si="71"/>
        <v>537</v>
      </c>
      <c r="FX31" s="5" t="str">
        <f t="shared" ca="1" si="72"/>
        <v>VIGENTE</v>
      </c>
      <c r="FY31" s="3"/>
      <c r="FZ31" s="4">
        <v>45925</v>
      </c>
      <c r="GA31" s="4">
        <f>DATE(YEAR(FZ31)+2,MONTH(FZ31),DAY(FZ31))</f>
        <v>46655</v>
      </c>
      <c r="GB31" s="8">
        <f t="shared" ca="1" si="73"/>
        <v>521</v>
      </c>
      <c r="GC31" s="5" t="str">
        <f t="shared" ca="1" si="74"/>
        <v>VIGENTE</v>
      </c>
      <c r="GD31" s="3"/>
      <c r="GE31" s="4">
        <v>45472</v>
      </c>
      <c r="GF31" s="4">
        <f t="shared" si="194"/>
        <v>46201</v>
      </c>
      <c r="GG31" s="8">
        <f t="shared" ca="1" si="75"/>
        <v>67</v>
      </c>
      <c r="GH31" s="5" t="str">
        <f t="shared" ca="1" si="76"/>
        <v>POR VENCER</v>
      </c>
      <c r="GI31" s="3"/>
      <c r="GJ31" s="4">
        <v>45945</v>
      </c>
      <c r="GK31" s="4">
        <f>DATE(YEAR(GJ31)+2,MONTH(GJ31),DAY(GJ31))</f>
        <v>46675</v>
      </c>
      <c r="GL31" s="8">
        <f t="shared" ca="1" si="77"/>
        <v>541</v>
      </c>
      <c r="GM31" s="5" t="str">
        <f t="shared" ca="1" si="78"/>
        <v>VIGENTE</v>
      </c>
      <c r="GN31" s="4"/>
      <c r="GO31" s="4">
        <v>45017</v>
      </c>
      <c r="GP31" s="4">
        <f t="shared" si="79"/>
        <v>46844</v>
      </c>
      <c r="GQ31" s="8">
        <f t="shared" ca="1" si="181"/>
        <v>710</v>
      </c>
      <c r="GR31" s="5" t="str">
        <f t="shared" ca="1" si="81"/>
        <v>VIGENTE</v>
      </c>
      <c r="GS31" s="3"/>
      <c r="GT31" s="4">
        <v>45010</v>
      </c>
      <c r="GU31" s="4">
        <f t="shared" si="82"/>
        <v>46837</v>
      </c>
      <c r="GV31" s="8">
        <f t="shared" ca="1" si="83"/>
        <v>703</v>
      </c>
      <c r="GW31" s="5" t="str">
        <f t="shared" ca="1" si="84"/>
        <v>VIGENTE</v>
      </c>
      <c r="GX31" s="2"/>
      <c r="GY31" s="4">
        <v>45016</v>
      </c>
      <c r="GZ31" s="4">
        <f t="shared" si="85"/>
        <v>46843</v>
      </c>
      <c r="HA31" s="8">
        <f t="shared" ca="1" si="86"/>
        <v>709</v>
      </c>
      <c r="HB31" s="5" t="str">
        <f t="shared" ca="1" si="87"/>
        <v>VIGENTE</v>
      </c>
      <c r="HC31" s="6"/>
      <c r="HD31" s="4">
        <v>44956</v>
      </c>
      <c r="HE31" s="4">
        <f t="shared" si="205"/>
        <v>46782</v>
      </c>
      <c r="HF31" s="8">
        <f t="shared" ca="1" si="206"/>
        <v>648</v>
      </c>
      <c r="HG31" s="5" t="str">
        <f t="shared" ca="1" si="192"/>
        <v>VIGENTE</v>
      </c>
      <c r="HH31" s="2"/>
      <c r="HI31" s="6"/>
      <c r="HJ31" s="4">
        <f>DATE(YEAR(HI31)+5,MONTH(HI31),DAY(HI31))</f>
        <v>1827</v>
      </c>
      <c r="HK31" s="8">
        <f ca="1">HJ31-TODAY()</f>
        <v>-44307</v>
      </c>
      <c r="HL31" s="5" t="str">
        <f ca="1">IF(HK31&gt;=61,"VIGENTE",IF(HK31&gt;=1,"POR VENCER",IF(HK31&lt;=-1,"PROGRAMAR",IF(HI31=0,"NO APLICA"))))</f>
        <v>PROGRAMAR</v>
      </c>
      <c r="HM31" s="2"/>
      <c r="HN31" s="2"/>
      <c r="HO31" s="4"/>
      <c r="HP31" s="2"/>
      <c r="HQ31" s="5" t="str">
        <f t="shared" si="92"/>
        <v>NO APLICA</v>
      </c>
      <c r="HR31" s="2"/>
      <c r="HS31" s="6"/>
      <c r="HT31" s="4"/>
      <c r="HU31" s="8"/>
      <c r="HV31" s="5" t="str">
        <f t="shared" si="93"/>
        <v>NO APLICA</v>
      </c>
      <c r="HW31" s="2"/>
      <c r="HX31" s="6"/>
      <c r="HY31" s="4"/>
      <c r="HZ31" s="8"/>
      <c r="IA31" s="5" t="str">
        <f t="shared" si="94"/>
        <v>NO APLICA</v>
      </c>
      <c r="IB31" s="2"/>
      <c r="IC31" s="6"/>
      <c r="ID31" s="4"/>
      <c r="IE31" s="8"/>
      <c r="IF31" s="5" t="str">
        <f t="shared" si="95"/>
        <v>NO APLICA</v>
      </c>
      <c r="IG31" s="6"/>
      <c r="IH31" s="6"/>
      <c r="II31" s="4"/>
      <c r="IJ31" s="8"/>
      <c r="IK31" s="5" t="str">
        <f t="shared" si="96"/>
        <v>NO APLICA</v>
      </c>
      <c r="IL31" s="2"/>
      <c r="IM31" s="6"/>
      <c r="IN31" s="4"/>
      <c r="IO31" s="8"/>
      <c r="IP31" s="5" t="str">
        <f t="shared" si="97"/>
        <v>NO APLICA</v>
      </c>
      <c r="IQ31" s="2"/>
      <c r="IR31" s="6"/>
      <c r="IS31" s="4"/>
      <c r="IT31" s="8"/>
      <c r="IU31" s="5" t="str">
        <f t="shared" si="98"/>
        <v>NO APLICA</v>
      </c>
      <c r="IV31" s="2"/>
      <c r="IW31" s="6"/>
      <c r="IX31" s="4"/>
      <c r="IY31" s="8"/>
      <c r="IZ31" s="5" t="str">
        <f t="shared" si="99"/>
        <v>NO APLICA</v>
      </c>
      <c r="JA31" s="3"/>
      <c r="JB31" s="3"/>
      <c r="JC31" s="4"/>
      <c r="JD31" s="8"/>
      <c r="JE31" s="5" t="str">
        <f t="shared" si="100"/>
        <v>NO APLICA</v>
      </c>
      <c r="JF31" s="6"/>
      <c r="JG31" s="6"/>
      <c r="JH31" s="6"/>
      <c r="JI31" s="6"/>
      <c r="JJ31" s="5" t="str">
        <f t="shared" si="101"/>
        <v>NO APLICA</v>
      </c>
      <c r="JK31" s="6"/>
      <c r="JL31" s="6"/>
      <c r="JM31" s="6"/>
      <c r="JN31" s="6"/>
      <c r="JO31" s="5" t="str">
        <f t="shared" si="102"/>
        <v>NO APLICA</v>
      </c>
      <c r="JP31" s="6"/>
      <c r="JQ31" s="6"/>
      <c r="JR31" s="6"/>
      <c r="JS31" s="6"/>
      <c r="JT31" s="5" t="str">
        <f t="shared" si="103"/>
        <v>NO APLICA</v>
      </c>
      <c r="JU31" s="5"/>
      <c r="JV31" s="5"/>
      <c r="JW31" s="5"/>
      <c r="JX31" s="5"/>
      <c r="JY31" s="5" t="str">
        <f t="shared" si="104"/>
        <v>NO APLICA</v>
      </c>
      <c r="JZ31" s="5"/>
      <c r="KA31" s="2"/>
      <c r="KB31" s="4"/>
      <c r="KC31" s="8"/>
      <c r="KD31" s="5" t="str">
        <f t="shared" si="105"/>
        <v>NO APLICA</v>
      </c>
      <c r="KE31" s="5"/>
      <c r="KF31" s="2"/>
      <c r="KG31" s="4"/>
      <c r="KH31" s="8"/>
      <c r="KI31" s="5" t="str">
        <f t="shared" si="141"/>
        <v>NO APLICA</v>
      </c>
      <c r="KJ31" s="5"/>
      <c r="KK31" s="2"/>
      <c r="KL31" s="4"/>
      <c r="KM31" s="8"/>
      <c r="KN31" s="5" t="str">
        <f t="shared" si="106"/>
        <v>NO APLICA</v>
      </c>
      <c r="KO31" s="5"/>
      <c r="KP31" s="2"/>
      <c r="KQ31" s="4"/>
      <c r="KR31" s="8"/>
      <c r="KS31" s="5" t="str">
        <f t="shared" si="142"/>
        <v>NO APLICA</v>
      </c>
      <c r="KT31" s="2"/>
      <c r="KU31" s="6"/>
      <c r="KV31" s="4"/>
      <c r="KW31" s="8"/>
      <c r="KX31" s="5" t="str">
        <f t="shared" si="156"/>
        <v>NO APLICA</v>
      </c>
      <c r="KY31" s="5"/>
      <c r="KZ31" s="6"/>
      <c r="LA31" s="4"/>
      <c r="LB31" s="8"/>
      <c r="LC31" s="5" t="str">
        <f t="shared" si="143"/>
        <v>NO APLICA</v>
      </c>
      <c r="LD31" s="6"/>
      <c r="LE31" s="6"/>
      <c r="LF31" s="4"/>
      <c r="LG31" s="8"/>
      <c r="LH31" s="5" t="str">
        <f t="shared" si="107"/>
        <v>NO APLICA</v>
      </c>
      <c r="LI31" s="5"/>
      <c r="LJ31" s="5"/>
      <c r="LK31" s="5"/>
      <c r="LL31" s="5"/>
      <c r="LM31" s="5" t="str">
        <f t="shared" si="157"/>
        <v>NO APLICA</v>
      </c>
      <c r="LN31" s="2"/>
      <c r="LO31" s="6"/>
      <c r="LP31" s="4"/>
      <c r="LQ31" s="8"/>
      <c r="LR31" s="5" t="str">
        <f t="shared" si="144"/>
        <v>NO APLICA</v>
      </c>
      <c r="LS31" s="6"/>
      <c r="LT31" s="6"/>
      <c r="LU31" s="4"/>
      <c r="LV31" s="8"/>
      <c r="LW31" s="5" t="str">
        <f t="shared" si="145"/>
        <v>NO APLICA</v>
      </c>
      <c r="LX31" s="6"/>
      <c r="LY31" s="6"/>
      <c r="LZ31" s="4"/>
      <c r="MA31" s="8"/>
      <c r="MB31" s="5" t="str">
        <f t="shared" si="146"/>
        <v>NO APLICA</v>
      </c>
      <c r="MC31" s="2"/>
      <c r="MD31" s="2"/>
      <c r="ME31" s="4"/>
      <c r="MF31" s="8"/>
      <c r="MG31" s="5" t="str">
        <f t="shared" si="108"/>
        <v>NO APLICA</v>
      </c>
      <c r="MH31" s="2"/>
      <c r="MI31" s="2"/>
      <c r="MJ31" s="4"/>
      <c r="MK31" s="8"/>
      <c r="ML31" s="5" t="str">
        <f t="shared" si="109"/>
        <v>NO APLICA</v>
      </c>
      <c r="MM31" s="5"/>
      <c r="MN31" s="2"/>
      <c r="MO31" s="4"/>
      <c r="MP31" s="8"/>
      <c r="MQ31" s="5" t="str">
        <f t="shared" si="110"/>
        <v>NO APLICA</v>
      </c>
      <c r="MR31" s="5"/>
      <c r="MS31" s="2"/>
      <c r="MT31" s="4"/>
      <c r="MU31" s="2"/>
      <c r="MV31" s="5" t="str">
        <f t="shared" si="111"/>
        <v>NO APLICA</v>
      </c>
      <c r="MW31" s="2"/>
      <c r="MX31" s="4">
        <v>44834</v>
      </c>
      <c r="MY31" s="4">
        <f>DATE(YEAR(MX31)+5,MONTH(MX31),DAY(MX31))</f>
        <v>46660</v>
      </c>
      <c r="MZ31" s="8">
        <f ca="1">MY31-TODAY()</f>
        <v>526</v>
      </c>
      <c r="NA31" s="5" t="str">
        <f t="shared" ca="1" si="112"/>
        <v>VIGENTE</v>
      </c>
      <c r="NB31" s="2"/>
      <c r="NC31" s="4">
        <v>44835</v>
      </c>
      <c r="ND31" s="4">
        <f>DATE(YEAR(NC31)+5,MONTH(NC31),DAY(NC31))</f>
        <v>46661</v>
      </c>
      <c r="NE31" s="8">
        <f ca="1">ND31-TODAY()</f>
        <v>527</v>
      </c>
      <c r="NF31" s="5" t="str">
        <f t="shared" ca="1" si="113"/>
        <v>VIGENTE</v>
      </c>
      <c r="NG31" s="2"/>
      <c r="NH31" s="6"/>
      <c r="NI31" s="4"/>
      <c r="NJ31" s="8"/>
      <c r="NK31" s="5" t="str">
        <f t="shared" si="114"/>
        <v>NO APLICA</v>
      </c>
      <c r="NL31" s="3"/>
      <c r="NM31" s="3">
        <v>45002</v>
      </c>
      <c r="NN31" s="4">
        <f>DATE(YEAR(NM31)+5,MONTH(NM31),DAY(NM31))</f>
        <v>46829</v>
      </c>
      <c r="NO31" s="8">
        <f ca="1">NN31-TODAY()</f>
        <v>695</v>
      </c>
      <c r="NP31" s="5" t="str">
        <f t="shared" ca="1" si="115"/>
        <v>VIGENTE</v>
      </c>
      <c r="NQ31" s="4"/>
      <c r="NR31" s="4">
        <v>45103</v>
      </c>
      <c r="NS31" s="4">
        <f>DATE(YEAR(NR31)+5,MONTH(NR31),DAY(NR31))</f>
        <v>46930</v>
      </c>
      <c r="NT31" s="8">
        <f ca="1">NS31-TODAY()</f>
        <v>796</v>
      </c>
      <c r="NU31" s="5" t="str">
        <f t="shared" ca="1" si="116"/>
        <v>VIGENTE</v>
      </c>
      <c r="NV31" s="6"/>
      <c r="NW31" s="6"/>
      <c r="NX31" s="4"/>
      <c r="NY31" s="8"/>
      <c r="NZ31" s="5" t="str">
        <f t="shared" si="117"/>
        <v>NO APLICA</v>
      </c>
      <c r="OA31" s="6"/>
      <c r="OB31" s="6"/>
      <c r="OC31" s="6"/>
      <c r="OD31" s="6"/>
      <c r="OE31" s="5" t="str">
        <f t="shared" si="118"/>
        <v>NO APLICA</v>
      </c>
      <c r="OF31" s="6"/>
      <c r="OG31" s="6"/>
      <c r="OH31" s="4"/>
      <c r="OI31" s="8"/>
      <c r="OJ31" s="5" t="str">
        <f t="shared" si="119"/>
        <v>NO APLICA</v>
      </c>
      <c r="OK31" s="6"/>
      <c r="OL31" s="6"/>
      <c r="OM31" s="6"/>
      <c r="ON31" s="6"/>
      <c r="OO31" s="5" t="str">
        <f t="shared" si="120"/>
        <v>NO APLICA</v>
      </c>
      <c r="OP31" s="6"/>
      <c r="OQ31" s="6"/>
      <c r="OR31" s="6"/>
      <c r="OS31" s="6"/>
      <c r="OT31" s="5" t="str">
        <f t="shared" si="121"/>
        <v>NO APLICA</v>
      </c>
      <c r="OU31" s="6"/>
      <c r="OV31" s="6"/>
      <c r="OW31" s="6"/>
      <c r="OX31" s="6"/>
      <c r="OY31" s="5" t="str">
        <f t="shared" si="122"/>
        <v>NO APLICA</v>
      </c>
      <c r="OZ31" s="6"/>
      <c r="PA31" s="6"/>
      <c r="PB31" s="6"/>
      <c r="PC31" s="6"/>
      <c r="PD31" s="5" t="str">
        <f t="shared" si="123"/>
        <v>NO APLICA</v>
      </c>
      <c r="PE31" s="6"/>
      <c r="PF31" s="6"/>
      <c r="PG31" s="6"/>
      <c r="PH31" s="6"/>
      <c r="PI31" s="5" t="str">
        <f t="shared" si="124"/>
        <v>NO APLICA</v>
      </c>
      <c r="PJ31" s="5"/>
      <c r="PK31" s="6"/>
      <c r="PL31" s="4"/>
      <c r="PM31" s="8"/>
      <c r="PN31" s="5" t="str">
        <f t="shared" si="125"/>
        <v>NO APLICA</v>
      </c>
      <c r="PO31" s="6"/>
      <c r="PP31" s="6"/>
      <c r="PQ31" s="6"/>
      <c r="PR31" s="6"/>
      <c r="PS31" s="5" t="str">
        <f t="shared" si="126"/>
        <v>NO APLICA</v>
      </c>
      <c r="PT31" s="5"/>
      <c r="PU31" s="6"/>
      <c r="PV31" s="6"/>
      <c r="PW31" s="6"/>
      <c r="PX31" s="5" t="str">
        <f t="shared" si="127"/>
        <v>NO APLICA</v>
      </c>
    </row>
    <row r="32" spans="1:440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132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185</v>
      </c>
      <c r="T32" s="5" t="str">
        <f t="shared" ca="1" si="128"/>
        <v>VIGENTE</v>
      </c>
      <c r="U32" s="2" t="s">
        <v>165</v>
      </c>
      <c r="V32" s="4">
        <v>44856</v>
      </c>
      <c r="W32" s="4">
        <f t="shared" si="2"/>
        <v>46682</v>
      </c>
      <c r="X32" s="8">
        <f t="shared" ca="1" si="3"/>
        <v>548</v>
      </c>
      <c r="Y32" s="5" t="str">
        <f t="shared" ca="1" si="4"/>
        <v>VIGENTE</v>
      </c>
      <c r="Z32" s="2" t="s">
        <v>166</v>
      </c>
      <c r="AA32" s="4">
        <v>45190</v>
      </c>
      <c r="AB32" s="4">
        <f t="shared" si="196"/>
        <v>47017</v>
      </c>
      <c r="AC32" s="8">
        <f t="shared" ca="1" si="197"/>
        <v>883</v>
      </c>
      <c r="AD32" s="5" t="str">
        <f t="shared" ca="1" si="7"/>
        <v>VIGENTE</v>
      </c>
      <c r="AE32" s="3"/>
      <c r="AF32" s="4">
        <v>46085</v>
      </c>
      <c r="AG32" s="4">
        <f>DATE(YEAR(AF32)+2,MONTH(AF32),DAY(AF32))</f>
        <v>46816</v>
      </c>
      <c r="AH32" s="8">
        <f t="shared" ca="1" si="8"/>
        <v>682</v>
      </c>
      <c r="AI32" s="5" t="str">
        <f t="shared" ca="1" si="9"/>
        <v>VIGENTE</v>
      </c>
      <c r="AJ32" s="3"/>
      <c r="AK32" s="4">
        <v>46062</v>
      </c>
      <c r="AL32" s="4">
        <f t="shared" si="198"/>
        <v>46792</v>
      </c>
      <c r="AM32" s="8">
        <f t="shared" ca="1" si="10"/>
        <v>658</v>
      </c>
      <c r="AN32" s="5" t="str">
        <f t="shared" ca="1" si="11"/>
        <v>VIGENTE</v>
      </c>
      <c r="AO32" s="3"/>
      <c r="AP32" s="4">
        <v>46048</v>
      </c>
      <c r="AQ32" s="4">
        <f>DATE(YEAR(AP32)+2,MONTH(AP32),DAY(AP32))</f>
        <v>46778</v>
      </c>
      <c r="AR32" s="8">
        <f t="shared" ca="1" si="12"/>
        <v>644</v>
      </c>
      <c r="AS32" s="5" t="str">
        <f t="shared" ca="1" si="13"/>
        <v>VIGENTE</v>
      </c>
      <c r="AT32" s="3"/>
      <c r="AU32" s="4">
        <v>46070</v>
      </c>
      <c r="AV32" s="4">
        <f t="shared" si="199"/>
        <v>46800</v>
      </c>
      <c r="AW32" s="8">
        <f t="shared" ca="1" si="15"/>
        <v>666</v>
      </c>
      <c r="AX32" s="5" t="str">
        <f t="shared" ca="1" si="16"/>
        <v>VIGENTE</v>
      </c>
      <c r="AY32" s="3"/>
      <c r="AZ32" s="4">
        <v>46071</v>
      </c>
      <c r="BA32" s="4">
        <f>DATE(YEAR(AZ32)+2,MONTH(AZ32),DAY(AZ32))</f>
        <v>46801</v>
      </c>
      <c r="BB32" s="8">
        <f t="shared" ca="1" si="17"/>
        <v>667</v>
      </c>
      <c r="BC32" s="5" t="str">
        <f t="shared" ca="1" si="18"/>
        <v>VIGENTE</v>
      </c>
      <c r="BD32" s="3"/>
      <c r="BE32" s="4">
        <v>46027</v>
      </c>
      <c r="BF32" s="4">
        <f t="shared" si="200"/>
        <v>46757</v>
      </c>
      <c r="BG32" s="8">
        <f t="shared" ca="1" si="19"/>
        <v>623</v>
      </c>
      <c r="BH32" s="5" t="str">
        <f t="shared" ca="1" si="20"/>
        <v>VIGENTE</v>
      </c>
      <c r="BI32" s="3"/>
      <c r="BJ32" s="4">
        <v>46051</v>
      </c>
      <c r="BK32" s="4">
        <f t="shared" si="201"/>
        <v>46781</v>
      </c>
      <c r="BL32" s="8">
        <f t="shared" ca="1" si="21"/>
        <v>647</v>
      </c>
      <c r="BM32" s="5" t="str">
        <f t="shared" ca="1" si="22"/>
        <v>VIGENTE</v>
      </c>
      <c r="BN32" s="3"/>
      <c r="BO32" s="4">
        <v>45470</v>
      </c>
      <c r="BP32" s="4">
        <f>DATE(YEAR(BO32)+2,MONTH(BO32),DAY(BO32)-1)</f>
        <v>46199</v>
      </c>
      <c r="BQ32" s="8">
        <f t="shared" ca="1" si="23"/>
        <v>65</v>
      </c>
      <c r="BR32" s="5" t="str">
        <f t="shared" ca="1" si="24"/>
        <v>POR VENCER</v>
      </c>
      <c r="BS32" s="3"/>
      <c r="BT32" s="4">
        <v>46063</v>
      </c>
      <c r="BU32" s="4">
        <f>DATE(YEAR(BT32)+2,MONTH(BT32),DAY(BT32))</f>
        <v>46793</v>
      </c>
      <c r="BV32" s="8">
        <f t="shared" ca="1" si="25"/>
        <v>659</v>
      </c>
      <c r="BW32" s="5" t="str">
        <f t="shared" ca="1" si="26"/>
        <v>VIGENTE</v>
      </c>
      <c r="BX32" s="3"/>
      <c r="BY32" s="4">
        <v>45480</v>
      </c>
      <c r="BZ32" s="4">
        <f>DATE(YEAR(BY32)+2,MONTH(BY32),DAY(BY32)-1)</f>
        <v>46209</v>
      </c>
      <c r="CA32" s="8">
        <f t="shared" ca="1" si="27"/>
        <v>75</v>
      </c>
      <c r="CB32" s="5" t="str">
        <f t="shared" ca="1" si="28"/>
        <v>POR VENCER</v>
      </c>
      <c r="CC32" s="6" t="s">
        <v>73</v>
      </c>
      <c r="CD32" s="4">
        <v>45393</v>
      </c>
      <c r="CE32" s="4">
        <f t="shared" si="29"/>
        <v>46854</v>
      </c>
      <c r="CF32" s="8">
        <f t="shared" ca="1" si="30"/>
        <v>720</v>
      </c>
      <c r="CG32" s="5" t="str">
        <f t="shared" ca="1" si="31"/>
        <v>VIGENTE</v>
      </c>
      <c r="CH32" s="4"/>
      <c r="CI32" s="4">
        <v>45452</v>
      </c>
      <c r="CJ32" s="4">
        <f>DATE(YEAR(CI32)+2,MONTH(CI32),DAY(CI32)-1)</f>
        <v>46181</v>
      </c>
      <c r="CK32" s="8">
        <f t="shared" ca="1" si="32"/>
        <v>47</v>
      </c>
      <c r="CL32" s="5" t="str">
        <f t="shared" ca="1" si="33"/>
        <v>POR VENCER</v>
      </c>
      <c r="CM32" s="3"/>
      <c r="CN32" s="4">
        <v>45481</v>
      </c>
      <c r="CO32" s="4">
        <f>DATE(YEAR(CN32)+2,MONTH(CN32),DAY(CN32)-1)</f>
        <v>46210</v>
      </c>
      <c r="CP32" s="8">
        <f t="shared" ca="1" si="34"/>
        <v>76</v>
      </c>
      <c r="CQ32" s="5" t="str">
        <f t="shared" ca="1" si="35"/>
        <v>POR VENCER</v>
      </c>
      <c r="CR32" s="3"/>
      <c r="CS32" s="4">
        <v>46081</v>
      </c>
      <c r="CT32" s="4">
        <f>DATE(YEAR(CS32)+2,MONTH(CS32),DAY(CS32))</f>
        <v>46811</v>
      </c>
      <c r="CU32" s="8">
        <f t="shared" ca="1" si="36"/>
        <v>677</v>
      </c>
      <c r="CV32" s="5" t="str">
        <f t="shared" ca="1" si="37"/>
        <v>VIGENTE</v>
      </c>
      <c r="CW32" s="3"/>
      <c r="CX32" s="4">
        <v>46098</v>
      </c>
      <c r="CY32" s="4">
        <f>DATE(YEAR(CX32)+2,MONTH(CX32),DAY(CX32))</f>
        <v>46829</v>
      </c>
      <c r="CZ32" s="8">
        <f t="shared" ca="1" si="38"/>
        <v>695</v>
      </c>
      <c r="DA32" s="5" t="str">
        <f t="shared" ca="1" si="39"/>
        <v>VIGENTE</v>
      </c>
      <c r="DB32" s="3"/>
      <c r="DC32" s="4">
        <v>45463</v>
      </c>
      <c r="DD32" s="4">
        <f t="shared" si="193"/>
        <v>46192</v>
      </c>
      <c r="DE32" s="8">
        <f t="shared" ca="1" si="40"/>
        <v>58</v>
      </c>
      <c r="DF32" s="5" t="str">
        <f t="shared" ca="1" si="41"/>
        <v>POR VENCER</v>
      </c>
      <c r="DG32" s="3"/>
      <c r="DH32" s="4">
        <v>46073</v>
      </c>
      <c r="DI32" s="4">
        <f>DATE(YEAR(DH32)+2,MONTH(DH32),DAY(DH32))</f>
        <v>46803</v>
      </c>
      <c r="DJ32" s="8">
        <f t="shared" ca="1" si="43"/>
        <v>669</v>
      </c>
      <c r="DK32" s="5" t="str">
        <f t="shared" ca="1" si="44"/>
        <v>VIGENTE</v>
      </c>
      <c r="DL32" s="3"/>
      <c r="DM32" s="4">
        <v>45473</v>
      </c>
      <c r="DN32" s="4">
        <f>DATE(YEAR(DM32)+2,MONTH(DM32),DAY(DM32)-1)</f>
        <v>46202</v>
      </c>
      <c r="DO32" s="8">
        <f t="shared" ca="1" si="46"/>
        <v>68</v>
      </c>
      <c r="DP32" s="5" t="str">
        <f t="shared" ca="1" si="47"/>
        <v>POR VENCER</v>
      </c>
      <c r="DQ32" s="3"/>
      <c r="DR32" s="4">
        <v>46053</v>
      </c>
      <c r="DS32" s="4">
        <f>DATE(YEAR(DR32)+2,MONTH(DR32),DAY(DR32))</f>
        <v>46783</v>
      </c>
      <c r="DT32" s="8">
        <f t="shared" ca="1" si="48"/>
        <v>649</v>
      </c>
      <c r="DU32" s="5" t="str">
        <f t="shared" ca="1" si="49"/>
        <v>VIGENTE</v>
      </c>
      <c r="DV32" s="3"/>
      <c r="DW32" s="4">
        <v>46099</v>
      </c>
      <c r="DX32" s="4">
        <f>DATE(YEAR(DW32)+2,MONTH(DW32),DAY(DW32))</f>
        <v>46830</v>
      </c>
      <c r="DY32" s="8">
        <f t="shared" ca="1" si="50"/>
        <v>696</v>
      </c>
      <c r="DZ32" s="5" t="str">
        <f t="shared" ca="1" si="51"/>
        <v>VIGENTE</v>
      </c>
      <c r="EA32" s="3"/>
      <c r="EB32" s="4">
        <v>46104</v>
      </c>
      <c r="EC32" s="4">
        <f>DATE(YEAR(EB32)+2,MONTH(EB32),DAY(EB32))</f>
        <v>46835</v>
      </c>
      <c r="ED32" s="8">
        <f t="shared" ca="1" si="52"/>
        <v>701</v>
      </c>
      <c r="EE32" s="5" t="str">
        <f t="shared" ca="1" si="53"/>
        <v>VIGENTE</v>
      </c>
      <c r="EF32" s="3"/>
      <c r="EG32" s="3">
        <v>46060</v>
      </c>
      <c r="EH32" s="4">
        <f t="shared" si="137"/>
        <v>46425</v>
      </c>
      <c r="EI32" s="8">
        <f t="shared" ca="1" si="54"/>
        <v>291</v>
      </c>
      <c r="EJ32" s="5" t="str">
        <f t="shared" ca="1" si="55"/>
        <v>VIGENTE</v>
      </c>
      <c r="EK32" s="3"/>
      <c r="EL32" s="4">
        <v>46100</v>
      </c>
      <c r="EM32" s="4">
        <f>DATE(YEAR(EL32)+2,MONTH(EL32),DAY(EL32))</f>
        <v>46831</v>
      </c>
      <c r="EN32" s="8">
        <f t="shared" ca="1" si="56"/>
        <v>697</v>
      </c>
      <c r="EO32" s="5" t="str">
        <f t="shared" ca="1" si="57"/>
        <v>VIGENTE</v>
      </c>
      <c r="EP32" s="3"/>
      <c r="EQ32" s="4">
        <v>46094</v>
      </c>
      <c r="ER32" s="4">
        <f>DATE(YEAR(EQ32)+2,MONTH(EQ32),DAY(EQ32))</f>
        <v>46825</v>
      </c>
      <c r="ES32" s="8">
        <f t="shared" ca="1" si="58"/>
        <v>691</v>
      </c>
      <c r="ET32" s="5" t="str">
        <f t="shared" ca="1" si="59"/>
        <v>VIGENTE</v>
      </c>
      <c r="EU32" s="3"/>
      <c r="EV32" s="4">
        <v>46086</v>
      </c>
      <c r="EW32" s="4">
        <f t="shared" si="202"/>
        <v>46817</v>
      </c>
      <c r="EX32" s="8">
        <f t="shared" ca="1" si="60"/>
        <v>683</v>
      </c>
      <c r="EY32" s="5" t="str">
        <f t="shared" ca="1" si="61"/>
        <v>VIGENTE</v>
      </c>
      <c r="EZ32" s="3"/>
      <c r="FA32" s="4">
        <v>46091</v>
      </c>
      <c r="FB32" s="4">
        <f t="shared" si="203"/>
        <v>46822</v>
      </c>
      <c r="FC32" s="8">
        <f t="shared" ca="1" si="62"/>
        <v>688</v>
      </c>
      <c r="FD32" s="5" t="str">
        <f t="shared" ca="1" si="63"/>
        <v>VIGENTE</v>
      </c>
      <c r="FE32" s="3"/>
      <c r="FF32" s="4">
        <v>46066</v>
      </c>
      <c r="FG32" s="4">
        <f t="shared" si="204"/>
        <v>46796</v>
      </c>
      <c r="FH32" s="8">
        <f t="shared" ca="1" si="64"/>
        <v>662</v>
      </c>
      <c r="FI32" s="5" t="str">
        <f t="shared" ca="1" si="65"/>
        <v>VIGENTE</v>
      </c>
      <c r="FJ32" s="3"/>
      <c r="FK32" s="4">
        <v>45479</v>
      </c>
      <c r="FL32" s="4">
        <f>DATE(YEAR(FK32)+2,MONTH(FK32),DAY(FK32)-1)</f>
        <v>46208</v>
      </c>
      <c r="FM32" s="8">
        <f t="shared" ca="1" si="67"/>
        <v>74</v>
      </c>
      <c r="FN32" s="5" t="str">
        <f t="shared" ca="1" si="68"/>
        <v>POR VENCER</v>
      </c>
      <c r="FO32" s="3"/>
      <c r="FP32" s="4">
        <v>45458</v>
      </c>
      <c r="FQ32" s="4">
        <f t="shared" si="195"/>
        <v>46187</v>
      </c>
      <c r="FR32" s="8">
        <f t="shared" ca="1" si="69"/>
        <v>53</v>
      </c>
      <c r="FS32" s="5" t="str">
        <f t="shared" ca="1" si="70"/>
        <v>POR VENCER</v>
      </c>
      <c r="FT32" s="3"/>
      <c r="FU32" s="4">
        <v>45587</v>
      </c>
      <c r="FV32" s="4">
        <f>DATE(YEAR(FU32)+2,MONTH(FU32),DAY(FU32)-1)</f>
        <v>46316</v>
      </c>
      <c r="FW32" s="8">
        <f t="shared" ca="1" si="71"/>
        <v>182</v>
      </c>
      <c r="FX32" s="5" t="str">
        <f t="shared" ca="1" si="72"/>
        <v>VIGENTE</v>
      </c>
      <c r="FY32" s="3"/>
      <c r="FZ32" s="4">
        <v>45667</v>
      </c>
      <c r="GA32" s="4">
        <f>DATE(YEAR(FZ32)+2,MONTH(FZ32),DAY(FZ32)-1)</f>
        <v>46396</v>
      </c>
      <c r="GB32" s="8">
        <f t="shared" ca="1" si="73"/>
        <v>262</v>
      </c>
      <c r="GC32" s="5" t="str">
        <f t="shared" ca="1" si="74"/>
        <v>VIGENTE</v>
      </c>
      <c r="GD32" s="3"/>
      <c r="GE32" s="4">
        <v>46036</v>
      </c>
      <c r="GF32" s="4">
        <f>DATE(YEAR(GE32)+2,MONTH(GE32),DAY(GE32))</f>
        <v>46766</v>
      </c>
      <c r="GG32" s="8">
        <f t="shared" ca="1" si="75"/>
        <v>632</v>
      </c>
      <c r="GH32" s="5" t="str">
        <f t="shared" ca="1" si="76"/>
        <v>VIGENTE</v>
      </c>
      <c r="GI32" s="3"/>
      <c r="GJ32" s="4">
        <v>45687</v>
      </c>
      <c r="GK32" s="4">
        <f>DATE(YEAR(GJ32)+2,MONTH(GJ32),DAY(GJ32)-1)</f>
        <v>46416</v>
      </c>
      <c r="GL32" s="8">
        <f t="shared" ca="1" si="77"/>
        <v>282</v>
      </c>
      <c r="GM32" s="5" t="str">
        <f t="shared" ca="1" si="78"/>
        <v>VIGENTE</v>
      </c>
      <c r="GN32" s="4"/>
      <c r="GO32" s="4">
        <v>45013</v>
      </c>
      <c r="GP32" s="4">
        <f t="shared" si="79"/>
        <v>46840</v>
      </c>
      <c r="GQ32" s="8">
        <f t="shared" ca="1" si="181"/>
        <v>706</v>
      </c>
      <c r="GR32" s="5" t="str">
        <f t="shared" ca="1" si="81"/>
        <v>VIGENTE</v>
      </c>
      <c r="GS32" s="3"/>
      <c r="GT32" s="4">
        <v>45006</v>
      </c>
      <c r="GU32" s="4">
        <f t="shared" si="82"/>
        <v>46833</v>
      </c>
      <c r="GV32" s="8">
        <f t="shared" ca="1" si="83"/>
        <v>699</v>
      </c>
      <c r="GW32" s="5" t="str">
        <f t="shared" ca="1" si="84"/>
        <v>VIGENTE</v>
      </c>
      <c r="GX32" s="2"/>
      <c r="GY32" s="4">
        <v>45016</v>
      </c>
      <c r="GZ32" s="4">
        <f t="shared" si="85"/>
        <v>46843</v>
      </c>
      <c r="HA32" s="8">
        <f t="shared" ca="1" si="86"/>
        <v>709</v>
      </c>
      <c r="HB32" s="5" t="str">
        <f t="shared" ca="1" si="87"/>
        <v>VIGENTE</v>
      </c>
      <c r="HC32" s="6"/>
      <c r="HD32" s="4">
        <v>45094</v>
      </c>
      <c r="HE32" s="4">
        <f t="shared" si="205"/>
        <v>46921</v>
      </c>
      <c r="HF32" s="8">
        <f t="shared" ca="1" si="206"/>
        <v>787</v>
      </c>
      <c r="HG32" s="5" t="str">
        <f t="shared" ca="1" si="192"/>
        <v>VIGENTE</v>
      </c>
      <c r="HH32" s="2"/>
      <c r="HI32" s="6"/>
      <c r="HJ32" s="4"/>
      <c r="HK32" s="8"/>
      <c r="HL32" s="5" t="str">
        <f t="shared" ref="HL32:HL48" si="207">IF(HK32&gt;=61,"VIGENTE",IF(HK32&gt;=1,"POR VENCER",IF(HK32&lt;=-1,"VENCIDA",IF(HI32=0,"NO APLICA"))))</f>
        <v>NO APLICA</v>
      </c>
      <c r="HM32" s="2"/>
      <c r="HN32" s="2"/>
      <c r="HO32" s="4"/>
      <c r="HP32" s="2"/>
      <c r="HQ32" s="5" t="str">
        <f t="shared" si="92"/>
        <v>NO APLICA</v>
      </c>
      <c r="HR32" s="2"/>
      <c r="HS32" s="6"/>
      <c r="HT32" s="4"/>
      <c r="HU32" s="8"/>
      <c r="HV32" s="5" t="str">
        <f t="shared" si="93"/>
        <v>NO APLICA</v>
      </c>
      <c r="HW32" s="2"/>
      <c r="HX32" s="6"/>
      <c r="HY32" s="4"/>
      <c r="HZ32" s="8"/>
      <c r="IA32" s="5" t="str">
        <f t="shared" si="94"/>
        <v>NO APLICA</v>
      </c>
      <c r="IB32" s="2"/>
      <c r="IC32" s="6"/>
      <c r="ID32" s="4"/>
      <c r="IE32" s="8"/>
      <c r="IF32" s="5" t="str">
        <f t="shared" si="95"/>
        <v>NO APLICA</v>
      </c>
      <c r="IG32" s="6"/>
      <c r="IH32" s="6"/>
      <c r="II32" s="4"/>
      <c r="IJ32" s="8"/>
      <c r="IK32" s="5" t="str">
        <f t="shared" si="96"/>
        <v>NO APLICA</v>
      </c>
      <c r="IL32" s="2"/>
      <c r="IM32" s="6"/>
      <c r="IN32" s="4"/>
      <c r="IO32" s="8"/>
      <c r="IP32" s="5" t="str">
        <f t="shared" si="97"/>
        <v>NO APLICA</v>
      </c>
      <c r="IQ32" s="2"/>
      <c r="IR32" s="6"/>
      <c r="IS32" s="4"/>
      <c r="IT32" s="8"/>
      <c r="IU32" s="5" t="str">
        <f t="shared" si="98"/>
        <v>NO APLICA</v>
      </c>
      <c r="IV32" s="2"/>
      <c r="IW32" s="6"/>
      <c r="IX32" s="4"/>
      <c r="IY32" s="8"/>
      <c r="IZ32" s="5" t="str">
        <f t="shared" si="99"/>
        <v>NO APLICA</v>
      </c>
      <c r="JA32" s="3"/>
      <c r="JB32" s="3"/>
      <c r="JC32" s="4"/>
      <c r="JD32" s="8"/>
      <c r="JE32" s="5" t="str">
        <f t="shared" si="100"/>
        <v>NO APLICA</v>
      </c>
      <c r="JF32" s="6"/>
      <c r="JG32" s="6"/>
      <c r="JH32" s="6"/>
      <c r="JI32" s="6"/>
      <c r="JJ32" s="5" t="str">
        <f t="shared" si="101"/>
        <v>NO APLICA</v>
      </c>
      <c r="JK32" s="6"/>
      <c r="JL32" s="6"/>
      <c r="JM32" s="6"/>
      <c r="JN32" s="6"/>
      <c r="JO32" s="5" t="str">
        <f t="shared" si="102"/>
        <v>NO APLICA</v>
      </c>
      <c r="JP32" s="6"/>
      <c r="JQ32" s="6"/>
      <c r="JR32" s="6"/>
      <c r="JS32" s="6"/>
      <c r="JT32" s="5" t="str">
        <f t="shared" si="103"/>
        <v>NO APLICA</v>
      </c>
      <c r="JU32" s="5"/>
      <c r="JV32" s="5"/>
      <c r="JW32" s="5"/>
      <c r="JX32" s="5"/>
      <c r="JY32" s="5" t="str">
        <f t="shared" si="104"/>
        <v>NO APLICA</v>
      </c>
      <c r="JZ32" s="5"/>
      <c r="KA32" s="2"/>
      <c r="KB32" s="4"/>
      <c r="KC32" s="8"/>
      <c r="KD32" s="5" t="str">
        <f t="shared" si="105"/>
        <v>NO APLICA</v>
      </c>
      <c r="KE32" s="5"/>
      <c r="KF32" s="2"/>
      <c r="KG32" s="4"/>
      <c r="KH32" s="8"/>
      <c r="KI32" s="5" t="str">
        <f t="shared" si="141"/>
        <v>NO APLICA</v>
      </c>
      <c r="KJ32" s="5"/>
      <c r="KK32" s="2"/>
      <c r="KL32" s="4"/>
      <c r="KM32" s="8"/>
      <c r="KN32" s="5" t="str">
        <f t="shared" si="106"/>
        <v>NO APLICA</v>
      </c>
      <c r="KO32" s="5"/>
      <c r="KP32" s="2"/>
      <c r="KQ32" s="4"/>
      <c r="KR32" s="8"/>
      <c r="KS32" s="5" t="str">
        <f t="shared" si="142"/>
        <v>NO APLICA</v>
      </c>
      <c r="KT32" s="2"/>
      <c r="KU32" s="6"/>
      <c r="KV32" s="4"/>
      <c r="KW32" s="8"/>
      <c r="KX32" s="5" t="str">
        <f t="shared" si="156"/>
        <v>NO APLICA</v>
      </c>
      <c r="KY32" s="5"/>
      <c r="KZ32" s="6"/>
      <c r="LA32" s="4"/>
      <c r="LB32" s="8"/>
      <c r="LC32" s="5" t="str">
        <f t="shared" si="143"/>
        <v>NO APLICA</v>
      </c>
      <c r="LD32" s="6"/>
      <c r="LE32" s="4"/>
      <c r="LF32" s="4"/>
      <c r="LG32" s="8"/>
      <c r="LH32" s="5" t="str">
        <f t="shared" si="107"/>
        <v>NO APLICA</v>
      </c>
      <c r="LI32" s="5"/>
      <c r="LJ32" s="5"/>
      <c r="LK32" s="5"/>
      <c r="LL32" s="5"/>
      <c r="LM32" s="5" t="str">
        <f t="shared" si="157"/>
        <v>NO APLICA</v>
      </c>
      <c r="LN32" s="2"/>
      <c r="LO32" s="6"/>
      <c r="LP32" s="4"/>
      <c r="LQ32" s="8"/>
      <c r="LR32" s="5" t="str">
        <f t="shared" si="144"/>
        <v>NO APLICA</v>
      </c>
      <c r="LS32" s="6"/>
      <c r="LT32" s="6"/>
      <c r="LU32" s="4"/>
      <c r="LV32" s="8"/>
      <c r="LW32" s="5" t="str">
        <f t="shared" si="145"/>
        <v>NO APLICA</v>
      </c>
      <c r="LX32" s="6"/>
      <c r="LY32" s="6"/>
      <c r="LZ32" s="4"/>
      <c r="MA32" s="8"/>
      <c r="MB32" s="5" t="str">
        <f t="shared" si="146"/>
        <v>NO APLICA</v>
      </c>
      <c r="MC32" s="2"/>
      <c r="MD32" s="2"/>
      <c r="ME32" s="4"/>
      <c r="MF32" s="8"/>
      <c r="MG32" s="5" t="str">
        <f t="shared" si="108"/>
        <v>NO APLICA</v>
      </c>
      <c r="MH32" s="2"/>
      <c r="MI32" s="2"/>
      <c r="MJ32" s="4"/>
      <c r="MK32" s="8"/>
      <c r="ML32" s="5" t="str">
        <f t="shared" si="109"/>
        <v>NO APLICA</v>
      </c>
      <c r="MM32" s="5"/>
      <c r="MN32" s="2"/>
      <c r="MO32" s="4"/>
      <c r="MP32" s="8"/>
      <c r="MQ32" s="5" t="str">
        <f t="shared" si="110"/>
        <v>NO APLICA</v>
      </c>
      <c r="MR32" s="5"/>
      <c r="MS32" s="2"/>
      <c r="MT32" s="4"/>
      <c r="MU32" s="2"/>
      <c r="MV32" s="5" t="str">
        <f t="shared" si="111"/>
        <v>NO APLICA</v>
      </c>
      <c r="MW32" s="2"/>
      <c r="MX32" s="6"/>
      <c r="MY32" s="4"/>
      <c r="MZ32" s="8"/>
      <c r="NA32" s="5" t="str">
        <f t="shared" si="112"/>
        <v>NO APLICA</v>
      </c>
      <c r="NB32" s="2"/>
      <c r="NC32" s="6"/>
      <c r="ND32" s="4"/>
      <c r="NE32" s="8"/>
      <c r="NF32" s="5" t="str">
        <f t="shared" si="113"/>
        <v>NO APLICA</v>
      </c>
      <c r="NG32" s="2"/>
      <c r="NH32" s="6"/>
      <c r="NI32" s="4"/>
      <c r="NJ32" s="8"/>
      <c r="NK32" s="5" t="str">
        <f t="shared" si="114"/>
        <v>NO APLICA</v>
      </c>
      <c r="NL32" s="2"/>
      <c r="NM32" s="2"/>
      <c r="NN32" s="4"/>
      <c r="NO32" s="2"/>
      <c r="NP32" s="5" t="str">
        <f t="shared" si="115"/>
        <v>NO APLICA</v>
      </c>
      <c r="NQ32" s="2"/>
      <c r="NR32" s="2"/>
      <c r="NS32" s="4"/>
      <c r="NT32" s="2"/>
      <c r="NU32" s="5" t="str">
        <f t="shared" si="116"/>
        <v>NO APLICA</v>
      </c>
      <c r="NV32" s="6"/>
      <c r="NW32" s="6"/>
      <c r="NX32" s="4"/>
      <c r="NY32" s="8"/>
      <c r="NZ32" s="5" t="str">
        <f t="shared" si="117"/>
        <v>NO APLICA</v>
      </c>
      <c r="OA32" s="6"/>
      <c r="OB32" s="6"/>
      <c r="OC32" s="6"/>
      <c r="OD32" s="6"/>
      <c r="OE32" s="5" t="str">
        <f t="shared" si="118"/>
        <v>NO APLICA</v>
      </c>
      <c r="OF32" s="6"/>
      <c r="OG32" s="6"/>
      <c r="OH32" s="4"/>
      <c r="OI32" s="8"/>
      <c r="OJ32" s="5" t="str">
        <f t="shared" si="119"/>
        <v>NO APLICA</v>
      </c>
      <c r="OK32" s="6"/>
      <c r="OL32" s="6"/>
      <c r="OM32" s="6"/>
      <c r="ON32" s="6"/>
      <c r="OO32" s="5" t="str">
        <f t="shared" si="120"/>
        <v>NO APLICA</v>
      </c>
      <c r="OP32" s="6"/>
      <c r="OQ32" s="6"/>
      <c r="OR32" s="6"/>
      <c r="OS32" s="6"/>
      <c r="OT32" s="5" t="str">
        <f t="shared" si="121"/>
        <v>NO APLICA</v>
      </c>
      <c r="OU32" s="6"/>
      <c r="OV32" s="6"/>
      <c r="OW32" s="6"/>
      <c r="OX32" s="6"/>
      <c r="OY32" s="5" t="str">
        <f t="shared" si="122"/>
        <v>NO APLICA</v>
      </c>
      <c r="OZ32" s="6"/>
      <c r="PA32" s="6"/>
      <c r="PB32" s="6"/>
      <c r="PC32" s="6"/>
      <c r="PD32" s="5" t="str">
        <f t="shared" si="123"/>
        <v>NO APLICA</v>
      </c>
      <c r="PE32" s="6"/>
      <c r="PF32" s="6"/>
      <c r="PG32" s="6"/>
      <c r="PH32" s="6"/>
      <c r="PI32" s="5" t="str">
        <f t="shared" si="124"/>
        <v>NO APLICA</v>
      </c>
      <c r="PJ32" s="5"/>
      <c r="PK32" s="6"/>
      <c r="PL32" s="4"/>
      <c r="PM32" s="8"/>
      <c r="PN32" s="5" t="str">
        <f t="shared" si="125"/>
        <v>NO APLICA</v>
      </c>
      <c r="PO32" s="6"/>
      <c r="PP32" s="6"/>
      <c r="PQ32" s="6"/>
      <c r="PR32" s="6"/>
      <c r="PS32" s="5" t="str">
        <f t="shared" si="126"/>
        <v>NO APLICA</v>
      </c>
      <c r="PT32" s="5"/>
      <c r="PU32" s="6"/>
      <c r="PV32" s="6"/>
      <c r="PW32" s="6"/>
      <c r="PX32" s="5" t="str">
        <f t="shared" si="127"/>
        <v>NO APLICA</v>
      </c>
    </row>
    <row r="33" spans="1:440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168</v>
      </c>
      <c r="V33" s="4">
        <v>45216</v>
      </c>
      <c r="W33" s="4">
        <f t="shared" si="2"/>
        <v>47043</v>
      </c>
      <c r="X33" s="8">
        <f t="shared" ca="1" si="3"/>
        <v>909</v>
      </c>
      <c r="Y33" s="5" t="str">
        <f t="shared" ca="1" si="4"/>
        <v>VIGENTE</v>
      </c>
      <c r="Z33" s="2" t="s">
        <v>169</v>
      </c>
      <c r="AA33" s="4">
        <v>44824</v>
      </c>
      <c r="AB33" s="4">
        <f t="shared" si="196"/>
        <v>46650</v>
      </c>
      <c r="AC33" s="8">
        <f t="shared" ca="1" si="197"/>
        <v>516</v>
      </c>
      <c r="AD33" s="5" t="str">
        <f t="shared" ca="1" si="7"/>
        <v>VIGENTE</v>
      </c>
      <c r="AE33" s="3"/>
      <c r="AF33" s="4">
        <v>45617</v>
      </c>
      <c r="AG33" s="4">
        <f>DATE(YEAR(AF33)+2,MONTH(AF33),DAY(AF33)-1)</f>
        <v>46346</v>
      </c>
      <c r="AH33" s="8">
        <f t="shared" ca="1" si="8"/>
        <v>212</v>
      </c>
      <c r="AI33" s="5" t="str">
        <f t="shared" ca="1" si="9"/>
        <v>VIGENTE</v>
      </c>
      <c r="AJ33" s="3"/>
      <c r="AK33" s="4">
        <v>45903</v>
      </c>
      <c r="AL33" s="4">
        <f t="shared" si="198"/>
        <v>46633</v>
      </c>
      <c r="AM33" s="8">
        <f t="shared" ca="1" si="10"/>
        <v>499</v>
      </c>
      <c r="AN33" s="5" t="str">
        <f t="shared" ca="1" si="11"/>
        <v>VIGENTE</v>
      </c>
      <c r="AO33" s="3"/>
      <c r="AP33" s="4">
        <v>45703</v>
      </c>
      <c r="AQ33" s="4">
        <f>DATE(YEAR(AP33)+2,MONTH(AP33),DAY(AP33)-1)</f>
        <v>46432</v>
      </c>
      <c r="AR33" s="8">
        <f t="shared" ca="1" si="12"/>
        <v>298</v>
      </c>
      <c r="AS33" s="5" t="str">
        <f t="shared" ca="1" si="13"/>
        <v>VIGENTE</v>
      </c>
      <c r="AT33" s="3"/>
      <c r="AU33" s="4">
        <v>45990</v>
      </c>
      <c r="AV33" s="4">
        <f t="shared" si="199"/>
        <v>46720</v>
      </c>
      <c r="AW33" s="8">
        <f t="shared" ca="1" si="15"/>
        <v>586</v>
      </c>
      <c r="AX33" s="5" t="str">
        <f t="shared" ca="1" si="16"/>
        <v>VIGENTE</v>
      </c>
      <c r="AY33" s="3"/>
      <c r="AZ33" s="4">
        <v>45717</v>
      </c>
      <c r="BA33" s="4">
        <f>DATE(YEAR(AZ33)+2,MONTH(AZ33),DAY(AZ33)-1)</f>
        <v>46446</v>
      </c>
      <c r="BB33" s="8">
        <f t="shared" ca="1" si="17"/>
        <v>312</v>
      </c>
      <c r="BC33" s="5" t="str">
        <f t="shared" ca="1" si="18"/>
        <v>VIGENTE</v>
      </c>
      <c r="BD33" s="3"/>
      <c r="BE33" s="4">
        <v>46027</v>
      </c>
      <c r="BF33" s="4">
        <f t="shared" si="200"/>
        <v>46757</v>
      </c>
      <c r="BG33" s="8">
        <f t="shared" ca="1" si="19"/>
        <v>623</v>
      </c>
      <c r="BH33" s="5" t="str">
        <f t="shared" ca="1" si="20"/>
        <v>VIGENTE</v>
      </c>
      <c r="BI33" s="3"/>
      <c r="BJ33" s="4">
        <v>46056</v>
      </c>
      <c r="BK33" s="4">
        <f t="shared" si="201"/>
        <v>46786</v>
      </c>
      <c r="BL33" s="8">
        <f t="shared" ca="1" si="21"/>
        <v>652</v>
      </c>
      <c r="BM33" s="5" t="str">
        <f t="shared" ca="1" si="22"/>
        <v>VIGENTE</v>
      </c>
      <c r="BN33" s="3"/>
      <c r="BO33" s="4">
        <v>46069</v>
      </c>
      <c r="BP33" s="4">
        <f>DATE(YEAR(BO33)+2,MONTH(BO33),DAY(BO33))</f>
        <v>46799</v>
      </c>
      <c r="BQ33" s="8">
        <f t="shared" ca="1" si="23"/>
        <v>665</v>
      </c>
      <c r="BR33" s="5" t="str">
        <f t="shared" ca="1" si="24"/>
        <v>VIGENTE</v>
      </c>
      <c r="BS33" s="4"/>
      <c r="BT33" s="4">
        <v>45736</v>
      </c>
      <c r="BU33" s="4">
        <f>DATE(YEAR(BT33)+2,MONTH(BT33),DAY(BT33)-1)</f>
        <v>46465</v>
      </c>
      <c r="BV33" s="8">
        <f t="shared" ca="1" si="25"/>
        <v>331</v>
      </c>
      <c r="BW33" s="5" t="str">
        <f t="shared" ca="1" si="26"/>
        <v>VIGENTE</v>
      </c>
      <c r="BX33" s="3"/>
      <c r="BY33" s="4">
        <v>45974</v>
      </c>
      <c r="BZ33" s="4">
        <f t="shared" ref="BZ33:BZ38" si="208">DATE(YEAR(BY33)+2,MONTH(BY33),DAY(BY33))</f>
        <v>46704</v>
      </c>
      <c r="CA33" s="8">
        <f t="shared" ca="1" si="27"/>
        <v>570</v>
      </c>
      <c r="CB33" s="5" t="str">
        <f t="shared" ca="1" si="28"/>
        <v>VIGENTE</v>
      </c>
      <c r="CC33" s="6" t="s">
        <v>73</v>
      </c>
      <c r="CD33" s="4">
        <v>45227</v>
      </c>
      <c r="CE33" s="4">
        <f t="shared" si="29"/>
        <v>46688</v>
      </c>
      <c r="CF33" s="8">
        <f t="shared" ca="1" si="30"/>
        <v>554</v>
      </c>
      <c r="CG33" s="5" t="str">
        <f t="shared" ca="1" si="31"/>
        <v>VIGENTE</v>
      </c>
      <c r="CH33" s="4"/>
      <c r="CI33" s="4">
        <v>45777</v>
      </c>
      <c r="CJ33" s="4">
        <f>DATE(YEAR(CI33)+2,MONTH(CI33),DAY(CI33))</f>
        <v>46507</v>
      </c>
      <c r="CK33" s="8">
        <f t="shared" ca="1" si="32"/>
        <v>373</v>
      </c>
      <c r="CL33" s="5" t="str">
        <f t="shared" ca="1" si="33"/>
        <v>VIGENTE</v>
      </c>
      <c r="CM33" s="4"/>
      <c r="CN33" s="4">
        <v>45726</v>
      </c>
      <c r="CO33" s="4">
        <f>DATE(YEAR(CN33)+2,MONTH(CN33),DAY(CN33)-1)</f>
        <v>46455</v>
      </c>
      <c r="CP33" s="8">
        <f t="shared" ca="1" si="34"/>
        <v>321</v>
      </c>
      <c r="CQ33" s="5" t="str">
        <f t="shared" ca="1" si="35"/>
        <v>VIGENTE</v>
      </c>
      <c r="CR33" s="3"/>
      <c r="CS33" s="4">
        <v>45639</v>
      </c>
      <c r="CT33" s="4">
        <f>DATE(YEAR(CS33)+2,MONTH(CS33),DAY(CS33)-1)</f>
        <v>46368</v>
      </c>
      <c r="CU33" s="8">
        <f t="shared" ca="1" si="36"/>
        <v>234</v>
      </c>
      <c r="CV33" s="5" t="str">
        <f t="shared" ca="1" si="37"/>
        <v>VIGENTE</v>
      </c>
      <c r="CW33" s="3"/>
      <c r="CX33" s="4">
        <v>45646</v>
      </c>
      <c r="CY33" s="4">
        <f>DATE(YEAR(CX33)+2,MONTH(CX33),DAY(CX33)-1)</f>
        <v>46375</v>
      </c>
      <c r="CZ33" s="8">
        <f t="shared" ca="1" si="38"/>
        <v>241</v>
      </c>
      <c r="DA33" s="5" t="str">
        <f t="shared" ca="1" si="39"/>
        <v>VIGENTE</v>
      </c>
      <c r="DB33" s="3"/>
      <c r="DC33" s="4">
        <v>45689</v>
      </c>
      <c r="DD33" s="4">
        <f t="shared" si="193"/>
        <v>46418</v>
      </c>
      <c r="DE33" s="8">
        <f t="shared" ca="1" si="40"/>
        <v>284</v>
      </c>
      <c r="DF33" s="5" t="str">
        <f t="shared" ca="1" si="41"/>
        <v>VIGENTE</v>
      </c>
      <c r="DG33" s="3"/>
      <c r="DH33" s="4">
        <v>45696</v>
      </c>
      <c r="DI33" s="4">
        <f>DATE(YEAR(DH33)+2,MONTH(DH33),DAY(DH33)-1)</f>
        <v>46425</v>
      </c>
      <c r="DJ33" s="8">
        <f t="shared" ca="1" si="43"/>
        <v>291</v>
      </c>
      <c r="DK33" s="5" t="str">
        <f t="shared" ca="1" si="44"/>
        <v>VIGENTE</v>
      </c>
      <c r="DL33" s="3"/>
      <c r="DM33" s="4">
        <v>45982</v>
      </c>
      <c r="DN33" s="4">
        <f t="shared" ref="DN33:DN38" si="209">DATE(YEAR(DM33)+2,MONTH(DM33),DAY(DM33))</f>
        <v>46712</v>
      </c>
      <c r="DO33" s="8">
        <f t="shared" ca="1" si="46"/>
        <v>578</v>
      </c>
      <c r="DP33" s="5" t="str">
        <f t="shared" ca="1" si="47"/>
        <v>VIGENTE</v>
      </c>
      <c r="DQ33" s="3"/>
      <c r="DR33" s="4">
        <v>45728</v>
      </c>
      <c r="DS33" s="4">
        <f>DATE(YEAR(DR33)+2,MONTH(DR33),DAY(DR33)-1)</f>
        <v>46457</v>
      </c>
      <c r="DT33" s="8">
        <f t="shared" ca="1" si="48"/>
        <v>323</v>
      </c>
      <c r="DU33" s="5" t="str">
        <f t="shared" ca="1" si="49"/>
        <v>VIGENTE</v>
      </c>
      <c r="DV33" s="3"/>
      <c r="DW33" s="4">
        <v>45751</v>
      </c>
      <c r="DX33" s="4">
        <f>DATE(YEAR(DW33)+2,MONTH(DW33),DAY(DW33)-1)</f>
        <v>46480</v>
      </c>
      <c r="DY33" s="8">
        <f t="shared" ca="1" si="50"/>
        <v>346</v>
      </c>
      <c r="DZ33" s="5" t="str">
        <f t="shared" ca="1" si="51"/>
        <v>VIGENTE</v>
      </c>
      <c r="EA33" s="3"/>
      <c r="EB33" s="4">
        <v>45674</v>
      </c>
      <c r="EC33" s="4">
        <f>DATE(YEAR(EB33)+2,MONTH(EB33),DAY(EB33)-1)</f>
        <v>46403</v>
      </c>
      <c r="ED33" s="8">
        <f t="shared" ca="1" si="52"/>
        <v>269</v>
      </c>
      <c r="EE33" s="5" t="str">
        <f t="shared" ca="1" si="53"/>
        <v>VIGENTE</v>
      </c>
      <c r="EF33" s="3"/>
      <c r="EG33" s="3">
        <v>46085</v>
      </c>
      <c r="EH33" s="4">
        <f t="shared" si="137"/>
        <v>46450</v>
      </c>
      <c r="EI33" s="8">
        <f t="shared" ca="1" si="54"/>
        <v>316</v>
      </c>
      <c r="EJ33" s="5" t="str">
        <f t="shared" ca="1" si="55"/>
        <v>VIGENTE</v>
      </c>
      <c r="EK33" s="3"/>
      <c r="EL33" s="4">
        <v>45737</v>
      </c>
      <c r="EM33" s="4">
        <f>DATE(YEAR(EL33)+2,MONTH(EL33),DAY(EL33)-1)</f>
        <v>46466</v>
      </c>
      <c r="EN33" s="8">
        <f t="shared" ca="1" si="56"/>
        <v>332</v>
      </c>
      <c r="EO33" s="5" t="str">
        <f t="shared" ca="1" si="57"/>
        <v>VIGENTE</v>
      </c>
      <c r="EP33" s="3"/>
      <c r="EQ33" s="4">
        <v>45677</v>
      </c>
      <c r="ER33" s="4">
        <f>DATE(YEAR(EQ33)+2,MONTH(EQ33),DAY(EQ33)-1)</f>
        <v>46406</v>
      </c>
      <c r="ES33" s="8">
        <f t="shared" ca="1" si="58"/>
        <v>272</v>
      </c>
      <c r="ET33" s="5" t="str">
        <f t="shared" ca="1" si="59"/>
        <v>VIGENTE</v>
      </c>
      <c r="EU33" s="3"/>
      <c r="EV33" s="4">
        <v>46010</v>
      </c>
      <c r="EW33" s="4">
        <f t="shared" si="202"/>
        <v>46740</v>
      </c>
      <c r="EX33" s="8">
        <f t="shared" ca="1" si="60"/>
        <v>606</v>
      </c>
      <c r="EY33" s="5" t="str">
        <f t="shared" ca="1" si="61"/>
        <v>VIGENTE</v>
      </c>
      <c r="EZ33" s="3"/>
      <c r="FA33" s="4">
        <v>45988</v>
      </c>
      <c r="FB33" s="4">
        <f t="shared" si="203"/>
        <v>46718</v>
      </c>
      <c r="FC33" s="8">
        <f t="shared" ca="1" si="62"/>
        <v>584</v>
      </c>
      <c r="FD33" s="5" t="str">
        <f t="shared" ca="1" si="63"/>
        <v>VIGENTE</v>
      </c>
      <c r="FE33" s="3"/>
      <c r="FF33" s="4">
        <v>45969</v>
      </c>
      <c r="FG33" s="4">
        <f t="shared" si="204"/>
        <v>46699</v>
      </c>
      <c r="FH33" s="8">
        <f t="shared" ca="1" si="64"/>
        <v>565</v>
      </c>
      <c r="FI33" s="5" t="str">
        <f t="shared" ca="1" si="65"/>
        <v>VIGENTE</v>
      </c>
      <c r="FJ33" s="3"/>
      <c r="FK33" s="4">
        <v>45738</v>
      </c>
      <c r="FL33" s="4">
        <f>DATE(YEAR(FK33)+2,MONTH(FK33),DAY(FK33)-1)</f>
        <v>46467</v>
      </c>
      <c r="FM33" s="8">
        <f t="shared" ca="1" si="67"/>
        <v>333</v>
      </c>
      <c r="FN33" s="5" t="str">
        <f t="shared" ca="1" si="68"/>
        <v>VIGENTE</v>
      </c>
      <c r="FO33" s="3"/>
      <c r="FP33" s="4">
        <v>45747</v>
      </c>
      <c r="FQ33" s="4">
        <f t="shared" si="195"/>
        <v>46476</v>
      </c>
      <c r="FR33" s="8">
        <f t="shared" ca="1" si="69"/>
        <v>342</v>
      </c>
      <c r="FS33" s="5" t="str">
        <f t="shared" ca="1" si="70"/>
        <v>VIGENTE</v>
      </c>
      <c r="FT33" s="4"/>
      <c r="FU33" s="4">
        <v>45587</v>
      </c>
      <c r="FV33" s="4">
        <f>DATE(YEAR(FU33)+2,MONTH(FU33),DAY(FU33)-1)</f>
        <v>46316</v>
      </c>
      <c r="FW33" s="8">
        <f t="shared" ca="1" si="71"/>
        <v>182</v>
      </c>
      <c r="FX33" s="5" t="str">
        <f t="shared" ca="1" si="72"/>
        <v>VIGENTE</v>
      </c>
      <c r="FY33" s="3"/>
      <c r="FZ33" s="4">
        <v>45757</v>
      </c>
      <c r="GA33" s="4">
        <f>DATE(YEAR(FZ33)+2,MONTH(FZ33),DAY(FZ33)-1)</f>
        <v>46486</v>
      </c>
      <c r="GB33" s="8">
        <f t="shared" ca="1" si="73"/>
        <v>352</v>
      </c>
      <c r="GC33" s="5" t="str">
        <f t="shared" ca="1" si="74"/>
        <v>VIGENTE</v>
      </c>
      <c r="GD33" s="3"/>
      <c r="GE33" s="4">
        <v>45672</v>
      </c>
      <c r="GF33" s="4">
        <f>DATE(YEAR(GE33)+2,MONTH(GE33),DAY(GE33)-1)</f>
        <v>46401</v>
      </c>
      <c r="GG33" s="8">
        <f t="shared" ca="1" si="75"/>
        <v>267</v>
      </c>
      <c r="GH33" s="5" t="str">
        <f t="shared" ca="1" si="76"/>
        <v>VIGENTE</v>
      </c>
      <c r="GI33" s="3"/>
      <c r="GJ33" s="4">
        <v>45848</v>
      </c>
      <c r="GK33" s="4">
        <f>DATE(YEAR(GJ33)+2,MONTH(GJ33),DAY(GJ33))</f>
        <v>46578</v>
      </c>
      <c r="GL33" s="8">
        <f t="shared" ca="1" si="77"/>
        <v>444</v>
      </c>
      <c r="GM33" s="5" t="str">
        <f t="shared" ca="1" si="78"/>
        <v>VIGENTE</v>
      </c>
      <c r="GN33" s="4"/>
      <c r="GO33" s="4">
        <v>45283</v>
      </c>
      <c r="GP33" s="4">
        <f t="shared" si="79"/>
        <v>47110</v>
      </c>
      <c r="GQ33" s="8">
        <f t="shared" ca="1" si="181"/>
        <v>976</v>
      </c>
      <c r="GR33" s="5" t="str">
        <f t="shared" ca="1" si="81"/>
        <v>VIGENTE</v>
      </c>
      <c r="GS33" s="3"/>
      <c r="GT33" s="4">
        <v>45277</v>
      </c>
      <c r="GU33" s="4">
        <f t="shared" si="82"/>
        <v>47104</v>
      </c>
      <c r="GV33" s="8">
        <f t="shared" ca="1" si="83"/>
        <v>970</v>
      </c>
      <c r="GW33" s="5" t="str">
        <f t="shared" ca="1" si="84"/>
        <v>VIGENTE</v>
      </c>
      <c r="GX33" s="3"/>
      <c r="GY33" s="4">
        <v>45268</v>
      </c>
      <c r="GZ33" s="4">
        <f t="shared" si="85"/>
        <v>47095</v>
      </c>
      <c r="HA33" s="8">
        <f t="shared" ca="1" si="86"/>
        <v>961</v>
      </c>
      <c r="HB33" s="5" t="str">
        <f t="shared" ca="1" si="87"/>
        <v>VIGENTE</v>
      </c>
      <c r="HC33" s="6"/>
      <c r="HD33" s="4">
        <v>44862</v>
      </c>
      <c r="HE33" s="4">
        <f t="shared" si="205"/>
        <v>46688</v>
      </c>
      <c r="HF33" s="8">
        <f t="shared" ca="1" si="206"/>
        <v>554</v>
      </c>
      <c r="HG33" s="5" t="str">
        <f t="shared" ca="1" si="192"/>
        <v>VIGENTE</v>
      </c>
      <c r="HH33" s="2"/>
      <c r="HI33" s="6"/>
      <c r="HJ33" s="4"/>
      <c r="HK33" s="8"/>
      <c r="HL33" s="5" t="str">
        <f t="shared" si="207"/>
        <v>NO APLICA</v>
      </c>
      <c r="HM33" s="2"/>
      <c r="HN33" s="5"/>
      <c r="HO33" s="4"/>
      <c r="HP33" s="5"/>
      <c r="HQ33" s="5" t="str">
        <f t="shared" si="92"/>
        <v>NO APLICA</v>
      </c>
      <c r="HR33" s="3"/>
      <c r="HS33" s="4">
        <v>45260</v>
      </c>
      <c r="HT33" s="4">
        <f>DATE(YEAR(HS33)+5,MONTH(HS33),DAY(HS33))</f>
        <v>47087</v>
      </c>
      <c r="HU33" s="8">
        <f ca="1">HT33-TODAY()</f>
        <v>953</v>
      </c>
      <c r="HV33" s="5" t="str">
        <f t="shared" ca="1" si="93"/>
        <v>VIGENTE</v>
      </c>
      <c r="HW33" s="3"/>
      <c r="HX33" s="4">
        <v>45234</v>
      </c>
      <c r="HY33" s="4">
        <f>DATE(YEAR(HX33)+5,MONTH(HX33),DAY(HX33))</f>
        <v>47061</v>
      </c>
      <c r="HZ33" s="8">
        <f ca="1">HY33-TODAY()</f>
        <v>927</v>
      </c>
      <c r="IA33" s="5" t="str">
        <f t="shared" ca="1" si="94"/>
        <v>VIGENTE</v>
      </c>
      <c r="IB33" s="3"/>
      <c r="IC33" s="4">
        <v>45425</v>
      </c>
      <c r="ID33" s="4">
        <f>DATE(YEAR(IC33)+5,MONTH(IC33),DAY(IC33))</f>
        <v>47251</v>
      </c>
      <c r="IE33" s="8">
        <f ca="1">ID33-TODAY()</f>
        <v>1117</v>
      </c>
      <c r="IF33" s="5" t="str">
        <f t="shared" ca="1" si="95"/>
        <v>VIGENTE</v>
      </c>
      <c r="IG33" s="4"/>
      <c r="IH33" s="4">
        <v>45238</v>
      </c>
      <c r="II33" s="4">
        <f>DATE(YEAR(IH33)+5,MONTH(IH33),DAY(IH33))</f>
        <v>47065</v>
      </c>
      <c r="IJ33" s="8">
        <f ca="1">II33-TODAY()</f>
        <v>931</v>
      </c>
      <c r="IK33" s="5" t="str">
        <f t="shared" ca="1" si="96"/>
        <v>VIGENTE</v>
      </c>
      <c r="IL33" s="3"/>
      <c r="IM33" s="4">
        <v>45259</v>
      </c>
      <c r="IN33" s="4">
        <f>DATE(YEAR(IM33)+5,MONTH(IM33),DAY(IM33))</f>
        <v>47086</v>
      </c>
      <c r="IO33" s="8">
        <f ca="1">IN33-TODAY()</f>
        <v>952</v>
      </c>
      <c r="IP33" s="5" t="str">
        <f t="shared" ca="1" si="97"/>
        <v>VIGENTE</v>
      </c>
      <c r="IQ33" s="3"/>
      <c r="IR33" s="4">
        <v>45435</v>
      </c>
      <c r="IS33" s="4">
        <f>DATE(YEAR(IR33)+5,MONTH(IR33),DAY(IR33))</f>
        <v>47261</v>
      </c>
      <c r="IT33" s="8">
        <f ca="1">IS33-TODAY()</f>
        <v>1127</v>
      </c>
      <c r="IU33" s="5" t="str">
        <f t="shared" ca="1" si="98"/>
        <v>VIGENTE</v>
      </c>
      <c r="IV33" s="3"/>
      <c r="IW33" s="4">
        <v>45224</v>
      </c>
      <c r="IX33" s="4">
        <f>DATE(YEAR(IW33)+5,MONTH(IW33),DAY(IW33))</f>
        <v>47051</v>
      </c>
      <c r="IY33" s="8">
        <f ca="1">IX33-TODAY()</f>
        <v>917</v>
      </c>
      <c r="IZ33" s="5" t="str">
        <f t="shared" ca="1" si="99"/>
        <v>VIGENTE</v>
      </c>
      <c r="JA33" s="3"/>
      <c r="JB33" s="3"/>
      <c r="JC33" s="4"/>
      <c r="JD33" s="8"/>
      <c r="JE33" s="5" t="str">
        <f t="shared" si="100"/>
        <v>NO APLICA</v>
      </c>
      <c r="JF33" s="6"/>
      <c r="JG33" s="6"/>
      <c r="JH33" s="6"/>
      <c r="JI33" s="6"/>
      <c r="JJ33" s="5" t="str">
        <f t="shared" si="101"/>
        <v>NO APLICA</v>
      </c>
      <c r="JK33" s="6"/>
      <c r="JL33" s="6"/>
      <c r="JM33" s="6"/>
      <c r="JN33" s="6"/>
      <c r="JO33" s="5" t="str">
        <f t="shared" si="102"/>
        <v>NO APLICA</v>
      </c>
      <c r="JP33" s="6"/>
      <c r="JQ33" s="6"/>
      <c r="JR33" s="6"/>
      <c r="JS33" s="6"/>
      <c r="JT33" s="5" t="str">
        <f t="shared" si="103"/>
        <v>NO APLICA</v>
      </c>
      <c r="JU33" s="5"/>
      <c r="JV33" s="5"/>
      <c r="JW33" s="5"/>
      <c r="JX33" s="5"/>
      <c r="JY33" s="5" t="str">
        <f t="shared" si="104"/>
        <v>NO APLICA</v>
      </c>
      <c r="JZ33" s="5"/>
      <c r="KA33" s="5"/>
      <c r="KB33" s="4"/>
      <c r="KC33" s="8"/>
      <c r="KD33" s="5" t="str">
        <f t="shared" si="105"/>
        <v>NO APLICA</v>
      </c>
      <c r="KE33" s="5"/>
      <c r="KF33" s="5"/>
      <c r="KG33" s="4"/>
      <c r="KH33" s="8"/>
      <c r="KI33" s="5" t="str">
        <f t="shared" si="141"/>
        <v>NO APLICA</v>
      </c>
      <c r="KJ33" s="5"/>
      <c r="KK33" s="5"/>
      <c r="KL33" s="4"/>
      <c r="KM33" s="8"/>
      <c r="KN33" s="5" t="str">
        <f t="shared" si="106"/>
        <v>NO APLICA</v>
      </c>
      <c r="KO33" s="5"/>
      <c r="KP33" s="2"/>
      <c r="KQ33" s="4"/>
      <c r="KR33" s="8"/>
      <c r="KS33" s="5" t="str">
        <f t="shared" si="142"/>
        <v>NO APLICA</v>
      </c>
      <c r="KT33" s="2"/>
      <c r="KU33" s="6"/>
      <c r="KV33" s="4"/>
      <c r="KW33" s="8"/>
      <c r="KX33" s="5" t="str">
        <f t="shared" si="156"/>
        <v>NO APLICA</v>
      </c>
      <c r="KY33" s="5"/>
      <c r="KZ33" s="4">
        <v>44545</v>
      </c>
      <c r="LA33" s="4">
        <f>DATE(YEAR(KZ33)+5,MONTH(KZ33),DAY(KZ33))</f>
        <v>46371</v>
      </c>
      <c r="LB33" s="8">
        <f ca="1">LA33-TODAY()</f>
        <v>237</v>
      </c>
      <c r="LC33" s="5" t="str">
        <f t="shared" ca="1" si="143"/>
        <v>VIGENTE</v>
      </c>
      <c r="LD33" s="4"/>
      <c r="LE33" s="4"/>
      <c r="LF33" s="4"/>
      <c r="LG33" s="8"/>
      <c r="LH33" s="5" t="str">
        <f t="shared" si="107"/>
        <v>NO APLICA</v>
      </c>
      <c r="LI33" s="5"/>
      <c r="LJ33" s="5"/>
      <c r="LK33" s="5"/>
      <c r="LL33" s="5"/>
      <c r="LM33" s="5" t="str">
        <f t="shared" si="157"/>
        <v>NO APLICA</v>
      </c>
      <c r="LN33" s="5"/>
      <c r="LO33" s="6"/>
      <c r="LP33" s="4"/>
      <c r="LQ33" s="8"/>
      <c r="LR33" s="5" t="str">
        <f t="shared" si="144"/>
        <v>NO APLICA</v>
      </c>
      <c r="LS33" s="6"/>
      <c r="LT33" s="6"/>
      <c r="LU33" s="4"/>
      <c r="LV33" s="8"/>
      <c r="LW33" s="5" t="str">
        <f t="shared" si="145"/>
        <v>NO APLICA</v>
      </c>
      <c r="LX33" s="6"/>
      <c r="LY33" s="6"/>
      <c r="LZ33" s="4"/>
      <c r="MA33" s="8"/>
      <c r="MB33" s="5" t="str">
        <f t="shared" si="146"/>
        <v>NO APLICA</v>
      </c>
      <c r="MC33" s="5"/>
      <c r="MD33" s="5"/>
      <c r="ME33" s="4"/>
      <c r="MF33" s="8"/>
      <c r="MG33" s="5" t="str">
        <f t="shared" si="108"/>
        <v>NO APLICA</v>
      </c>
      <c r="MH33" s="5"/>
      <c r="MI33" s="5"/>
      <c r="MJ33" s="4"/>
      <c r="MK33" s="8"/>
      <c r="ML33" s="5" t="str">
        <f t="shared" si="109"/>
        <v>NO APLICA</v>
      </c>
      <c r="MM33" s="5"/>
      <c r="MN33" s="5"/>
      <c r="MO33" s="4"/>
      <c r="MP33" s="8"/>
      <c r="MQ33" s="5" t="str">
        <f t="shared" si="110"/>
        <v>NO APLICA</v>
      </c>
      <c r="MR33" s="5"/>
      <c r="MS33" s="5"/>
      <c r="MT33" s="4"/>
      <c r="MU33" s="5"/>
      <c r="MV33" s="5" t="str">
        <f t="shared" si="111"/>
        <v>NO APLICA</v>
      </c>
      <c r="MW33" s="5"/>
      <c r="MX33" s="6"/>
      <c r="MY33" s="4"/>
      <c r="MZ33" s="8"/>
      <c r="NA33" s="5" t="str">
        <f t="shared" si="112"/>
        <v>NO APLICA</v>
      </c>
      <c r="NB33" s="5"/>
      <c r="NC33" s="6"/>
      <c r="ND33" s="4"/>
      <c r="NE33" s="8"/>
      <c r="NF33" s="5" t="str">
        <f t="shared" si="113"/>
        <v>NO APLICA</v>
      </c>
      <c r="NG33" s="5"/>
      <c r="NH33" s="6"/>
      <c r="NI33" s="4"/>
      <c r="NJ33" s="8"/>
      <c r="NK33" s="5" t="str">
        <f t="shared" si="114"/>
        <v>NO APLICA</v>
      </c>
      <c r="NL33" s="5"/>
      <c r="NM33" s="5"/>
      <c r="NN33" s="4"/>
      <c r="NO33" s="5"/>
      <c r="NP33" s="5" t="str">
        <f t="shared" si="115"/>
        <v>NO APLICA</v>
      </c>
      <c r="NQ33" s="5"/>
      <c r="NR33" s="5"/>
      <c r="NS33" s="5"/>
      <c r="NT33" s="5"/>
      <c r="NU33" s="5" t="str">
        <f t="shared" si="116"/>
        <v>NO APLICA</v>
      </c>
      <c r="NV33" s="6"/>
      <c r="NW33" s="6"/>
      <c r="NX33" s="4"/>
      <c r="NY33" s="8"/>
      <c r="NZ33" s="5" t="str">
        <f t="shared" si="117"/>
        <v>NO APLICA</v>
      </c>
      <c r="OA33" s="6"/>
      <c r="OB33" s="6"/>
      <c r="OC33" s="6"/>
      <c r="OD33" s="6"/>
      <c r="OE33" s="5" t="str">
        <f t="shared" si="118"/>
        <v>NO APLICA</v>
      </c>
      <c r="OF33" s="6"/>
      <c r="OG33" s="6"/>
      <c r="OH33" s="4"/>
      <c r="OI33" s="8"/>
      <c r="OJ33" s="5" t="str">
        <f t="shared" si="119"/>
        <v>NO APLICA</v>
      </c>
      <c r="OK33" s="6"/>
      <c r="OL33" s="6"/>
      <c r="OM33" s="6"/>
      <c r="ON33" s="6"/>
      <c r="OO33" s="5" t="str">
        <f t="shared" si="120"/>
        <v>NO APLICA</v>
      </c>
      <c r="OP33" s="6"/>
      <c r="OQ33" s="6"/>
      <c r="OR33" s="6"/>
      <c r="OS33" s="6"/>
      <c r="OT33" s="5" t="str">
        <f t="shared" si="121"/>
        <v>NO APLICA</v>
      </c>
      <c r="OU33" s="6"/>
      <c r="OV33" s="6"/>
      <c r="OW33" s="6"/>
      <c r="OX33" s="6"/>
      <c r="OY33" s="5" t="str">
        <f t="shared" si="122"/>
        <v>NO APLICA</v>
      </c>
      <c r="OZ33" s="6"/>
      <c r="PA33" s="6"/>
      <c r="PB33" s="6"/>
      <c r="PC33" s="6"/>
      <c r="PD33" s="5" t="str">
        <f t="shared" si="123"/>
        <v>NO APLICA</v>
      </c>
      <c r="PE33" s="6"/>
      <c r="PF33" s="6"/>
      <c r="PG33" s="6"/>
      <c r="PH33" s="6"/>
      <c r="PI33" s="5" t="str">
        <f t="shared" si="124"/>
        <v>NO APLICA</v>
      </c>
      <c r="PJ33" s="5"/>
      <c r="PK33" s="6"/>
      <c r="PL33" s="4"/>
      <c r="PM33" s="8"/>
      <c r="PN33" s="5" t="str">
        <f t="shared" si="125"/>
        <v>NO APLICA</v>
      </c>
      <c r="PO33" s="6"/>
      <c r="PP33" s="6"/>
      <c r="PQ33" s="6"/>
      <c r="PR33" s="6"/>
      <c r="PS33" s="5" t="str">
        <f t="shared" si="126"/>
        <v>NO APLICA</v>
      </c>
      <c r="PT33" s="5"/>
      <c r="PU33" s="6"/>
      <c r="PV33" s="6"/>
      <c r="PW33" s="6"/>
      <c r="PX33" s="5" t="str">
        <f t="shared" si="127"/>
        <v>NO APLICA</v>
      </c>
    </row>
    <row r="34" spans="1:440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171</v>
      </c>
      <c r="V34" s="4">
        <v>45500</v>
      </c>
      <c r="W34" s="4">
        <f t="shared" si="2"/>
        <v>47326</v>
      </c>
      <c r="X34" s="8">
        <f t="shared" ca="1" si="3"/>
        <v>1192</v>
      </c>
      <c r="Y34" s="5" t="str">
        <f t="shared" ca="1" si="4"/>
        <v>VIGENTE</v>
      </c>
      <c r="Z34" s="2" t="s">
        <v>172</v>
      </c>
      <c r="AA34" s="4">
        <v>44988</v>
      </c>
      <c r="AB34" s="4">
        <f t="shared" si="196"/>
        <v>46815</v>
      </c>
      <c r="AC34" s="8">
        <f t="shared" ca="1" si="197"/>
        <v>681</v>
      </c>
      <c r="AD34" s="5" t="str">
        <f t="shared" ca="1" si="7"/>
        <v>VIGENTE</v>
      </c>
      <c r="AE34" s="3"/>
      <c r="AF34" s="4">
        <v>45594</v>
      </c>
      <c r="AG34" s="4">
        <f>DATE(YEAR(AF34)+2,MONTH(AF34),DAY(AF34)-1)</f>
        <v>46323</v>
      </c>
      <c r="AH34" s="8">
        <f t="shared" ca="1" si="8"/>
        <v>189</v>
      </c>
      <c r="AI34" s="5" t="str">
        <f t="shared" ca="1" si="9"/>
        <v>VIGENTE</v>
      </c>
      <c r="AJ34" s="3"/>
      <c r="AK34" s="4">
        <v>45959</v>
      </c>
      <c r="AL34" s="4">
        <f t="shared" si="198"/>
        <v>46689</v>
      </c>
      <c r="AM34" s="8">
        <f t="shared" ca="1" si="10"/>
        <v>555</v>
      </c>
      <c r="AN34" s="5" t="str">
        <f t="shared" ca="1" si="11"/>
        <v>VIGENTE</v>
      </c>
      <c r="AO34" s="3"/>
      <c r="AP34" s="4">
        <v>45820</v>
      </c>
      <c r="AQ34" s="4">
        <f>DATE(YEAR(AP34)+2,MONTH(AP34),DAY(AP34))</f>
        <v>46550</v>
      </c>
      <c r="AR34" s="8">
        <f t="shared" ca="1" si="12"/>
        <v>416</v>
      </c>
      <c r="AS34" s="5" t="str">
        <f t="shared" ca="1" si="13"/>
        <v>VIGENTE</v>
      </c>
      <c r="AT34" s="3"/>
      <c r="AU34" s="4">
        <v>45906</v>
      </c>
      <c r="AV34" s="4">
        <f t="shared" si="199"/>
        <v>46636</v>
      </c>
      <c r="AW34" s="8">
        <f t="shared" ca="1" si="15"/>
        <v>502</v>
      </c>
      <c r="AX34" s="5" t="str">
        <f t="shared" ca="1" si="16"/>
        <v>VIGENTE</v>
      </c>
      <c r="AY34" s="3"/>
      <c r="AZ34" s="4">
        <v>45855</v>
      </c>
      <c r="BA34" s="4">
        <f>DATE(YEAR(AZ34)+2,MONTH(AZ34),DAY(AZ34))</f>
        <v>46585</v>
      </c>
      <c r="BB34" s="8">
        <f t="shared" ca="1" si="17"/>
        <v>451</v>
      </c>
      <c r="BC34" s="5" t="str">
        <f t="shared" ca="1" si="18"/>
        <v>VIGENTE</v>
      </c>
      <c r="BD34" s="3"/>
      <c r="BE34" s="4">
        <v>45987</v>
      </c>
      <c r="BF34" s="4">
        <f t="shared" si="200"/>
        <v>46717</v>
      </c>
      <c r="BG34" s="8">
        <f t="shared" ca="1" si="19"/>
        <v>583</v>
      </c>
      <c r="BH34" s="5" t="str">
        <f t="shared" ca="1" si="20"/>
        <v>VIGENTE</v>
      </c>
      <c r="BI34" s="3"/>
      <c r="BJ34" s="4">
        <v>46051</v>
      </c>
      <c r="BK34" s="4">
        <f t="shared" si="201"/>
        <v>46781</v>
      </c>
      <c r="BL34" s="8">
        <f t="shared" ca="1" si="21"/>
        <v>647</v>
      </c>
      <c r="BM34" s="5" t="str">
        <f t="shared" ca="1" si="22"/>
        <v>VIGENTE</v>
      </c>
      <c r="BN34" s="3"/>
      <c r="BO34" s="4">
        <v>45841</v>
      </c>
      <c r="BP34" s="4">
        <f>DATE(YEAR(BO34)+2,MONTH(BO34),DAY(BO34))</f>
        <v>46571</v>
      </c>
      <c r="BQ34" s="8">
        <f t="shared" ca="1" si="23"/>
        <v>437</v>
      </c>
      <c r="BR34" s="5" t="str">
        <f t="shared" ca="1" si="24"/>
        <v>VIGENTE</v>
      </c>
      <c r="BS34" s="3"/>
      <c r="BT34" s="4">
        <v>45950</v>
      </c>
      <c r="BU34" s="4">
        <f>DATE(YEAR(BT34)+2,MONTH(BT34),DAY(BT34))</f>
        <v>46680</v>
      </c>
      <c r="BV34" s="8">
        <f t="shared" ca="1" si="25"/>
        <v>546</v>
      </c>
      <c r="BW34" s="5" t="str">
        <f t="shared" ca="1" si="26"/>
        <v>VIGENTE</v>
      </c>
      <c r="BX34" s="3"/>
      <c r="BY34" s="4">
        <v>45944</v>
      </c>
      <c r="BZ34" s="4">
        <f t="shared" si="208"/>
        <v>46674</v>
      </c>
      <c r="CA34" s="8">
        <f t="shared" ca="1" si="27"/>
        <v>540</v>
      </c>
      <c r="CB34" s="5" t="str">
        <f t="shared" ca="1" si="28"/>
        <v>VIGENTE</v>
      </c>
      <c r="CC34" s="6" t="s">
        <v>73</v>
      </c>
      <c r="CD34" s="4">
        <v>45247</v>
      </c>
      <c r="CE34" s="4">
        <f t="shared" si="29"/>
        <v>46708</v>
      </c>
      <c r="CF34" s="8">
        <f t="shared" ca="1" si="30"/>
        <v>574</v>
      </c>
      <c r="CG34" s="5" t="str">
        <f t="shared" ca="1" si="31"/>
        <v>VIGENTE</v>
      </c>
      <c r="CH34" s="4"/>
      <c r="CI34" s="4">
        <v>45929</v>
      </c>
      <c r="CJ34" s="4">
        <f>DATE(YEAR(CI34)+2,MONTH(CI34),DAY(CI34))</f>
        <v>46659</v>
      </c>
      <c r="CK34" s="8">
        <f t="shared" ca="1" si="32"/>
        <v>525</v>
      </c>
      <c r="CL34" s="5" t="str">
        <f t="shared" ca="1" si="33"/>
        <v>VIGENTE</v>
      </c>
      <c r="CM34" s="3"/>
      <c r="CN34" s="4">
        <v>45979</v>
      </c>
      <c r="CO34" s="4">
        <f>DATE(YEAR(CN34)+2,MONTH(CN34),DAY(CN34))</f>
        <v>46709</v>
      </c>
      <c r="CP34" s="8">
        <f t="shared" ca="1" si="34"/>
        <v>575</v>
      </c>
      <c r="CQ34" s="5" t="str">
        <f t="shared" ca="1" si="35"/>
        <v>VIGENTE</v>
      </c>
      <c r="CR34" s="3"/>
      <c r="CS34" s="4">
        <v>45631</v>
      </c>
      <c r="CT34" s="4">
        <f>DATE(YEAR(CS34)+2,MONTH(CS34),DAY(CS34)-1)</f>
        <v>46360</v>
      </c>
      <c r="CU34" s="8">
        <f t="shared" ca="1" si="36"/>
        <v>226</v>
      </c>
      <c r="CV34" s="5" t="str">
        <f t="shared" ca="1" si="37"/>
        <v>VIGENTE</v>
      </c>
      <c r="CW34" s="3"/>
      <c r="CX34" s="4">
        <v>45665</v>
      </c>
      <c r="CY34" s="4">
        <f>DATE(YEAR(CX34)+2,MONTH(CX34),DAY(CX34)-1)</f>
        <v>46394</v>
      </c>
      <c r="CZ34" s="8">
        <f t="shared" ca="1" si="38"/>
        <v>260</v>
      </c>
      <c r="DA34" s="5" t="str">
        <f t="shared" ca="1" si="39"/>
        <v>VIGENTE</v>
      </c>
      <c r="DB34" s="3"/>
      <c r="DC34" s="4">
        <v>45689</v>
      </c>
      <c r="DD34" s="4">
        <f t="shared" si="193"/>
        <v>46418</v>
      </c>
      <c r="DE34" s="8">
        <f t="shared" ca="1" si="40"/>
        <v>284</v>
      </c>
      <c r="DF34" s="5" t="str">
        <f t="shared" ca="1" si="41"/>
        <v>VIGENTE</v>
      </c>
      <c r="DG34" s="3"/>
      <c r="DH34" s="4">
        <v>45867</v>
      </c>
      <c r="DI34" s="4">
        <f>DATE(YEAR(DH34)+2,MONTH(DH34),DAY(DH34))</f>
        <v>46597</v>
      </c>
      <c r="DJ34" s="8">
        <f t="shared" ca="1" si="43"/>
        <v>463</v>
      </c>
      <c r="DK34" s="5" t="str">
        <f t="shared" ca="1" si="44"/>
        <v>VIGENTE</v>
      </c>
      <c r="DL34" s="3"/>
      <c r="DM34" s="4">
        <v>45982</v>
      </c>
      <c r="DN34" s="4">
        <f t="shared" si="209"/>
        <v>46712</v>
      </c>
      <c r="DO34" s="8">
        <f t="shared" ca="1" si="46"/>
        <v>578</v>
      </c>
      <c r="DP34" s="5" t="str">
        <f t="shared" ca="1" si="47"/>
        <v>VIGENTE</v>
      </c>
      <c r="DQ34" s="3"/>
      <c r="DR34" s="4">
        <v>45852</v>
      </c>
      <c r="DS34" s="4">
        <f>DATE(YEAR(DR34)+2,MONTH(DR34),DAY(DR34))</f>
        <v>46582</v>
      </c>
      <c r="DT34" s="8">
        <f t="shared" ca="1" si="48"/>
        <v>448</v>
      </c>
      <c r="DU34" s="5" t="str">
        <f t="shared" ca="1" si="49"/>
        <v>VIGENTE</v>
      </c>
      <c r="DV34" s="3"/>
      <c r="DW34" s="4">
        <v>45866</v>
      </c>
      <c r="DX34" s="4">
        <f>DATE(YEAR(DW34)+2,MONTH(DW34),DAY(DW34))</f>
        <v>46596</v>
      </c>
      <c r="DY34" s="8">
        <f t="shared" ca="1" si="50"/>
        <v>462</v>
      </c>
      <c r="DZ34" s="5" t="str">
        <f t="shared" ca="1" si="51"/>
        <v>VIGENTE</v>
      </c>
      <c r="EA34" s="3"/>
      <c r="EB34" s="4">
        <v>45938</v>
      </c>
      <c r="EC34" s="4">
        <f t="shared" ref="EC34:EC39" si="210">DATE(YEAR(EB34)+2,MONTH(EB34),DAY(EB34))</f>
        <v>46668</v>
      </c>
      <c r="ED34" s="8">
        <f t="shared" ca="1" si="52"/>
        <v>534</v>
      </c>
      <c r="EE34" s="5" t="str">
        <f t="shared" ca="1" si="53"/>
        <v>VIGENTE</v>
      </c>
      <c r="EF34" s="3"/>
      <c r="EG34" s="4">
        <v>45948</v>
      </c>
      <c r="EH34" s="4">
        <f t="shared" si="137"/>
        <v>46313</v>
      </c>
      <c r="EI34" s="8">
        <f t="shared" ca="1" si="54"/>
        <v>179</v>
      </c>
      <c r="EJ34" s="5" t="str">
        <f t="shared" ca="1" si="55"/>
        <v>VIGENTE</v>
      </c>
      <c r="EK34" s="3"/>
      <c r="EL34" s="4">
        <v>45840</v>
      </c>
      <c r="EM34" s="4">
        <f>DATE(YEAR(EL34)+2,MONTH(EL34),DAY(EL34))</f>
        <v>46570</v>
      </c>
      <c r="EN34" s="8">
        <f t="shared" ca="1" si="56"/>
        <v>436</v>
      </c>
      <c r="EO34" s="5" t="str">
        <f t="shared" ca="1" si="57"/>
        <v>VIGENTE</v>
      </c>
      <c r="EP34" s="3"/>
      <c r="EQ34" s="4">
        <v>45824</v>
      </c>
      <c r="ER34" s="4">
        <f>DATE(YEAR(EQ34)+2,MONTH(EQ34),DAY(EQ34))</f>
        <v>46554</v>
      </c>
      <c r="ES34" s="8">
        <f t="shared" ca="1" si="58"/>
        <v>420</v>
      </c>
      <c r="ET34" s="5" t="str">
        <f t="shared" ca="1" si="59"/>
        <v>VIGENTE</v>
      </c>
      <c r="EU34" s="3"/>
      <c r="EV34" s="4">
        <v>45953</v>
      </c>
      <c r="EW34" s="4">
        <f t="shared" si="202"/>
        <v>46683</v>
      </c>
      <c r="EX34" s="8">
        <f t="shared" ca="1" si="60"/>
        <v>549</v>
      </c>
      <c r="EY34" s="5" t="str">
        <f t="shared" ca="1" si="61"/>
        <v>VIGENTE</v>
      </c>
      <c r="EZ34" s="3"/>
      <c r="FA34" s="4">
        <v>45931</v>
      </c>
      <c r="FB34" s="4">
        <f t="shared" si="203"/>
        <v>46661</v>
      </c>
      <c r="FC34" s="8">
        <f t="shared" ca="1" si="62"/>
        <v>527</v>
      </c>
      <c r="FD34" s="5" t="str">
        <f t="shared" ca="1" si="63"/>
        <v>VIGENTE</v>
      </c>
      <c r="FE34" s="3"/>
      <c r="FF34" s="4">
        <v>45932</v>
      </c>
      <c r="FG34" s="4">
        <f t="shared" si="204"/>
        <v>46662</v>
      </c>
      <c r="FH34" s="8">
        <f t="shared" ca="1" si="64"/>
        <v>528</v>
      </c>
      <c r="FI34" s="5" t="str">
        <f t="shared" ca="1" si="65"/>
        <v>VIGENTE</v>
      </c>
      <c r="FJ34" s="3"/>
      <c r="FK34" s="4">
        <v>45933</v>
      </c>
      <c r="FL34" s="4">
        <f>DATE(YEAR(FK34)+2,MONTH(FK34),DAY(FK34))</f>
        <v>46663</v>
      </c>
      <c r="FM34" s="8">
        <f t="shared" ca="1" si="67"/>
        <v>529</v>
      </c>
      <c r="FN34" s="5" t="str">
        <f t="shared" ca="1" si="68"/>
        <v>VIGENTE</v>
      </c>
      <c r="FO34" s="3"/>
      <c r="FP34" s="4">
        <v>45957</v>
      </c>
      <c r="FQ34" s="4">
        <f>DATE(YEAR(FP34)+2,MONTH(FP34),DAY(FP34))</f>
        <v>46687</v>
      </c>
      <c r="FR34" s="8">
        <f t="shared" ca="1" si="69"/>
        <v>553</v>
      </c>
      <c r="FS34" s="5" t="str">
        <f t="shared" ca="1" si="70"/>
        <v>VIGENTE</v>
      </c>
      <c r="FT34" s="4"/>
      <c r="FU34" s="4">
        <v>45536</v>
      </c>
      <c r="FV34" s="4">
        <f>DATE(YEAR(FU34)+2,MONTH(FU34),DAY(FU34)-1)</f>
        <v>46265</v>
      </c>
      <c r="FW34" s="8">
        <f t="shared" ca="1" si="71"/>
        <v>131</v>
      </c>
      <c r="FX34" s="5" t="str">
        <f t="shared" ca="1" si="72"/>
        <v>VIGENTE</v>
      </c>
      <c r="FY34" s="3"/>
      <c r="FZ34" s="4">
        <v>45925</v>
      </c>
      <c r="GA34" s="4">
        <f>DATE(YEAR(FZ34)+2,MONTH(FZ34),DAY(FZ34))</f>
        <v>46655</v>
      </c>
      <c r="GB34" s="8">
        <f t="shared" ca="1" si="73"/>
        <v>521</v>
      </c>
      <c r="GC34" s="5" t="str">
        <f t="shared" ca="1" si="74"/>
        <v>VIGENTE</v>
      </c>
      <c r="GD34" s="3"/>
      <c r="GE34" s="4">
        <v>45960</v>
      </c>
      <c r="GF34" s="4">
        <f>DATE(YEAR(GE34)+2,MONTH(GE34),DAY(GE34))</f>
        <v>46690</v>
      </c>
      <c r="GG34" s="8">
        <f t="shared" ca="1" si="75"/>
        <v>556</v>
      </c>
      <c r="GH34" s="5" t="str">
        <f t="shared" ca="1" si="76"/>
        <v>VIGENTE</v>
      </c>
      <c r="GI34" s="3"/>
      <c r="GJ34" s="4">
        <v>45923</v>
      </c>
      <c r="GK34" s="4">
        <f>DATE(YEAR(GJ34)+2,MONTH(GJ34),DAY(GJ34))</f>
        <v>46653</v>
      </c>
      <c r="GL34" s="8">
        <f t="shared" ca="1" si="77"/>
        <v>519</v>
      </c>
      <c r="GM34" s="5" t="str">
        <f t="shared" ca="1" si="78"/>
        <v>VIGENTE</v>
      </c>
      <c r="GN34" s="4"/>
      <c r="GO34" s="4">
        <v>45048</v>
      </c>
      <c r="GP34" s="4">
        <f t="shared" si="79"/>
        <v>46875</v>
      </c>
      <c r="GQ34" s="8">
        <f t="shared" ca="1" si="181"/>
        <v>741</v>
      </c>
      <c r="GR34" s="5" t="str">
        <f t="shared" ca="1" si="81"/>
        <v>VIGENTE</v>
      </c>
      <c r="GS34" s="3"/>
      <c r="GT34" s="4">
        <v>44984</v>
      </c>
      <c r="GU34" s="4">
        <f t="shared" si="82"/>
        <v>46810</v>
      </c>
      <c r="GV34" s="8">
        <f t="shared" ca="1" si="83"/>
        <v>676</v>
      </c>
      <c r="GW34" s="5" t="str">
        <f t="shared" ca="1" si="84"/>
        <v>VIGENTE</v>
      </c>
      <c r="GX34" s="3"/>
      <c r="GY34" s="4">
        <v>45281</v>
      </c>
      <c r="GZ34" s="4">
        <f t="shared" si="85"/>
        <v>47108</v>
      </c>
      <c r="HA34" s="8">
        <f t="shared" ca="1" si="86"/>
        <v>974</v>
      </c>
      <c r="HB34" s="5" t="str">
        <f t="shared" ca="1" si="87"/>
        <v>VIGENTE</v>
      </c>
      <c r="HC34" s="6"/>
      <c r="HD34" s="4">
        <v>45094</v>
      </c>
      <c r="HE34" s="4">
        <f t="shared" si="205"/>
        <v>46921</v>
      </c>
      <c r="HF34" s="8">
        <f t="shared" ca="1" si="206"/>
        <v>787</v>
      </c>
      <c r="HG34" s="5" t="str">
        <f t="shared" ca="1" si="192"/>
        <v>VIGENTE</v>
      </c>
      <c r="HH34" s="2"/>
      <c r="HI34" s="4">
        <v>45368</v>
      </c>
      <c r="HJ34" s="4">
        <f>DATE(YEAR(HI34)+5,MONTH(HI34),DAY(HI34))</f>
        <v>47194</v>
      </c>
      <c r="HK34" s="8">
        <f ca="1">HJ34-TODAY()</f>
        <v>1060</v>
      </c>
      <c r="HL34" s="5" t="str">
        <f t="shared" ca="1" si="207"/>
        <v>VIGENTE</v>
      </c>
      <c r="HM34" s="2"/>
      <c r="HN34" s="2"/>
      <c r="HO34" s="4"/>
      <c r="HP34" s="2"/>
      <c r="HQ34" s="5" t="str">
        <f t="shared" si="92"/>
        <v>NO APLICA</v>
      </c>
      <c r="HR34" s="2"/>
      <c r="HS34" s="4">
        <v>45147</v>
      </c>
      <c r="HT34" s="4">
        <f>DATE(YEAR(HS34)+5,MONTH(HS34),DAY(HS34))</f>
        <v>46974</v>
      </c>
      <c r="HU34" s="8">
        <f ca="1">HT34-TODAY()</f>
        <v>840</v>
      </c>
      <c r="HV34" s="5" t="str">
        <f t="shared" ca="1" si="93"/>
        <v>VIGENTE</v>
      </c>
      <c r="HW34" s="3"/>
      <c r="HX34" s="4">
        <v>45475</v>
      </c>
      <c r="HY34" s="4">
        <f>DATE(YEAR(HX34)+5,MONTH(HX34),DAY(HX34))</f>
        <v>47301</v>
      </c>
      <c r="HZ34" s="8">
        <f ca="1">HY34-TODAY()</f>
        <v>1167</v>
      </c>
      <c r="IA34" s="5" t="str">
        <f t="shared" ca="1" si="94"/>
        <v>VIGENTE</v>
      </c>
      <c r="IB34" s="3"/>
      <c r="IC34" s="4">
        <v>45483</v>
      </c>
      <c r="ID34" s="4">
        <f>DATE(YEAR(IC34)+5,MONTH(IC34),DAY(IC34))</f>
        <v>47309</v>
      </c>
      <c r="IE34" s="8">
        <f ca="1">ID34-TODAY()</f>
        <v>1175</v>
      </c>
      <c r="IF34" s="5" t="str">
        <f t="shared" ca="1" si="95"/>
        <v>VIGENTE</v>
      </c>
      <c r="IG34" s="4"/>
      <c r="IH34" s="4">
        <v>45452</v>
      </c>
      <c r="II34" s="4">
        <f>DATE(YEAR(IH34)+5,MONTH(IH34),DAY(IH34))</f>
        <v>47278</v>
      </c>
      <c r="IJ34" s="8">
        <f ca="1">II34-TODAY()</f>
        <v>1144</v>
      </c>
      <c r="IK34" s="5" t="str">
        <f t="shared" ca="1" si="96"/>
        <v>VIGENTE</v>
      </c>
      <c r="IL34" s="3"/>
      <c r="IM34" s="4">
        <v>45453</v>
      </c>
      <c r="IN34" s="4">
        <f>DATE(YEAR(IM34)+5,MONTH(IM34),DAY(IM34))</f>
        <v>47279</v>
      </c>
      <c r="IO34" s="8">
        <f ca="1">IN34-TODAY()</f>
        <v>1145</v>
      </c>
      <c r="IP34" s="5" t="str">
        <f t="shared" ca="1" si="97"/>
        <v>VIGENTE</v>
      </c>
      <c r="IQ34" s="3"/>
      <c r="IR34" s="4">
        <v>45484</v>
      </c>
      <c r="IS34" s="4">
        <f>DATE(YEAR(IR34)+5,MONTH(IR34),DAY(IR34))</f>
        <v>47310</v>
      </c>
      <c r="IT34" s="8">
        <f ca="1">IS34-TODAY()</f>
        <v>1176</v>
      </c>
      <c r="IU34" s="5" t="str">
        <f t="shared" ca="1" si="98"/>
        <v>VIGENTE</v>
      </c>
      <c r="IV34" s="3"/>
      <c r="IW34" s="4">
        <v>45477</v>
      </c>
      <c r="IX34" s="4">
        <f>DATE(YEAR(IW34)+5,MONTH(IW34),DAY(IW34))</f>
        <v>47303</v>
      </c>
      <c r="IY34" s="8">
        <f ca="1">IX34-TODAY()</f>
        <v>1169</v>
      </c>
      <c r="IZ34" s="5" t="str">
        <f t="shared" ca="1" si="99"/>
        <v>VIGENTE</v>
      </c>
      <c r="JA34" s="3"/>
      <c r="JB34" s="3"/>
      <c r="JC34" s="4"/>
      <c r="JD34" s="8"/>
      <c r="JE34" s="5" t="str">
        <f t="shared" si="100"/>
        <v>NO APLICA</v>
      </c>
      <c r="JF34" s="6"/>
      <c r="JG34" s="6"/>
      <c r="JH34" s="6"/>
      <c r="JI34" s="6"/>
      <c r="JJ34" s="5" t="str">
        <f t="shared" si="101"/>
        <v>NO APLICA</v>
      </c>
      <c r="JK34" s="6"/>
      <c r="JL34" s="6"/>
      <c r="JM34" s="6"/>
      <c r="JN34" s="6"/>
      <c r="JO34" s="5" t="str">
        <f t="shared" si="102"/>
        <v>NO APLICA</v>
      </c>
      <c r="JP34" s="6"/>
      <c r="JQ34" s="6"/>
      <c r="JR34" s="6"/>
      <c r="JS34" s="6"/>
      <c r="JT34" s="5" t="str">
        <f t="shared" si="103"/>
        <v>NO APLICA</v>
      </c>
      <c r="JU34" s="5"/>
      <c r="JV34" s="5"/>
      <c r="JW34" s="5"/>
      <c r="JX34" s="5"/>
      <c r="JY34" s="5" t="str">
        <f t="shared" si="104"/>
        <v>NO APLICA</v>
      </c>
      <c r="JZ34" s="5"/>
      <c r="KA34" s="2"/>
      <c r="KB34" s="4"/>
      <c r="KC34" s="8"/>
      <c r="KD34" s="5" t="str">
        <f t="shared" si="105"/>
        <v>NO APLICA</v>
      </c>
      <c r="KE34" s="5"/>
      <c r="KF34" s="2"/>
      <c r="KG34" s="4"/>
      <c r="KH34" s="8"/>
      <c r="KI34" s="5" t="str">
        <f t="shared" si="141"/>
        <v>NO APLICA</v>
      </c>
      <c r="KJ34" s="5"/>
      <c r="KK34" s="2"/>
      <c r="KL34" s="4"/>
      <c r="KM34" s="8"/>
      <c r="KN34" s="5" t="str">
        <f t="shared" si="106"/>
        <v>NO APLICA</v>
      </c>
      <c r="KO34" s="5"/>
      <c r="KP34" s="2"/>
      <c r="KQ34" s="4"/>
      <c r="KR34" s="8"/>
      <c r="KS34" s="5" t="str">
        <f t="shared" si="142"/>
        <v>NO APLICA</v>
      </c>
      <c r="KT34" s="2"/>
      <c r="KU34" s="6"/>
      <c r="KV34" s="4"/>
      <c r="KW34" s="8"/>
      <c r="KX34" s="5" t="str">
        <f t="shared" si="156"/>
        <v>NO APLICA</v>
      </c>
      <c r="KY34" s="5"/>
      <c r="KZ34" s="4">
        <v>44613</v>
      </c>
      <c r="LA34" s="4">
        <f>DATE(YEAR(KZ34)+5,MONTH(KZ34),DAY(KZ34))</f>
        <v>46439</v>
      </c>
      <c r="LB34" s="8">
        <f ca="1">LA34-TODAY()</f>
        <v>305</v>
      </c>
      <c r="LC34" s="5" t="str">
        <f t="shared" ca="1" si="143"/>
        <v>VIGENTE</v>
      </c>
      <c r="LD34" s="6"/>
      <c r="LE34" s="4"/>
      <c r="LF34" s="4"/>
      <c r="LG34" s="8"/>
      <c r="LH34" s="5" t="str">
        <f t="shared" si="107"/>
        <v>NO APLICA</v>
      </c>
      <c r="LI34" s="5"/>
      <c r="LJ34" s="5"/>
      <c r="LK34" s="4"/>
      <c r="LL34" s="8"/>
      <c r="LM34" s="5" t="str">
        <f t="shared" si="157"/>
        <v>NO APLICA</v>
      </c>
      <c r="LN34" s="2"/>
      <c r="LO34" s="6"/>
      <c r="LP34" s="4"/>
      <c r="LQ34" s="8"/>
      <c r="LR34" s="5" t="str">
        <f t="shared" si="144"/>
        <v>NO APLICA</v>
      </c>
      <c r="LS34" s="6"/>
      <c r="LT34" s="6"/>
      <c r="LU34" s="4"/>
      <c r="LV34" s="8"/>
      <c r="LW34" s="5" t="str">
        <f t="shared" si="145"/>
        <v>NO APLICA</v>
      </c>
      <c r="LX34" s="6"/>
      <c r="LY34" s="6"/>
      <c r="LZ34" s="4"/>
      <c r="MA34" s="8"/>
      <c r="MB34" s="5" t="str">
        <f t="shared" si="146"/>
        <v>NO APLICA</v>
      </c>
      <c r="MC34" s="2"/>
      <c r="MD34" s="2"/>
      <c r="ME34" s="4"/>
      <c r="MF34" s="8"/>
      <c r="MG34" s="5" t="str">
        <f t="shared" si="108"/>
        <v>NO APLICA</v>
      </c>
      <c r="MH34" s="2"/>
      <c r="MI34" s="2"/>
      <c r="MJ34" s="4"/>
      <c r="MK34" s="8"/>
      <c r="ML34" s="5" t="str">
        <f t="shared" si="109"/>
        <v>NO APLICA</v>
      </c>
      <c r="MM34" s="5"/>
      <c r="MN34" s="2"/>
      <c r="MO34" s="4"/>
      <c r="MP34" s="8"/>
      <c r="MQ34" s="5" t="str">
        <f t="shared" si="110"/>
        <v>NO APLICA</v>
      </c>
      <c r="MR34" s="5"/>
      <c r="MS34" s="2"/>
      <c r="MT34" s="4"/>
      <c r="MU34" s="2"/>
      <c r="MV34" s="5" t="str">
        <f t="shared" si="111"/>
        <v>NO APLICA</v>
      </c>
      <c r="MW34" s="2"/>
      <c r="MX34" s="6"/>
      <c r="MY34" s="4"/>
      <c r="MZ34" s="8"/>
      <c r="NA34" s="5" t="str">
        <f t="shared" si="112"/>
        <v>NO APLICA</v>
      </c>
      <c r="NB34" s="2"/>
      <c r="NC34" s="6"/>
      <c r="ND34" s="4"/>
      <c r="NE34" s="8"/>
      <c r="NF34" s="5" t="str">
        <f t="shared" si="113"/>
        <v>NO APLICA</v>
      </c>
      <c r="NG34" s="2"/>
      <c r="NH34" s="6"/>
      <c r="NI34" s="4"/>
      <c r="NJ34" s="8"/>
      <c r="NK34" s="5" t="str">
        <f t="shared" si="114"/>
        <v>NO APLICA</v>
      </c>
      <c r="NL34" s="2"/>
      <c r="NM34" s="2"/>
      <c r="NN34" s="4"/>
      <c r="NO34" s="8"/>
      <c r="NP34" s="5" t="str">
        <f t="shared" si="115"/>
        <v>NO APLICA</v>
      </c>
      <c r="NQ34" s="2"/>
      <c r="NR34" s="2"/>
      <c r="NS34" s="4"/>
      <c r="NT34" s="2"/>
      <c r="NU34" s="5" t="str">
        <f t="shared" si="116"/>
        <v>NO APLICA</v>
      </c>
      <c r="NV34" s="6"/>
      <c r="NW34" s="6"/>
      <c r="NX34" s="4"/>
      <c r="NY34" s="8"/>
      <c r="NZ34" s="5" t="str">
        <f t="shared" si="117"/>
        <v>NO APLICA</v>
      </c>
      <c r="OA34" s="6"/>
      <c r="OB34" s="6"/>
      <c r="OC34" s="6"/>
      <c r="OD34" s="6"/>
      <c r="OE34" s="5" t="str">
        <f t="shared" si="118"/>
        <v>NO APLICA</v>
      </c>
      <c r="OF34" s="2"/>
      <c r="OG34" s="2"/>
      <c r="OH34" s="4"/>
      <c r="OI34" s="8"/>
      <c r="OJ34" s="5" t="str">
        <f t="shared" si="119"/>
        <v>NO APLICA</v>
      </c>
      <c r="OK34" s="6"/>
      <c r="OL34" s="6"/>
      <c r="OM34" s="6"/>
      <c r="ON34" s="6"/>
      <c r="OO34" s="5" t="str">
        <f t="shared" si="120"/>
        <v>NO APLICA</v>
      </c>
      <c r="OP34" s="6"/>
      <c r="OQ34" s="6"/>
      <c r="OR34" s="6"/>
      <c r="OS34" s="6"/>
      <c r="OT34" s="5" t="str">
        <f t="shared" si="121"/>
        <v>NO APLICA</v>
      </c>
      <c r="OU34" s="6"/>
      <c r="OV34" s="6"/>
      <c r="OW34" s="6"/>
      <c r="OX34" s="6"/>
      <c r="OY34" s="5" t="str">
        <f t="shared" si="122"/>
        <v>NO APLICA</v>
      </c>
      <c r="OZ34" s="6"/>
      <c r="PA34" s="6"/>
      <c r="PB34" s="6"/>
      <c r="PC34" s="6"/>
      <c r="PD34" s="5" t="str">
        <f t="shared" si="123"/>
        <v>NO APLICA</v>
      </c>
      <c r="PE34" s="6"/>
      <c r="PF34" s="6"/>
      <c r="PG34" s="6"/>
      <c r="PH34" s="6"/>
      <c r="PI34" s="5" t="str">
        <f t="shared" si="124"/>
        <v>NO APLICA</v>
      </c>
      <c r="PJ34" s="5"/>
      <c r="PK34" s="6"/>
      <c r="PL34" s="4"/>
      <c r="PM34" s="8"/>
      <c r="PN34" s="5" t="str">
        <f t="shared" si="125"/>
        <v>NO APLICA</v>
      </c>
      <c r="PO34" s="6"/>
      <c r="PP34" s="6"/>
      <c r="PQ34" s="6"/>
      <c r="PR34" s="6"/>
      <c r="PS34" s="5" t="str">
        <f t="shared" si="126"/>
        <v>NO APLICA</v>
      </c>
      <c r="PT34" s="5"/>
      <c r="PU34" s="6"/>
      <c r="PV34" s="6"/>
      <c r="PW34" s="6"/>
      <c r="PX34" s="5" t="str">
        <f t="shared" si="127"/>
        <v>NO APLICA</v>
      </c>
    </row>
    <row r="35" spans="1:440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185</v>
      </c>
      <c r="T35" s="5" t="str">
        <f t="shared" ca="1" si="128"/>
        <v>VIGENTE</v>
      </c>
      <c r="U35" s="2" t="s">
        <v>174</v>
      </c>
      <c r="V35" s="4">
        <v>45216</v>
      </c>
      <c r="W35" s="4">
        <f t="shared" si="2"/>
        <v>47043</v>
      </c>
      <c r="X35" s="8">
        <f t="shared" ca="1" si="3"/>
        <v>909</v>
      </c>
      <c r="Y35" s="5" t="str">
        <f t="shared" ca="1" si="4"/>
        <v>VIGENTE</v>
      </c>
      <c r="Z35" s="2" t="s">
        <v>175</v>
      </c>
      <c r="AA35" s="4">
        <v>45233</v>
      </c>
      <c r="AB35" s="4">
        <f t="shared" si="196"/>
        <v>47060</v>
      </c>
      <c r="AC35" s="8">
        <f t="shared" ca="1" si="197"/>
        <v>926</v>
      </c>
      <c r="AD35" s="5" t="str">
        <f t="shared" ca="1" si="7"/>
        <v>VIGENTE</v>
      </c>
      <c r="AE35" s="2"/>
      <c r="AF35" s="4">
        <v>45936</v>
      </c>
      <c r="AG35" s="4">
        <f>DATE(YEAR(AF35)+2,MONTH(AF35),DAY(AF35))</f>
        <v>46666</v>
      </c>
      <c r="AH35" s="8">
        <f t="shared" ca="1" si="8"/>
        <v>532</v>
      </c>
      <c r="AI35" s="5" t="str">
        <f t="shared" ca="1" si="9"/>
        <v>VIGENTE</v>
      </c>
      <c r="AJ35" s="2"/>
      <c r="AK35" s="4">
        <v>45937</v>
      </c>
      <c r="AL35" s="4">
        <f t="shared" si="198"/>
        <v>46667</v>
      </c>
      <c r="AM35" s="8">
        <f t="shared" ca="1" si="10"/>
        <v>533</v>
      </c>
      <c r="AN35" s="5" t="str">
        <f t="shared" ca="1" si="11"/>
        <v>VIGENTE</v>
      </c>
      <c r="AO35" s="2"/>
      <c r="AP35" s="4">
        <v>45904</v>
      </c>
      <c r="AQ35" s="4">
        <f>DATE(YEAR(AP35)+2,MONTH(AP35),DAY(AP35))</f>
        <v>46634</v>
      </c>
      <c r="AR35" s="8">
        <f t="shared" ca="1" si="12"/>
        <v>500</v>
      </c>
      <c r="AS35" s="5" t="str">
        <f t="shared" ca="1" si="13"/>
        <v>VIGENTE</v>
      </c>
      <c r="AT35" s="2"/>
      <c r="AU35" s="4">
        <v>45927</v>
      </c>
      <c r="AV35" s="4">
        <f t="shared" si="199"/>
        <v>46657</v>
      </c>
      <c r="AW35" s="8">
        <f t="shared" ca="1" si="15"/>
        <v>523</v>
      </c>
      <c r="AX35" s="5" t="str">
        <f t="shared" ca="1" si="16"/>
        <v>VIGENTE</v>
      </c>
      <c r="AY35" s="3"/>
      <c r="AZ35" s="4">
        <v>46041</v>
      </c>
      <c r="BA35" s="4">
        <f>DATE(YEAR(AZ35)+2,MONTH(AZ35),DAY(AZ35))</f>
        <v>46771</v>
      </c>
      <c r="BB35" s="8">
        <f t="shared" ca="1" si="17"/>
        <v>637</v>
      </c>
      <c r="BC35" s="5" t="str">
        <f t="shared" ca="1" si="18"/>
        <v>VIGENTE</v>
      </c>
      <c r="BD35" s="2"/>
      <c r="BE35" s="4">
        <v>45997</v>
      </c>
      <c r="BF35" s="4">
        <f t="shared" si="200"/>
        <v>46727</v>
      </c>
      <c r="BG35" s="8">
        <f t="shared" ca="1" si="19"/>
        <v>593</v>
      </c>
      <c r="BH35" s="5" t="str">
        <f t="shared" ca="1" si="20"/>
        <v>VIGENTE</v>
      </c>
      <c r="BI35" s="3"/>
      <c r="BJ35" s="4">
        <v>46017</v>
      </c>
      <c r="BK35" s="4">
        <f t="shared" si="201"/>
        <v>46747</v>
      </c>
      <c r="BL35" s="8">
        <f t="shared" ca="1" si="21"/>
        <v>613</v>
      </c>
      <c r="BM35" s="5" t="str">
        <f t="shared" ca="1" si="22"/>
        <v>VIGENTE</v>
      </c>
      <c r="BN35" s="3"/>
      <c r="BO35" s="4">
        <v>45988</v>
      </c>
      <c r="BP35" s="4">
        <f>DATE(YEAR(BO35)+2,MONTH(BO35),DAY(BO35))</f>
        <v>46718</v>
      </c>
      <c r="BQ35" s="8">
        <f t="shared" ca="1" si="23"/>
        <v>584</v>
      </c>
      <c r="BR35" s="5" t="str">
        <f t="shared" ca="1" si="24"/>
        <v>VIGENTE</v>
      </c>
      <c r="BS35" s="3"/>
      <c r="BT35" s="4">
        <v>46031</v>
      </c>
      <c r="BU35" s="4">
        <f>DATE(YEAR(BT35)+2,MONTH(BT35),DAY(BT35))</f>
        <v>46761</v>
      </c>
      <c r="BV35" s="8">
        <f t="shared" ca="1" si="25"/>
        <v>627</v>
      </c>
      <c r="BW35" s="5" t="str">
        <f t="shared" ca="1" si="26"/>
        <v>VIGENTE</v>
      </c>
      <c r="BX35" s="2"/>
      <c r="BY35" s="4">
        <v>45986</v>
      </c>
      <c r="BZ35" s="4">
        <f t="shared" si="208"/>
        <v>46716</v>
      </c>
      <c r="CA35" s="8">
        <f t="shared" ca="1" si="27"/>
        <v>582</v>
      </c>
      <c r="CB35" s="5" t="str">
        <f t="shared" ca="1" si="28"/>
        <v>VIGENTE</v>
      </c>
      <c r="CC35" s="6" t="s">
        <v>73</v>
      </c>
      <c r="CD35" s="4">
        <v>45455</v>
      </c>
      <c r="CE35" s="4">
        <f t="shared" si="29"/>
        <v>46916</v>
      </c>
      <c r="CF35" s="8">
        <f t="shared" ca="1" si="30"/>
        <v>782</v>
      </c>
      <c r="CG35" s="5" t="str">
        <f t="shared" ca="1" si="31"/>
        <v>VIGENTE</v>
      </c>
      <c r="CH35" s="4"/>
      <c r="CI35" s="4">
        <v>46018</v>
      </c>
      <c r="CJ35" s="4">
        <f>DATE(YEAR(CI35)+2,MONTH(CI35),DAY(CI35))</f>
        <v>46748</v>
      </c>
      <c r="CK35" s="8">
        <f t="shared" ca="1" si="32"/>
        <v>614</v>
      </c>
      <c r="CL35" s="5" t="str">
        <f t="shared" ca="1" si="33"/>
        <v>VIGENTE</v>
      </c>
      <c r="CM35" s="3"/>
      <c r="CN35" s="4">
        <v>45994</v>
      </c>
      <c r="CO35" s="4">
        <f>DATE(YEAR(CN35)+2,MONTH(CN35),DAY(CN35))</f>
        <v>46724</v>
      </c>
      <c r="CP35" s="8">
        <f t="shared" ca="1" si="34"/>
        <v>590</v>
      </c>
      <c r="CQ35" s="5" t="str">
        <f t="shared" ca="1" si="35"/>
        <v>VIGENTE</v>
      </c>
      <c r="CR35" s="2"/>
      <c r="CS35" s="4">
        <v>45905</v>
      </c>
      <c r="CT35" s="4">
        <f>DATE(YEAR(CS35)+2,MONTH(CS35),DAY(CS35))</f>
        <v>46635</v>
      </c>
      <c r="CU35" s="8">
        <f t="shared" ca="1" si="36"/>
        <v>501</v>
      </c>
      <c r="CV35" s="5" t="str">
        <f t="shared" ca="1" si="37"/>
        <v>VIGENTE</v>
      </c>
      <c r="CW35" s="3"/>
      <c r="CX35" s="4">
        <v>46000</v>
      </c>
      <c r="CY35" s="4">
        <f t="shared" ref="CY35:CY40" si="211">DATE(YEAR(CX35)+2,MONTH(CX35),DAY(CX35))</f>
        <v>46730</v>
      </c>
      <c r="CZ35" s="8">
        <f t="shared" ca="1" si="38"/>
        <v>596</v>
      </c>
      <c r="DA35" s="5" t="str">
        <f t="shared" ca="1" si="39"/>
        <v>VIGENTE</v>
      </c>
      <c r="DB35" s="3"/>
      <c r="DC35" s="4">
        <v>45996</v>
      </c>
      <c r="DD35" s="4">
        <f>DATE(YEAR(DC35)+2,MONTH(DC35),DAY(DC35))</f>
        <v>46726</v>
      </c>
      <c r="DE35" s="8">
        <f t="shared" ca="1" si="40"/>
        <v>592</v>
      </c>
      <c r="DF35" s="5" t="str">
        <f t="shared" ca="1" si="41"/>
        <v>VIGENTE</v>
      </c>
      <c r="DG35" s="3"/>
      <c r="DH35" s="4">
        <v>45975</v>
      </c>
      <c r="DI35" s="4">
        <f>DATE(YEAR(DH35)+2,MONTH(DH35),DAY(DH35))</f>
        <v>46705</v>
      </c>
      <c r="DJ35" s="8">
        <f t="shared" ca="1" si="43"/>
        <v>571</v>
      </c>
      <c r="DK35" s="5" t="str">
        <f t="shared" ca="1" si="44"/>
        <v>VIGENTE</v>
      </c>
      <c r="DL35" s="3"/>
      <c r="DM35" s="4">
        <v>46008</v>
      </c>
      <c r="DN35" s="4">
        <f t="shared" si="209"/>
        <v>46738</v>
      </c>
      <c r="DO35" s="8">
        <f t="shared" ca="1" si="46"/>
        <v>604</v>
      </c>
      <c r="DP35" s="5" t="str">
        <f t="shared" ca="1" si="47"/>
        <v>VIGENTE</v>
      </c>
      <c r="DQ35" s="3"/>
      <c r="DR35" s="3">
        <v>46009</v>
      </c>
      <c r="DS35" s="4">
        <f>DATE(YEAR(DR35)+2,MONTH(DR35),DAY(DR35))</f>
        <v>46739</v>
      </c>
      <c r="DT35" s="8">
        <f t="shared" ca="1" si="48"/>
        <v>605</v>
      </c>
      <c r="DU35" s="5" t="str">
        <f t="shared" ca="1" si="49"/>
        <v>VIGENTE</v>
      </c>
      <c r="DV35" s="4"/>
      <c r="DW35" s="4">
        <v>46032</v>
      </c>
      <c r="DX35" s="4">
        <f>DATE(YEAR(DW35)+2,MONTH(DW35),DAY(DW35))</f>
        <v>46762</v>
      </c>
      <c r="DY35" s="8">
        <f t="shared" ca="1" si="50"/>
        <v>628</v>
      </c>
      <c r="DZ35" s="5" t="str">
        <f t="shared" ca="1" si="51"/>
        <v>VIGENTE</v>
      </c>
      <c r="EA35" s="4"/>
      <c r="EB35" s="4">
        <v>45985</v>
      </c>
      <c r="EC35" s="4">
        <f t="shared" si="210"/>
        <v>46715</v>
      </c>
      <c r="ED35" s="8">
        <f t="shared" ca="1" si="52"/>
        <v>581</v>
      </c>
      <c r="EE35" s="5" t="str">
        <f t="shared" ca="1" si="53"/>
        <v>VIGENTE</v>
      </c>
      <c r="EF35" s="3"/>
      <c r="EG35" s="3">
        <v>46015</v>
      </c>
      <c r="EH35" s="4">
        <f t="shared" si="137"/>
        <v>46380</v>
      </c>
      <c r="EI35" s="8">
        <f t="shared" ca="1" si="54"/>
        <v>246</v>
      </c>
      <c r="EJ35" s="5" t="str">
        <f t="shared" ca="1" si="55"/>
        <v>VIGENTE</v>
      </c>
      <c r="EK35" s="3"/>
      <c r="EL35" s="4">
        <v>45995</v>
      </c>
      <c r="EM35" s="4">
        <f>DATE(YEAR(EL35)+2,MONTH(EL35),DAY(EL35))</f>
        <v>46725</v>
      </c>
      <c r="EN35" s="8">
        <f t="shared" ca="1" si="56"/>
        <v>591</v>
      </c>
      <c r="EO35" s="5" t="str">
        <f t="shared" ca="1" si="57"/>
        <v>VIGENTE</v>
      </c>
      <c r="EP35" s="2"/>
      <c r="EQ35" s="4">
        <v>45999</v>
      </c>
      <c r="ER35" s="4">
        <f>DATE(YEAR(EQ35)+2,MONTH(EQ35),DAY(EQ35))</f>
        <v>46729</v>
      </c>
      <c r="ES35" s="8">
        <f t="shared" ca="1" si="58"/>
        <v>595</v>
      </c>
      <c r="ET35" s="5" t="str">
        <f t="shared" ca="1" si="59"/>
        <v>VIGENTE</v>
      </c>
      <c r="EU35" s="3"/>
      <c r="EV35" s="4">
        <v>46037</v>
      </c>
      <c r="EW35" s="4">
        <f t="shared" si="202"/>
        <v>46767</v>
      </c>
      <c r="EX35" s="8">
        <f t="shared" ca="1" si="60"/>
        <v>633</v>
      </c>
      <c r="EY35" s="5" t="str">
        <f t="shared" ca="1" si="61"/>
        <v>VIGENTE</v>
      </c>
      <c r="EZ35" s="4"/>
      <c r="FA35" s="4">
        <v>46010</v>
      </c>
      <c r="FB35" s="4">
        <f t="shared" si="203"/>
        <v>46740</v>
      </c>
      <c r="FC35" s="8">
        <f t="shared" ca="1" si="62"/>
        <v>606</v>
      </c>
      <c r="FD35" s="5" t="str">
        <f t="shared" ca="1" si="63"/>
        <v>VIGENTE</v>
      </c>
      <c r="FE35" s="3"/>
      <c r="FF35" s="4">
        <v>45962</v>
      </c>
      <c r="FG35" s="4">
        <f t="shared" si="204"/>
        <v>46692</v>
      </c>
      <c r="FH35" s="8">
        <f t="shared" ca="1" si="64"/>
        <v>558</v>
      </c>
      <c r="FI35" s="5" t="str">
        <f t="shared" ca="1" si="65"/>
        <v>VIGENTE</v>
      </c>
      <c r="FJ35" s="4"/>
      <c r="FK35" s="4">
        <v>46039</v>
      </c>
      <c r="FL35" s="4">
        <f>DATE(YEAR(FK35)+2,MONTH(FK35),DAY(FK35))</f>
        <v>46769</v>
      </c>
      <c r="FM35" s="8">
        <f t="shared" ca="1" si="67"/>
        <v>635</v>
      </c>
      <c r="FN35" s="5" t="str">
        <f t="shared" ca="1" si="68"/>
        <v>VIGENTE</v>
      </c>
      <c r="FO35" s="3"/>
      <c r="FP35" s="4">
        <v>46034</v>
      </c>
      <c r="FQ35" s="4">
        <f>DATE(YEAR(FP35)+2,MONTH(FP35),DAY(FP35))</f>
        <v>46764</v>
      </c>
      <c r="FR35" s="8">
        <f t="shared" ca="1" si="69"/>
        <v>630</v>
      </c>
      <c r="FS35" s="5" t="str">
        <f t="shared" ca="1" si="70"/>
        <v>VIGENTE</v>
      </c>
      <c r="FT35" s="4"/>
      <c r="FU35" s="4">
        <v>46004</v>
      </c>
      <c r="FV35" s="4">
        <f>DATE(YEAR(FU35)+2,MONTH(FU35),DAY(FU35))</f>
        <v>46734</v>
      </c>
      <c r="FW35" s="8">
        <f t="shared" ca="1" si="71"/>
        <v>600</v>
      </c>
      <c r="FX35" s="5" t="str">
        <f t="shared" ca="1" si="72"/>
        <v>VIGENTE</v>
      </c>
      <c r="FY35" s="3"/>
      <c r="FZ35" s="4">
        <v>45925</v>
      </c>
      <c r="GA35" s="4">
        <f>DATE(YEAR(FZ35)+2,MONTH(FZ35),DAY(FZ35))</f>
        <v>46655</v>
      </c>
      <c r="GB35" s="8">
        <f t="shared" ca="1" si="73"/>
        <v>521</v>
      </c>
      <c r="GC35" s="5" t="str">
        <f t="shared" ca="1" si="74"/>
        <v>VIGENTE</v>
      </c>
      <c r="GD35" s="3"/>
      <c r="GE35" s="4">
        <v>45960</v>
      </c>
      <c r="GF35" s="4">
        <f>DATE(YEAR(GE35)+2,MONTH(GE35),DAY(GE35))</f>
        <v>46690</v>
      </c>
      <c r="GG35" s="8">
        <f t="shared" ca="1" si="75"/>
        <v>556</v>
      </c>
      <c r="GH35" s="5" t="str">
        <f t="shared" ca="1" si="76"/>
        <v>VIGENTE</v>
      </c>
      <c r="GI35" s="3"/>
      <c r="GJ35" s="4">
        <v>46071</v>
      </c>
      <c r="GK35" s="4">
        <f>DATE(YEAR(GJ35)+2,MONTH(GJ35),DAY(GJ35))</f>
        <v>46801</v>
      </c>
      <c r="GL35" s="8">
        <f t="shared" ca="1" si="77"/>
        <v>667</v>
      </c>
      <c r="GM35" s="5" t="str">
        <f t="shared" ca="1" si="78"/>
        <v>VIGENTE</v>
      </c>
      <c r="GN35" s="4"/>
      <c r="GO35" s="4">
        <v>45299</v>
      </c>
      <c r="GP35" s="4">
        <f t="shared" si="79"/>
        <v>47126</v>
      </c>
      <c r="GQ35" s="8">
        <f t="shared" ca="1" si="181"/>
        <v>992</v>
      </c>
      <c r="GR35" s="5" t="str">
        <f t="shared" ca="1" si="81"/>
        <v>VIGENTE</v>
      </c>
      <c r="GS35" s="3"/>
      <c r="GT35" s="4">
        <v>45329</v>
      </c>
      <c r="GU35" s="4">
        <f t="shared" si="82"/>
        <v>47156</v>
      </c>
      <c r="GV35" s="8">
        <f t="shared" ca="1" si="83"/>
        <v>1022</v>
      </c>
      <c r="GW35" s="5" t="str">
        <f t="shared" ca="1" si="84"/>
        <v>VIGENTE</v>
      </c>
      <c r="GX35" s="2"/>
      <c r="GY35" s="4">
        <v>45343</v>
      </c>
      <c r="GZ35" s="4">
        <f t="shared" si="85"/>
        <v>47170</v>
      </c>
      <c r="HA35" s="8">
        <f t="shared" ca="1" si="86"/>
        <v>1036</v>
      </c>
      <c r="HB35" s="5" t="str">
        <f t="shared" ca="1" si="87"/>
        <v>VIGENTE</v>
      </c>
      <c r="HC35" s="6"/>
      <c r="HD35" s="4">
        <v>45317</v>
      </c>
      <c r="HE35" s="4">
        <f t="shared" si="205"/>
        <v>47144</v>
      </c>
      <c r="HF35" s="8">
        <f t="shared" ca="1" si="206"/>
        <v>1010</v>
      </c>
      <c r="HG35" s="5" t="str">
        <f t="shared" ca="1" si="192"/>
        <v>VIGENTE</v>
      </c>
      <c r="HH35" s="2"/>
      <c r="HI35" s="6"/>
      <c r="HJ35" s="4"/>
      <c r="HK35" s="8"/>
      <c r="HL35" s="5" t="str">
        <f t="shared" si="207"/>
        <v>NO APLICA</v>
      </c>
      <c r="HM35" s="2"/>
      <c r="HN35" s="2"/>
      <c r="HO35" s="4"/>
      <c r="HP35" s="2"/>
      <c r="HQ35" s="5" t="str">
        <f t="shared" si="92"/>
        <v>NO APLICA</v>
      </c>
      <c r="HR35" s="2"/>
      <c r="HS35" s="6"/>
      <c r="HT35" s="4"/>
      <c r="HU35" s="8"/>
      <c r="HV35" s="5" t="str">
        <f t="shared" si="93"/>
        <v>NO APLICA</v>
      </c>
      <c r="HW35" s="2"/>
      <c r="HX35" s="6"/>
      <c r="HY35" s="4"/>
      <c r="HZ35" s="8"/>
      <c r="IA35" s="5" t="str">
        <f t="shared" si="94"/>
        <v>NO APLICA</v>
      </c>
      <c r="IB35" s="2"/>
      <c r="IC35" s="6"/>
      <c r="ID35" s="4"/>
      <c r="IE35" s="8"/>
      <c r="IF35" s="5" t="str">
        <f t="shared" si="95"/>
        <v>NO APLICA</v>
      </c>
      <c r="IG35" s="6"/>
      <c r="IH35" s="6"/>
      <c r="II35" s="4"/>
      <c r="IJ35" s="8"/>
      <c r="IK35" s="5" t="str">
        <f t="shared" si="96"/>
        <v>NO APLICA</v>
      </c>
      <c r="IL35" s="2"/>
      <c r="IM35" s="6"/>
      <c r="IN35" s="4"/>
      <c r="IO35" s="8"/>
      <c r="IP35" s="5" t="str">
        <f t="shared" si="97"/>
        <v>NO APLICA</v>
      </c>
      <c r="IQ35" s="2"/>
      <c r="IR35" s="6"/>
      <c r="IS35" s="4"/>
      <c r="IT35" s="8"/>
      <c r="IU35" s="5" t="str">
        <f t="shared" si="98"/>
        <v>NO APLICA</v>
      </c>
      <c r="IV35" s="2"/>
      <c r="IW35" s="6"/>
      <c r="IX35" s="4"/>
      <c r="IY35" s="8"/>
      <c r="IZ35" s="5" t="str">
        <f t="shared" si="99"/>
        <v>NO APLICA</v>
      </c>
      <c r="JA35" s="3"/>
      <c r="JB35" s="3"/>
      <c r="JC35" s="4"/>
      <c r="JD35" s="8"/>
      <c r="JE35" s="5" t="str">
        <f t="shared" si="100"/>
        <v>NO APLICA</v>
      </c>
      <c r="JF35" s="6"/>
      <c r="JG35" s="6"/>
      <c r="JH35" s="6"/>
      <c r="JI35" s="6"/>
      <c r="JJ35" s="5" t="str">
        <f t="shared" si="101"/>
        <v>NO APLICA</v>
      </c>
      <c r="JK35" s="6"/>
      <c r="JL35" s="6"/>
      <c r="JM35" s="6"/>
      <c r="JN35" s="6"/>
      <c r="JO35" s="5" t="str">
        <f t="shared" si="102"/>
        <v>NO APLICA</v>
      </c>
      <c r="JP35" s="6"/>
      <c r="JQ35" s="6"/>
      <c r="JR35" s="6"/>
      <c r="JS35" s="6"/>
      <c r="JT35" s="5" t="str">
        <f t="shared" si="103"/>
        <v>NO APLICA</v>
      </c>
      <c r="JU35" s="5"/>
      <c r="JV35" s="5"/>
      <c r="JW35" s="5"/>
      <c r="JX35" s="5"/>
      <c r="JY35" s="5" t="str">
        <f t="shared" si="104"/>
        <v>NO APLICA</v>
      </c>
      <c r="JZ35" s="5"/>
      <c r="KA35" s="2"/>
      <c r="KB35" s="4"/>
      <c r="KC35" s="8"/>
      <c r="KD35" s="5" t="str">
        <f t="shared" si="105"/>
        <v>NO APLICA</v>
      </c>
      <c r="KE35" s="5"/>
      <c r="KF35" s="2"/>
      <c r="KG35" s="4"/>
      <c r="KH35" s="8"/>
      <c r="KI35" s="5" t="str">
        <f t="shared" si="141"/>
        <v>NO APLICA</v>
      </c>
      <c r="KJ35" s="5"/>
      <c r="KK35" s="2"/>
      <c r="KL35" s="4"/>
      <c r="KM35" s="8"/>
      <c r="KN35" s="5" t="str">
        <f t="shared" si="106"/>
        <v>NO APLICA</v>
      </c>
      <c r="KO35" s="5"/>
      <c r="KP35" s="2"/>
      <c r="KQ35" s="4"/>
      <c r="KR35" s="8"/>
      <c r="KS35" s="5" t="str">
        <f t="shared" si="142"/>
        <v>NO APLICA</v>
      </c>
      <c r="KT35" s="2"/>
      <c r="KU35" s="6"/>
      <c r="KV35" s="4"/>
      <c r="KW35" s="8"/>
      <c r="KX35" s="5" t="str">
        <f t="shared" si="156"/>
        <v>NO APLICA</v>
      </c>
      <c r="KY35" s="5"/>
      <c r="KZ35" s="6"/>
      <c r="LA35" s="4"/>
      <c r="LB35" s="8"/>
      <c r="LC35" s="5" t="str">
        <f t="shared" si="143"/>
        <v>NO APLICA</v>
      </c>
      <c r="LD35" s="6"/>
      <c r="LE35" s="6"/>
      <c r="LF35" s="4"/>
      <c r="LG35" s="8"/>
      <c r="LH35" s="5" t="str">
        <f t="shared" si="107"/>
        <v>NO APLICA</v>
      </c>
      <c r="LI35" s="5"/>
      <c r="LJ35" s="5"/>
      <c r="LK35" s="5"/>
      <c r="LL35" s="5"/>
      <c r="LM35" s="5" t="str">
        <f t="shared" si="157"/>
        <v>NO APLICA</v>
      </c>
      <c r="LN35" s="2"/>
      <c r="LO35" s="6"/>
      <c r="LP35" s="4"/>
      <c r="LQ35" s="8"/>
      <c r="LR35" s="5" t="str">
        <f t="shared" si="144"/>
        <v>NO APLICA</v>
      </c>
      <c r="LS35" s="6"/>
      <c r="LT35" s="6"/>
      <c r="LU35" s="4"/>
      <c r="LV35" s="8"/>
      <c r="LW35" s="5" t="str">
        <f t="shared" si="145"/>
        <v>NO APLICA</v>
      </c>
      <c r="LX35" s="6"/>
      <c r="LY35" s="6"/>
      <c r="LZ35" s="4"/>
      <c r="MA35" s="8"/>
      <c r="MB35" s="5" t="str">
        <f t="shared" si="146"/>
        <v>NO APLICA</v>
      </c>
      <c r="MC35" s="2"/>
      <c r="MD35" s="2"/>
      <c r="ME35" s="4"/>
      <c r="MF35" s="8"/>
      <c r="MG35" s="5" t="str">
        <f t="shared" si="108"/>
        <v>NO APLICA</v>
      </c>
      <c r="MH35" s="2"/>
      <c r="MI35" s="2"/>
      <c r="MJ35" s="4"/>
      <c r="MK35" s="8"/>
      <c r="ML35" s="5" t="str">
        <f t="shared" si="109"/>
        <v>NO APLICA</v>
      </c>
      <c r="MM35" s="5"/>
      <c r="MN35" s="2"/>
      <c r="MO35" s="4"/>
      <c r="MP35" s="8"/>
      <c r="MQ35" s="5" t="str">
        <f t="shared" si="110"/>
        <v>NO APLICA</v>
      </c>
      <c r="MR35" s="5"/>
      <c r="MS35" s="2"/>
      <c r="MT35" s="2"/>
      <c r="MU35" s="2"/>
      <c r="MV35" s="5" t="str">
        <f t="shared" si="111"/>
        <v>NO APLICA</v>
      </c>
      <c r="MW35" s="2"/>
      <c r="MX35" s="6"/>
      <c r="MY35" s="4"/>
      <c r="MZ35" s="8"/>
      <c r="NA35" s="5" t="str">
        <f t="shared" si="112"/>
        <v>NO APLICA</v>
      </c>
      <c r="NB35" s="2"/>
      <c r="NC35" s="6"/>
      <c r="ND35" s="4"/>
      <c r="NE35" s="8"/>
      <c r="NF35" s="5" t="str">
        <f t="shared" si="113"/>
        <v>NO APLICA</v>
      </c>
      <c r="NG35" s="2"/>
      <c r="NH35" s="6"/>
      <c r="NI35" s="4"/>
      <c r="NJ35" s="8"/>
      <c r="NK35" s="5" t="str">
        <f t="shared" si="114"/>
        <v>NO APLICA</v>
      </c>
      <c r="NL35" s="2"/>
      <c r="NM35" s="2"/>
      <c r="NN35" s="4"/>
      <c r="NO35" s="8"/>
      <c r="NP35" s="5" t="str">
        <f t="shared" si="115"/>
        <v>NO APLICA</v>
      </c>
      <c r="NQ35" s="2"/>
      <c r="NR35" s="2"/>
      <c r="NS35" s="4"/>
      <c r="NT35" s="2"/>
      <c r="NU35" s="5" t="str">
        <f t="shared" si="116"/>
        <v>NO APLICA</v>
      </c>
      <c r="NV35" s="4"/>
      <c r="NW35" s="4">
        <v>45320</v>
      </c>
      <c r="NX35" s="4">
        <f>DATE(YEAR(NW35)+2,MONTH(NW35),DAY(NW35))</f>
        <v>46051</v>
      </c>
      <c r="NY35" s="8">
        <f ca="1">NX35-TODAY()</f>
        <v>-83</v>
      </c>
      <c r="NZ35" s="5" t="str">
        <f t="shared" ca="1" si="117"/>
        <v>VENCIDA</v>
      </c>
      <c r="OA35" s="6"/>
      <c r="OB35" s="6"/>
      <c r="OC35" s="6"/>
      <c r="OD35" s="6"/>
      <c r="OE35" s="5" t="str">
        <f t="shared" si="118"/>
        <v>NO APLICA</v>
      </c>
      <c r="OF35" s="6"/>
      <c r="OG35" s="6"/>
      <c r="OH35" s="4"/>
      <c r="OI35" s="8"/>
      <c r="OJ35" s="5" t="str">
        <f t="shared" si="119"/>
        <v>NO APLICA</v>
      </c>
      <c r="OK35" s="6"/>
      <c r="OL35" s="6"/>
      <c r="OM35" s="6"/>
      <c r="ON35" s="6"/>
      <c r="OO35" s="5" t="str">
        <f t="shared" si="120"/>
        <v>NO APLICA</v>
      </c>
      <c r="OP35" s="6"/>
      <c r="OQ35" s="6"/>
      <c r="OR35" s="6"/>
      <c r="OS35" s="6"/>
      <c r="OT35" s="5" t="str">
        <f t="shared" si="121"/>
        <v>NO APLICA</v>
      </c>
      <c r="OU35" s="6"/>
      <c r="OV35" s="6"/>
      <c r="OW35" s="6"/>
      <c r="OX35" s="6"/>
      <c r="OY35" s="5" t="str">
        <f t="shared" si="122"/>
        <v>NO APLICA</v>
      </c>
      <c r="OZ35" s="6"/>
      <c r="PA35" s="6"/>
      <c r="PB35" s="6"/>
      <c r="PC35" s="6"/>
      <c r="PD35" s="5" t="str">
        <f t="shared" si="123"/>
        <v>NO APLICA</v>
      </c>
      <c r="PE35" s="6"/>
      <c r="PF35" s="6"/>
      <c r="PG35" s="6"/>
      <c r="PH35" s="6"/>
      <c r="PI35" s="5" t="str">
        <f t="shared" si="124"/>
        <v>NO APLICA</v>
      </c>
      <c r="PJ35" s="5"/>
      <c r="PK35" s="6"/>
      <c r="PL35" s="4"/>
      <c r="PM35" s="8"/>
      <c r="PN35" s="5" t="str">
        <f t="shared" si="125"/>
        <v>NO APLICA</v>
      </c>
      <c r="PO35" s="6"/>
      <c r="PP35" s="6"/>
      <c r="PQ35" s="6"/>
      <c r="PR35" s="6"/>
      <c r="PS35" s="5" t="str">
        <f t="shared" si="126"/>
        <v>NO APLICA</v>
      </c>
      <c r="PT35" s="5"/>
      <c r="PU35" s="4">
        <v>46126</v>
      </c>
      <c r="PV35" s="4">
        <f>DATE(YEAR(PU35)+1,MONTH(PU35),DAY(PU35))</f>
        <v>46491</v>
      </c>
      <c r="PW35" s="8">
        <f ca="1">PV35-TODAY()</f>
        <v>357</v>
      </c>
      <c r="PX35" s="5" t="str">
        <f t="shared" ca="1" si="127"/>
        <v>VIGENTE</v>
      </c>
    </row>
    <row r="36" spans="1:440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178</v>
      </c>
      <c r="V36" s="4">
        <v>45041</v>
      </c>
      <c r="W36" s="4">
        <f t="shared" si="2"/>
        <v>46868</v>
      </c>
      <c r="X36" s="8">
        <f t="shared" ca="1" si="3"/>
        <v>734</v>
      </c>
      <c r="Y36" s="5" t="str">
        <f t="shared" ca="1" si="4"/>
        <v>VIGENTE</v>
      </c>
      <c r="Z36" s="2"/>
      <c r="AA36" s="6"/>
      <c r="AB36" s="4"/>
      <c r="AC36" s="8"/>
      <c r="AD36" s="5" t="str">
        <f t="shared" si="7"/>
        <v>NO APLICA</v>
      </c>
      <c r="AE36" s="3"/>
      <c r="AF36" s="4">
        <v>45902</v>
      </c>
      <c r="AG36" s="4">
        <f>DATE(YEAR(AF36)+2,MONTH(AF36),DAY(AF36))</f>
        <v>46632</v>
      </c>
      <c r="AH36" s="8">
        <f t="shared" ca="1" si="8"/>
        <v>498</v>
      </c>
      <c r="AI36" s="5" t="str">
        <f t="shared" ca="1" si="9"/>
        <v>VIGENTE</v>
      </c>
      <c r="AJ36" s="3"/>
      <c r="AK36" s="4">
        <v>45838</v>
      </c>
      <c r="AL36" s="4">
        <f t="shared" si="198"/>
        <v>46568</v>
      </c>
      <c r="AM36" s="8">
        <f t="shared" ca="1" si="10"/>
        <v>434</v>
      </c>
      <c r="AN36" s="5" t="str">
        <f t="shared" ca="1" si="11"/>
        <v>VIGENTE</v>
      </c>
      <c r="AO36" s="2"/>
      <c r="AP36" s="4">
        <v>45904</v>
      </c>
      <c r="AQ36" s="4">
        <f>DATE(YEAR(AP36)+2,MONTH(AP36),DAY(AP36))</f>
        <v>46634</v>
      </c>
      <c r="AR36" s="8">
        <f t="shared" ca="1" si="12"/>
        <v>500</v>
      </c>
      <c r="AS36" s="5" t="str">
        <f t="shared" ca="1" si="13"/>
        <v>VIGENTE</v>
      </c>
      <c r="AT36" s="2"/>
      <c r="AU36" s="4">
        <v>45927</v>
      </c>
      <c r="AV36" s="4">
        <f t="shared" si="199"/>
        <v>46657</v>
      </c>
      <c r="AW36" s="8">
        <f t="shared" ca="1" si="15"/>
        <v>523</v>
      </c>
      <c r="AX36" s="5" t="str">
        <f t="shared" ca="1" si="16"/>
        <v>VIGENTE</v>
      </c>
      <c r="AY36" s="3"/>
      <c r="AZ36" s="4">
        <v>45943</v>
      </c>
      <c r="BA36" s="4">
        <f>DATE(YEAR(AZ36)+2,MONTH(AZ36),DAY(AZ36))</f>
        <v>46673</v>
      </c>
      <c r="BB36" s="8">
        <f t="shared" ca="1" si="17"/>
        <v>539</v>
      </c>
      <c r="BC36" s="5" t="str">
        <f t="shared" ca="1" si="18"/>
        <v>VIGENTE</v>
      </c>
      <c r="BD36" s="3"/>
      <c r="BE36" s="4">
        <v>45968</v>
      </c>
      <c r="BF36" s="4">
        <f t="shared" si="200"/>
        <v>46698</v>
      </c>
      <c r="BG36" s="8">
        <f t="shared" ca="1" si="19"/>
        <v>564</v>
      </c>
      <c r="BH36" s="5" t="str">
        <f t="shared" ca="1" si="20"/>
        <v>VIGENTE</v>
      </c>
      <c r="BI36" s="3"/>
      <c r="BJ36" s="4">
        <v>45976</v>
      </c>
      <c r="BK36" s="4">
        <f t="shared" si="201"/>
        <v>46706</v>
      </c>
      <c r="BL36" s="8">
        <f t="shared" ca="1" si="21"/>
        <v>572</v>
      </c>
      <c r="BM36" s="5" t="str">
        <f t="shared" ca="1" si="22"/>
        <v>VIGENTE</v>
      </c>
      <c r="BN36" s="3"/>
      <c r="BO36" s="4">
        <v>45988</v>
      </c>
      <c r="BP36" s="4">
        <f>DATE(YEAR(BO36)+2,MONTH(BO36),DAY(BO36))</f>
        <v>46718</v>
      </c>
      <c r="BQ36" s="8">
        <f t="shared" ca="1" si="23"/>
        <v>584</v>
      </c>
      <c r="BR36" s="5" t="str">
        <f t="shared" ca="1" si="24"/>
        <v>VIGENTE</v>
      </c>
      <c r="BS36" s="3"/>
      <c r="BT36" s="4">
        <v>45853</v>
      </c>
      <c r="BU36" s="4">
        <f>DATE(YEAR(BT36)+2,MONTH(BT36),DAY(BT36))</f>
        <v>46583</v>
      </c>
      <c r="BV36" s="8">
        <f t="shared" ca="1" si="25"/>
        <v>449</v>
      </c>
      <c r="BW36" s="5" t="str">
        <f t="shared" ca="1" si="26"/>
        <v>VIGENTE</v>
      </c>
      <c r="BX36" s="3"/>
      <c r="BY36" s="4">
        <v>45954</v>
      </c>
      <c r="BZ36" s="4">
        <f t="shared" si="208"/>
        <v>46684</v>
      </c>
      <c r="CA36" s="8">
        <f t="shared" ca="1" si="27"/>
        <v>550</v>
      </c>
      <c r="CB36" s="5" t="str">
        <f t="shared" ca="1" si="28"/>
        <v>VIGENTE</v>
      </c>
      <c r="CC36" s="6" t="s">
        <v>68</v>
      </c>
      <c r="CD36" s="4">
        <v>45828</v>
      </c>
      <c r="CE36" s="4">
        <f t="shared" si="29"/>
        <v>47289</v>
      </c>
      <c r="CF36" s="8">
        <f t="shared" ca="1" si="30"/>
        <v>1155</v>
      </c>
      <c r="CG36" s="5" t="str">
        <f t="shared" ca="1" si="31"/>
        <v>VIGENTE</v>
      </c>
      <c r="CH36" s="6"/>
      <c r="CI36" s="4">
        <v>45929</v>
      </c>
      <c r="CJ36" s="4">
        <f>DATE(YEAR(CI36)+2,MONTH(CI36),DAY(CI36))</f>
        <v>46659</v>
      </c>
      <c r="CK36" s="8">
        <f t="shared" ca="1" si="32"/>
        <v>525</v>
      </c>
      <c r="CL36" s="5" t="str">
        <f t="shared" ca="1" si="33"/>
        <v>VIGENTE</v>
      </c>
      <c r="CM36" s="3"/>
      <c r="CN36" s="4">
        <v>45882</v>
      </c>
      <c r="CO36" s="4">
        <f>DATE(YEAR(CN36)+2,MONTH(CN36),DAY(CN36))</f>
        <v>46612</v>
      </c>
      <c r="CP36" s="8">
        <f t="shared" ca="1" si="34"/>
        <v>478</v>
      </c>
      <c r="CQ36" s="5" t="str">
        <f t="shared" ca="1" si="35"/>
        <v>VIGENTE</v>
      </c>
      <c r="CR36" s="2"/>
      <c r="CS36" s="4">
        <v>45905</v>
      </c>
      <c r="CT36" s="4">
        <f>DATE(YEAR(CS36)+2,MONTH(CS36),DAY(CS36))</f>
        <v>46635</v>
      </c>
      <c r="CU36" s="8">
        <f t="shared" ca="1" si="36"/>
        <v>501</v>
      </c>
      <c r="CV36" s="5" t="str">
        <f t="shared" ca="1" si="37"/>
        <v>VIGENTE</v>
      </c>
      <c r="CW36" s="3"/>
      <c r="CX36" s="4">
        <v>45924</v>
      </c>
      <c r="CY36" s="4">
        <f t="shared" si="211"/>
        <v>46654</v>
      </c>
      <c r="CZ36" s="8">
        <f t="shared" ca="1" si="38"/>
        <v>520</v>
      </c>
      <c r="DA36" s="5" t="str">
        <f t="shared" ca="1" si="39"/>
        <v>VIGENTE</v>
      </c>
      <c r="DB36" s="3"/>
      <c r="DC36" s="4">
        <v>45996</v>
      </c>
      <c r="DD36" s="4">
        <f>DATE(YEAR(DC36)+2,MONTH(DC36),DAY(DC36))</f>
        <v>46726</v>
      </c>
      <c r="DE36" s="8">
        <f t="shared" ca="1" si="40"/>
        <v>592</v>
      </c>
      <c r="DF36" s="5" t="str">
        <f t="shared" ca="1" si="41"/>
        <v>VIGENTE</v>
      </c>
      <c r="DG36" s="2"/>
      <c r="DH36" s="4">
        <v>45975</v>
      </c>
      <c r="DI36" s="4">
        <f>DATE(YEAR(DH36)+2,MONTH(DH36),DAY(DH36))</f>
        <v>46705</v>
      </c>
      <c r="DJ36" s="8">
        <f t="shared" ca="1" si="43"/>
        <v>571</v>
      </c>
      <c r="DK36" s="5" t="str">
        <f t="shared" ca="1" si="44"/>
        <v>VIGENTE</v>
      </c>
      <c r="DL36" s="3"/>
      <c r="DM36" s="4">
        <v>46008</v>
      </c>
      <c r="DN36" s="4">
        <f t="shared" si="209"/>
        <v>46738</v>
      </c>
      <c r="DO36" s="8">
        <f t="shared" ca="1" si="46"/>
        <v>604</v>
      </c>
      <c r="DP36" s="5" t="str">
        <f t="shared" ca="1" si="47"/>
        <v>VIGENTE</v>
      </c>
      <c r="DQ36" s="3"/>
      <c r="DR36" s="4">
        <v>45852</v>
      </c>
      <c r="DS36" s="4">
        <f>DATE(YEAR(DR36)+2,MONTH(DR36),DAY(DR36))</f>
        <v>46582</v>
      </c>
      <c r="DT36" s="8">
        <f t="shared" ca="1" si="48"/>
        <v>448</v>
      </c>
      <c r="DU36" s="5" t="str">
        <f t="shared" ca="1" si="49"/>
        <v>VIGENTE</v>
      </c>
      <c r="DV36" s="3"/>
      <c r="DW36" s="4">
        <v>45915</v>
      </c>
      <c r="DX36" s="4">
        <f>DATE(YEAR(DW36)+2,MONTH(DW36),DAY(DW36))</f>
        <v>46645</v>
      </c>
      <c r="DY36" s="8">
        <f t="shared" ca="1" si="50"/>
        <v>511</v>
      </c>
      <c r="DZ36" s="5" t="str">
        <f t="shared" ca="1" si="51"/>
        <v>VIGENTE</v>
      </c>
      <c r="EA36" s="3"/>
      <c r="EB36" s="4">
        <v>45883</v>
      </c>
      <c r="EC36" s="4">
        <f t="shared" si="210"/>
        <v>46613</v>
      </c>
      <c r="ED36" s="8">
        <f t="shared" ca="1" si="52"/>
        <v>479</v>
      </c>
      <c r="EE36" s="5" t="str">
        <f t="shared" ca="1" si="53"/>
        <v>VIGENTE</v>
      </c>
      <c r="EF36" s="3"/>
      <c r="EG36" s="3">
        <v>45911</v>
      </c>
      <c r="EH36" s="4">
        <f t="shared" si="137"/>
        <v>46276</v>
      </c>
      <c r="EI36" s="8">
        <f t="shared" ca="1" si="54"/>
        <v>142</v>
      </c>
      <c r="EJ36" s="5" t="str">
        <f t="shared" ca="1" si="55"/>
        <v>VIGENTE</v>
      </c>
      <c r="EK36" s="3"/>
      <c r="EL36" s="4">
        <v>45940</v>
      </c>
      <c r="EM36" s="4">
        <f>DATE(YEAR(EL36)+2,MONTH(EL36),DAY(EL36))</f>
        <v>46670</v>
      </c>
      <c r="EN36" s="8">
        <f t="shared" ca="1" si="56"/>
        <v>536</v>
      </c>
      <c r="EO36" s="5" t="str">
        <f t="shared" ca="1" si="57"/>
        <v>VIGENTE</v>
      </c>
      <c r="EP36" s="2"/>
      <c r="EQ36" s="4">
        <v>45999</v>
      </c>
      <c r="ER36" s="4">
        <f>DATE(YEAR(EQ36)+2,MONTH(EQ36),DAY(EQ36))</f>
        <v>46729</v>
      </c>
      <c r="ES36" s="8">
        <f t="shared" ca="1" si="58"/>
        <v>595</v>
      </c>
      <c r="ET36" s="5" t="str">
        <f t="shared" ca="1" si="59"/>
        <v>VIGENTE</v>
      </c>
      <c r="EU36" s="3"/>
      <c r="EV36" s="4">
        <v>45917</v>
      </c>
      <c r="EW36" s="4">
        <f t="shared" si="202"/>
        <v>46647</v>
      </c>
      <c r="EX36" s="8">
        <f t="shared" ca="1" si="60"/>
        <v>513</v>
      </c>
      <c r="EY36" s="5" t="str">
        <f t="shared" ca="1" si="61"/>
        <v>VIGENTE</v>
      </c>
      <c r="EZ36" s="2"/>
      <c r="FA36" s="4">
        <v>45931</v>
      </c>
      <c r="FB36" s="4">
        <f t="shared" si="203"/>
        <v>46661</v>
      </c>
      <c r="FC36" s="8">
        <f t="shared" ca="1" si="62"/>
        <v>527</v>
      </c>
      <c r="FD36" s="5" t="str">
        <f t="shared" ca="1" si="63"/>
        <v>VIGENTE</v>
      </c>
      <c r="FE36" s="3"/>
      <c r="FF36" s="4">
        <v>45832</v>
      </c>
      <c r="FG36" s="4">
        <f t="shared" si="204"/>
        <v>46562</v>
      </c>
      <c r="FH36" s="8">
        <f t="shared" ca="1" si="64"/>
        <v>428</v>
      </c>
      <c r="FI36" s="5" t="str">
        <f t="shared" ca="1" si="65"/>
        <v>VIGENTE</v>
      </c>
      <c r="FJ36" s="3"/>
      <c r="FK36" s="4">
        <v>45933</v>
      </c>
      <c r="FL36" s="4">
        <f>DATE(YEAR(FK36)+2,MONTH(FK36),DAY(FK36))</f>
        <v>46663</v>
      </c>
      <c r="FM36" s="8">
        <f t="shared" ca="1" si="67"/>
        <v>529</v>
      </c>
      <c r="FN36" s="5" t="str">
        <f t="shared" ca="1" si="68"/>
        <v>VIGENTE</v>
      </c>
      <c r="FO36" s="3"/>
      <c r="FP36" s="4">
        <v>46034</v>
      </c>
      <c r="FQ36" s="4">
        <f>DATE(YEAR(FP36)+2,MONTH(FP36),DAY(FP36))</f>
        <v>46764</v>
      </c>
      <c r="FR36" s="8">
        <f t="shared" ca="1" si="69"/>
        <v>630</v>
      </c>
      <c r="FS36" s="5" t="str">
        <f t="shared" ca="1" si="70"/>
        <v>VIGENTE</v>
      </c>
      <c r="FT36" s="3"/>
      <c r="FU36" s="4">
        <v>45941</v>
      </c>
      <c r="FV36" s="4">
        <f>DATE(YEAR(FU36)+2,MONTH(FU36),DAY(FU36))</f>
        <v>46671</v>
      </c>
      <c r="FW36" s="8">
        <f t="shared" ca="1" si="71"/>
        <v>537</v>
      </c>
      <c r="FX36" s="5" t="str">
        <f t="shared" ca="1" si="72"/>
        <v>VIGENTE</v>
      </c>
      <c r="FY36" s="3"/>
      <c r="FZ36" s="4">
        <v>45833</v>
      </c>
      <c r="GA36" s="4">
        <f>DATE(YEAR(FZ36)+2,MONTH(FZ36),DAY(FZ36))</f>
        <v>46563</v>
      </c>
      <c r="GB36" s="8">
        <f t="shared" ca="1" si="73"/>
        <v>429</v>
      </c>
      <c r="GC36" s="5" t="str">
        <f t="shared" ca="1" si="74"/>
        <v>VIGENTE</v>
      </c>
      <c r="GD36" s="3"/>
      <c r="GE36" s="4">
        <v>45960</v>
      </c>
      <c r="GF36" s="4">
        <f>DATE(YEAR(GE36)+2,MONTH(GE36),DAY(GE36))</f>
        <v>46690</v>
      </c>
      <c r="GG36" s="8">
        <f t="shared" ca="1" si="75"/>
        <v>556</v>
      </c>
      <c r="GH36" s="5" t="str">
        <f t="shared" ca="1" si="76"/>
        <v>VIGENTE</v>
      </c>
      <c r="GI36" s="3"/>
      <c r="GJ36" s="4">
        <v>45945</v>
      </c>
      <c r="GK36" s="4">
        <f>DATE(YEAR(GJ36)+2,MONTH(GJ36),DAY(GJ36))</f>
        <v>46675</v>
      </c>
      <c r="GL36" s="8">
        <f t="shared" ca="1" si="77"/>
        <v>541</v>
      </c>
      <c r="GM36" s="5" t="str">
        <f t="shared" ca="1" si="78"/>
        <v>VIGENTE</v>
      </c>
      <c r="GN36" s="4"/>
      <c r="GO36" s="4">
        <v>45224</v>
      </c>
      <c r="GP36" s="4">
        <f t="shared" si="79"/>
        <v>47051</v>
      </c>
      <c r="GQ36" s="8">
        <f t="shared" ca="1" si="181"/>
        <v>917</v>
      </c>
      <c r="GR36" s="5" t="str">
        <f t="shared" ca="1" si="81"/>
        <v>VIGENTE</v>
      </c>
      <c r="GS36" s="3"/>
      <c r="GT36" s="4">
        <v>45252</v>
      </c>
      <c r="GU36" s="4">
        <f t="shared" si="82"/>
        <v>47079</v>
      </c>
      <c r="GV36" s="8">
        <f t="shared" ca="1" si="83"/>
        <v>945</v>
      </c>
      <c r="GW36" s="5" t="str">
        <f t="shared" ca="1" si="84"/>
        <v>VIGENTE</v>
      </c>
      <c r="GX36" s="2"/>
      <c r="GY36" s="4">
        <v>45330</v>
      </c>
      <c r="GZ36" s="4">
        <f t="shared" si="85"/>
        <v>47157</v>
      </c>
      <c r="HA36" s="8">
        <f t="shared" ca="1" si="86"/>
        <v>1023</v>
      </c>
      <c r="HB36" s="5" t="str">
        <f t="shared" ca="1" si="87"/>
        <v>VIGENTE</v>
      </c>
      <c r="HC36" s="6"/>
      <c r="HD36" s="6"/>
      <c r="HE36" s="4"/>
      <c r="HF36" s="8"/>
      <c r="HG36" s="5" t="str">
        <f t="shared" si="192"/>
        <v>NO APLICA</v>
      </c>
      <c r="HH36" s="2"/>
      <c r="HI36" s="6"/>
      <c r="HJ36" s="4"/>
      <c r="HK36" s="8"/>
      <c r="HL36" s="5" t="str">
        <f t="shared" si="207"/>
        <v>NO APLICA</v>
      </c>
      <c r="HM36" s="2"/>
      <c r="HN36" s="2"/>
      <c r="HO36" s="4"/>
      <c r="HP36" s="2"/>
      <c r="HQ36" s="5" t="str">
        <f t="shared" si="92"/>
        <v>NO APLICA</v>
      </c>
      <c r="HR36" s="2"/>
      <c r="HS36" s="6"/>
      <c r="HT36" s="4"/>
      <c r="HU36" s="8"/>
      <c r="HV36" s="5" t="str">
        <f t="shared" si="93"/>
        <v>NO APLICA</v>
      </c>
      <c r="HW36" s="2"/>
      <c r="HX36" s="6"/>
      <c r="HY36" s="4"/>
      <c r="HZ36" s="8"/>
      <c r="IA36" s="5" t="str">
        <f t="shared" si="94"/>
        <v>NO APLICA</v>
      </c>
      <c r="IB36" s="2"/>
      <c r="IC36" s="6"/>
      <c r="ID36" s="4"/>
      <c r="IE36" s="8"/>
      <c r="IF36" s="5" t="str">
        <f t="shared" si="95"/>
        <v>NO APLICA</v>
      </c>
      <c r="IG36" s="6"/>
      <c r="IH36" s="6"/>
      <c r="II36" s="4"/>
      <c r="IJ36" s="8"/>
      <c r="IK36" s="5" t="str">
        <f t="shared" si="96"/>
        <v>NO APLICA</v>
      </c>
      <c r="IL36" s="2"/>
      <c r="IM36" s="6"/>
      <c r="IN36" s="4"/>
      <c r="IO36" s="8"/>
      <c r="IP36" s="5" t="str">
        <f t="shared" si="97"/>
        <v>NO APLICA</v>
      </c>
      <c r="IQ36" s="2"/>
      <c r="IR36" s="6"/>
      <c r="IS36" s="4"/>
      <c r="IT36" s="8"/>
      <c r="IU36" s="5" t="str">
        <f t="shared" si="98"/>
        <v>NO APLICA</v>
      </c>
      <c r="IV36" s="2"/>
      <c r="IW36" s="6"/>
      <c r="IX36" s="4"/>
      <c r="IY36" s="8"/>
      <c r="IZ36" s="5" t="str">
        <f t="shared" si="99"/>
        <v>NO APLICA</v>
      </c>
      <c r="JA36" s="3"/>
      <c r="JB36" s="3"/>
      <c r="JC36" s="4"/>
      <c r="JD36" s="8"/>
      <c r="JE36" s="5" t="str">
        <f t="shared" si="100"/>
        <v>NO APLICA</v>
      </c>
      <c r="JF36" s="6"/>
      <c r="JG36" s="6"/>
      <c r="JH36" s="6"/>
      <c r="JI36" s="6"/>
      <c r="JJ36" s="5" t="str">
        <f t="shared" si="101"/>
        <v>NO APLICA</v>
      </c>
      <c r="JK36" s="6"/>
      <c r="JL36" s="6"/>
      <c r="JM36" s="6"/>
      <c r="JN36" s="6"/>
      <c r="JO36" s="5" t="str">
        <f t="shared" si="102"/>
        <v>NO APLICA</v>
      </c>
      <c r="JP36" s="6"/>
      <c r="JQ36" s="6"/>
      <c r="JR36" s="6"/>
      <c r="JS36" s="6"/>
      <c r="JT36" s="5" t="str">
        <f t="shared" si="103"/>
        <v>NO APLICA</v>
      </c>
      <c r="JU36" s="5"/>
      <c r="JV36" s="3"/>
      <c r="JW36" s="4"/>
      <c r="JX36" s="8"/>
      <c r="JY36" s="5" t="str">
        <f t="shared" si="104"/>
        <v>NO APLICA</v>
      </c>
      <c r="JZ36" s="5"/>
      <c r="KA36" s="2"/>
      <c r="KB36" s="4"/>
      <c r="KC36" s="8"/>
      <c r="KD36" s="5" t="str">
        <f t="shared" si="105"/>
        <v>NO APLICA</v>
      </c>
      <c r="KE36" s="5"/>
      <c r="KF36" s="2"/>
      <c r="KG36" s="4"/>
      <c r="KH36" s="8"/>
      <c r="KI36" s="5" t="str">
        <f t="shared" si="141"/>
        <v>NO APLICA</v>
      </c>
      <c r="KJ36" s="5"/>
      <c r="KK36" s="2"/>
      <c r="KL36" s="4"/>
      <c r="KM36" s="8"/>
      <c r="KN36" s="5" t="str">
        <f t="shared" si="106"/>
        <v>NO APLICA</v>
      </c>
      <c r="KO36" s="5"/>
      <c r="KP36" s="2"/>
      <c r="KQ36" s="4"/>
      <c r="KR36" s="8"/>
      <c r="KS36" s="5" t="str">
        <f t="shared" si="142"/>
        <v>NO APLICA</v>
      </c>
      <c r="KT36" s="2"/>
      <c r="KU36" s="6"/>
      <c r="KV36" s="4"/>
      <c r="KW36" s="8"/>
      <c r="KX36" s="5" t="str">
        <f t="shared" si="156"/>
        <v>NO APLICA</v>
      </c>
      <c r="KY36" s="5"/>
      <c r="KZ36" s="6"/>
      <c r="LA36" s="4"/>
      <c r="LB36" s="8"/>
      <c r="LC36" s="5" t="str">
        <f t="shared" si="143"/>
        <v>NO APLICA</v>
      </c>
      <c r="LD36" s="6"/>
      <c r="LE36" s="6"/>
      <c r="LF36" s="4"/>
      <c r="LG36" s="8"/>
      <c r="LH36" s="5" t="str">
        <f t="shared" si="107"/>
        <v>NO APLICA</v>
      </c>
      <c r="LI36" s="5"/>
      <c r="LJ36" s="5"/>
      <c r="LK36" s="5"/>
      <c r="LL36" s="5"/>
      <c r="LM36" s="5" t="str">
        <f t="shared" si="157"/>
        <v>NO APLICA</v>
      </c>
      <c r="LN36" s="2"/>
      <c r="LO36" s="6"/>
      <c r="LP36" s="4"/>
      <c r="LQ36" s="8"/>
      <c r="LR36" s="5" t="str">
        <f t="shared" si="144"/>
        <v>NO APLICA</v>
      </c>
      <c r="LS36" s="6"/>
      <c r="LT36" s="6"/>
      <c r="LU36" s="4"/>
      <c r="LV36" s="8"/>
      <c r="LW36" s="5" t="str">
        <f t="shared" si="145"/>
        <v>NO APLICA</v>
      </c>
      <c r="LX36" s="6"/>
      <c r="LY36" s="6"/>
      <c r="LZ36" s="4"/>
      <c r="MA36" s="8"/>
      <c r="MB36" s="5" t="str">
        <f t="shared" si="146"/>
        <v>NO APLICA</v>
      </c>
      <c r="MC36" s="2"/>
      <c r="MD36" s="2"/>
      <c r="ME36" s="4"/>
      <c r="MF36" s="8"/>
      <c r="MG36" s="5" t="str">
        <f t="shared" si="108"/>
        <v>NO APLICA</v>
      </c>
      <c r="MH36" s="2"/>
      <c r="MI36" s="2"/>
      <c r="MJ36" s="4"/>
      <c r="MK36" s="8"/>
      <c r="ML36" s="5" t="str">
        <f t="shared" si="109"/>
        <v>NO APLICA</v>
      </c>
      <c r="MM36" s="5"/>
      <c r="MN36" s="2"/>
      <c r="MO36" s="4"/>
      <c r="MP36" s="8"/>
      <c r="MQ36" s="5" t="str">
        <f t="shared" si="110"/>
        <v>NO APLICA</v>
      </c>
      <c r="MR36" s="5"/>
      <c r="MS36" s="2"/>
      <c r="MT36" s="4"/>
      <c r="MU36" s="2"/>
      <c r="MV36" s="5" t="str">
        <f t="shared" si="111"/>
        <v>NO APLICA</v>
      </c>
      <c r="MW36" s="2"/>
      <c r="MX36" s="6"/>
      <c r="MY36" s="4"/>
      <c r="MZ36" s="8"/>
      <c r="NA36" s="5" t="str">
        <f t="shared" si="112"/>
        <v>NO APLICA</v>
      </c>
      <c r="NB36" s="2"/>
      <c r="NC36" s="6"/>
      <c r="ND36" s="4"/>
      <c r="NE36" s="8"/>
      <c r="NF36" s="5" t="str">
        <f t="shared" si="113"/>
        <v>NO APLICA</v>
      </c>
      <c r="NG36" s="2"/>
      <c r="NH36" s="6"/>
      <c r="NI36" s="4"/>
      <c r="NJ36" s="8"/>
      <c r="NK36" s="5" t="str">
        <f t="shared" si="114"/>
        <v>NO APLICA</v>
      </c>
      <c r="NL36" s="2"/>
      <c r="NM36" s="2"/>
      <c r="NN36" s="4"/>
      <c r="NO36" s="2"/>
      <c r="NP36" s="5" t="str">
        <f t="shared" si="115"/>
        <v>NO APLICA</v>
      </c>
      <c r="NQ36" s="2"/>
      <c r="NR36" s="2"/>
      <c r="NS36" s="4"/>
      <c r="NT36" s="2"/>
      <c r="NU36" s="5" t="str">
        <f t="shared" si="116"/>
        <v>NO APLICA</v>
      </c>
      <c r="NV36" s="6"/>
      <c r="NW36" s="6"/>
      <c r="NX36" s="4"/>
      <c r="NY36" s="8"/>
      <c r="NZ36" s="5" t="str">
        <f t="shared" si="117"/>
        <v>NO APLICA</v>
      </c>
      <c r="OA36" s="6"/>
      <c r="OB36" s="6"/>
      <c r="OC36" s="6"/>
      <c r="OD36" s="6"/>
      <c r="OE36" s="5" t="str">
        <f t="shared" si="118"/>
        <v>NO APLICA</v>
      </c>
      <c r="OF36" s="6"/>
      <c r="OG36" s="6"/>
      <c r="OH36" s="4"/>
      <c r="OI36" s="8"/>
      <c r="OJ36" s="5" t="str">
        <f t="shared" si="119"/>
        <v>NO APLICA</v>
      </c>
      <c r="OK36" s="6"/>
      <c r="OL36" s="6"/>
      <c r="OM36" s="6"/>
      <c r="ON36" s="6"/>
      <c r="OO36" s="5" t="str">
        <f t="shared" si="120"/>
        <v>NO APLICA</v>
      </c>
      <c r="OP36" s="6"/>
      <c r="OQ36" s="6"/>
      <c r="OR36" s="6"/>
      <c r="OS36" s="6"/>
      <c r="OT36" s="5" t="str">
        <f t="shared" si="121"/>
        <v>NO APLICA</v>
      </c>
      <c r="OU36" s="6"/>
      <c r="OV36" s="6"/>
      <c r="OW36" s="6"/>
      <c r="OX36" s="6"/>
      <c r="OY36" s="5" t="str">
        <f t="shared" si="122"/>
        <v>NO APLICA</v>
      </c>
      <c r="OZ36" s="6"/>
      <c r="PA36" s="6"/>
      <c r="PB36" s="6"/>
      <c r="PC36" s="6"/>
      <c r="PD36" s="5" t="str">
        <f t="shared" si="123"/>
        <v>NO APLICA</v>
      </c>
      <c r="PE36" s="6"/>
      <c r="PF36" s="6"/>
      <c r="PG36" s="6"/>
      <c r="PH36" s="6"/>
      <c r="PI36" s="5" t="str">
        <f t="shared" si="124"/>
        <v>NO APLICA</v>
      </c>
      <c r="PJ36" s="5"/>
      <c r="PK36" s="6"/>
      <c r="PL36" s="4"/>
      <c r="PM36" s="8"/>
      <c r="PN36" s="5" t="str">
        <f t="shared" si="125"/>
        <v>NO APLICA</v>
      </c>
      <c r="PO36" s="6"/>
      <c r="PP36" s="6"/>
      <c r="PQ36" s="6"/>
      <c r="PR36" s="6"/>
      <c r="PS36" s="5" t="str">
        <f t="shared" si="126"/>
        <v>NO APLICA</v>
      </c>
      <c r="PT36" s="5"/>
      <c r="PU36" s="6"/>
      <c r="PV36" s="6"/>
      <c r="PW36" s="6"/>
      <c r="PX36" s="5" t="str">
        <f t="shared" si="127"/>
        <v>NO APLICA</v>
      </c>
    </row>
    <row r="37" spans="1:440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185</v>
      </c>
      <c r="T37" s="5" t="str">
        <f t="shared" ca="1" si="128"/>
        <v>VIGENTE</v>
      </c>
      <c r="U37" s="2" t="s">
        <v>180</v>
      </c>
      <c r="V37" s="4">
        <v>45426</v>
      </c>
      <c r="W37" s="4">
        <f t="shared" si="2"/>
        <v>47252</v>
      </c>
      <c r="X37" s="8">
        <f t="shared" ca="1" si="3"/>
        <v>1118</v>
      </c>
      <c r="Y37" s="5" t="str">
        <f t="shared" ca="1" si="4"/>
        <v>VIGENTE</v>
      </c>
      <c r="Z37" s="2" t="s">
        <v>181</v>
      </c>
      <c r="AA37" s="4">
        <v>45192</v>
      </c>
      <c r="AB37" s="4">
        <f t="shared" ref="AB37:AB43" si="212">DATE(YEAR(AA37)+5,MONTH(AA37),DAY(AA37))</f>
        <v>47019</v>
      </c>
      <c r="AC37" s="8">
        <f t="shared" ref="AC37:AC43" ca="1" si="213">AB37-TODAY()</f>
        <v>885</v>
      </c>
      <c r="AD37" s="5" t="str">
        <f t="shared" ca="1" si="7"/>
        <v>VIGENTE</v>
      </c>
      <c r="AE37" s="3"/>
      <c r="AF37" s="4">
        <v>45780</v>
      </c>
      <c r="AG37" s="4">
        <f>DATE(YEAR(AF37)+2,MONTH(AF37),DAY(AF37))</f>
        <v>46510</v>
      </c>
      <c r="AH37" s="8">
        <f t="shared" ca="1" si="8"/>
        <v>376</v>
      </c>
      <c r="AI37" s="5" t="str">
        <f t="shared" ca="1" si="9"/>
        <v>VIGENTE</v>
      </c>
      <c r="AJ37" s="3"/>
      <c r="AK37" s="4">
        <v>45838</v>
      </c>
      <c r="AL37" s="4">
        <f t="shared" si="198"/>
        <v>46568</v>
      </c>
      <c r="AM37" s="8">
        <f t="shared" ca="1" si="10"/>
        <v>434</v>
      </c>
      <c r="AN37" s="5" t="str">
        <f t="shared" ca="1" si="11"/>
        <v>VIGENTE</v>
      </c>
      <c r="AO37" s="3"/>
      <c r="AP37" s="4">
        <v>45775</v>
      </c>
      <c r="AQ37" s="4">
        <f>DATE(YEAR(AP37)+2,MONTH(AP37),DAY(AP37))</f>
        <v>46505</v>
      </c>
      <c r="AR37" s="8">
        <f t="shared" ca="1" si="12"/>
        <v>371</v>
      </c>
      <c r="AS37" s="5" t="str">
        <f t="shared" ca="1" si="13"/>
        <v>VIGENTE</v>
      </c>
      <c r="AT37" s="3"/>
      <c r="AU37" s="4">
        <v>45765</v>
      </c>
      <c r="AV37" s="4">
        <f t="shared" si="199"/>
        <v>46495</v>
      </c>
      <c r="AW37" s="8">
        <f t="shared" ca="1" si="15"/>
        <v>361</v>
      </c>
      <c r="AX37" s="5" t="str">
        <f t="shared" ca="1" si="16"/>
        <v>VIGENTE</v>
      </c>
      <c r="AY37" s="3"/>
      <c r="AZ37" s="4">
        <v>45742</v>
      </c>
      <c r="BA37" s="4">
        <f>DATE(YEAR(AZ37)+2,MONTH(AZ37),DAY(AZ37)-1)</f>
        <v>46471</v>
      </c>
      <c r="BB37" s="8">
        <f t="shared" ca="1" si="17"/>
        <v>337</v>
      </c>
      <c r="BC37" s="5" t="str">
        <f t="shared" ca="1" si="18"/>
        <v>VIGENTE</v>
      </c>
      <c r="BD37" s="3"/>
      <c r="BE37" s="4">
        <v>45826</v>
      </c>
      <c r="BF37" s="4">
        <f t="shared" si="200"/>
        <v>46556</v>
      </c>
      <c r="BG37" s="8">
        <f t="shared" ca="1" si="19"/>
        <v>422</v>
      </c>
      <c r="BH37" s="5" t="str">
        <f t="shared" ca="1" si="20"/>
        <v>VIGENTE</v>
      </c>
      <c r="BI37" s="3"/>
      <c r="BJ37" s="4">
        <v>45797</v>
      </c>
      <c r="BK37" s="4">
        <f t="shared" si="201"/>
        <v>46527</v>
      </c>
      <c r="BL37" s="8">
        <f t="shared" ca="1" si="21"/>
        <v>393</v>
      </c>
      <c r="BM37" s="5" t="str">
        <f t="shared" ca="1" si="22"/>
        <v>VIGENTE</v>
      </c>
      <c r="BN37" s="3"/>
      <c r="BO37" s="4">
        <v>45772</v>
      </c>
      <c r="BP37" s="4">
        <f>DATE(YEAR(BO37)+2,MONTH(BO37),DAY(BO37))</f>
        <v>46502</v>
      </c>
      <c r="BQ37" s="8">
        <f t="shared" ca="1" si="23"/>
        <v>368</v>
      </c>
      <c r="BR37" s="5" t="str">
        <f t="shared" ca="1" si="24"/>
        <v>VIGENTE</v>
      </c>
      <c r="BS37" s="3"/>
      <c r="BT37" s="4">
        <v>45853</v>
      </c>
      <c r="BU37" s="4">
        <f>DATE(YEAR(BT37)+2,MONTH(BT37),DAY(BT37))</f>
        <v>46583</v>
      </c>
      <c r="BV37" s="8">
        <f t="shared" ca="1" si="25"/>
        <v>449</v>
      </c>
      <c r="BW37" s="5" t="str">
        <f t="shared" ca="1" si="26"/>
        <v>VIGENTE</v>
      </c>
      <c r="BX37" s="3"/>
      <c r="BY37" s="4">
        <v>45818</v>
      </c>
      <c r="BZ37" s="4">
        <f t="shared" si="208"/>
        <v>46548</v>
      </c>
      <c r="CA37" s="8">
        <f t="shared" ca="1" si="27"/>
        <v>414</v>
      </c>
      <c r="CB37" s="5" t="str">
        <f t="shared" ca="1" si="28"/>
        <v>VIGENTE</v>
      </c>
      <c r="CC37" s="6" t="s">
        <v>73</v>
      </c>
      <c r="CD37" s="4">
        <v>45616</v>
      </c>
      <c r="CE37" s="4">
        <f t="shared" si="29"/>
        <v>47077</v>
      </c>
      <c r="CF37" s="8">
        <f t="shared" ca="1" si="30"/>
        <v>943</v>
      </c>
      <c r="CG37" s="5" t="str">
        <f t="shared" ca="1" si="31"/>
        <v>VIGENTE</v>
      </c>
      <c r="CH37" s="4"/>
      <c r="CI37" s="4">
        <v>45801</v>
      </c>
      <c r="CJ37" s="4">
        <f>DATE(YEAR(CI37)+2,MONTH(CI37),DAY(CI37)-1)</f>
        <v>46530</v>
      </c>
      <c r="CK37" s="8">
        <f t="shared" ca="1" si="32"/>
        <v>396</v>
      </c>
      <c r="CL37" s="5" t="str">
        <f t="shared" ca="1" si="33"/>
        <v>VIGENTE</v>
      </c>
      <c r="CM37" s="3"/>
      <c r="CN37" s="4">
        <v>45769</v>
      </c>
      <c r="CO37" s="4">
        <f>DATE(YEAR(CN37)+2,MONTH(CN37),DAY(CN37))</f>
        <v>46499</v>
      </c>
      <c r="CP37" s="8">
        <f t="shared" ca="1" si="34"/>
        <v>365</v>
      </c>
      <c r="CQ37" s="5" t="str">
        <f t="shared" ca="1" si="35"/>
        <v>VIGENTE</v>
      </c>
      <c r="CR37" s="3"/>
      <c r="CS37" s="4">
        <v>45727</v>
      </c>
      <c r="CT37" s="4">
        <f>DATE(YEAR(CS37)+2,MONTH(CS37),DAY(CS37)-1)</f>
        <v>46456</v>
      </c>
      <c r="CU37" s="8">
        <f t="shared" ca="1" si="36"/>
        <v>322</v>
      </c>
      <c r="CV37" s="5" t="str">
        <f t="shared" ca="1" si="37"/>
        <v>VIGENTE</v>
      </c>
      <c r="CW37" s="3"/>
      <c r="CX37" s="4">
        <v>45835</v>
      </c>
      <c r="CY37" s="4">
        <f t="shared" si="211"/>
        <v>46565</v>
      </c>
      <c r="CZ37" s="8">
        <f t="shared" ca="1" si="38"/>
        <v>431</v>
      </c>
      <c r="DA37" s="5" t="str">
        <f t="shared" ca="1" si="39"/>
        <v>VIGENTE</v>
      </c>
      <c r="DB37" s="3"/>
      <c r="DC37" s="4">
        <v>45761</v>
      </c>
      <c r="DD37" s="4">
        <f>DATE(YEAR(DC37)+2,MONTH(DC37),DAY(DC37))</f>
        <v>46491</v>
      </c>
      <c r="DE37" s="8">
        <f t="shared" ca="1" si="40"/>
        <v>357</v>
      </c>
      <c r="DF37" s="5" t="str">
        <f t="shared" ca="1" si="41"/>
        <v>VIGENTE</v>
      </c>
      <c r="DG37" s="2"/>
      <c r="DH37" s="4">
        <v>45734</v>
      </c>
      <c r="DI37" s="4">
        <f>DATE(YEAR(DH37)+2,MONTH(DH37),DAY(DH37)-1)</f>
        <v>46463</v>
      </c>
      <c r="DJ37" s="8">
        <f t="shared" ca="1" si="43"/>
        <v>329</v>
      </c>
      <c r="DK37" s="5" t="str">
        <f t="shared" ca="1" si="44"/>
        <v>VIGENTE</v>
      </c>
      <c r="DL37" s="4"/>
      <c r="DM37" s="4">
        <v>45873</v>
      </c>
      <c r="DN37" s="4">
        <f t="shared" si="209"/>
        <v>46603</v>
      </c>
      <c r="DO37" s="8">
        <f t="shared" ca="1" si="46"/>
        <v>469</v>
      </c>
      <c r="DP37" s="5" t="str">
        <f t="shared" ca="1" si="47"/>
        <v>VIGENTE</v>
      </c>
      <c r="DQ37" s="3"/>
      <c r="DR37" s="4">
        <v>45770</v>
      </c>
      <c r="DS37" s="4">
        <f>DATE(YEAR(DR37)+2,MONTH(DR37),DAY(DR37))</f>
        <v>46500</v>
      </c>
      <c r="DT37" s="8">
        <f t="shared" ca="1" si="48"/>
        <v>366</v>
      </c>
      <c r="DU37" s="5" t="str">
        <f t="shared" ca="1" si="49"/>
        <v>VIGENTE</v>
      </c>
      <c r="DV37" s="3"/>
      <c r="DW37" s="4">
        <v>45804</v>
      </c>
      <c r="DX37" s="4">
        <f>DATE(YEAR(DW37)+2,MONTH(DW37),DAY(DW37))</f>
        <v>46534</v>
      </c>
      <c r="DY37" s="8">
        <f t="shared" ca="1" si="50"/>
        <v>400</v>
      </c>
      <c r="DZ37" s="5" t="str">
        <f t="shared" ca="1" si="51"/>
        <v>VIGENTE</v>
      </c>
      <c r="EA37" s="3"/>
      <c r="EB37" s="4">
        <v>45787</v>
      </c>
      <c r="EC37" s="4">
        <f t="shared" si="210"/>
        <v>46517</v>
      </c>
      <c r="ED37" s="8">
        <f t="shared" ca="1" si="52"/>
        <v>383</v>
      </c>
      <c r="EE37" s="5" t="str">
        <f t="shared" ca="1" si="53"/>
        <v>VIGENTE</v>
      </c>
      <c r="EF37" s="3"/>
      <c r="EG37" s="4">
        <v>45812</v>
      </c>
      <c r="EH37" s="4">
        <f t="shared" si="137"/>
        <v>46177</v>
      </c>
      <c r="EI37" s="8">
        <f t="shared" ca="1" si="54"/>
        <v>43</v>
      </c>
      <c r="EJ37" s="5" t="str">
        <f t="shared" ca="1" si="55"/>
        <v>POR VENCER</v>
      </c>
      <c r="EK37" s="3"/>
      <c r="EL37" s="4">
        <v>45754</v>
      </c>
      <c r="EM37" s="4">
        <f>DATE(YEAR(EL37)+2,MONTH(EL37),DAY(EL37)-1)</f>
        <v>46483</v>
      </c>
      <c r="EN37" s="8">
        <f t="shared" ca="1" si="56"/>
        <v>349</v>
      </c>
      <c r="EO37" s="5" t="str">
        <f t="shared" ca="1" si="57"/>
        <v>VIGENTE</v>
      </c>
      <c r="EP37" s="3"/>
      <c r="EQ37" s="4">
        <v>45824</v>
      </c>
      <c r="ER37" s="4">
        <f>DATE(YEAR(EQ37)+2,MONTH(EQ37),DAY(EQ37))</f>
        <v>46554</v>
      </c>
      <c r="ES37" s="8">
        <f t="shared" ca="1" si="58"/>
        <v>420</v>
      </c>
      <c r="ET37" s="5" t="str">
        <f t="shared" ca="1" si="59"/>
        <v>VIGENTE</v>
      </c>
      <c r="EU37" s="3"/>
      <c r="EV37" s="4">
        <v>45794</v>
      </c>
      <c r="EW37" s="4">
        <f t="shared" si="202"/>
        <v>46524</v>
      </c>
      <c r="EX37" s="8">
        <f t="shared" ca="1" si="60"/>
        <v>390</v>
      </c>
      <c r="EY37" s="5" t="str">
        <f t="shared" ca="1" si="61"/>
        <v>VIGENTE</v>
      </c>
      <c r="EZ37" s="3"/>
      <c r="FA37" s="4">
        <v>45783</v>
      </c>
      <c r="FB37" s="4">
        <f t="shared" si="203"/>
        <v>46513</v>
      </c>
      <c r="FC37" s="8">
        <f t="shared" ca="1" si="62"/>
        <v>379</v>
      </c>
      <c r="FD37" s="5" t="str">
        <f t="shared" ca="1" si="63"/>
        <v>VIGENTE</v>
      </c>
      <c r="FE37" s="3"/>
      <c r="FF37" s="4">
        <v>45756</v>
      </c>
      <c r="FG37" s="4">
        <f t="shared" si="204"/>
        <v>46486</v>
      </c>
      <c r="FH37" s="8">
        <f t="shared" ca="1" si="64"/>
        <v>352</v>
      </c>
      <c r="FI37" s="5" t="str">
        <f t="shared" ca="1" si="65"/>
        <v>VIGENTE</v>
      </c>
      <c r="FJ37" s="3"/>
      <c r="FK37" s="4">
        <v>45850</v>
      </c>
      <c r="FL37" s="4">
        <f>DATE(YEAR(FK37)+2,MONTH(FK37),DAY(FK37))</f>
        <v>46580</v>
      </c>
      <c r="FM37" s="8">
        <f t="shared" ca="1" si="67"/>
        <v>446</v>
      </c>
      <c r="FN37" s="5" t="str">
        <f t="shared" ca="1" si="68"/>
        <v>VIGENTE</v>
      </c>
      <c r="FO37" s="3"/>
      <c r="FP37" s="4">
        <v>45782</v>
      </c>
      <c r="FQ37" s="4">
        <f>DATE(YEAR(FP37)+2,MONTH(FP37),DAY(FP37))</f>
        <v>46512</v>
      </c>
      <c r="FR37" s="8">
        <f t="shared" ca="1" si="69"/>
        <v>378</v>
      </c>
      <c r="FS37" s="5" t="str">
        <f t="shared" ca="1" si="70"/>
        <v>VIGENTE</v>
      </c>
      <c r="FT37" s="3"/>
      <c r="FU37" s="4">
        <v>45758</v>
      </c>
      <c r="FV37" s="4">
        <f>DATE(YEAR(FU37)+2,MONTH(FU37),DAY(FU37)-1)</f>
        <v>46487</v>
      </c>
      <c r="FW37" s="8">
        <f t="shared" ca="1" si="71"/>
        <v>353</v>
      </c>
      <c r="FX37" s="5" t="str">
        <f t="shared" ca="1" si="72"/>
        <v>VIGENTE</v>
      </c>
      <c r="FY37" s="3"/>
      <c r="FZ37" s="4">
        <v>45874</v>
      </c>
      <c r="GA37" s="4">
        <f>DATE(YEAR(FZ37)+2,MONTH(FZ37),DAY(FZ37))</f>
        <v>46604</v>
      </c>
      <c r="GB37" s="8">
        <f t="shared" ca="1" si="73"/>
        <v>470</v>
      </c>
      <c r="GC37" s="5" t="str">
        <f t="shared" ca="1" si="74"/>
        <v>VIGENTE</v>
      </c>
      <c r="GD37" s="3"/>
      <c r="GE37" s="4">
        <v>45849</v>
      </c>
      <c r="GF37" s="4">
        <f>DATE(YEAR(GE37)+2,MONTH(GE37),DAY(GE37))</f>
        <v>46579</v>
      </c>
      <c r="GG37" s="8">
        <f t="shared" ca="1" si="75"/>
        <v>445</v>
      </c>
      <c r="GH37" s="5" t="str">
        <f t="shared" ca="1" si="76"/>
        <v>VIGENTE</v>
      </c>
      <c r="GI37" s="3"/>
      <c r="GJ37" s="4">
        <v>45848</v>
      </c>
      <c r="GK37" s="4">
        <f>DATE(YEAR(GJ37)+2,MONTH(GJ37),DAY(GJ37))</f>
        <v>46578</v>
      </c>
      <c r="GL37" s="8">
        <f t="shared" ca="1" si="77"/>
        <v>444</v>
      </c>
      <c r="GM37" s="5" t="str">
        <f t="shared" ca="1" si="78"/>
        <v>VIGENTE</v>
      </c>
      <c r="GN37" s="4"/>
      <c r="GO37" s="4">
        <v>45181</v>
      </c>
      <c r="GP37" s="4">
        <f t="shared" si="79"/>
        <v>47008</v>
      </c>
      <c r="GQ37" s="8">
        <f t="shared" ca="1" si="181"/>
        <v>874</v>
      </c>
      <c r="GR37" s="5" t="str">
        <f t="shared" ca="1" si="81"/>
        <v>VIGENTE</v>
      </c>
      <c r="GS37" s="3"/>
      <c r="GT37" s="4">
        <v>45203</v>
      </c>
      <c r="GU37" s="4">
        <f t="shared" si="82"/>
        <v>47030</v>
      </c>
      <c r="GV37" s="8">
        <f t="shared" ca="1" si="83"/>
        <v>896</v>
      </c>
      <c r="GW37" s="5" t="str">
        <f t="shared" ca="1" si="84"/>
        <v>VIGENTE</v>
      </c>
      <c r="GX37" s="2"/>
      <c r="GY37" s="4">
        <v>45187</v>
      </c>
      <c r="GZ37" s="4">
        <f t="shared" si="85"/>
        <v>47014</v>
      </c>
      <c r="HA37" s="8">
        <f t="shared" ca="1" si="86"/>
        <v>880</v>
      </c>
      <c r="HB37" s="5" t="str">
        <f t="shared" ca="1" si="87"/>
        <v>VIGENTE</v>
      </c>
      <c r="HC37" s="6"/>
      <c r="HD37" s="4">
        <v>45196</v>
      </c>
      <c r="HE37" s="4">
        <f t="shared" ref="HE37:HE43" si="214">DATE(YEAR(HD37)+5,MONTH(HD37),DAY(HD37))</f>
        <v>47023</v>
      </c>
      <c r="HF37" s="8">
        <f t="shared" ref="HF37:HF43" ca="1" si="215">HE37-TODAY()</f>
        <v>889</v>
      </c>
      <c r="HG37" s="5" t="str">
        <f t="shared" ca="1" si="192"/>
        <v>VIGENTE</v>
      </c>
      <c r="HH37" s="2"/>
      <c r="HI37" s="6"/>
      <c r="HJ37" s="4"/>
      <c r="HK37" s="8"/>
      <c r="HL37" s="5" t="str">
        <f t="shared" si="207"/>
        <v>NO APLICA</v>
      </c>
      <c r="HM37" s="2"/>
      <c r="HN37" s="2"/>
      <c r="HO37" s="4"/>
      <c r="HP37" s="2"/>
      <c r="HQ37" s="5" t="str">
        <f t="shared" si="92"/>
        <v>NO APLICA</v>
      </c>
      <c r="HR37" s="2"/>
      <c r="HS37" s="6"/>
      <c r="HT37" s="4"/>
      <c r="HU37" s="8"/>
      <c r="HV37" s="5" t="str">
        <f t="shared" si="93"/>
        <v>NO APLICA</v>
      </c>
      <c r="HW37" s="2"/>
      <c r="HX37" s="6"/>
      <c r="HY37" s="4"/>
      <c r="HZ37" s="8"/>
      <c r="IA37" s="5" t="str">
        <f t="shared" si="94"/>
        <v>NO APLICA</v>
      </c>
      <c r="IB37" s="2"/>
      <c r="IC37" s="6"/>
      <c r="ID37" s="4"/>
      <c r="IE37" s="8"/>
      <c r="IF37" s="5" t="str">
        <f t="shared" si="95"/>
        <v>NO APLICA</v>
      </c>
      <c r="IG37" s="6"/>
      <c r="IH37" s="6"/>
      <c r="II37" s="4"/>
      <c r="IJ37" s="8"/>
      <c r="IK37" s="5" t="str">
        <f t="shared" si="96"/>
        <v>NO APLICA</v>
      </c>
      <c r="IL37" s="2"/>
      <c r="IM37" s="6"/>
      <c r="IN37" s="4"/>
      <c r="IO37" s="8"/>
      <c r="IP37" s="5" t="str">
        <f t="shared" si="97"/>
        <v>NO APLICA</v>
      </c>
      <c r="IQ37" s="2"/>
      <c r="IR37" s="6"/>
      <c r="IS37" s="4"/>
      <c r="IT37" s="8"/>
      <c r="IU37" s="5" t="str">
        <f t="shared" si="98"/>
        <v>NO APLICA</v>
      </c>
      <c r="IV37" s="2"/>
      <c r="IW37" s="6"/>
      <c r="IX37" s="4"/>
      <c r="IY37" s="8"/>
      <c r="IZ37" s="5" t="str">
        <f t="shared" si="99"/>
        <v>NO APLICA</v>
      </c>
      <c r="JA37" s="3"/>
      <c r="JB37" s="3"/>
      <c r="JC37" s="4"/>
      <c r="JD37" s="8"/>
      <c r="JE37" s="5" t="str">
        <f t="shared" si="100"/>
        <v>NO APLICA</v>
      </c>
      <c r="JF37" s="6"/>
      <c r="JG37" s="6"/>
      <c r="JH37" s="6"/>
      <c r="JI37" s="6"/>
      <c r="JJ37" s="5" t="str">
        <f t="shared" si="101"/>
        <v>NO APLICA</v>
      </c>
      <c r="JK37" s="6"/>
      <c r="JL37" s="6"/>
      <c r="JM37" s="6"/>
      <c r="JN37" s="6"/>
      <c r="JO37" s="5" t="str">
        <f t="shared" si="102"/>
        <v>NO APLICA</v>
      </c>
      <c r="JP37" s="6"/>
      <c r="JQ37" s="6"/>
      <c r="JR37" s="6"/>
      <c r="JS37" s="6"/>
      <c r="JT37" s="5" t="str">
        <f t="shared" si="103"/>
        <v>NO APLICA</v>
      </c>
      <c r="JU37" s="5"/>
      <c r="JV37" s="5"/>
      <c r="JW37" s="5"/>
      <c r="JX37" s="5"/>
      <c r="JY37" s="5" t="str">
        <f t="shared" si="104"/>
        <v>NO APLICA</v>
      </c>
      <c r="JZ37" s="5"/>
      <c r="KA37" s="2"/>
      <c r="KB37" s="4"/>
      <c r="KC37" s="8"/>
      <c r="KD37" s="5" t="str">
        <f t="shared" si="105"/>
        <v>NO APLICA</v>
      </c>
      <c r="KE37" s="5"/>
      <c r="KF37" s="2"/>
      <c r="KG37" s="4"/>
      <c r="KH37" s="8"/>
      <c r="KI37" s="5" t="str">
        <f t="shared" si="141"/>
        <v>NO APLICA</v>
      </c>
      <c r="KJ37" s="5"/>
      <c r="KK37" s="2"/>
      <c r="KL37" s="4"/>
      <c r="KM37" s="8"/>
      <c r="KN37" s="5" t="str">
        <f t="shared" si="106"/>
        <v>NO APLICA</v>
      </c>
      <c r="KO37" s="5"/>
      <c r="KP37" s="2"/>
      <c r="KQ37" s="4"/>
      <c r="KR37" s="8"/>
      <c r="KS37" s="5" t="str">
        <f t="shared" si="142"/>
        <v>NO APLICA</v>
      </c>
      <c r="KT37" s="3"/>
      <c r="KU37" s="4">
        <v>44656</v>
      </c>
      <c r="KV37" s="4">
        <f>DATE(YEAR(KU37)+5,MONTH(KU37),DAY(KU37))</f>
        <v>46482</v>
      </c>
      <c r="KW37" s="8">
        <f ca="1">KV37-TODAY()</f>
        <v>348</v>
      </c>
      <c r="KX37" s="5" t="str">
        <f t="shared" ca="1" si="156"/>
        <v>VIGENTE</v>
      </c>
      <c r="KY37" s="5"/>
      <c r="KZ37" s="4">
        <v>44613</v>
      </c>
      <c r="LA37" s="4">
        <f>DATE(YEAR(KZ37)+5,MONTH(KZ37),DAY(KZ37))</f>
        <v>46439</v>
      </c>
      <c r="LB37" s="8">
        <f ca="1">LA37-TODAY()</f>
        <v>305</v>
      </c>
      <c r="LC37" s="5" t="str">
        <f t="shared" ca="1" si="143"/>
        <v>VIGENTE</v>
      </c>
      <c r="LD37" s="6"/>
      <c r="LE37" s="6"/>
      <c r="LF37" s="4"/>
      <c r="LG37" s="8"/>
      <c r="LH37" s="5" t="str">
        <f t="shared" si="107"/>
        <v>NO APLICA</v>
      </c>
      <c r="LI37" s="5"/>
      <c r="LJ37" s="5"/>
      <c r="LK37" s="4"/>
      <c r="LL37" s="8"/>
      <c r="LM37" s="5" t="str">
        <f t="shared" si="157"/>
        <v>NO APLICA</v>
      </c>
      <c r="LN37" s="2"/>
      <c r="LO37" s="6"/>
      <c r="LP37" s="4"/>
      <c r="LQ37" s="8"/>
      <c r="LR37" s="5" t="str">
        <f t="shared" si="144"/>
        <v>NO APLICA</v>
      </c>
      <c r="LS37" s="6"/>
      <c r="LT37" s="6"/>
      <c r="LU37" s="4"/>
      <c r="LV37" s="8"/>
      <c r="LW37" s="5" t="str">
        <f t="shared" si="145"/>
        <v>NO APLICA</v>
      </c>
      <c r="LX37" s="6"/>
      <c r="LY37" s="6"/>
      <c r="LZ37" s="4"/>
      <c r="MA37" s="8"/>
      <c r="MB37" s="5" t="str">
        <f t="shared" si="146"/>
        <v>NO APLICA</v>
      </c>
      <c r="MC37" s="3"/>
      <c r="MD37" s="3">
        <v>44998</v>
      </c>
      <c r="ME37" s="4">
        <f>DATE(YEAR(MD37)+5,MONTH(MD37),DAY(MD37))</f>
        <v>46825</v>
      </c>
      <c r="MF37" s="8">
        <f ca="1">ME37-TODAY()</f>
        <v>691</v>
      </c>
      <c r="MG37" s="5" t="str">
        <f t="shared" ca="1" si="108"/>
        <v>VIGENTE</v>
      </c>
      <c r="MH37" s="2"/>
      <c r="MI37" s="2"/>
      <c r="MJ37" s="4"/>
      <c r="MK37" s="8"/>
      <c r="ML37" s="5" t="str">
        <f t="shared" si="109"/>
        <v>NO APLICA</v>
      </c>
      <c r="MM37" s="5"/>
      <c r="MN37" s="2"/>
      <c r="MO37" s="4"/>
      <c r="MP37" s="8"/>
      <c r="MQ37" s="5" t="str">
        <f t="shared" si="110"/>
        <v>NO APLICA</v>
      </c>
      <c r="MR37" s="5"/>
      <c r="MS37" s="2"/>
      <c r="MT37" s="4"/>
      <c r="MU37" s="2"/>
      <c r="MV37" s="5" t="str">
        <f t="shared" si="111"/>
        <v>NO APLICA</v>
      </c>
      <c r="MW37" s="2"/>
      <c r="MX37" s="6"/>
      <c r="MY37" s="4"/>
      <c r="MZ37" s="8"/>
      <c r="NA37" s="5" t="str">
        <f t="shared" si="112"/>
        <v>NO APLICA</v>
      </c>
      <c r="NB37" s="2"/>
      <c r="NC37" s="6"/>
      <c r="ND37" s="4"/>
      <c r="NE37" s="8"/>
      <c r="NF37" s="5" t="str">
        <f t="shared" si="113"/>
        <v>NO APLICA</v>
      </c>
      <c r="NG37" s="2"/>
      <c r="NH37" s="6"/>
      <c r="NI37" s="4"/>
      <c r="NJ37" s="8"/>
      <c r="NK37" s="5" t="str">
        <f t="shared" si="114"/>
        <v>NO APLICA</v>
      </c>
      <c r="NL37" s="2"/>
      <c r="NM37" s="2"/>
      <c r="NN37" s="4"/>
      <c r="NO37" s="8"/>
      <c r="NP37" s="5" t="str">
        <f t="shared" si="115"/>
        <v>NO APLICA</v>
      </c>
      <c r="NQ37" s="2"/>
      <c r="NR37" s="2"/>
      <c r="NS37" s="4"/>
      <c r="NT37" s="2"/>
      <c r="NU37" s="5" t="str">
        <f t="shared" si="116"/>
        <v>NO APLICA</v>
      </c>
      <c r="NV37" s="6"/>
      <c r="NW37" s="6"/>
      <c r="NX37" s="4"/>
      <c r="NY37" s="8"/>
      <c r="NZ37" s="5" t="str">
        <f t="shared" si="117"/>
        <v>NO APLICA</v>
      </c>
      <c r="OA37" s="6"/>
      <c r="OB37" s="6"/>
      <c r="OC37" s="6"/>
      <c r="OD37" s="6"/>
      <c r="OE37" s="5" t="str">
        <f t="shared" si="118"/>
        <v>NO APLICA</v>
      </c>
      <c r="OF37" s="2"/>
      <c r="OG37" s="2"/>
      <c r="OH37" s="4"/>
      <c r="OI37" s="8"/>
      <c r="OJ37" s="5" t="str">
        <f t="shared" si="119"/>
        <v>NO APLICA</v>
      </c>
      <c r="OK37" s="6"/>
      <c r="OL37" s="6"/>
      <c r="OM37" s="6"/>
      <c r="ON37" s="6"/>
      <c r="OO37" s="5" t="str">
        <f t="shared" si="120"/>
        <v>NO APLICA</v>
      </c>
      <c r="OP37" s="6"/>
      <c r="OQ37" s="6"/>
      <c r="OR37" s="6"/>
      <c r="OS37" s="6"/>
      <c r="OT37" s="5" t="str">
        <f t="shared" si="121"/>
        <v>NO APLICA</v>
      </c>
      <c r="OU37" s="6"/>
      <c r="OV37" s="6"/>
      <c r="OW37" s="6"/>
      <c r="OX37" s="6"/>
      <c r="OY37" s="5" t="str">
        <f t="shared" si="122"/>
        <v>NO APLICA</v>
      </c>
      <c r="OZ37" s="6"/>
      <c r="PA37" s="6"/>
      <c r="PB37" s="6"/>
      <c r="PC37" s="6"/>
      <c r="PD37" s="5" t="str">
        <f t="shared" si="123"/>
        <v>NO APLICA</v>
      </c>
      <c r="PE37" s="6"/>
      <c r="PF37" s="6"/>
      <c r="PG37" s="6"/>
      <c r="PH37" s="6"/>
      <c r="PI37" s="5" t="str">
        <f t="shared" si="124"/>
        <v>NO APLICA</v>
      </c>
      <c r="PJ37" s="5"/>
      <c r="PK37" s="6"/>
      <c r="PL37" s="4"/>
      <c r="PM37" s="8"/>
      <c r="PN37" s="5" t="str">
        <f t="shared" si="125"/>
        <v>NO APLICA</v>
      </c>
      <c r="PO37" s="6"/>
      <c r="PP37" s="6"/>
      <c r="PQ37" s="6"/>
      <c r="PR37" s="6"/>
      <c r="PS37" s="5" t="str">
        <f t="shared" si="126"/>
        <v>NO APLICA</v>
      </c>
      <c r="PT37" s="5"/>
      <c r="PU37" s="6"/>
      <c r="PV37" s="6"/>
      <c r="PW37" s="6"/>
      <c r="PX37" s="5" t="str">
        <f t="shared" si="127"/>
        <v>NO APLICA</v>
      </c>
    </row>
    <row r="38" spans="1:440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140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185</v>
      </c>
      <c r="T38" s="5" t="str">
        <f t="shared" ca="1" si="128"/>
        <v>VIGENTE</v>
      </c>
      <c r="U38" s="2" t="s">
        <v>183</v>
      </c>
      <c r="V38" s="4">
        <v>44701</v>
      </c>
      <c r="W38" s="4">
        <f t="shared" si="2"/>
        <v>46527</v>
      </c>
      <c r="X38" s="8">
        <f t="shared" ca="1" si="3"/>
        <v>393</v>
      </c>
      <c r="Y38" s="5" t="str">
        <f t="shared" ca="1" si="4"/>
        <v>VIGENTE</v>
      </c>
      <c r="Z38" s="2" t="s">
        <v>184</v>
      </c>
      <c r="AA38" s="4">
        <v>45190</v>
      </c>
      <c r="AB38" s="4">
        <f t="shared" si="212"/>
        <v>47017</v>
      </c>
      <c r="AC38" s="8">
        <f t="shared" ca="1" si="213"/>
        <v>883</v>
      </c>
      <c r="AD38" s="5" t="str">
        <f t="shared" ca="1" si="7"/>
        <v>VIGENTE</v>
      </c>
      <c r="AE38" s="3"/>
      <c r="AF38" s="4">
        <v>45936</v>
      </c>
      <c r="AG38" s="4">
        <f>DATE(YEAR(AF38)+2,MONTH(AF38),DAY(AF38))</f>
        <v>46666</v>
      </c>
      <c r="AH38" s="8">
        <f t="shared" ca="1" si="8"/>
        <v>532</v>
      </c>
      <c r="AI38" s="5" t="str">
        <f t="shared" ca="1" si="9"/>
        <v>VIGENTE</v>
      </c>
      <c r="AJ38" s="3"/>
      <c r="AK38" s="4">
        <v>45937</v>
      </c>
      <c r="AL38" s="4">
        <f t="shared" si="198"/>
        <v>46667</v>
      </c>
      <c r="AM38" s="8">
        <f t="shared" ca="1" si="10"/>
        <v>533</v>
      </c>
      <c r="AN38" s="5" t="str">
        <f t="shared" ca="1" si="11"/>
        <v>VIGENTE</v>
      </c>
      <c r="AO38" s="3"/>
      <c r="AP38" s="4">
        <v>45904</v>
      </c>
      <c r="AQ38" s="4">
        <f>DATE(YEAR(AP38)+2,MONTH(AP38),DAY(AP38))</f>
        <v>46634</v>
      </c>
      <c r="AR38" s="8">
        <f t="shared" ca="1" si="12"/>
        <v>500</v>
      </c>
      <c r="AS38" s="5" t="str">
        <f t="shared" ca="1" si="13"/>
        <v>VIGENTE</v>
      </c>
      <c r="AT38" s="3"/>
      <c r="AU38" s="4">
        <v>45972</v>
      </c>
      <c r="AV38" s="4">
        <f t="shared" si="199"/>
        <v>46702</v>
      </c>
      <c r="AW38" s="8">
        <f t="shared" ca="1" si="15"/>
        <v>568</v>
      </c>
      <c r="AX38" s="5" t="str">
        <f t="shared" ca="1" si="16"/>
        <v>VIGENTE</v>
      </c>
      <c r="AY38" s="3"/>
      <c r="AZ38" s="4">
        <v>46041</v>
      </c>
      <c r="BA38" s="4">
        <f>DATE(YEAR(AZ38)+2,MONTH(AZ38),DAY(AZ38))</f>
        <v>46771</v>
      </c>
      <c r="BB38" s="8">
        <f t="shared" ca="1" si="17"/>
        <v>637</v>
      </c>
      <c r="BC38" s="5" t="str">
        <f t="shared" ca="1" si="18"/>
        <v>VIGENTE</v>
      </c>
      <c r="BD38" s="3"/>
      <c r="BE38" s="4">
        <v>46027</v>
      </c>
      <c r="BF38" s="4">
        <f t="shared" si="200"/>
        <v>46757</v>
      </c>
      <c r="BG38" s="8">
        <f t="shared" ca="1" si="19"/>
        <v>623</v>
      </c>
      <c r="BH38" s="5" t="str">
        <f t="shared" ca="1" si="20"/>
        <v>VIGENTE</v>
      </c>
      <c r="BI38" s="3"/>
      <c r="BJ38" s="4">
        <v>46051</v>
      </c>
      <c r="BK38" s="4">
        <f t="shared" si="201"/>
        <v>46781</v>
      </c>
      <c r="BL38" s="8">
        <f t="shared" ca="1" si="21"/>
        <v>647</v>
      </c>
      <c r="BM38" s="5" t="str">
        <f t="shared" ca="1" si="22"/>
        <v>VIGENTE</v>
      </c>
      <c r="BN38" s="3"/>
      <c r="BO38" s="4">
        <v>45470</v>
      </c>
      <c r="BP38" s="4">
        <f>DATE(YEAR(BO38)+2,MONTH(BO38),DAY(BO38)-1)</f>
        <v>46199</v>
      </c>
      <c r="BQ38" s="8">
        <f t="shared" ca="1" si="23"/>
        <v>65</v>
      </c>
      <c r="BR38" s="5" t="str">
        <f t="shared" ca="1" si="24"/>
        <v>POR VENCER</v>
      </c>
      <c r="BS38" s="3"/>
      <c r="BT38" s="4">
        <v>45455</v>
      </c>
      <c r="BU38" s="4">
        <f t="shared" ref="BU38:BU43" si="216">DATE(YEAR(BT38)+2,MONTH(BT38),DAY(BT38)-1)</f>
        <v>46184</v>
      </c>
      <c r="BV38" s="8">
        <f t="shared" ca="1" si="25"/>
        <v>50</v>
      </c>
      <c r="BW38" s="5" t="str">
        <f t="shared" ca="1" si="26"/>
        <v>POR VENCER</v>
      </c>
      <c r="BX38" s="3"/>
      <c r="BY38" s="4">
        <v>45944</v>
      </c>
      <c r="BZ38" s="4">
        <f t="shared" si="208"/>
        <v>46674</v>
      </c>
      <c r="CA38" s="8">
        <f t="shared" ca="1" si="27"/>
        <v>540</v>
      </c>
      <c r="CB38" s="5" t="str">
        <f t="shared" ca="1" si="28"/>
        <v>VIGENTE</v>
      </c>
      <c r="CC38" s="6" t="s">
        <v>73</v>
      </c>
      <c r="CD38" s="4">
        <v>45393</v>
      </c>
      <c r="CE38" s="4">
        <f t="shared" si="29"/>
        <v>46854</v>
      </c>
      <c r="CF38" s="8">
        <f t="shared" ca="1" si="30"/>
        <v>720</v>
      </c>
      <c r="CG38" s="5" t="str">
        <f t="shared" ca="1" si="31"/>
        <v>VIGENTE</v>
      </c>
      <c r="CH38" s="4"/>
      <c r="CI38" s="4">
        <v>45452</v>
      </c>
      <c r="CJ38" s="4">
        <f>DATE(YEAR(CI38)+2,MONTH(CI38),DAY(CI38)-1)</f>
        <v>46181</v>
      </c>
      <c r="CK38" s="8">
        <f t="shared" ca="1" si="32"/>
        <v>47</v>
      </c>
      <c r="CL38" s="5" t="str">
        <f t="shared" ca="1" si="33"/>
        <v>POR VENCER</v>
      </c>
      <c r="CM38" s="3"/>
      <c r="CN38" s="4">
        <v>45481</v>
      </c>
      <c r="CO38" s="4">
        <f t="shared" ref="CO38:CO44" si="217">DATE(YEAR(CN38)+2,MONTH(CN38),DAY(CN38)-1)</f>
        <v>46210</v>
      </c>
      <c r="CP38" s="8">
        <f t="shared" ca="1" si="34"/>
        <v>76</v>
      </c>
      <c r="CQ38" s="5" t="str">
        <f t="shared" ca="1" si="35"/>
        <v>POR VENCER</v>
      </c>
      <c r="CR38" s="3"/>
      <c r="CS38" s="4">
        <v>45905</v>
      </c>
      <c r="CT38" s="4">
        <f>DATE(YEAR(CS38)+2,MONTH(CS38),DAY(CS38))</f>
        <v>46635</v>
      </c>
      <c r="CU38" s="8">
        <f t="shared" ca="1" si="36"/>
        <v>501</v>
      </c>
      <c r="CV38" s="5" t="str">
        <f t="shared" ca="1" si="37"/>
        <v>VIGENTE</v>
      </c>
      <c r="CW38" s="3"/>
      <c r="CX38" s="4">
        <v>46000</v>
      </c>
      <c r="CY38" s="4">
        <f t="shared" si="211"/>
        <v>46730</v>
      </c>
      <c r="CZ38" s="8">
        <f t="shared" ca="1" si="38"/>
        <v>596</v>
      </c>
      <c r="DA38" s="5" t="str">
        <f t="shared" ca="1" si="39"/>
        <v>VIGENTE</v>
      </c>
      <c r="DB38" s="3"/>
      <c r="DC38" s="4">
        <v>45463</v>
      </c>
      <c r="DD38" s="4">
        <f>DATE(YEAR(DC38)+2,MONTH(DC38),DAY(DC38)-1)</f>
        <v>46192</v>
      </c>
      <c r="DE38" s="8">
        <f t="shared" ca="1" si="40"/>
        <v>58</v>
      </c>
      <c r="DF38" s="5" t="str">
        <f t="shared" ca="1" si="41"/>
        <v>POR VENCER</v>
      </c>
      <c r="DG38" s="3"/>
      <c r="DH38" s="4">
        <v>45975</v>
      </c>
      <c r="DI38" s="4">
        <f>DATE(YEAR(DH38)+2,MONTH(DH38),DAY(DH38))</f>
        <v>46705</v>
      </c>
      <c r="DJ38" s="8">
        <f t="shared" ca="1" si="43"/>
        <v>571</v>
      </c>
      <c r="DK38" s="5" t="str">
        <f t="shared" ca="1" si="44"/>
        <v>VIGENTE</v>
      </c>
      <c r="DL38" s="3"/>
      <c r="DM38" s="4">
        <v>45982</v>
      </c>
      <c r="DN38" s="4">
        <f t="shared" si="209"/>
        <v>46712</v>
      </c>
      <c r="DO38" s="8">
        <f t="shared" ca="1" si="46"/>
        <v>578</v>
      </c>
      <c r="DP38" s="5" t="str">
        <f t="shared" ca="1" si="47"/>
        <v>VIGENTE</v>
      </c>
      <c r="DQ38" s="3"/>
      <c r="DR38" s="4">
        <v>46053</v>
      </c>
      <c r="DS38" s="4">
        <f>DATE(YEAR(DR38)+2,MONTH(DR38),DAY(DR38))</f>
        <v>46783</v>
      </c>
      <c r="DT38" s="8">
        <f t="shared" ca="1" si="48"/>
        <v>649</v>
      </c>
      <c r="DU38" s="5" t="str">
        <f t="shared" ca="1" si="49"/>
        <v>VIGENTE</v>
      </c>
      <c r="DV38" s="3"/>
      <c r="DW38" s="4">
        <v>46099</v>
      </c>
      <c r="DX38" s="4">
        <f>DATE(YEAR(DW38)+2,MONTH(DW38),DAY(DW38))</f>
        <v>46830</v>
      </c>
      <c r="DY38" s="8">
        <f t="shared" ca="1" si="50"/>
        <v>696</v>
      </c>
      <c r="DZ38" s="5" t="str">
        <f t="shared" ca="1" si="51"/>
        <v>VIGENTE</v>
      </c>
      <c r="EA38" s="3"/>
      <c r="EB38" s="4">
        <v>46104</v>
      </c>
      <c r="EC38" s="4">
        <f t="shared" si="210"/>
        <v>46835</v>
      </c>
      <c r="ED38" s="8">
        <f t="shared" ca="1" si="52"/>
        <v>701</v>
      </c>
      <c r="EE38" s="5" t="str">
        <f t="shared" ca="1" si="53"/>
        <v>VIGENTE</v>
      </c>
      <c r="EF38" s="3"/>
      <c r="EG38" s="3">
        <v>46060</v>
      </c>
      <c r="EH38" s="4">
        <f t="shared" si="137"/>
        <v>46425</v>
      </c>
      <c r="EI38" s="8">
        <f t="shared" ca="1" si="54"/>
        <v>291</v>
      </c>
      <c r="EJ38" s="5" t="str">
        <f t="shared" ca="1" si="55"/>
        <v>VIGENTE</v>
      </c>
      <c r="EK38" s="3"/>
      <c r="EL38" s="4">
        <v>46100</v>
      </c>
      <c r="EM38" s="4">
        <f>DATE(YEAR(EL38)+2,MONTH(EL38),DAY(EL38))</f>
        <v>46831</v>
      </c>
      <c r="EN38" s="8">
        <f t="shared" ca="1" si="56"/>
        <v>697</v>
      </c>
      <c r="EO38" s="5" t="str">
        <f t="shared" ca="1" si="57"/>
        <v>VIGENTE</v>
      </c>
      <c r="EP38" s="3"/>
      <c r="EQ38" s="4">
        <v>46094</v>
      </c>
      <c r="ER38" s="4">
        <f>DATE(YEAR(EQ38)+2,MONTH(EQ38),DAY(EQ38))</f>
        <v>46825</v>
      </c>
      <c r="ES38" s="8">
        <f t="shared" ca="1" si="58"/>
        <v>691</v>
      </c>
      <c r="ET38" s="5" t="str">
        <f t="shared" ca="1" si="59"/>
        <v>VIGENTE</v>
      </c>
      <c r="EU38" s="3"/>
      <c r="EV38" s="4">
        <v>45917</v>
      </c>
      <c r="EW38" s="4">
        <f t="shared" si="202"/>
        <v>46647</v>
      </c>
      <c r="EX38" s="8">
        <f t="shared" ca="1" si="60"/>
        <v>513</v>
      </c>
      <c r="EY38" s="5" t="str">
        <f t="shared" ca="1" si="61"/>
        <v>VIGENTE</v>
      </c>
      <c r="EZ38" s="3"/>
      <c r="FA38" s="4">
        <v>45931</v>
      </c>
      <c r="FB38" s="4">
        <f t="shared" si="203"/>
        <v>46661</v>
      </c>
      <c r="FC38" s="8">
        <f t="shared" ca="1" si="62"/>
        <v>527</v>
      </c>
      <c r="FD38" s="5" t="str">
        <f t="shared" ca="1" si="63"/>
        <v>VIGENTE</v>
      </c>
      <c r="FE38" s="3"/>
      <c r="FF38" s="4">
        <v>45919</v>
      </c>
      <c r="FG38" s="4">
        <f t="shared" si="204"/>
        <v>46649</v>
      </c>
      <c r="FH38" s="8">
        <f t="shared" ca="1" si="64"/>
        <v>515</v>
      </c>
      <c r="FI38" s="5" t="str">
        <f t="shared" ca="1" si="65"/>
        <v>VIGENTE</v>
      </c>
      <c r="FJ38" s="3"/>
      <c r="FK38" s="4">
        <v>45479</v>
      </c>
      <c r="FL38" s="4">
        <f>DATE(YEAR(FK38)+2,MONTH(FK38),DAY(FK38)-1)</f>
        <v>46208</v>
      </c>
      <c r="FM38" s="8">
        <f t="shared" ca="1" si="67"/>
        <v>74</v>
      </c>
      <c r="FN38" s="5" t="str">
        <f t="shared" ca="1" si="68"/>
        <v>POR VENCER</v>
      </c>
      <c r="FO38" s="3"/>
      <c r="FP38" s="4">
        <v>45458</v>
      </c>
      <c r="FQ38" s="4">
        <f>DATE(YEAR(FP38)+2,MONTH(FP38),DAY(FP38)-1)</f>
        <v>46187</v>
      </c>
      <c r="FR38" s="8">
        <f t="shared" ca="1" si="69"/>
        <v>53</v>
      </c>
      <c r="FS38" s="5" t="str">
        <f t="shared" ca="1" si="70"/>
        <v>POR VENCER</v>
      </c>
      <c r="FT38" s="4"/>
      <c r="FU38" s="4">
        <v>45587</v>
      </c>
      <c r="FV38" s="4">
        <f>DATE(YEAR(FU38)+2,MONTH(FU38),DAY(FU38)-1)</f>
        <v>46316</v>
      </c>
      <c r="FW38" s="8">
        <f t="shared" ca="1" si="71"/>
        <v>182</v>
      </c>
      <c r="FX38" s="5" t="str">
        <f t="shared" ca="1" si="72"/>
        <v>VIGENTE</v>
      </c>
      <c r="FY38" s="3"/>
      <c r="FZ38" s="4">
        <v>45595</v>
      </c>
      <c r="GA38" s="4">
        <f>DATE(YEAR(FZ38)+2,MONTH(FZ38),DAY(FZ38)-1)</f>
        <v>46324</v>
      </c>
      <c r="GB38" s="8">
        <f t="shared" ca="1" si="73"/>
        <v>190</v>
      </c>
      <c r="GC38" s="5" t="str">
        <f t="shared" ca="1" si="74"/>
        <v>VIGENTE</v>
      </c>
      <c r="GD38" s="3"/>
      <c r="GE38" s="4">
        <v>45472</v>
      </c>
      <c r="GF38" s="4">
        <f>DATE(YEAR(GE38)+2,MONTH(GE38),DAY(GE38)-1)</f>
        <v>46201</v>
      </c>
      <c r="GG38" s="8">
        <f t="shared" ca="1" si="75"/>
        <v>67</v>
      </c>
      <c r="GH38" s="5" t="str">
        <f t="shared" ca="1" si="76"/>
        <v>POR VENCER</v>
      </c>
      <c r="GI38" s="3"/>
      <c r="GJ38" s="4">
        <v>45687</v>
      </c>
      <c r="GK38" s="4">
        <f>DATE(YEAR(GJ38)+2,MONTH(GJ38),DAY(GJ38)-1)</f>
        <v>46416</v>
      </c>
      <c r="GL38" s="8">
        <f t="shared" ca="1" si="77"/>
        <v>282</v>
      </c>
      <c r="GM38" s="5" t="str">
        <f t="shared" ca="1" si="78"/>
        <v>VIGENTE</v>
      </c>
      <c r="GN38" s="4"/>
      <c r="GO38" s="4">
        <v>45459</v>
      </c>
      <c r="GP38" s="4">
        <f t="shared" si="79"/>
        <v>47285</v>
      </c>
      <c r="GQ38" s="8">
        <f t="shared" ca="1" si="181"/>
        <v>1151</v>
      </c>
      <c r="GR38" s="5" t="str">
        <f t="shared" ca="1" si="81"/>
        <v>VIGENTE</v>
      </c>
      <c r="GS38" s="3"/>
      <c r="GT38" s="4">
        <v>45478</v>
      </c>
      <c r="GU38" s="4">
        <f t="shared" si="82"/>
        <v>47304</v>
      </c>
      <c r="GV38" s="8">
        <f t="shared" ca="1" si="83"/>
        <v>1170</v>
      </c>
      <c r="GW38" s="5" t="str">
        <f t="shared" ca="1" si="84"/>
        <v>VIGENTE</v>
      </c>
      <c r="GX38" s="3"/>
      <c r="GY38" s="4">
        <v>45454</v>
      </c>
      <c r="GZ38" s="4">
        <f t="shared" si="85"/>
        <v>47280</v>
      </c>
      <c r="HA38" s="8">
        <f t="shared" ca="1" si="86"/>
        <v>1146</v>
      </c>
      <c r="HB38" s="5" t="str">
        <f t="shared" ca="1" si="87"/>
        <v>VIGENTE</v>
      </c>
      <c r="HC38" s="6"/>
      <c r="HD38" s="4">
        <v>45496</v>
      </c>
      <c r="HE38" s="4">
        <f t="shared" si="214"/>
        <v>47322</v>
      </c>
      <c r="HF38" s="8">
        <f t="shared" ca="1" si="215"/>
        <v>1188</v>
      </c>
      <c r="HG38" s="5" t="str">
        <f t="shared" ca="1" si="192"/>
        <v>VIGENTE</v>
      </c>
      <c r="HH38" s="2"/>
      <c r="HI38" s="6"/>
      <c r="HJ38" s="4"/>
      <c r="HK38" s="8"/>
      <c r="HL38" s="5" t="str">
        <f t="shared" si="207"/>
        <v>NO APLICA</v>
      </c>
      <c r="HM38" s="2"/>
      <c r="HN38" s="2"/>
      <c r="HO38" s="4"/>
      <c r="HP38" s="2"/>
      <c r="HQ38" s="5" t="str">
        <f t="shared" si="92"/>
        <v>NO APLICA</v>
      </c>
      <c r="HR38" s="2"/>
      <c r="HS38" s="6"/>
      <c r="HT38" s="4"/>
      <c r="HU38" s="8"/>
      <c r="HV38" s="5" t="str">
        <f t="shared" si="93"/>
        <v>NO APLICA</v>
      </c>
      <c r="HW38" s="2"/>
      <c r="HX38" s="6"/>
      <c r="HY38" s="4"/>
      <c r="HZ38" s="8"/>
      <c r="IA38" s="5" t="str">
        <f t="shared" si="94"/>
        <v>NO APLICA</v>
      </c>
      <c r="IB38" s="2"/>
      <c r="IC38" s="6"/>
      <c r="ID38" s="4"/>
      <c r="IE38" s="8"/>
      <c r="IF38" s="5" t="str">
        <f t="shared" si="95"/>
        <v>NO APLICA</v>
      </c>
      <c r="IG38" s="6"/>
      <c r="IH38" s="6"/>
      <c r="II38" s="4"/>
      <c r="IJ38" s="8"/>
      <c r="IK38" s="5" t="str">
        <f t="shared" si="96"/>
        <v>NO APLICA</v>
      </c>
      <c r="IL38" s="2"/>
      <c r="IM38" s="6"/>
      <c r="IN38" s="4"/>
      <c r="IO38" s="8"/>
      <c r="IP38" s="5" t="str">
        <f t="shared" si="97"/>
        <v>NO APLICA</v>
      </c>
      <c r="IQ38" s="2"/>
      <c r="IR38" s="6"/>
      <c r="IS38" s="4"/>
      <c r="IT38" s="8"/>
      <c r="IU38" s="5" t="str">
        <f t="shared" si="98"/>
        <v>NO APLICA</v>
      </c>
      <c r="IV38" s="2"/>
      <c r="IW38" s="6"/>
      <c r="IX38" s="4"/>
      <c r="IY38" s="8"/>
      <c r="IZ38" s="5" t="str">
        <f t="shared" si="99"/>
        <v>NO APLICA</v>
      </c>
      <c r="JA38" s="3"/>
      <c r="JB38" s="3"/>
      <c r="JC38" s="4"/>
      <c r="JD38" s="8"/>
      <c r="JE38" s="5" t="str">
        <f t="shared" si="100"/>
        <v>NO APLICA</v>
      </c>
      <c r="JF38" s="6"/>
      <c r="JG38" s="6"/>
      <c r="JH38" s="6"/>
      <c r="JI38" s="6"/>
      <c r="JJ38" s="5" t="str">
        <f t="shared" si="101"/>
        <v>NO APLICA</v>
      </c>
      <c r="JK38" s="6"/>
      <c r="JL38" s="6"/>
      <c r="JM38" s="6"/>
      <c r="JN38" s="6"/>
      <c r="JO38" s="5" t="str">
        <f t="shared" si="102"/>
        <v>NO APLICA</v>
      </c>
      <c r="JP38" s="6"/>
      <c r="JQ38" s="6"/>
      <c r="JR38" s="6"/>
      <c r="JS38" s="6"/>
      <c r="JT38" s="5" t="str">
        <f t="shared" si="103"/>
        <v>NO APLICA</v>
      </c>
      <c r="JU38" s="5"/>
      <c r="JV38" s="5"/>
      <c r="JW38" s="5"/>
      <c r="JX38" s="5"/>
      <c r="JY38" s="5" t="str">
        <f t="shared" si="104"/>
        <v>NO APLICA</v>
      </c>
      <c r="JZ38" s="5"/>
      <c r="KA38" s="2"/>
      <c r="KB38" s="4"/>
      <c r="KC38" s="8"/>
      <c r="KD38" s="5" t="str">
        <f t="shared" si="105"/>
        <v>NO APLICA</v>
      </c>
      <c r="KE38" s="5"/>
      <c r="KF38" s="2"/>
      <c r="KG38" s="4"/>
      <c r="KH38" s="8"/>
      <c r="KI38" s="5" t="str">
        <f t="shared" si="141"/>
        <v>NO APLICA</v>
      </c>
      <c r="KJ38" s="5"/>
      <c r="KK38" s="2"/>
      <c r="KL38" s="4"/>
      <c r="KM38" s="8"/>
      <c r="KN38" s="5" t="str">
        <f t="shared" si="106"/>
        <v>NO APLICA</v>
      </c>
      <c r="KO38" s="5"/>
      <c r="KP38" s="2"/>
      <c r="KQ38" s="4"/>
      <c r="KR38" s="8"/>
      <c r="KS38" s="5" t="str">
        <f t="shared" si="142"/>
        <v>NO APLICA</v>
      </c>
      <c r="KT38" s="2"/>
      <c r="KU38" s="6"/>
      <c r="KV38" s="4"/>
      <c r="KW38" s="8"/>
      <c r="KX38" s="5" t="str">
        <f t="shared" si="156"/>
        <v>NO APLICA</v>
      </c>
      <c r="KY38" s="5"/>
      <c r="KZ38" s="6"/>
      <c r="LA38" s="4"/>
      <c r="LB38" s="8"/>
      <c r="LC38" s="5" t="str">
        <f t="shared" si="143"/>
        <v>NO APLICA</v>
      </c>
      <c r="LD38" s="6"/>
      <c r="LE38" s="4"/>
      <c r="LF38" s="4"/>
      <c r="LG38" s="8"/>
      <c r="LH38" s="5" t="str">
        <f t="shared" si="107"/>
        <v>NO APLICA</v>
      </c>
      <c r="LI38" s="5"/>
      <c r="LJ38" s="5"/>
      <c r="LK38" s="5"/>
      <c r="LL38" s="5"/>
      <c r="LM38" s="5" t="str">
        <f t="shared" si="157"/>
        <v>NO APLICA</v>
      </c>
      <c r="LN38" s="2"/>
      <c r="LO38" s="6"/>
      <c r="LP38" s="4"/>
      <c r="LQ38" s="8"/>
      <c r="LR38" s="5" t="str">
        <f t="shared" si="144"/>
        <v>NO APLICA</v>
      </c>
      <c r="LS38" s="6"/>
      <c r="LT38" s="6"/>
      <c r="LU38" s="4"/>
      <c r="LV38" s="8"/>
      <c r="LW38" s="5" t="str">
        <f t="shared" si="145"/>
        <v>NO APLICA</v>
      </c>
      <c r="LX38" s="6"/>
      <c r="LY38" s="6"/>
      <c r="LZ38" s="4"/>
      <c r="MA38" s="8"/>
      <c r="MB38" s="5" t="str">
        <f t="shared" si="146"/>
        <v>NO APLICA</v>
      </c>
      <c r="MC38" s="2"/>
      <c r="MD38" s="2"/>
      <c r="ME38" s="4"/>
      <c r="MF38" s="8"/>
      <c r="MG38" s="5" t="str">
        <f t="shared" si="108"/>
        <v>NO APLICA</v>
      </c>
      <c r="MH38" s="2"/>
      <c r="MI38" s="2"/>
      <c r="MJ38" s="4"/>
      <c r="MK38" s="8"/>
      <c r="ML38" s="5" t="str">
        <f t="shared" si="109"/>
        <v>NO APLICA</v>
      </c>
      <c r="MM38" s="5"/>
      <c r="MN38" s="2"/>
      <c r="MO38" s="4"/>
      <c r="MP38" s="8"/>
      <c r="MQ38" s="5" t="str">
        <f t="shared" si="110"/>
        <v>NO APLICA</v>
      </c>
      <c r="MR38" s="5"/>
      <c r="MS38" s="2"/>
      <c r="MT38" s="4"/>
      <c r="MU38" s="2"/>
      <c r="MV38" s="5" t="str">
        <f t="shared" si="111"/>
        <v>NO APLICA</v>
      </c>
      <c r="MW38" s="2"/>
      <c r="MX38" s="6"/>
      <c r="MY38" s="4"/>
      <c r="MZ38" s="8"/>
      <c r="NA38" s="5" t="str">
        <f t="shared" si="112"/>
        <v>NO APLICA</v>
      </c>
      <c r="NB38" s="2"/>
      <c r="NC38" s="6"/>
      <c r="ND38" s="4"/>
      <c r="NE38" s="8"/>
      <c r="NF38" s="5" t="str">
        <f t="shared" si="113"/>
        <v>NO APLICA</v>
      </c>
      <c r="NG38" s="2"/>
      <c r="NH38" s="6"/>
      <c r="NI38" s="4"/>
      <c r="NJ38" s="8"/>
      <c r="NK38" s="5" t="str">
        <f t="shared" si="114"/>
        <v>NO APLICA</v>
      </c>
      <c r="NL38" s="2"/>
      <c r="NM38" s="2"/>
      <c r="NN38" s="4"/>
      <c r="NO38" s="2"/>
      <c r="NP38" s="5" t="str">
        <f t="shared" si="115"/>
        <v>NO APLICA</v>
      </c>
      <c r="NQ38" s="2"/>
      <c r="NR38" s="2"/>
      <c r="NS38" s="4"/>
      <c r="NT38" s="2"/>
      <c r="NU38" s="5" t="str">
        <f t="shared" si="116"/>
        <v>NO APLICA</v>
      </c>
      <c r="NV38" s="6"/>
      <c r="NW38" s="6"/>
      <c r="NX38" s="4"/>
      <c r="NY38" s="8"/>
      <c r="NZ38" s="5" t="str">
        <f t="shared" si="117"/>
        <v>NO APLICA</v>
      </c>
      <c r="OA38" s="6"/>
      <c r="OB38" s="6"/>
      <c r="OC38" s="6"/>
      <c r="OD38" s="6"/>
      <c r="OE38" s="5" t="str">
        <f t="shared" si="118"/>
        <v>NO APLICA</v>
      </c>
      <c r="OF38" s="6"/>
      <c r="OG38" s="6"/>
      <c r="OH38" s="4"/>
      <c r="OI38" s="8"/>
      <c r="OJ38" s="5" t="str">
        <f t="shared" si="119"/>
        <v>NO APLICA</v>
      </c>
      <c r="OK38" s="6"/>
      <c r="OL38" s="6"/>
      <c r="OM38" s="6"/>
      <c r="ON38" s="6"/>
      <c r="OO38" s="5" t="str">
        <f t="shared" si="120"/>
        <v>NO APLICA</v>
      </c>
      <c r="OP38" s="6"/>
      <c r="OQ38" s="6"/>
      <c r="OR38" s="6"/>
      <c r="OS38" s="6"/>
      <c r="OT38" s="5" t="str">
        <f t="shared" si="121"/>
        <v>NO APLICA</v>
      </c>
      <c r="OU38" s="6"/>
      <c r="OV38" s="6"/>
      <c r="OW38" s="6"/>
      <c r="OX38" s="6"/>
      <c r="OY38" s="5" t="str">
        <f t="shared" si="122"/>
        <v>NO APLICA</v>
      </c>
      <c r="OZ38" s="6"/>
      <c r="PA38" s="6"/>
      <c r="PB38" s="6"/>
      <c r="PC38" s="6"/>
      <c r="PD38" s="5" t="str">
        <f t="shared" si="123"/>
        <v>NO APLICA</v>
      </c>
      <c r="PE38" s="6"/>
      <c r="PF38" s="6"/>
      <c r="PG38" s="6"/>
      <c r="PH38" s="6"/>
      <c r="PI38" s="5" t="str">
        <f t="shared" si="124"/>
        <v>NO APLICA</v>
      </c>
      <c r="PJ38" s="5"/>
      <c r="PK38" s="6"/>
      <c r="PL38" s="4"/>
      <c r="PM38" s="8"/>
      <c r="PN38" s="5" t="str">
        <f t="shared" si="125"/>
        <v>NO APLICA</v>
      </c>
      <c r="PO38" s="6"/>
      <c r="PP38" s="6"/>
      <c r="PQ38" s="6"/>
      <c r="PR38" s="6"/>
      <c r="PS38" s="5" t="str">
        <f t="shared" si="126"/>
        <v>NO APLICA</v>
      </c>
      <c r="PT38" s="5"/>
      <c r="PU38" s="4">
        <v>46126</v>
      </c>
      <c r="PV38" s="4">
        <f>DATE(YEAR(PU38)+1,MONTH(PU38),DAY(PU38))</f>
        <v>46491</v>
      </c>
      <c r="PW38" s="8">
        <f ca="1">PV38-TODAY()</f>
        <v>357</v>
      </c>
      <c r="PX38" s="5" t="str">
        <f t="shared" ca="1" si="127"/>
        <v>VIGENTE</v>
      </c>
    </row>
    <row r="39" spans="1:440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185</v>
      </c>
      <c r="T39" s="5" t="str">
        <f t="shared" ca="1" si="128"/>
        <v>VIGENTE</v>
      </c>
      <c r="U39" s="2" t="s">
        <v>186</v>
      </c>
      <c r="V39" s="4">
        <v>44944</v>
      </c>
      <c r="W39" s="4">
        <f t="shared" si="2"/>
        <v>46770</v>
      </c>
      <c r="X39" s="8">
        <f t="shared" ca="1" si="3"/>
        <v>636</v>
      </c>
      <c r="Y39" s="5" t="str">
        <f t="shared" ca="1" si="4"/>
        <v>VIGENTE</v>
      </c>
      <c r="Z39" s="2" t="s">
        <v>187</v>
      </c>
      <c r="AA39" s="4">
        <v>45192</v>
      </c>
      <c r="AB39" s="4">
        <f t="shared" si="212"/>
        <v>47019</v>
      </c>
      <c r="AC39" s="8">
        <f t="shared" ca="1" si="213"/>
        <v>885</v>
      </c>
      <c r="AD39" s="5" t="str">
        <f t="shared" ca="1" si="7"/>
        <v>VIGENTE</v>
      </c>
      <c r="AE39" s="3"/>
      <c r="AF39" s="4">
        <v>45680</v>
      </c>
      <c r="AG39" s="4">
        <f>DATE(YEAR(AF39)+2,MONTH(AF39),DAY(AF39)-1)</f>
        <v>46409</v>
      </c>
      <c r="AH39" s="8">
        <f t="shared" ca="1" si="8"/>
        <v>275</v>
      </c>
      <c r="AI39" s="5" t="str">
        <f t="shared" ca="1" si="9"/>
        <v>VIGENTE</v>
      </c>
      <c r="AJ39" s="3"/>
      <c r="AK39" s="4">
        <v>45710</v>
      </c>
      <c r="AL39" s="4">
        <f>DATE(YEAR(AK39)+2,MONTH(AK39),DAY(AK39)-1)</f>
        <v>46439</v>
      </c>
      <c r="AM39" s="8">
        <f t="shared" ca="1" si="10"/>
        <v>305</v>
      </c>
      <c r="AN39" s="5" t="str">
        <f t="shared" ca="1" si="11"/>
        <v>VIGENTE</v>
      </c>
      <c r="AO39" s="3"/>
      <c r="AP39" s="4">
        <v>45703</v>
      </c>
      <c r="AQ39" s="4">
        <f>DATE(YEAR(AP39)+2,MONTH(AP39),DAY(AP39)-1)</f>
        <v>46432</v>
      </c>
      <c r="AR39" s="8">
        <f t="shared" ca="1" si="12"/>
        <v>298</v>
      </c>
      <c r="AS39" s="5" t="str">
        <f t="shared" ca="1" si="13"/>
        <v>VIGENTE</v>
      </c>
      <c r="AT39" s="3"/>
      <c r="AU39" s="4">
        <v>45702</v>
      </c>
      <c r="AV39" s="4">
        <f>DATE(YEAR(AU39)+2,MONTH(AU39),DAY(AU39)-1)</f>
        <v>46431</v>
      </c>
      <c r="AW39" s="8">
        <f t="shared" ca="1" si="15"/>
        <v>297</v>
      </c>
      <c r="AX39" s="5" t="str">
        <f t="shared" ca="1" si="16"/>
        <v>VIGENTE</v>
      </c>
      <c r="AY39" s="3"/>
      <c r="AZ39" s="4">
        <v>45717</v>
      </c>
      <c r="BA39" s="4">
        <f>DATE(YEAR(AZ39)+2,MONTH(AZ39),DAY(AZ39)-1)</f>
        <v>46446</v>
      </c>
      <c r="BB39" s="8">
        <f t="shared" ca="1" si="17"/>
        <v>312</v>
      </c>
      <c r="BC39" s="5" t="str">
        <f t="shared" ca="1" si="18"/>
        <v>VIGENTE</v>
      </c>
      <c r="BD39" s="3"/>
      <c r="BE39" s="4">
        <v>45698</v>
      </c>
      <c r="BF39" s="4">
        <f>DATE(YEAR(BE39)+2,MONTH(BE39),DAY(BE39)-1)</f>
        <v>46427</v>
      </c>
      <c r="BG39" s="8">
        <f t="shared" ca="1" si="19"/>
        <v>293</v>
      </c>
      <c r="BH39" s="5" t="str">
        <f t="shared" ca="1" si="20"/>
        <v>VIGENTE</v>
      </c>
      <c r="BI39" s="3"/>
      <c r="BJ39" s="4">
        <v>45699</v>
      </c>
      <c r="BK39" s="4">
        <f>DATE(YEAR(BJ39)+2,MONTH(BJ39),DAY(BJ39)-1)</f>
        <v>46428</v>
      </c>
      <c r="BL39" s="8">
        <f t="shared" ca="1" si="21"/>
        <v>294</v>
      </c>
      <c r="BM39" s="5" t="str">
        <f t="shared" ca="1" si="22"/>
        <v>VIGENTE</v>
      </c>
      <c r="BN39" s="3"/>
      <c r="BO39" s="4">
        <v>45701</v>
      </c>
      <c r="BP39" s="4">
        <f>DATE(YEAR(BO39)+2,MONTH(BO39),DAY(BO39)-1)</f>
        <v>46430</v>
      </c>
      <c r="BQ39" s="8">
        <f t="shared" ca="1" si="23"/>
        <v>296</v>
      </c>
      <c r="BR39" s="5" t="str">
        <f t="shared" ca="1" si="24"/>
        <v>VIGENTE</v>
      </c>
      <c r="BS39" s="3"/>
      <c r="BT39" s="4">
        <v>45695</v>
      </c>
      <c r="BU39" s="4">
        <f t="shared" si="216"/>
        <v>46424</v>
      </c>
      <c r="BV39" s="8">
        <f t="shared" ca="1" si="25"/>
        <v>290</v>
      </c>
      <c r="BW39" s="5" t="str">
        <f t="shared" ca="1" si="26"/>
        <v>VIGENTE</v>
      </c>
      <c r="BX39" s="3"/>
      <c r="BY39" s="4">
        <v>45730</v>
      </c>
      <c r="BZ39" s="4">
        <f>DATE(YEAR(BY39)+2,MONTH(BY39),DAY(BY39)-1)</f>
        <v>46459</v>
      </c>
      <c r="CA39" s="8">
        <f t="shared" ca="1" si="27"/>
        <v>325</v>
      </c>
      <c r="CB39" s="5" t="str">
        <f t="shared" ca="1" si="28"/>
        <v>VIGENTE</v>
      </c>
      <c r="CC39" s="6" t="s">
        <v>68</v>
      </c>
      <c r="CD39" s="4">
        <v>45832</v>
      </c>
      <c r="CE39" s="4">
        <f t="shared" si="29"/>
        <v>47293</v>
      </c>
      <c r="CF39" s="8">
        <f t="shared" ca="1" si="30"/>
        <v>1159</v>
      </c>
      <c r="CG39" s="5" t="str">
        <f t="shared" ca="1" si="31"/>
        <v>VIGENTE</v>
      </c>
      <c r="CH39" s="4"/>
      <c r="CI39" s="4">
        <v>45723</v>
      </c>
      <c r="CJ39" s="4">
        <f>DATE(YEAR(CI39)+2,MONTH(CI39),DAY(CI39)-1)</f>
        <v>46452</v>
      </c>
      <c r="CK39" s="8">
        <f t="shared" ca="1" si="32"/>
        <v>318</v>
      </c>
      <c r="CL39" s="5" t="str">
        <f t="shared" ca="1" si="33"/>
        <v>VIGENTE</v>
      </c>
      <c r="CM39" s="3"/>
      <c r="CN39" s="4">
        <v>45726</v>
      </c>
      <c r="CO39" s="4">
        <f t="shared" si="217"/>
        <v>46455</v>
      </c>
      <c r="CP39" s="8">
        <f t="shared" ca="1" si="34"/>
        <v>321</v>
      </c>
      <c r="CQ39" s="5" t="str">
        <f t="shared" ca="1" si="35"/>
        <v>VIGENTE</v>
      </c>
      <c r="CR39" s="3"/>
      <c r="CS39" s="4">
        <v>45727</v>
      </c>
      <c r="CT39" s="4">
        <f>DATE(YEAR(CS39)+2,MONTH(CS39),DAY(CS39)-1)</f>
        <v>46456</v>
      </c>
      <c r="CU39" s="8">
        <f t="shared" ca="1" si="36"/>
        <v>322</v>
      </c>
      <c r="CV39" s="5" t="str">
        <f t="shared" ca="1" si="37"/>
        <v>VIGENTE</v>
      </c>
      <c r="CW39" s="3"/>
      <c r="CX39" s="4">
        <v>45785</v>
      </c>
      <c r="CY39" s="4">
        <f t="shared" si="211"/>
        <v>46515</v>
      </c>
      <c r="CZ39" s="8">
        <f t="shared" ca="1" si="38"/>
        <v>381</v>
      </c>
      <c r="DA39" s="5" t="str">
        <f t="shared" ca="1" si="39"/>
        <v>VIGENTE</v>
      </c>
      <c r="DB39" s="3"/>
      <c r="DC39" s="4">
        <v>45761</v>
      </c>
      <c r="DD39" s="4">
        <f>DATE(YEAR(DC39)+2,MONTH(DC39),DAY(DC39))</f>
        <v>46491</v>
      </c>
      <c r="DE39" s="8">
        <f t="shared" ca="1" si="40"/>
        <v>357</v>
      </c>
      <c r="DF39" s="5" t="str">
        <f t="shared" ca="1" si="41"/>
        <v>VIGENTE</v>
      </c>
      <c r="DG39" s="2"/>
      <c r="DH39" s="4">
        <v>45734</v>
      </c>
      <c r="DI39" s="4">
        <f>DATE(YEAR(DH39)+2,MONTH(DH39),DAY(DH39)-1)</f>
        <v>46463</v>
      </c>
      <c r="DJ39" s="8">
        <f t="shared" ca="1" si="43"/>
        <v>329</v>
      </c>
      <c r="DK39" s="5" t="str">
        <f t="shared" ca="1" si="44"/>
        <v>VIGENTE</v>
      </c>
      <c r="DL39" s="3"/>
      <c r="DM39" s="4">
        <v>45731</v>
      </c>
      <c r="DN39" s="4">
        <f>DATE(YEAR(DM39)+2,MONTH(DM39),DAY(DM39)-1)</f>
        <v>46460</v>
      </c>
      <c r="DO39" s="8">
        <f t="shared" ca="1" si="46"/>
        <v>326</v>
      </c>
      <c r="DP39" s="5" t="str">
        <f t="shared" ca="1" si="47"/>
        <v>VIGENTE</v>
      </c>
      <c r="DQ39" s="3"/>
      <c r="DR39" s="4">
        <v>45685</v>
      </c>
      <c r="DS39" s="4">
        <f>DATE(YEAR(DR39)+2,MONTH(DR39),DAY(DR39)-1)</f>
        <v>46414</v>
      </c>
      <c r="DT39" s="8">
        <f t="shared" ca="1" si="48"/>
        <v>280</v>
      </c>
      <c r="DU39" s="5" t="str">
        <f t="shared" ca="1" si="49"/>
        <v>VIGENTE</v>
      </c>
      <c r="DV39" s="3"/>
      <c r="DW39" s="4">
        <v>45663</v>
      </c>
      <c r="DX39" s="4">
        <f>DATE(YEAR(DW39)+2,MONTH(DW39),DAY(DW39)-1)</f>
        <v>46392</v>
      </c>
      <c r="DY39" s="8">
        <f t="shared" ca="1" si="50"/>
        <v>258</v>
      </c>
      <c r="DZ39" s="5" t="str">
        <f t="shared" ca="1" si="51"/>
        <v>VIGENTE</v>
      </c>
      <c r="EA39" s="3"/>
      <c r="EB39" s="4">
        <v>45768</v>
      </c>
      <c r="EC39" s="4">
        <f t="shared" si="210"/>
        <v>46498</v>
      </c>
      <c r="ED39" s="8">
        <f t="shared" ca="1" si="52"/>
        <v>364</v>
      </c>
      <c r="EE39" s="5" t="str">
        <f t="shared" ca="1" si="53"/>
        <v>VIGENTE</v>
      </c>
      <c r="EF39" s="3"/>
      <c r="EG39" s="3">
        <v>46060</v>
      </c>
      <c r="EH39" s="4">
        <f t="shared" si="137"/>
        <v>46425</v>
      </c>
      <c r="EI39" s="8">
        <f t="shared" ca="1" si="54"/>
        <v>291</v>
      </c>
      <c r="EJ39" s="5" t="str">
        <f t="shared" ca="1" si="55"/>
        <v>VIGENTE</v>
      </c>
      <c r="EK39" s="3"/>
      <c r="EL39" s="4">
        <v>45660</v>
      </c>
      <c r="EM39" s="4">
        <f>DATE(YEAR(EL39)+2,MONTH(EL39),DAY(EL39)-1)</f>
        <v>46389</v>
      </c>
      <c r="EN39" s="8">
        <f t="shared" ca="1" si="56"/>
        <v>255</v>
      </c>
      <c r="EO39" s="5" t="str">
        <f t="shared" ca="1" si="57"/>
        <v>VIGENTE</v>
      </c>
      <c r="EP39" s="3"/>
      <c r="EQ39" s="4">
        <v>45677</v>
      </c>
      <c r="ER39" s="4">
        <f>DATE(YEAR(EQ39)+2,MONTH(EQ39),DAY(EQ39)-1)</f>
        <v>46406</v>
      </c>
      <c r="ES39" s="8">
        <f t="shared" ca="1" si="58"/>
        <v>272</v>
      </c>
      <c r="ET39" s="5" t="str">
        <f t="shared" ca="1" si="59"/>
        <v>VIGENTE</v>
      </c>
      <c r="EU39" s="3"/>
      <c r="EV39" s="4">
        <v>45694</v>
      </c>
      <c r="EW39" s="4">
        <f>DATE(YEAR(EV39)+2,MONTH(EV39),DAY(EV39)-1)</f>
        <v>46423</v>
      </c>
      <c r="EX39" s="8">
        <f t="shared" ca="1" si="60"/>
        <v>289</v>
      </c>
      <c r="EY39" s="5" t="str">
        <f t="shared" ca="1" si="61"/>
        <v>VIGENTE</v>
      </c>
      <c r="EZ39" s="3"/>
      <c r="FA39" s="4">
        <v>45611</v>
      </c>
      <c r="FB39" s="4">
        <f>DATE(YEAR(FA39)+2,MONTH(FA39),DAY(FA39)-1)</f>
        <v>46340</v>
      </c>
      <c r="FC39" s="8">
        <f t="shared" ca="1" si="62"/>
        <v>206</v>
      </c>
      <c r="FD39" s="5" t="str">
        <f t="shared" ca="1" si="63"/>
        <v>VIGENTE</v>
      </c>
      <c r="FE39" s="3"/>
      <c r="FF39" s="4">
        <v>45668</v>
      </c>
      <c r="FG39" s="4">
        <f>DATE(YEAR(FF39)+2,MONTH(FF39),DAY(FF39)-1)</f>
        <v>46397</v>
      </c>
      <c r="FH39" s="8">
        <f t="shared" ca="1" si="64"/>
        <v>263</v>
      </c>
      <c r="FI39" s="5" t="str">
        <f t="shared" ca="1" si="65"/>
        <v>VIGENTE</v>
      </c>
      <c r="FJ39" s="3"/>
      <c r="FK39" s="4">
        <v>45771</v>
      </c>
      <c r="FL39" s="4">
        <f>DATE(YEAR(FK39)+2,MONTH(FK39),DAY(FK39))</f>
        <v>46501</v>
      </c>
      <c r="FM39" s="8">
        <f t="shared" ca="1" si="67"/>
        <v>367</v>
      </c>
      <c r="FN39" s="5" t="str">
        <f t="shared" ca="1" si="68"/>
        <v>VIGENTE</v>
      </c>
      <c r="FO39" s="3"/>
      <c r="FP39" s="4">
        <v>45664</v>
      </c>
      <c r="FQ39" s="4">
        <f>DATE(YEAR(FP39)+2,MONTH(FP39),DAY(FP39)-1)</f>
        <v>46393</v>
      </c>
      <c r="FR39" s="8">
        <f t="shared" ca="1" si="69"/>
        <v>259</v>
      </c>
      <c r="FS39" s="5" t="str">
        <f t="shared" ca="1" si="70"/>
        <v>VIGENTE</v>
      </c>
      <c r="FT39" s="3"/>
      <c r="FU39" s="4">
        <v>45700</v>
      </c>
      <c r="FV39" s="4">
        <f>DATE(YEAR(FU39)+2,MONTH(FU39),DAY(FU39)-1)</f>
        <v>46429</v>
      </c>
      <c r="FW39" s="8">
        <f t="shared" ca="1" si="71"/>
        <v>295</v>
      </c>
      <c r="FX39" s="5" t="str">
        <f t="shared" ca="1" si="72"/>
        <v>VIGENTE</v>
      </c>
      <c r="FY39" s="3"/>
      <c r="FZ39" s="4">
        <v>45757</v>
      </c>
      <c r="GA39" s="4">
        <f>DATE(YEAR(FZ39)+2,MONTH(FZ39),DAY(FZ39)-1)</f>
        <v>46486</v>
      </c>
      <c r="GB39" s="8">
        <f t="shared" ca="1" si="73"/>
        <v>352</v>
      </c>
      <c r="GC39" s="5" t="str">
        <f t="shared" ca="1" si="74"/>
        <v>VIGENTE</v>
      </c>
      <c r="GD39" s="3"/>
      <c r="GE39" s="4">
        <v>45752</v>
      </c>
      <c r="GF39" s="4">
        <f>DATE(YEAR(GE39)+2,MONTH(GE39),DAY(GE39)-1)</f>
        <v>46481</v>
      </c>
      <c r="GG39" s="8">
        <f t="shared" ca="1" si="75"/>
        <v>347</v>
      </c>
      <c r="GH39" s="5" t="str">
        <f t="shared" ca="1" si="76"/>
        <v>VIGENTE</v>
      </c>
      <c r="GI39" s="3"/>
      <c r="GJ39" s="4">
        <v>45687</v>
      </c>
      <c r="GK39" s="4">
        <f>DATE(YEAR(GJ39)+2,MONTH(GJ39),DAY(GJ39)-1)</f>
        <v>46416</v>
      </c>
      <c r="GL39" s="8">
        <f t="shared" ca="1" si="77"/>
        <v>282</v>
      </c>
      <c r="GM39" s="5" t="str">
        <f t="shared" ca="1" si="78"/>
        <v>VIGENTE</v>
      </c>
      <c r="GN39" s="4"/>
      <c r="GO39" s="4">
        <v>45048</v>
      </c>
      <c r="GP39" s="4">
        <f t="shared" si="79"/>
        <v>46875</v>
      </c>
      <c r="GQ39" s="8">
        <f t="shared" ca="1" si="181"/>
        <v>741</v>
      </c>
      <c r="GR39" s="5" t="str">
        <f t="shared" ca="1" si="81"/>
        <v>VIGENTE</v>
      </c>
      <c r="GS39" s="3"/>
      <c r="GT39" s="4">
        <v>45006</v>
      </c>
      <c r="GU39" s="4">
        <f t="shared" si="82"/>
        <v>46833</v>
      </c>
      <c r="GV39" s="8">
        <f t="shared" ca="1" si="83"/>
        <v>699</v>
      </c>
      <c r="GW39" s="5" t="str">
        <f t="shared" ca="1" si="84"/>
        <v>VIGENTE</v>
      </c>
      <c r="GX39" s="2"/>
      <c r="GY39" s="4">
        <v>45073</v>
      </c>
      <c r="GZ39" s="4">
        <f t="shared" si="85"/>
        <v>46900</v>
      </c>
      <c r="HA39" s="8">
        <f t="shared" ca="1" si="86"/>
        <v>766</v>
      </c>
      <c r="HB39" s="5" t="str">
        <f t="shared" ca="1" si="87"/>
        <v>VIGENTE</v>
      </c>
      <c r="HC39" s="6"/>
      <c r="HD39" s="4">
        <v>45020</v>
      </c>
      <c r="HE39" s="4">
        <f t="shared" si="214"/>
        <v>46847</v>
      </c>
      <c r="HF39" s="8">
        <f t="shared" ca="1" si="215"/>
        <v>713</v>
      </c>
      <c r="HG39" s="5" t="str">
        <f t="shared" ca="1" si="192"/>
        <v>VIGENTE</v>
      </c>
      <c r="HH39" s="2"/>
      <c r="HI39" s="6"/>
      <c r="HJ39" s="4"/>
      <c r="HK39" s="8"/>
      <c r="HL39" s="5" t="str">
        <f t="shared" si="207"/>
        <v>NO APLICA</v>
      </c>
      <c r="HM39" s="2"/>
      <c r="HN39" s="2"/>
      <c r="HO39" s="4"/>
      <c r="HP39" s="2"/>
      <c r="HQ39" s="5" t="str">
        <f t="shared" si="92"/>
        <v>NO APLICA</v>
      </c>
      <c r="HR39" s="2"/>
      <c r="HS39" s="4">
        <v>45089</v>
      </c>
      <c r="HT39" s="4">
        <f>DATE(YEAR(HS39)+5,MONTH(HS39),DAY(HS39))</f>
        <v>46916</v>
      </c>
      <c r="HU39" s="8">
        <f ca="1">HT39-TODAY()</f>
        <v>782</v>
      </c>
      <c r="HV39" s="5" t="str">
        <f t="shared" ca="1" si="93"/>
        <v>VIGENTE</v>
      </c>
      <c r="HW39" s="2"/>
      <c r="HX39" s="4">
        <v>44981</v>
      </c>
      <c r="HY39" s="4">
        <f>DATE(YEAR(HX39)+5,MONTH(HX39),DAY(HX39))</f>
        <v>46807</v>
      </c>
      <c r="HZ39" s="8">
        <f ca="1">HY39-TODAY()</f>
        <v>673</v>
      </c>
      <c r="IA39" s="5" t="str">
        <f t="shared" ca="1" si="94"/>
        <v>VIGENTE</v>
      </c>
      <c r="IB39" s="2"/>
      <c r="IC39" s="4">
        <v>45049</v>
      </c>
      <c r="ID39" s="4">
        <f>DATE(YEAR(IC39)+5,MONTH(IC39),DAY(IC39))</f>
        <v>46876</v>
      </c>
      <c r="IE39" s="8">
        <f ca="1">ID39-TODAY()</f>
        <v>742</v>
      </c>
      <c r="IF39" s="5" t="str">
        <f t="shared" ca="1" si="95"/>
        <v>VIGENTE</v>
      </c>
      <c r="IG39" s="6"/>
      <c r="IH39" s="4">
        <v>45058</v>
      </c>
      <c r="II39" s="4">
        <f>DATE(YEAR(IH39)+5,MONTH(IH39),DAY(IH39))</f>
        <v>46885</v>
      </c>
      <c r="IJ39" s="8">
        <f ca="1">II39-TODAY()</f>
        <v>751</v>
      </c>
      <c r="IK39" s="5" t="str">
        <f t="shared" ca="1" si="96"/>
        <v>VIGENTE</v>
      </c>
      <c r="IL39" s="2"/>
      <c r="IM39" s="4">
        <v>45064</v>
      </c>
      <c r="IN39" s="4">
        <f>DATE(YEAR(IM39)+5,MONTH(IM39),DAY(IM39))</f>
        <v>46891</v>
      </c>
      <c r="IO39" s="8">
        <f ca="1">IN39-TODAY()</f>
        <v>757</v>
      </c>
      <c r="IP39" s="5" t="str">
        <f t="shared" ca="1" si="97"/>
        <v>VIGENTE</v>
      </c>
      <c r="IQ39" s="2"/>
      <c r="IR39" s="4">
        <v>45062</v>
      </c>
      <c r="IS39" s="4">
        <f>DATE(YEAR(IR39)+5,MONTH(IR39),DAY(IR39))</f>
        <v>46889</v>
      </c>
      <c r="IT39" s="8">
        <f ca="1">IS39-TODAY()</f>
        <v>755</v>
      </c>
      <c r="IU39" s="5" t="str">
        <f t="shared" ca="1" si="98"/>
        <v>VIGENTE</v>
      </c>
      <c r="IV39" s="2"/>
      <c r="IW39" s="4">
        <v>44996</v>
      </c>
      <c r="IX39" s="4">
        <f>DATE(YEAR(IW39)+5,MONTH(IW39),DAY(IW39))</f>
        <v>46823</v>
      </c>
      <c r="IY39" s="8">
        <f ca="1">IX39-TODAY()</f>
        <v>689</v>
      </c>
      <c r="IZ39" s="5" t="str">
        <f t="shared" ca="1" si="99"/>
        <v>VIGENTE</v>
      </c>
      <c r="JA39" s="3"/>
      <c r="JB39" s="3"/>
      <c r="JC39" s="4"/>
      <c r="JD39" s="8"/>
      <c r="JE39" s="5" t="str">
        <f t="shared" si="100"/>
        <v>NO APLICA</v>
      </c>
      <c r="JF39" s="6"/>
      <c r="JG39" s="6"/>
      <c r="JH39" s="6"/>
      <c r="JI39" s="6"/>
      <c r="JJ39" s="5" t="str">
        <f t="shared" si="101"/>
        <v>NO APLICA</v>
      </c>
      <c r="JK39" s="6"/>
      <c r="JL39" s="6"/>
      <c r="JM39" s="6"/>
      <c r="JN39" s="6"/>
      <c r="JO39" s="5" t="str">
        <f t="shared" si="102"/>
        <v>NO APLICA</v>
      </c>
      <c r="JP39" s="6"/>
      <c r="JQ39" s="6"/>
      <c r="JR39" s="6"/>
      <c r="JS39" s="6"/>
      <c r="JT39" s="5" t="str">
        <f t="shared" si="103"/>
        <v>NO APLICA</v>
      </c>
      <c r="JU39" s="5"/>
      <c r="JV39" s="5"/>
      <c r="JW39" s="5"/>
      <c r="JX39" s="5"/>
      <c r="JY39" s="5" t="str">
        <f t="shared" si="104"/>
        <v>NO APLICA</v>
      </c>
      <c r="JZ39" s="5"/>
      <c r="KA39" s="2"/>
      <c r="KB39" s="4"/>
      <c r="KC39" s="8"/>
      <c r="KD39" s="5" t="str">
        <f t="shared" si="105"/>
        <v>NO APLICA</v>
      </c>
      <c r="KE39" s="5"/>
      <c r="KF39" s="3">
        <v>45328</v>
      </c>
      <c r="KG39" s="4">
        <f>DATE(YEAR(KF39)+5,MONTH(KF39),DAY(KF39)-1)</f>
        <v>47154</v>
      </c>
      <c r="KH39" s="8">
        <f ca="1">KG39-TODAY()</f>
        <v>1020</v>
      </c>
      <c r="KI39" s="5" t="str">
        <f t="shared" ca="1" si="141"/>
        <v>VIGENTE</v>
      </c>
      <c r="KJ39" s="5"/>
      <c r="KK39" s="2"/>
      <c r="KL39" s="4"/>
      <c r="KM39" s="8"/>
      <c r="KN39" s="5" t="str">
        <f t="shared" si="106"/>
        <v>NO APLICA</v>
      </c>
      <c r="KO39" s="5"/>
      <c r="KP39" s="2"/>
      <c r="KQ39" s="4"/>
      <c r="KR39" s="8"/>
      <c r="KS39" s="5" t="str">
        <f t="shared" si="142"/>
        <v>NO APLICA</v>
      </c>
      <c r="KT39" s="2"/>
      <c r="KU39" s="6"/>
      <c r="KV39" s="4"/>
      <c r="KW39" s="8"/>
      <c r="KX39" s="5" t="str">
        <f t="shared" si="156"/>
        <v>NO APLICA</v>
      </c>
      <c r="KY39" s="5"/>
      <c r="KZ39" s="6"/>
      <c r="LA39" s="4"/>
      <c r="LB39" s="8"/>
      <c r="LC39" s="5" t="str">
        <f t="shared" si="143"/>
        <v>NO APLICA</v>
      </c>
      <c r="LD39" s="6"/>
      <c r="LE39" s="6"/>
      <c r="LF39" s="4"/>
      <c r="LG39" s="8"/>
      <c r="LH39" s="5" t="str">
        <f t="shared" si="107"/>
        <v>NO APLICA</v>
      </c>
      <c r="LI39" s="5"/>
      <c r="LJ39" s="5"/>
      <c r="LK39" s="4"/>
      <c r="LL39" s="8"/>
      <c r="LM39" s="5" t="str">
        <f t="shared" si="157"/>
        <v>NO APLICA</v>
      </c>
      <c r="LN39" s="2"/>
      <c r="LO39" s="6"/>
      <c r="LP39" s="4"/>
      <c r="LQ39" s="8"/>
      <c r="LR39" s="5" t="str">
        <f t="shared" si="144"/>
        <v>NO APLICA</v>
      </c>
      <c r="LS39" s="6"/>
      <c r="LT39" s="6"/>
      <c r="LU39" s="4"/>
      <c r="LV39" s="8"/>
      <c r="LW39" s="5" t="str">
        <f t="shared" si="145"/>
        <v>NO APLICA</v>
      </c>
      <c r="LX39" s="6"/>
      <c r="LY39" s="6"/>
      <c r="LZ39" s="4"/>
      <c r="MA39" s="8"/>
      <c r="MB39" s="5" t="str">
        <f t="shared" si="146"/>
        <v>NO APLICA</v>
      </c>
      <c r="MC39" s="2"/>
      <c r="MD39" s="2"/>
      <c r="ME39" s="4"/>
      <c r="MF39" s="8"/>
      <c r="MG39" s="5" t="str">
        <f t="shared" si="108"/>
        <v>NO APLICA</v>
      </c>
      <c r="MH39" s="2"/>
      <c r="MI39" s="2"/>
      <c r="MJ39" s="4"/>
      <c r="MK39" s="8"/>
      <c r="ML39" s="5" t="str">
        <f t="shared" si="109"/>
        <v>NO APLICA</v>
      </c>
      <c r="MM39" s="5"/>
      <c r="MN39" s="2"/>
      <c r="MO39" s="4"/>
      <c r="MP39" s="8"/>
      <c r="MQ39" s="5" t="str">
        <f t="shared" si="110"/>
        <v>NO APLICA</v>
      </c>
      <c r="MR39" s="5"/>
      <c r="MS39" s="2"/>
      <c r="MT39" s="4"/>
      <c r="MU39" s="2"/>
      <c r="MV39" s="5" t="str">
        <f t="shared" si="111"/>
        <v>NO APLICA</v>
      </c>
      <c r="MW39" s="2"/>
      <c r="MX39" s="6"/>
      <c r="MY39" s="4"/>
      <c r="MZ39" s="8"/>
      <c r="NA39" s="5" t="str">
        <f t="shared" si="112"/>
        <v>NO APLICA</v>
      </c>
      <c r="NB39" s="2"/>
      <c r="NC39" s="6"/>
      <c r="ND39" s="4"/>
      <c r="NE39" s="8"/>
      <c r="NF39" s="5" t="str">
        <f t="shared" si="113"/>
        <v>NO APLICA</v>
      </c>
      <c r="NG39" s="2"/>
      <c r="NH39" s="6"/>
      <c r="NI39" s="4"/>
      <c r="NJ39" s="8"/>
      <c r="NK39" s="5" t="str">
        <f t="shared" si="114"/>
        <v>NO APLICA</v>
      </c>
      <c r="NL39" s="2"/>
      <c r="NM39" s="2"/>
      <c r="NN39" s="4"/>
      <c r="NO39" s="8"/>
      <c r="NP39" s="5" t="str">
        <f t="shared" si="115"/>
        <v>NO APLICA</v>
      </c>
      <c r="NQ39" s="2"/>
      <c r="NR39" s="2"/>
      <c r="NS39" s="4"/>
      <c r="NT39" s="2"/>
      <c r="NU39" s="5" t="str">
        <f t="shared" si="116"/>
        <v>NO APLICA</v>
      </c>
      <c r="NV39" s="6"/>
      <c r="NW39" s="6"/>
      <c r="NX39" s="4"/>
      <c r="NY39" s="8"/>
      <c r="NZ39" s="5" t="str">
        <f t="shared" si="117"/>
        <v>NO APLICA</v>
      </c>
      <c r="OA39" s="6"/>
      <c r="OB39" s="6"/>
      <c r="OC39" s="6"/>
      <c r="OD39" s="6"/>
      <c r="OE39" s="5" t="str">
        <f t="shared" si="118"/>
        <v>NO APLICA</v>
      </c>
      <c r="OF39" s="6"/>
      <c r="OG39" s="6"/>
      <c r="OH39" s="4"/>
      <c r="OI39" s="8"/>
      <c r="OJ39" s="5" t="str">
        <f t="shared" si="119"/>
        <v>NO APLICA</v>
      </c>
      <c r="OK39" s="6"/>
      <c r="OL39" s="6"/>
      <c r="OM39" s="6"/>
      <c r="ON39" s="6"/>
      <c r="OO39" s="5" t="str">
        <f t="shared" si="120"/>
        <v>NO APLICA</v>
      </c>
      <c r="OP39" s="6"/>
      <c r="OQ39" s="6"/>
      <c r="OR39" s="6"/>
      <c r="OS39" s="6"/>
      <c r="OT39" s="5" t="str">
        <f t="shared" si="121"/>
        <v>NO APLICA</v>
      </c>
      <c r="OU39" s="6"/>
      <c r="OV39" s="6"/>
      <c r="OW39" s="6"/>
      <c r="OX39" s="6"/>
      <c r="OY39" s="5" t="str">
        <f t="shared" si="122"/>
        <v>NO APLICA</v>
      </c>
      <c r="OZ39" s="6"/>
      <c r="PA39" s="6"/>
      <c r="PB39" s="6"/>
      <c r="PC39" s="6"/>
      <c r="PD39" s="5" t="str">
        <f t="shared" si="123"/>
        <v>NO APLICA</v>
      </c>
      <c r="PE39" s="6"/>
      <c r="PF39" s="6"/>
      <c r="PG39" s="6"/>
      <c r="PH39" s="6"/>
      <c r="PI39" s="5" t="str">
        <f t="shared" si="124"/>
        <v>NO APLICA</v>
      </c>
      <c r="PJ39" s="5"/>
      <c r="PK39" s="6"/>
      <c r="PL39" s="4"/>
      <c r="PM39" s="8"/>
      <c r="PN39" s="5" t="str">
        <f t="shared" si="125"/>
        <v>NO APLICA</v>
      </c>
      <c r="PO39" s="6"/>
      <c r="PP39" s="6"/>
      <c r="PQ39" s="6"/>
      <c r="PR39" s="6"/>
      <c r="PS39" s="5" t="str">
        <f t="shared" si="126"/>
        <v>NO APLICA</v>
      </c>
      <c r="PT39" s="5"/>
      <c r="PU39" s="6"/>
      <c r="PV39" s="6"/>
      <c r="PW39" s="6"/>
      <c r="PX39" s="5" t="str">
        <f t="shared" si="127"/>
        <v>NO APLICA</v>
      </c>
    </row>
    <row r="40" spans="1:440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189</v>
      </c>
      <c r="V40" s="4">
        <v>44801</v>
      </c>
      <c r="W40" s="4">
        <f t="shared" si="2"/>
        <v>46627</v>
      </c>
      <c r="X40" s="8">
        <f t="shared" ca="1" si="3"/>
        <v>493</v>
      </c>
      <c r="Y40" s="5" t="str">
        <f t="shared" ca="1" si="4"/>
        <v>VIGENTE</v>
      </c>
      <c r="Z40" s="2" t="s">
        <v>190</v>
      </c>
      <c r="AA40" s="4">
        <v>44824</v>
      </c>
      <c r="AB40" s="4">
        <f t="shared" si="212"/>
        <v>46650</v>
      </c>
      <c r="AC40" s="8">
        <f t="shared" ca="1" si="213"/>
        <v>516</v>
      </c>
      <c r="AD40" s="5" t="str">
        <f t="shared" ca="1" si="7"/>
        <v>VIGENTE</v>
      </c>
      <c r="AE40" s="3"/>
      <c r="AF40" s="4">
        <v>45902</v>
      </c>
      <c r="AG40" s="4">
        <f>DATE(YEAR(AF40)+2,MONTH(AF40),DAY(AF40))</f>
        <v>46632</v>
      </c>
      <c r="AH40" s="8">
        <f t="shared" ca="1" si="8"/>
        <v>498</v>
      </c>
      <c r="AI40" s="5" t="str">
        <f t="shared" ca="1" si="9"/>
        <v>VIGENTE</v>
      </c>
      <c r="AJ40" s="3"/>
      <c r="AK40" s="4">
        <v>45959</v>
      </c>
      <c r="AL40" s="4">
        <f t="shared" ref="AL40:AL45" si="218">DATE(YEAR(AK40)+2,MONTH(AK40),DAY(AK40))</f>
        <v>46689</v>
      </c>
      <c r="AM40" s="8">
        <f t="shared" ca="1" si="10"/>
        <v>555</v>
      </c>
      <c r="AN40" s="5" t="str">
        <f t="shared" ca="1" si="11"/>
        <v>VIGENTE</v>
      </c>
      <c r="AO40" s="3"/>
      <c r="AP40" s="4">
        <v>45967</v>
      </c>
      <c r="AQ40" s="4">
        <f>DATE(YEAR(AP40)+2,MONTH(AP40),DAY(AP40))</f>
        <v>46697</v>
      </c>
      <c r="AR40" s="8">
        <f t="shared" ca="1" si="12"/>
        <v>563</v>
      </c>
      <c r="AS40" s="5" t="str">
        <f t="shared" ca="1" si="13"/>
        <v>VIGENTE</v>
      </c>
      <c r="AT40" s="3"/>
      <c r="AU40" s="4">
        <v>45972</v>
      </c>
      <c r="AV40" s="4">
        <f>DATE(YEAR(AU40)+2,MONTH(AU40),DAY(AU40))</f>
        <v>46702</v>
      </c>
      <c r="AW40" s="8">
        <f t="shared" ca="1" si="15"/>
        <v>568</v>
      </c>
      <c r="AX40" s="5" t="str">
        <f t="shared" ca="1" si="16"/>
        <v>VIGENTE</v>
      </c>
      <c r="AY40" s="3"/>
      <c r="AZ40" s="4">
        <v>46071</v>
      </c>
      <c r="BA40" s="4">
        <f>DATE(YEAR(AZ40)+2,MONTH(AZ40),DAY(AZ40))</f>
        <v>46801</v>
      </c>
      <c r="BB40" s="8">
        <f t="shared" ca="1" si="17"/>
        <v>667</v>
      </c>
      <c r="BC40" s="5" t="str">
        <f t="shared" ca="1" si="18"/>
        <v>VIGENTE</v>
      </c>
      <c r="BD40" s="3"/>
      <c r="BE40" s="4">
        <v>45987</v>
      </c>
      <c r="BF40" s="4">
        <f>DATE(YEAR(BE40)+2,MONTH(BE40),DAY(BE40))</f>
        <v>46717</v>
      </c>
      <c r="BG40" s="8">
        <f t="shared" ca="1" si="19"/>
        <v>583</v>
      </c>
      <c r="BH40" s="5" t="str">
        <f t="shared" ca="1" si="20"/>
        <v>VIGENTE</v>
      </c>
      <c r="BI40" s="3"/>
      <c r="BJ40" s="4">
        <v>45477</v>
      </c>
      <c r="BK40" s="4">
        <f>DATE(YEAR(BJ40)+2,MONTH(BJ40),DAY(BJ40)-1)</f>
        <v>46206</v>
      </c>
      <c r="BL40" s="8">
        <f t="shared" ca="1" si="21"/>
        <v>72</v>
      </c>
      <c r="BM40" s="5" t="str">
        <f t="shared" ca="1" si="22"/>
        <v>POR VENCER</v>
      </c>
      <c r="BN40" s="3"/>
      <c r="BO40" s="4">
        <v>45447</v>
      </c>
      <c r="BP40" s="4">
        <f>DATE(YEAR(BO40)+2,MONTH(BO40),DAY(BO40)-1)</f>
        <v>46176</v>
      </c>
      <c r="BQ40" s="8">
        <f t="shared" ca="1" si="23"/>
        <v>42</v>
      </c>
      <c r="BR40" s="5" t="str">
        <f t="shared" ca="1" si="24"/>
        <v>POR VENCER</v>
      </c>
      <c r="BS40" s="3"/>
      <c r="BT40" s="4">
        <v>45449</v>
      </c>
      <c r="BU40" s="4">
        <f t="shared" si="216"/>
        <v>46178</v>
      </c>
      <c r="BV40" s="8">
        <f t="shared" ca="1" si="25"/>
        <v>44</v>
      </c>
      <c r="BW40" s="5" t="str">
        <f t="shared" ca="1" si="26"/>
        <v>POR VENCER</v>
      </c>
      <c r="BX40" s="3"/>
      <c r="BY40" s="4">
        <v>45944</v>
      </c>
      <c r="BZ40" s="4">
        <f>DATE(YEAR(BY40)+2,MONTH(BY40),DAY(BY40))</f>
        <v>46674</v>
      </c>
      <c r="CA40" s="8">
        <f t="shared" ca="1" si="27"/>
        <v>540</v>
      </c>
      <c r="CB40" s="5" t="str">
        <f t="shared" ca="1" si="28"/>
        <v>VIGENTE</v>
      </c>
      <c r="CC40" s="6" t="s">
        <v>73</v>
      </c>
      <c r="CD40" s="4">
        <v>45227</v>
      </c>
      <c r="CE40" s="4">
        <f t="shared" si="29"/>
        <v>46688</v>
      </c>
      <c r="CF40" s="8">
        <f t="shared" ca="1" si="30"/>
        <v>554</v>
      </c>
      <c r="CG40" s="5" t="str">
        <f t="shared" ca="1" si="31"/>
        <v>VIGENTE</v>
      </c>
      <c r="CH40" s="4"/>
      <c r="CI40" s="4">
        <v>45601</v>
      </c>
      <c r="CJ40" s="4">
        <f>DATE(YEAR(CI40)+2,MONTH(CI40),DAY(CI40)-1)</f>
        <v>46330</v>
      </c>
      <c r="CK40" s="8">
        <f t="shared" ca="1" si="32"/>
        <v>196</v>
      </c>
      <c r="CL40" s="5" t="str">
        <f t="shared" ca="1" si="33"/>
        <v>VIGENTE</v>
      </c>
      <c r="CM40" s="3"/>
      <c r="CN40" s="4">
        <v>45618</v>
      </c>
      <c r="CO40" s="4">
        <f t="shared" si="217"/>
        <v>46347</v>
      </c>
      <c r="CP40" s="8">
        <f t="shared" ca="1" si="34"/>
        <v>213</v>
      </c>
      <c r="CQ40" s="5" t="str">
        <f t="shared" ca="1" si="35"/>
        <v>VIGENTE</v>
      </c>
      <c r="CR40" s="3"/>
      <c r="CS40" s="4">
        <v>45727</v>
      </c>
      <c r="CT40" s="4">
        <f>DATE(YEAR(CS40)+2,MONTH(CS40),DAY(CS40)-1)</f>
        <v>46456</v>
      </c>
      <c r="CU40" s="8">
        <f t="shared" ca="1" si="36"/>
        <v>322</v>
      </c>
      <c r="CV40" s="5" t="str">
        <f t="shared" ca="1" si="37"/>
        <v>VIGENTE</v>
      </c>
      <c r="CW40" s="3"/>
      <c r="CX40" s="4">
        <v>46098</v>
      </c>
      <c r="CY40" s="4">
        <f t="shared" si="211"/>
        <v>46829</v>
      </c>
      <c r="CZ40" s="8">
        <f t="shared" ca="1" si="38"/>
        <v>695</v>
      </c>
      <c r="DA40" s="5" t="str">
        <f t="shared" ca="1" si="39"/>
        <v>VIGENTE</v>
      </c>
      <c r="DB40" s="3"/>
      <c r="DC40" s="4">
        <v>45463</v>
      </c>
      <c r="DD40" s="4">
        <f>DATE(YEAR(DC40)+2,MONTH(DC40),DAY(DC40)-1)</f>
        <v>46192</v>
      </c>
      <c r="DE40" s="8">
        <f t="shared" ca="1" si="40"/>
        <v>58</v>
      </c>
      <c r="DF40" s="5" t="str">
        <f t="shared" ca="1" si="41"/>
        <v>POR VENCER</v>
      </c>
      <c r="DG40" s="3"/>
      <c r="DH40" s="4">
        <v>45696</v>
      </c>
      <c r="DI40" s="4">
        <f>DATE(YEAR(DH40)+2,MONTH(DH40),DAY(DH40)-1)</f>
        <v>46425</v>
      </c>
      <c r="DJ40" s="8">
        <f t="shared" ca="1" si="43"/>
        <v>291</v>
      </c>
      <c r="DK40" s="5" t="str">
        <f t="shared" ca="1" si="44"/>
        <v>VIGENTE</v>
      </c>
      <c r="DL40" s="3"/>
      <c r="DM40" s="4">
        <v>45731</v>
      </c>
      <c r="DN40" s="4">
        <f>DATE(YEAR(DM40)+2,MONTH(DM40),DAY(DM40)-1)</f>
        <v>46460</v>
      </c>
      <c r="DO40" s="8">
        <f t="shared" ca="1" si="46"/>
        <v>326</v>
      </c>
      <c r="DP40" s="5" t="str">
        <f t="shared" ca="1" si="47"/>
        <v>VIGENTE</v>
      </c>
      <c r="DQ40" s="3"/>
      <c r="DR40" s="4">
        <v>46072</v>
      </c>
      <c r="DS40" s="4">
        <f>DATE(YEAR(DR40)+2,MONTH(DR40),DAY(DR40))</f>
        <v>46802</v>
      </c>
      <c r="DT40" s="8">
        <f t="shared" ca="1" si="48"/>
        <v>668</v>
      </c>
      <c r="DU40" s="5" t="str">
        <f t="shared" ca="1" si="49"/>
        <v>VIGENTE</v>
      </c>
      <c r="DV40" s="3"/>
      <c r="DW40" s="4">
        <v>45582</v>
      </c>
      <c r="DX40" s="4">
        <f>DATE(YEAR(DW40)+2,MONTH(DW40),DAY(DW40)-1)</f>
        <v>46311</v>
      </c>
      <c r="DY40" s="8">
        <f t="shared" ca="1" si="50"/>
        <v>177</v>
      </c>
      <c r="DZ40" s="5" t="str">
        <f t="shared" ca="1" si="51"/>
        <v>VIGENTE</v>
      </c>
      <c r="EA40" s="3"/>
      <c r="EB40" s="4">
        <v>45674</v>
      </c>
      <c r="EC40" s="4">
        <f>DATE(YEAR(EB40)+2,MONTH(EB40),DAY(EB40)-1)</f>
        <v>46403</v>
      </c>
      <c r="ED40" s="8">
        <f t="shared" ca="1" si="52"/>
        <v>269</v>
      </c>
      <c r="EE40" s="5" t="str">
        <f t="shared" ca="1" si="53"/>
        <v>VIGENTE</v>
      </c>
      <c r="EF40" s="3"/>
      <c r="EG40" s="3">
        <v>46085</v>
      </c>
      <c r="EH40" s="4">
        <f t="shared" si="137"/>
        <v>46450</v>
      </c>
      <c r="EI40" s="8">
        <f t="shared" ca="1" si="54"/>
        <v>316</v>
      </c>
      <c r="EJ40" s="5" t="str">
        <f t="shared" ca="1" si="55"/>
        <v>VIGENTE</v>
      </c>
      <c r="EK40" s="3"/>
      <c r="EL40" s="4">
        <v>45465</v>
      </c>
      <c r="EM40" s="4">
        <f>DATE(YEAR(EL40)+2,MONTH(EL40),DAY(EL40)-1)</f>
        <v>46194</v>
      </c>
      <c r="EN40" s="8">
        <f t="shared" ca="1" si="56"/>
        <v>60</v>
      </c>
      <c r="EO40" s="5" t="str">
        <f t="shared" ca="1" si="57"/>
        <v>POR VENCER</v>
      </c>
      <c r="EP40" s="3"/>
      <c r="EQ40" s="4">
        <v>46094</v>
      </c>
      <c r="ER40" s="4">
        <f>DATE(YEAR(EQ40)+2,MONTH(EQ40),DAY(EQ40))</f>
        <v>46825</v>
      </c>
      <c r="ES40" s="8">
        <f t="shared" ca="1" si="58"/>
        <v>691</v>
      </c>
      <c r="ET40" s="5" t="str">
        <f t="shared" ca="1" si="59"/>
        <v>VIGENTE</v>
      </c>
      <c r="EU40" s="3"/>
      <c r="EV40" s="4">
        <v>45953</v>
      </c>
      <c r="EW40" s="4">
        <f t="shared" ref="EW40:EW48" si="219">DATE(YEAR(EV40)+2,MONTH(EV40),DAY(EV40))</f>
        <v>46683</v>
      </c>
      <c r="EX40" s="8">
        <f t="shared" ca="1" si="60"/>
        <v>549</v>
      </c>
      <c r="EY40" s="5" t="str">
        <f t="shared" ca="1" si="61"/>
        <v>VIGENTE</v>
      </c>
      <c r="EZ40" s="3"/>
      <c r="FA40" s="4">
        <v>45931</v>
      </c>
      <c r="FB40" s="4">
        <f t="shared" ref="FB40:FB49" si="220">DATE(YEAR(FA40)+2,MONTH(FA40),DAY(FA40))</f>
        <v>46661</v>
      </c>
      <c r="FC40" s="8">
        <f t="shared" ca="1" si="62"/>
        <v>527</v>
      </c>
      <c r="FD40" s="5" t="str">
        <f t="shared" ca="1" si="63"/>
        <v>VIGENTE</v>
      </c>
      <c r="FE40" s="3"/>
      <c r="FF40" s="4">
        <v>45932</v>
      </c>
      <c r="FG40" s="4">
        <f t="shared" ref="FG40:FG48" si="221">DATE(YEAR(FF40)+2,MONTH(FF40),DAY(FF40))</f>
        <v>46662</v>
      </c>
      <c r="FH40" s="8">
        <f t="shared" ca="1" si="64"/>
        <v>528</v>
      </c>
      <c r="FI40" s="5" t="str">
        <f t="shared" ca="1" si="65"/>
        <v>VIGENTE</v>
      </c>
      <c r="FJ40" s="3"/>
      <c r="FK40" s="4">
        <v>45670</v>
      </c>
      <c r="FL40" s="4">
        <f>DATE(YEAR(FK40)+2,MONTH(FK40),DAY(FK40)-1)</f>
        <v>46399</v>
      </c>
      <c r="FM40" s="8">
        <f t="shared" ca="1" si="67"/>
        <v>265</v>
      </c>
      <c r="FN40" s="5" t="str">
        <f t="shared" ca="1" si="68"/>
        <v>VIGENTE</v>
      </c>
      <c r="FO40" s="3"/>
      <c r="FP40" s="4">
        <v>45466</v>
      </c>
      <c r="FQ40" s="4">
        <f>DATE(YEAR(FP40)+2,MONTH(FP40),DAY(FP40)-1)</f>
        <v>46195</v>
      </c>
      <c r="FR40" s="8">
        <f t="shared" ca="1" si="69"/>
        <v>61</v>
      </c>
      <c r="FS40" s="5" t="str">
        <f t="shared" ca="1" si="70"/>
        <v>POR VENCER</v>
      </c>
      <c r="FT40" s="3"/>
      <c r="FU40" s="4">
        <v>45961</v>
      </c>
      <c r="FV40" s="4">
        <f>DATE(YEAR(FU40)+2,MONTH(FU40),DAY(FU40))</f>
        <v>46691</v>
      </c>
      <c r="FW40" s="8">
        <f t="shared" ca="1" si="71"/>
        <v>557</v>
      </c>
      <c r="FX40" s="5" t="str">
        <f t="shared" ca="1" si="72"/>
        <v>VIGENTE</v>
      </c>
      <c r="FY40" s="3"/>
      <c r="FZ40" s="4">
        <v>46030</v>
      </c>
      <c r="GA40" s="4">
        <f>DATE(YEAR(FZ40)+2,MONTH(FZ40),DAY(FZ40))</f>
        <v>46760</v>
      </c>
      <c r="GB40" s="8">
        <f t="shared" ca="1" si="73"/>
        <v>626</v>
      </c>
      <c r="GC40" s="5" t="str">
        <f t="shared" ca="1" si="74"/>
        <v>VIGENTE</v>
      </c>
      <c r="GD40" s="3"/>
      <c r="GE40" s="4">
        <v>45472</v>
      </c>
      <c r="GF40" s="4">
        <f>DATE(YEAR(GE40)+2,MONTH(GE40),DAY(GE40)-1)</f>
        <v>46201</v>
      </c>
      <c r="GG40" s="8">
        <f t="shared" ca="1" si="75"/>
        <v>67</v>
      </c>
      <c r="GH40" s="5" t="str">
        <f t="shared" ca="1" si="76"/>
        <v>POR VENCER</v>
      </c>
      <c r="GI40" s="3"/>
      <c r="GJ40" s="4">
        <v>45945</v>
      </c>
      <c r="GK40" s="4">
        <f t="shared" ref="GK40:GK48" si="222">DATE(YEAR(GJ40)+2,MONTH(GJ40),DAY(GJ40))</f>
        <v>46675</v>
      </c>
      <c r="GL40" s="8">
        <f t="shared" ca="1" si="77"/>
        <v>541</v>
      </c>
      <c r="GM40" s="5" t="str">
        <f t="shared" ca="1" si="78"/>
        <v>VIGENTE</v>
      </c>
      <c r="GN40" s="4"/>
      <c r="GO40" s="4">
        <v>45265</v>
      </c>
      <c r="GP40" s="4">
        <f t="shared" si="79"/>
        <v>47092</v>
      </c>
      <c r="GQ40" s="8">
        <f t="shared" ca="1" si="181"/>
        <v>958</v>
      </c>
      <c r="GR40" s="5" t="str">
        <f t="shared" ca="1" si="81"/>
        <v>VIGENTE</v>
      </c>
      <c r="GS40" s="3"/>
      <c r="GT40" s="4">
        <v>45464</v>
      </c>
      <c r="GU40" s="4">
        <f t="shared" si="82"/>
        <v>47290</v>
      </c>
      <c r="GV40" s="8">
        <f t="shared" ca="1" si="83"/>
        <v>1156</v>
      </c>
      <c r="GW40" s="5" t="str">
        <f t="shared" ca="1" si="84"/>
        <v>VIGENTE</v>
      </c>
      <c r="GX40" s="2"/>
      <c r="GY40" s="4">
        <v>45008</v>
      </c>
      <c r="GZ40" s="4">
        <f t="shared" si="85"/>
        <v>46835</v>
      </c>
      <c r="HA40" s="8">
        <f t="shared" ca="1" si="86"/>
        <v>701</v>
      </c>
      <c r="HB40" s="5" t="str">
        <f t="shared" ca="1" si="87"/>
        <v>VIGENTE</v>
      </c>
      <c r="HC40" s="6"/>
      <c r="HD40" s="4">
        <v>45150</v>
      </c>
      <c r="HE40" s="4">
        <f t="shared" si="214"/>
        <v>46977</v>
      </c>
      <c r="HF40" s="8">
        <f t="shared" ca="1" si="215"/>
        <v>843</v>
      </c>
      <c r="HG40" s="5" t="str">
        <f t="shared" ca="1" si="192"/>
        <v>VIGENTE</v>
      </c>
      <c r="HH40" s="3"/>
      <c r="HI40" s="4">
        <v>45370</v>
      </c>
      <c r="HJ40" s="4">
        <f>DATE(YEAR(HI40)+5,MONTH(HI40),DAY(HI40))</f>
        <v>47196</v>
      </c>
      <c r="HK40" s="8">
        <f ca="1">HJ40-TODAY()</f>
        <v>1062</v>
      </c>
      <c r="HL40" s="5" t="str">
        <f t="shared" ca="1" si="207"/>
        <v>VIGENTE</v>
      </c>
      <c r="HM40" s="2"/>
      <c r="HN40" s="3">
        <v>45374</v>
      </c>
      <c r="HO40" s="4">
        <f>DATE(YEAR(HN40)+5,MONTH(HN40),DAY(HN40))</f>
        <v>47200</v>
      </c>
      <c r="HP40" s="8">
        <f ca="1">HO40-TODAY()</f>
        <v>1066</v>
      </c>
      <c r="HQ40" s="5" t="str">
        <f t="shared" ca="1" si="92"/>
        <v>VIGENTE</v>
      </c>
      <c r="HR40" s="2"/>
      <c r="HS40" s="4">
        <v>45128</v>
      </c>
      <c r="HT40" s="4">
        <f>DATE(YEAR(HS40)+5,MONTH(HS40),DAY(HS40))</f>
        <v>46955</v>
      </c>
      <c r="HU40" s="8">
        <f ca="1">HT40-TODAY()</f>
        <v>821</v>
      </c>
      <c r="HV40" s="5" t="str">
        <f t="shared" ca="1" si="93"/>
        <v>VIGENTE</v>
      </c>
      <c r="HW40" s="3"/>
      <c r="HX40" s="4">
        <v>45475</v>
      </c>
      <c r="HY40" s="4">
        <f>DATE(YEAR(HX40)+5,MONTH(HX40),DAY(HX40))</f>
        <v>47301</v>
      </c>
      <c r="HZ40" s="8">
        <f ca="1">HY40-TODAY()</f>
        <v>1167</v>
      </c>
      <c r="IA40" s="5" t="str">
        <f t="shared" ca="1" si="94"/>
        <v>VIGENTE</v>
      </c>
      <c r="IB40" s="3"/>
      <c r="IC40" s="4">
        <v>45425</v>
      </c>
      <c r="ID40" s="4">
        <f>DATE(YEAR(IC40)+5,MONTH(IC40),DAY(IC40))</f>
        <v>47251</v>
      </c>
      <c r="IE40" s="8">
        <f ca="1">ID40-TODAY()</f>
        <v>1117</v>
      </c>
      <c r="IF40" s="5" t="str">
        <f t="shared" ca="1" si="95"/>
        <v>VIGENTE</v>
      </c>
      <c r="IG40" s="4"/>
      <c r="IH40" s="4">
        <v>45476</v>
      </c>
      <c r="II40" s="4">
        <f>DATE(YEAR(IH40)+5,MONTH(IH40),DAY(IH40))</f>
        <v>47302</v>
      </c>
      <c r="IJ40" s="8">
        <f ca="1">II40-TODAY()</f>
        <v>1168</v>
      </c>
      <c r="IK40" s="5" t="str">
        <f t="shared" ca="1" si="96"/>
        <v>VIGENTE</v>
      </c>
      <c r="IL40" s="3"/>
      <c r="IM40" s="4">
        <v>45490</v>
      </c>
      <c r="IN40" s="4">
        <f>DATE(YEAR(IM40)+5,MONTH(IM40),DAY(IM40))</f>
        <v>47316</v>
      </c>
      <c r="IO40" s="8">
        <f ca="1">IN40-TODAY()</f>
        <v>1182</v>
      </c>
      <c r="IP40" s="5" t="str">
        <f t="shared" ca="1" si="97"/>
        <v>VIGENTE</v>
      </c>
      <c r="IQ40" s="3"/>
      <c r="IR40" s="4">
        <v>45435</v>
      </c>
      <c r="IS40" s="4">
        <f>DATE(YEAR(IR40)+5,MONTH(IR40),DAY(IR40))</f>
        <v>47261</v>
      </c>
      <c r="IT40" s="8">
        <f ca="1">IS40-TODAY()</f>
        <v>1127</v>
      </c>
      <c r="IU40" s="5" t="str">
        <f t="shared" ca="1" si="98"/>
        <v>VIGENTE</v>
      </c>
      <c r="IV40" s="3"/>
      <c r="IW40" s="4">
        <v>45491</v>
      </c>
      <c r="IX40" s="4">
        <f>DATE(YEAR(IW40)+5,MONTH(IW40),DAY(IW40))</f>
        <v>47317</v>
      </c>
      <c r="IY40" s="8">
        <f ca="1">IX40-TODAY()</f>
        <v>1183</v>
      </c>
      <c r="IZ40" s="5" t="str">
        <f t="shared" ca="1" si="99"/>
        <v>VIGENTE</v>
      </c>
      <c r="JA40" s="3"/>
      <c r="JB40" s="3"/>
      <c r="JC40" s="4"/>
      <c r="JD40" s="8"/>
      <c r="JE40" s="5" t="str">
        <f t="shared" si="100"/>
        <v>NO APLICA</v>
      </c>
      <c r="JF40" s="6"/>
      <c r="JG40" s="6"/>
      <c r="JH40" s="6"/>
      <c r="JI40" s="6"/>
      <c r="JJ40" s="5" t="str">
        <f t="shared" si="101"/>
        <v>NO APLICA</v>
      </c>
      <c r="JK40" s="6"/>
      <c r="JL40" s="6"/>
      <c r="JM40" s="6"/>
      <c r="JN40" s="6"/>
      <c r="JO40" s="5" t="str">
        <f t="shared" si="102"/>
        <v>NO APLICA</v>
      </c>
      <c r="JP40" s="6"/>
      <c r="JQ40" s="6"/>
      <c r="JR40" s="6"/>
      <c r="JS40" s="6"/>
      <c r="JT40" s="5" t="str">
        <f t="shared" si="103"/>
        <v>NO APLICA</v>
      </c>
      <c r="JU40" s="5"/>
      <c r="JV40" s="3"/>
      <c r="JW40" s="4"/>
      <c r="JX40" s="8"/>
      <c r="JY40" s="5" t="str">
        <f t="shared" si="104"/>
        <v>NO APLICA</v>
      </c>
      <c r="JZ40" s="5"/>
      <c r="KA40" s="2"/>
      <c r="KB40" s="4"/>
      <c r="KC40" s="8"/>
      <c r="KD40" s="5" t="str">
        <f t="shared" si="105"/>
        <v>NO APLICA</v>
      </c>
      <c r="KE40" s="5"/>
      <c r="KF40" s="2"/>
      <c r="KG40" s="4"/>
      <c r="KH40" s="8"/>
      <c r="KI40" s="5" t="str">
        <f t="shared" si="141"/>
        <v>NO APLICA</v>
      </c>
      <c r="KJ40" s="5"/>
      <c r="KK40" s="2"/>
      <c r="KL40" s="4"/>
      <c r="KM40" s="8"/>
      <c r="KN40" s="5" t="str">
        <f t="shared" si="106"/>
        <v>NO APLICA</v>
      </c>
      <c r="KO40" s="5"/>
      <c r="KP40" s="2"/>
      <c r="KQ40" s="4"/>
      <c r="KR40" s="8"/>
      <c r="KS40" s="5" t="str">
        <f t="shared" si="142"/>
        <v>NO APLICA</v>
      </c>
      <c r="KT40" s="3"/>
      <c r="KU40" s="4">
        <v>44649</v>
      </c>
      <c r="KV40" s="4">
        <f>DATE(YEAR(KU40)+5,MONTH(KU40),DAY(KU40))</f>
        <v>46475</v>
      </c>
      <c r="KW40" s="8">
        <f ca="1">KV40-TODAY()</f>
        <v>341</v>
      </c>
      <c r="KX40" s="5" t="str">
        <f t="shared" ca="1" si="156"/>
        <v>VIGENTE</v>
      </c>
      <c r="KY40" s="5"/>
      <c r="KZ40" s="4">
        <v>44608</v>
      </c>
      <c r="LA40" s="4">
        <f>DATE(YEAR(KZ40)+5,MONTH(KZ40),DAY(KZ40))</f>
        <v>46434</v>
      </c>
      <c r="LB40" s="8">
        <f ca="1">LA40-TODAY()</f>
        <v>300</v>
      </c>
      <c r="LC40" s="5" t="str">
        <f t="shared" ca="1" si="143"/>
        <v>VIGENTE</v>
      </c>
      <c r="LD40" s="4"/>
      <c r="LE40" s="4"/>
      <c r="LF40" s="4"/>
      <c r="LG40" s="8"/>
      <c r="LH40" s="5" t="str">
        <f t="shared" si="107"/>
        <v>NO APLICA</v>
      </c>
      <c r="LI40" s="5"/>
      <c r="LJ40" s="5"/>
      <c r="LK40" s="5"/>
      <c r="LL40" s="5"/>
      <c r="LM40" s="5" t="str">
        <f t="shared" si="157"/>
        <v>NO APLICA</v>
      </c>
      <c r="LN40" s="2"/>
      <c r="LO40" s="6"/>
      <c r="LP40" s="4"/>
      <c r="LQ40" s="8"/>
      <c r="LR40" s="5" t="str">
        <f t="shared" si="144"/>
        <v>NO APLICA</v>
      </c>
      <c r="LS40" s="6"/>
      <c r="LT40" s="6"/>
      <c r="LU40" s="4"/>
      <c r="LV40" s="8"/>
      <c r="LW40" s="5" t="str">
        <f t="shared" si="145"/>
        <v>NO APLICA</v>
      </c>
      <c r="LX40" s="6"/>
      <c r="LY40" s="6"/>
      <c r="LZ40" s="4"/>
      <c r="MA40" s="8"/>
      <c r="MB40" s="5" t="str">
        <f t="shared" si="146"/>
        <v>NO APLICA</v>
      </c>
      <c r="MC40" s="2"/>
      <c r="MD40" s="2"/>
      <c r="ME40" s="4"/>
      <c r="MF40" s="8"/>
      <c r="MG40" s="5" t="str">
        <f t="shared" si="108"/>
        <v>NO APLICA</v>
      </c>
      <c r="MH40" s="2"/>
      <c r="MI40" s="2"/>
      <c r="MJ40" s="4"/>
      <c r="MK40" s="8"/>
      <c r="ML40" s="5" t="str">
        <f t="shared" si="109"/>
        <v>NO APLICA</v>
      </c>
      <c r="MM40" s="5"/>
      <c r="MN40" s="2"/>
      <c r="MO40" s="4"/>
      <c r="MP40" s="8"/>
      <c r="MQ40" s="5" t="str">
        <f t="shared" si="110"/>
        <v>NO APLICA</v>
      </c>
      <c r="MR40" s="5"/>
      <c r="MS40" s="2"/>
      <c r="MT40" s="4"/>
      <c r="MU40" s="2"/>
      <c r="MV40" s="5" t="str">
        <f t="shared" si="111"/>
        <v>NO APLICA</v>
      </c>
      <c r="MW40" s="2"/>
      <c r="MX40" s="6"/>
      <c r="MY40" s="4"/>
      <c r="MZ40" s="8"/>
      <c r="NA40" s="5" t="str">
        <f t="shared" si="112"/>
        <v>NO APLICA</v>
      </c>
      <c r="NB40" s="2"/>
      <c r="NC40" s="6"/>
      <c r="ND40" s="4"/>
      <c r="NE40" s="8"/>
      <c r="NF40" s="5" t="str">
        <f t="shared" si="113"/>
        <v>NO APLICA</v>
      </c>
      <c r="NG40" s="2"/>
      <c r="NH40" s="6"/>
      <c r="NI40" s="4"/>
      <c r="NJ40" s="8"/>
      <c r="NK40" s="5" t="str">
        <f t="shared" si="114"/>
        <v>NO APLICA</v>
      </c>
      <c r="NL40" s="2"/>
      <c r="NM40" s="2"/>
      <c r="NN40" s="4"/>
      <c r="NO40" s="2"/>
      <c r="NP40" s="5" t="str">
        <f t="shared" si="115"/>
        <v>NO APLICA</v>
      </c>
      <c r="NQ40" s="2"/>
      <c r="NR40" s="2"/>
      <c r="NS40" s="2"/>
      <c r="NT40" s="2"/>
      <c r="NU40" s="5" t="str">
        <f t="shared" si="116"/>
        <v>NO APLICA</v>
      </c>
      <c r="NV40" s="6"/>
      <c r="NW40" s="6"/>
      <c r="NX40" s="4"/>
      <c r="NY40" s="8"/>
      <c r="NZ40" s="5" t="str">
        <f t="shared" si="117"/>
        <v>NO APLICA</v>
      </c>
      <c r="OA40" s="6"/>
      <c r="OB40" s="6"/>
      <c r="OC40" s="6"/>
      <c r="OD40" s="6"/>
      <c r="OE40" s="5" t="str">
        <f t="shared" si="118"/>
        <v>NO APLICA</v>
      </c>
      <c r="OF40" s="6"/>
      <c r="OG40" s="6"/>
      <c r="OH40" s="4"/>
      <c r="OI40" s="8"/>
      <c r="OJ40" s="5" t="str">
        <f t="shared" si="119"/>
        <v>NO APLICA</v>
      </c>
      <c r="OK40" s="6"/>
      <c r="OL40" s="6"/>
      <c r="OM40" s="6"/>
      <c r="ON40" s="6"/>
      <c r="OO40" s="5" t="str">
        <f t="shared" si="120"/>
        <v>NO APLICA</v>
      </c>
      <c r="OP40" s="6"/>
      <c r="OQ40" s="6"/>
      <c r="OR40" s="6"/>
      <c r="OS40" s="6"/>
      <c r="OT40" s="5" t="str">
        <f t="shared" si="121"/>
        <v>NO APLICA</v>
      </c>
      <c r="OU40" s="6"/>
      <c r="OV40" s="6"/>
      <c r="OW40" s="6"/>
      <c r="OX40" s="6"/>
      <c r="OY40" s="5" t="str">
        <f t="shared" si="122"/>
        <v>NO APLICA</v>
      </c>
      <c r="OZ40" s="6"/>
      <c r="PA40" s="6"/>
      <c r="PB40" s="6"/>
      <c r="PC40" s="6"/>
      <c r="PD40" s="5" t="str">
        <f t="shared" si="123"/>
        <v>NO APLICA</v>
      </c>
      <c r="PE40" s="6"/>
      <c r="PF40" s="6"/>
      <c r="PG40" s="6"/>
      <c r="PH40" s="6"/>
      <c r="PI40" s="5" t="str">
        <f t="shared" si="124"/>
        <v>NO APLICA</v>
      </c>
      <c r="PJ40" s="5"/>
      <c r="PK40" s="6"/>
      <c r="PL40" s="4"/>
      <c r="PM40" s="8"/>
      <c r="PN40" s="5" t="str">
        <f t="shared" si="125"/>
        <v>NO APLICA</v>
      </c>
      <c r="PO40" s="6"/>
      <c r="PP40" s="6"/>
      <c r="PQ40" s="6"/>
      <c r="PR40" s="6"/>
      <c r="PS40" s="5" t="str">
        <f t="shared" si="126"/>
        <v>NO APLICA</v>
      </c>
      <c r="PT40" s="5"/>
      <c r="PU40" s="6"/>
      <c r="PV40" s="6"/>
      <c r="PW40" s="6"/>
      <c r="PX40" s="5" t="str">
        <f t="shared" si="127"/>
        <v>NO APLICA</v>
      </c>
    </row>
    <row r="41" spans="1:440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193</v>
      </c>
      <c r="V41" s="4">
        <v>45216</v>
      </c>
      <c r="W41" s="4">
        <f t="shared" si="2"/>
        <v>47043</v>
      </c>
      <c r="X41" s="8">
        <f t="shared" ca="1" si="3"/>
        <v>909</v>
      </c>
      <c r="Y41" s="5" t="str">
        <f t="shared" ca="1" si="4"/>
        <v>VIGENTE</v>
      </c>
      <c r="Z41" s="2" t="s">
        <v>194</v>
      </c>
      <c r="AA41" s="4">
        <v>44824</v>
      </c>
      <c r="AB41" s="4">
        <f t="shared" si="212"/>
        <v>46650</v>
      </c>
      <c r="AC41" s="8">
        <f t="shared" ca="1" si="213"/>
        <v>516</v>
      </c>
      <c r="AD41" s="5" t="str">
        <f t="shared" ca="1" si="7"/>
        <v>VIGENTE</v>
      </c>
      <c r="AE41" s="3"/>
      <c r="AF41" s="4">
        <v>45594</v>
      </c>
      <c r="AG41" s="4">
        <f>DATE(YEAR(AF41)+2,MONTH(AF41),DAY(AF41)-1)</f>
        <v>46323</v>
      </c>
      <c r="AH41" s="8">
        <f t="shared" ca="1" si="8"/>
        <v>189</v>
      </c>
      <c r="AI41" s="5" t="str">
        <f t="shared" ca="1" si="9"/>
        <v>VIGENTE</v>
      </c>
      <c r="AJ41" s="3"/>
      <c r="AK41" s="4">
        <v>45959</v>
      </c>
      <c r="AL41" s="4">
        <f t="shared" si="218"/>
        <v>46689</v>
      </c>
      <c r="AM41" s="8">
        <f t="shared" ca="1" si="10"/>
        <v>555</v>
      </c>
      <c r="AN41" s="5" t="str">
        <f t="shared" ca="1" si="11"/>
        <v>VIGENTE</v>
      </c>
      <c r="AO41" s="3"/>
      <c r="AP41" s="4">
        <v>45904</v>
      </c>
      <c r="AQ41" s="4">
        <f>DATE(YEAR(AP41)+2,MONTH(AP41),DAY(AP41))</f>
        <v>46634</v>
      </c>
      <c r="AR41" s="8">
        <f t="shared" ca="1" si="12"/>
        <v>500</v>
      </c>
      <c r="AS41" s="5" t="str">
        <f t="shared" ca="1" si="13"/>
        <v>VIGENTE</v>
      </c>
      <c r="AT41" s="3"/>
      <c r="AU41" s="4">
        <v>45990</v>
      </c>
      <c r="AV41" s="4">
        <f>DATE(YEAR(AU41)+2,MONTH(AU41),DAY(AU41))</f>
        <v>46720</v>
      </c>
      <c r="AW41" s="8">
        <f t="shared" ca="1" si="15"/>
        <v>586</v>
      </c>
      <c r="AX41" s="5" t="str">
        <f t="shared" ca="1" si="16"/>
        <v>VIGENTE</v>
      </c>
      <c r="AY41" s="3"/>
      <c r="AZ41" s="4">
        <v>46071</v>
      </c>
      <c r="BA41" s="4">
        <f>DATE(YEAR(AZ41)+2,MONTH(AZ41),DAY(AZ41))</f>
        <v>46801</v>
      </c>
      <c r="BB41" s="8">
        <f t="shared" ca="1" si="17"/>
        <v>667</v>
      </c>
      <c r="BC41" s="5" t="str">
        <f t="shared" ca="1" si="18"/>
        <v>VIGENTE</v>
      </c>
      <c r="BD41" s="3"/>
      <c r="BE41" s="4">
        <v>46067</v>
      </c>
      <c r="BF41" s="4">
        <f>DATE(YEAR(BE41)+2,MONTH(BE41),DAY(BE41))</f>
        <v>46797</v>
      </c>
      <c r="BG41" s="8">
        <f t="shared" ca="1" si="19"/>
        <v>663</v>
      </c>
      <c r="BH41" s="5" t="str">
        <f t="shared" ca="1" si="20"/>
        <v>VIGENTE</v>
      </c>
      <c r="BI41" s="3"/>
      <c r="BJ41" s="4">
        <v>46051</v>
      </c>
      <c r="BK41" s="4">
        <f>DATE(YEAR(BJ41)+2,MONTH(BJ41),DAY(BJ41))</f>
        <v>46781</v>
      </c>
      <c r="BL41" s="8">
        <f t="shared" ca="1" si="21"/>
        <v>647</v>
      </c>
      <c r="BM41" s="5" t="str">
        <f t="shared" ca="1" si="22"/>
        <v>VIGENTE</v>
      </c>
      <c r="BN41" s="3"/>
      <c r="BO41" s="4">
        <v>46069</v>
      </c>
      <c r="BP41" s="4">
        <f>DATE(YEAR(BO41)+2,MONTH(BO41),DAY(BO41))</f>
        <v>46799</v>
      </c>
      <c r="BQ41" s="8">
        <f t="shared" ca="1" si="23"/>
        <v>665</v>
      </c>
      <c r="BR41" s="5" t="str">
        <f t="shared" ca="1" si="24"/>
        <v>VIGENTE</v>
      </c>
      <c r="BS41" s="3"/>
      <c r="BT41" s="4">
        <v>45449</v>
      </c>
      <c r="BU41" s="4">
        <f t="shared" si="216"/>
        <v>46178</v>
      </c>
      <c r="BV41" s="8">
        <f t="shared" ca="1" si="25"/>
        <v>44</v>
      </c>
      <c r="BW41" s="5" t="str">
        <f t="shared" ca="1" si="26"/>
        <v>POR VENCER</v>
      </c>
      <c r="BX41" s="3"/>
      <c r="BY41" s="4">
        <v>45986</v>
      </c>
      <c r="BZ41" s="4">
        <f>DATE(YEAR(BY41)+2,MONTH(BY41),DAY(BY41))</f>
        <v>46716</v>
      </c>
      <c r="CA41" s="8">
        <f t="shared" ca="1" si="27"/>
        <v>582</v>
      </c>
      <c r="CB41" s="5" t="str">
        <f t="shared" ca="1" si="28"/>
        <v>VIGENTE</v>
      </c>
      <c r="CC41" s="6" t="s">
        <v>73</v>
      </c>
      <c r="CD41" s="4">
        <v>45301</v>
      </c>
      <c r="CE41" s="4">
        <f t="shared" si="29"/>
        <v>46762</v>
      </c>
      <c r="CF41" s="8">
        <f t="shared" ca="1" si="30"/>
        <v>628</v>
      </c>
      <c r="CG41" s="5" t="str">
        <f t="shared" ca="1" si="31"/>
        <v>VIGENTE</v>
      </c>
      <c r="CH41" s="4"/>
      <c r="CI41" s="4">
        <v>45895</v>
      </c>
      <c r="CJ41" s="4">
        <f>DATE(YEAR(CI41)+2,MONTH(CI41),DAY(CI41))</f>
        <v>46625</v>
      </c>
      <c r="CK41" s="8">
        <f t="shared" ca="1" si="32"/>
        <v>491</v>
      </c>
      <c r="CL41" s="5" t="str">
        <f t="shared" ca="1" si="33"/>
        <v>VIGENTE</v>
      </c>
      <c r="CM41" s="3"/>
      <c r="CN41" s="4">
        <v>45517</v>
      </c>
      <c r="CO41" s="4">
        <f t="shared" si="217"/>
        <v>46246</v>
      </c>
      <c r="CP41" s="8">
        <f t="shared" ca="1" si="34"/>
        <v>112</v>
      </c>
      <c r="CQ41" s="5" t="str">
        <f t="shared" ca="1" si="35"/>
        <v>VIGENTE</v>
      </c>
      <c r="CR41" s="3"/>
      <c r="CS41" s="4">
        <v>45639</v>
      </c>
      <c r="CT41" s="4">
        <f>DATE(YEAR(CS41)+2,MONTH(CS41),DAY(CS41)-1)</f>
        <v>46368</v>
      </c>
      <c r="CU41" s="8">
        <f t="shared" ca="1" si="36"/>
        <v>234</v>
      </c>
      <c r="CV41" s="5" t="str">
        <f t="shared" ca="1" si="37"/>
        <v>VIGENTE</v>
      </c>
      <c r="CW41" s="3"/>
      <c r="CX41" s="4">
        <v>45661</v>
      </c>
      <c r="CY41" s="4">
        <f>DATE(YEAR(CX41)+2,MONTH(CX41),DAY(CX41)-1)</f>
        <v>46390</v>
      </c>
      <c r="CZ41" s="8">
        <f t="shared" ca="1" si="38"/>
        <v>256</v>
      </c>
      <c r="DA41" s="5" t="str">
        <f t="shared" ca="1" si="39"/>
        <v>VIGENTE</v>
      </c>
      <c r="DB41" s="3"/>
      <c r="DC41" s="4">
        <v>45689</v>
      </c>
      <c r="DD41" s="4">
        <f>DATE(YEAR(DC41)+2,MONTH(DC41),DAY(DC41)-1)</f>
        <v>46418</v>
      </c>
      <c r="DE41" s="8">
        <f t="shared" ca="1" si="40"/>
        <v>284</v>
      </c>
      <c r="DF41" s="5" t="str">
        <f t="shared" ca="1" si="41"/>
        <v>VIGENTE</v>
      </c>
      <c r="DG41" s="3"/>
      <c r="DH41" s="4">
        <v>45955</v>
      </c>
      <c r="DI41" s="4">
        <f>DATE(YEAR(DH41)+2,MONTH(DH41),DAY(DH41))</f>
        <v>46685</v>
      </c>
      <c r="DJ41" s="8">
        <f t="shared" ca="1" si="43"/>
        <v>551</v>
      </c>
      <c r="DK41" s="5" t="str">
        <f t="shared" ca="1" si="44"/>
        <v>VIGENTE</v>
      </c>
      <c r="DL41" s="3"/>
      <c r="DM41" s="4">
        <v>46088</v>
      </c>
      <c r="DN41" s="4">
        <f t="shared" ref="DN41:DN47" si="223">DATE(YEAR(DM41)+2,MONTH(DM41),DAY(DM41))</f>
        <v>46819</v>
      </c>
      <c r="DO41" s="8">
        <f t="shared" ca="1" si="46"/>
        <v>685</v>
      </c>
      <c r="DP41" s="5" t="str">
        <f t="shared" ca="1" si="47"/>
        <v>VIGENTE</v>
      </c>
      <c r="DQ41" s="3"/>
      <c r="DR41" s="4">
        <v>46072</v>
      </c>
      <c r="DS41" s="4">
        <f>DATE(YEAR(DR41)+2,MONTH(DR41),DAY(DR41))</f>
        <v>46802</v>
      </c>
      <c r="DT41" s="8">
        <f t="shared" ca="1" si="48"/>
        <v>668</v>
      </c>
      <c r="DU41" s="5" t="str">
        <f t="shared" ca="1" si="49"/>
        <v>VIGENTE</v>
      </c>
      <c r="DV41" s="3"/>
      <c r="DW41" s="4">
        <v>46032</v>
      </c>
      <c r="DX41" s="4">
        <f>DATE(YEAR(DW41)+2,MONTH(DW41),DAY(DW41))</f>
        <v>46762</v>
      </c>
      <c r="DY41" s="8">
        <f t="shared" ca="1" si="50"/>
        <v>628</v>
      </c>
      <c r="DZ41" s="5" t="str">
        <f t="shared" ca="1" si="51"/>
        <v>VIGENTE</v>
      </c>
      <c r="EA41" s="3"/>
      <c r="EB41" s="4">
        <v>45913</v>
      </c>
      <c r="EC41" s="4">
        <f>DATE(YEAR(EB41)+2,MONTH(EB41),DAY(EB41))</f>
        <v>46643</v>
      </c>
      <c r="ED41" s="8">
        <f t="shared" ca="1" si="52"/>
        <v>509</v>
      </c>
      <c r="EE41" s="5" t="str">
        <f t="shared" ca="1" si="53"/>
        <v>VIGENTE</v>
      </c>
      <c r="EF41" s="3"/>
      <c r="EG41" s="4">
        <v>45948</v>
      </c>
      <c r="EH41" s="4">
        <f t="shared" si="137"/>
        <v>46313</v>
      </c>
      <c r="EI41" s="8">
        <f t="shared" ca="1" si="54"/>
        <v>179</v>
      </c>
      <c r="EJ41" s="5" t="str">
        <f t="shared" ca="1" si="55"/>
        <v>VIGENTE</v>
      </c>
      <c r="EK41" s="3"/>
      <c r="EL41" s="4">
        <v>45940</v>
      </c>
      <c r="EM41" s="4">
        <f>DATE(YEAR(EL41)+2,MONTH(EL41),DAY(EL41))</f>
        <v>46670</v>
      </c>
      <c r="EN41" s="8">
        <f t="shared" ca="1" si="56"/>
        <v>536</v>
      </c>
      <c r="EO41" s="5" t="str">
        <f t="shared" ca="1" si="57"/>
        <v>VIGENTE</v>
      </c>
      <c r="EP41" s="3"/>
      <c r="EQ41" s="4">
        <v>46042</v>
      </c>
      <c r="ER41" s="4">
        <f>DATE(YEAR(EQ41)+2,MONTH(EQ41),DAY(EQ41))</f>
        <v>46772</v>
      </c>
      <c r="ES41" s="8">
        <f t="shared" ca="1" si="58"/>
        <v>638</v>
      </c>
      <c r="ET41" s="5" t="str">
        <f t="shared" ca="1" si="59"/>
        <v>VIGENTE</v>
      </c>
      <c r="EU41" s="3"/>
      <c r="EV41" s="4">
        <v>46070</v>
      </c>
      <c r="EW41" s="4">
        <f t="shared" si="219"/>
        <v>46800</v>
      </c>
      <c r="EX41" s="8">
        <f t="shared" ca="1" si="60"/>
        <v>666</v>
      </c>
      <c r="EY41" s="5" t="str">
        <f t="shared" ca="1" si="61"/>
        <v>VIGENTE</v>
      </c>
      <c r="EZ41" s="3"/>
      <c r="FA41" s="4">
        <v>45951</v>
      </c>
      <c r="FB41" s="4">
        <f t="shared" si="220"/>
        <v>46681</v>
      </c>
      <c r="FC41" s="8">
        <f t="shared" ca="1" si="62"/>
        <v>547</v>
      </c>
      <c r="FD41" s="5" t="str">
        <f t="shared" ca="1" si="63"/>
        <v>VIGENTE</v>
      </c>
      <c r="FE41" s="3"/>
      <c r="FF41" s="4">
        <v>45969</v>
      </c>
      <c r="FG41" s="4">
        <f t="shared" si="221"/>
        <v>46699</v>
      </c>
      <c r="FH41" s="8">
        <f t="shared" ca="1" si="64"/>
        <v>565</v>
      </c>
      <c r="FI41" s="5" t="str">
        <f t="shared" ca="1" si="65"/>
        <v>VIGENTE</v>
      </c>
      <c r="FJ41" s="3"/>
      <c r="FK41" s="4">
        <v>45920</v>
      </c>
      <c r="FL41" s="4">
        <f>DATE(YEAR(FK41)+2,MONTH(FK41),DAY(FK41))</f>
        <v>46650</v>
      </c>
      <c r="FM41" s="8">
        <f t="shared" ca="1" si="67"/>
        <v>516</v>
      </c>
      <c r="FN41" s="5" t="str">
        <f t="shared" ca="1" si="68"/>
        <v>VIGENTE</v>
      </c>
      <c r="FO41" s="3"/>
      <c r="FP41" s="4">
        <v>46034</v>
      </c>
      <c r="FQ41" s="4">
        <f>DATE(YEAR(FP41)+2,MONTH(FP41),DAY(FP41))</f>
        <v>46764</v>
      </c>
      <c r="FR41" s="8">
        <f t="shared" ca="1" si="69"/>
        <v>630</v>
      </c>
      <c r="FS41" s="5" t="str">
        <f t="shared" ca="1" si="70"/>
        <v>VIGENTE</v>
      </c>
      <c r="FT41" s="3"/>
      <c r="FU41" s="4">
        <v>45574</v>
      </c>
      <c r="FV41" s="4">
        <f>DATE(YEAR(FU41)+2,MONTH(FU41),DAY(FU41)-1)</f>
        <v>46303</v>
      </c>
      <c r="FW41" s="8">
        <f t="shared" ca="1" si="71"/>
        <v>169</v>
      </c>
      <c r="FX41" s="5" t="str">
        <f t="shared" ca="1" si="72"/>
        <v>VIGENTE</v>
      </c>
      <c r="FY41" s="3"/>
      <c r="FZ41" s="4">
        <v>46030</v>
      </c>
      <c r="GA41" s="4">
        <f>DATE(YEAR(FZ41)+2,MONTH(FZ41),DAY(FZ41))</f>
        <v>46760</v>
      </c>
      <c r="GB41" s="8">
        <f t="shared" ca="1" si="73"/>
        <v>626</v>
      </c>
      <c r="GC41" s="5" t="str">
        <f t="shared" ca="1" si="74"/>
        <v>VIGENTE</v>
      </c>
      <c r="GD41" s="3"/>
      <c r="GE41" s="4">
        <v>45960</v>
      </c>
      <c r="GF41" s="4">
        <f>DATE(YEAR(GE41)+2,MONTH(GE41),DAY(GE41))</f>
        <v>46690</v>
      </c>
      <c r="GG41" s="8">
        <f t="shared" ca="1" si="75"/>
        <v>556</v>
      </c>
      <c r="GH41" s="5" t="str">
        <f t="shared" ca="1" si="76"/>
        <v>VIGENTE</v>
      </c>
      <c r="GI41" s="3"/>
      <c r="GJ41" s="4">
        <v>45945</v>
      </c>
      <c r="GK41" s="4">
        <f t="shared" si="222"/>
        <v>46675</v>
      </c>
      <c r="GL41" s="8">
        <f t="shared" ca="1" si="77"/>
        <v>541</v>
      </c>
      <c r="GM41" s="5" t="str">
        <f t="shared" ca="1" si="78"/>
        <v>VIGENTE</v>
      </c>
      <c r="GN41" s="4"/>
      <c r="GO41" s="4">
        <v>45224</v>
      </c>
      <c r="GP41" s="4">
        <f t="shared" si="79"/>
        <v>47051</v>
      </c>
      <c r="GQ41" s="8">
        <f t="shared" ca="1" si="181"/>
        <v>917</v>
      </c>
      <c r="GR41" s="5" t="str">
        <f t="shared" ca="1" si="81"/>
        <v>VIGENTE</v>
      </c>
      <c r="GS41" s="3"/>
      <c r="GT41" s="4">
        <v>45254</v>
      </c>
      <c r="GU41" s="4">
        <f t="shared" si="82"/>
        <v>47081</v>
      </c>
      <c r="GV41" s="8">
        <f t="shared" ca="1" si="83"/>
        <v>947</v>
      </c>
      <c r="GW41" s="5" t="str">
        <f t="shared" ca="1" si="84"/>
        <v>VIGENTE</v>
      </c>
      <c r="GX41" s="3"/>
      <c r="GY41" s="4">
        <v>45251</v>
      </c>
      <c r="GZ41" s="4">
        <f t="shared" si="85"/>
        <v>47078</v>
      </c>
      <c r="HA41" s="8">
        <f t="shared" ca="1" si="86"/>
        <v>944</v>
      </c>
      <c r="HB41" s="5" t="str">
        <f t="shared" ca="1" si="87"/>
        <v>VIGENTE</v>
      </c>
      <c r="HC41" s="6"/>
      <c r="HD41" s="4">
        <v>44876</v>
      </c>
      <c r="HE41" s="4">
        <f t="shared" si="214"/>
        <v>46702</v>
      </c>
      <c r="HF41" s="8">
        <f t="shared" ca="1" si="215"/>
        <v>568</v>
      </c>
      <c r="HG41" s="5" t="str">
        <f t="shared" ca="1" si="192"/>
        <v>VIGENTE</v>
      </c>
      <c r="HH41" s="3"/>
      <c r="HI41" s="4">
        <v>45414</v>
      </c>
      <c r="HJ41" s="4">
        <f>DATE(YEAR(HI41)+5,MONTH(HI41),DAY(HI41))</f>
        <v>47240</v>
      </c>
      <c r="HK41" s="8">
        <f ca="1">HJ41-TODAY()</f>
        <v>1106</v>
      </c>
      <c r="HL41" s="5" t="str">
        <f t="shared" ca="1" si="207"/>
        <v>VIGENTE</v>
      </c>
      <c r="HM41" s="2"/>
      <c r="HN41" s="5"/>
      <c r="HO41" s="5"/>
      <c r="HP41" s="5"/>
      <c r="HQ41" s="5" t="str">
        <f t="shared" si="92"/>
        <v>NO APLICA</v>
      </c>
      <c r="HR41" s="3"/>
      <c r="HS41" s="4">
        <v>45420</v>
      </c>
      <c r="HT41" s="4">
        <f>DATE(YEAR(HS41)+5,MONTH(HS41),DAY(HS41))</f>
        <v>47246</v>
      </c>
      <c r="HU41" s="8">
        <f ca="1">HT41-TODAY()</f>
        <v>1112</v>
      </c>
      <c r="HV41" s="5" t="str">
        <f t="shared" ca="1" si="93"/>
        <v>VIGENTE</v>
      </c>
      <c r="HW41" s="3"/>
      <c r="HX41" s="4">
        <v>45234</v>
      </c>
      <c r="HY41" s="4">
        <f>DATE(YEAR(HX41)+5,MONTH(HX41),DAY(HX41))</f>
        <v>47061</v>
      </c>
      <c r="HZ41" s="8">
        <f ca="1">HY41-TODAY()</f>
        <v>927</v>
      </c>
      <c r="IA41" s="5" t="str">
        <f t="shared" ca="1" si="94"/>
        <v>VIGENTE</v>
      </c>
      <c r="IB41" s="3"/>
      <c r="IC41" s="4">
        <v>45470</v>
      </c>
      <c r="ID41" s="4">
        <f>DATE(YEAR(IC41)+5,MONTH(IC41),DAY(IC41))</f>
        <v>47296</v>
      </c>
      <c r="IE41" s="8">
        <f ca="1">ID41-TODAY()</f>
        <v>1162</v>
      </c>
      <c r="IF41" s="5" t="str">
        <f t="shared" ca="1" si="95"/>
        <v>VIGENTE</v>
      </c>
      <c r="IG41" s="4"/>
      <c r="IH41" s="4">
        <v>45429</v>
      </c>
      <c r="II41" s="4">
        <f>DATE(YEAR(IH41)+5,MONTH(IH41),DAY(IH41))</f>
        <v>47255</v>
      </c>
      <c r="IJ41" s="8">
        <f ca="1">II41-TODAY()</f>
        <v>1121</v>
      </c>
      <c r="IK41" s="5" t="str">
        <f t="shared" ca="1" si="96"/>
        <v>VIGENTE</v>
      </c>
      <c r="IL41" s="3"/>
      <c r="IM41" s="4">
        <v>45433</v>
      </c>
      <c r="IN41" s="4">
        <f>DATE(YEAR(IM41)+5,MONTH(IM41),DAY(IM41))</f>
        <v>47259</v>
      </c>
      <c r="IO41" s="8">
        <f ca="1">IN41-TODAY()</f>
        <v>1125</v>
      </c>
      <c r="IP41" s="5" t="str">
        <f t="shared" ca="1" si="97"/>
        <v>VIGENTE</v>
      </c>
      <c r="IQ41" s="3"/>
      <c r="IR41" s="4">
        <v>45423</v>
      </c>
      <c r="IS41" s="4">
        <f>DATE(YEAR(IR41)+5,MONTH(IR41),DAY(IR41))</f>
        <v>47249</v>
      </c>
      <c r="IT41" s="8">
        <f ca="1">IS41-TODAY()</f>
        <v>1115</v>
      </c>
      <c r="IU41" s="5" t="str">
        <f t="shared" ca="1" si="98"/>
        <v>VIGENTE</v>
      </c>
      <c r="IV41" s="3"/>
      <c r="IW41" s="4">
        <v>45206</v>
      </c>
      <c r="IX41" s="4">
        <f>DATE(YEAR(IW41)+5,MONTH(IW41),DAY(IW41))</f>
        <v>47033</v>
      </c>
      <c r="IY41" s="8">
        <f ca="1">IX41-TODAY()</f>
        <v>899</v>
      </c>
      <c r="IZ41" s="5" t="str">
        <f t="shared" ca="1" si="99"/>
        <v>VIGENTE</v>
      </c>
      <c r="JA41" s="3"/>
      <c r="JB41" s="3"/>
      <c r="JC41" s="4"/>
      <c r="JD41" s="8"/>
      <c r="JE41" s="5" t="str">
        <f t="shared" si="100"/>
        <v>NO APLICA</v>
      </c>
      <c r="JF41" s="6"/>
      <c r="JG41" s="6"/>
      <c r="JH41" s="6"/>
      <c r="JI41" s="6"/>
      <c r="JJ41" s="5" t="str">
        <f t="shared" si="101"/>
        <v>NO APLICA</v>
      </c>
      <c r="JK41" s="6"/>
      <c r="JL41" s="6"/>
      <c r="JM41" s="6"/>
      <c r="JN41" s="6"/>
      <c r="JO41" s="5" t="str">
        <f t="shared" si="102"/>
        <v>NO APLICA</v>
      </c>
      <c r="JP41" s="6"/>
      <c r="JQ41" s="6"/>
      <c r="JR41" s="6"/>
      <c r="JS41" s="6"/>
      <c r="JT41" s="5" t="str">
        <f t="shared" si="103"/>
        <v>NO APLICA</v>
      </c>
      <c r="JU41" s="5"/>
      <c r="JV41" s="5"/>
      <c r="JW41" s="5"/>
      <c r="JX41" s="5"/>
      <c r="JY41" s="5" t="str">
        <f t="shared" si="104"/>
        <v>NO APLICA</v>
      </c>
      <c r="JZ41" s="5"/>
      <c r="KA41" s="5"/>
      <c r="KB41" s="4"/>
      <c r="KC41" s="8"/>
      <c r="KD41" s="5" t="str">
        <f t="shared" si="105"/>
        <v>NO APLICA</v>
      </c>
      <c r="KE41" s="5"/>
      <c r="KF41" s="5"/>
      <c r="KG41" s="4"/>
      <c r="KH41" s="8"/>
      <c r="KI41" s="5" t="str">
        <f t="shared" si="141"/>
        <v>NO APLICA</v>
      </c>
      <c r="KJ41" s="5"/>
      <c r="KK41" s="5"/>
      <c r="KL41" s="4"/>
      <c r="KM41" s="8"/>
      <c r="KN41" s="5" t="str">
        <f t="shared" si="106"/>
        <v>NO APLICA</v>
      </c>
      <c r="KO41" s="5"/>
      <c r="KP41" s="2"/>
      <c r="KQ41" s="4"/>
      <c r="KR41" s="8"/>
      <c r="KS41" s="5" t="str">
        <f t="shared" si="142"/>
        <v>NO APLICA</v>
      </c>
      <c r="KT41" s="4"/>
      <c r="KU41" s="4">
        <v>44649</v>
      </c>
      <c r="KV41" s="4">
        <f>DATE(YEAR(KU41)+5,MONTH(KU41),DAY(KU41))</f>
        <v>46475</v>
      </c>
      <c r="KW41" s="8">
        <f ca="1">KV41-TODAY()</f>
        <v>341</v>
      </c>
      <c r="KX41" s="5" t="str">
        <f t="shared" ca="1" si="156"/>
        <v>VIGENTE</v>
      </c>
      <c r="KY41" s="5"/>
      <c r="KZ41" s="6"/>
      <c r="LA41" s="4"/>
      <c r="LB41" s="8"/>
      <c r="LC41" s="5" t="str">
        <f t="shared" si="143"/>
        <v>NO APLICA</v>
      </c>
      <c r="LD41" s="4"/>
      <c r="LE41" s="4"/>
      <c r="LF41" s="4"/>
      <c r="LG41" s="8"/>
      <c r="LH41" s="5" t="str">
        <f t="shared" si="107"/>
        <v>NO APLICA</v>
      </c>
      <c r="LI41" s="5"/>
      <c r="LJ41" s="5"/>
      <c r="LK41" s="5"/>
      <c r="LL41" s="5"/>
      <c r="LM41" s="5" t="str">
        <f t="shared" si="157"/>
        <v>NO APLICA</v>
      </c>
      <c r="LN41" s="5"/>
      <c r="LO41" s="6"/>
      <c r="LP41" s="4"/>
      <c r="LQ41" s="8"/>
      <c r="LR41" s="5" t="str">
        <f t="shared" si="144"/>
        <v>NO APLICA</v>
      </c>
      <c r="LS41" s="4"/>
      <c r="LT41" s="4">
        <v>44986</v>
      </c>
      <c r="LU41" s="4">
        <f>DATE(YEAR(LT41)+5,MONTH(LT41),DAY(LT41))</f>
        <v>46813</v>
      </c>
      <c r="LV41" s="8">
        <f ca="1">LU41-TODAY()</f>
        <v>679</v>
      </c>
      <c r="LW41" s="5" t="str">
        <f t="shared" ca="1" si="145"/>
        <v>VIGENTE</v>
      </c>
      <c r="LX41" s="4"/>
      <c r="LY41" s="4">
        <v>44988</v>
      </c>
      <c r="LZ41" s="4">
        <f>DATE(YEAR(LY41)+5,MONTH(LY41),DAY(LY41))</f>
        <v>46815</v>
      </c>
      <c r="MA41" s="8">
        <f ca="1">LZ41-TODAY()</f>
        <v>681</v>
      </c>
      <c r="MB41" s="5" t="str">
        <f t="shared" ca="1" si="146"/>
        <v>VIGENTE</v>
      </c>
      <c r="MC41" s="5"/>
      <c r="MD41" s="5"/>
      <c r="ME41" s="4"/>
      <c r="MF41" s="8"/>
      <c r="MG41" s="5" t="str">
        <f t="shared" si="108"/>
        <v>NO APLICA</v>
      </c>
      <c r="MH41" s="5"/>
      <c r="MI41" s="5"/>
      <c r="MJ41" s="4"/>
      <c r="MK41" s="8"/>
      <c r="ML41" s="5" t="str">
        <f t="shared" si="109"/>
        <v>NO APLICA</v>
      </c>
      <c r="MM41" s="5"/>
      <c r="MN41" s="5"/>
      <c r="MO41" s="4"/>
      <c r="MP41" s="8"/>
      <c r="MQ41" s="5" t="str">
        <f t="shared" si="110"/>
        <v>NO APLICA</v>
      </c>
      <c r="MR41" s="5"/>
      <c r="MS41" s="5"/>
      <c r="MT41" s="4"/>
      <c r="MU41" s="5"/>
      <c r="MV41" s="5" t="str">
        <f t="shared" si="111"/>
        <v>NO APLICA</v>
      </c>
      <c r="MW41" s="5"/>
      <c r="MX41" s="6"/>
      <c r="MY41" s="4"/>
      <c r="MZ41" s="8"/>
      <c r="NA41" s="5" t="str">
        <f t="shared" si="112"/>
        <v>NO APLICA</v>
      </c>
      <c r="NB41" s="5"/>
      <c r="NC41" s="6"/>
      <c r="ND41" s="4"/>
      <c r="NE41" s="8"/>
      <c r="NF41" s="5" t="str">
        <f t="shared" si="113"/>
        <v>NO APLICA</v>
      </c>
      <c r="NG41" s="5"/>
      <c r="NH41" s="6"/>
      <c r="NI41" s="4"/>
      <c r="NJ41" s="8"/>
      <c r="NK41" s="5" t="str">
        <f t="shared" si="114"/>
        <v>NO APLICA</v>
      </c>
      <c r="NL41" s="5"/>
      <c r="NM41" s="5"/>
      <c r="NN41" s="5"/>
      <c r="NO41" s="5"/>
      <c r="NP41" s="5" t="str">
        <f t="shared" si="115"/>
        <v>NO APLICA</v>
      </c>
      <c r="NQ41" s="5"/>
      <c r="NR41" s="5"/>
      <c r="NS41" s="5"/>
      <c r="NT41" s="5"/>
      <c r="NU41" s="5" t="str">
        <f t="shared" si="116"/>
        <v>NO APLICA</v>
      </c>
      <c r="NV41" s="6"/>
      <c r="NW41" s="6"/>
      <c r="NX41" s="6"/>
      <c r="NY41" s="6"/>
      <c r="NZ41" s="5" t="str">
        <f t="shared" si="117"/>
        <v>NO APLICA</v>
      </c>
      <c r="OA41" s="6"/>
      <c r="OB41" s="6"/>
      <c r="OC41" s="6"/>
      <c r="OD41" s="6"/>
      <c r="OE41" s="5" t="str">
        <f t="shared" si="118"/>
        <v>NO APLICA</v>
      </c>
      <c r="OF41" s="6"/>
      <c r="OG41" s="6"/>
      <c r="OH41" s="4"/>
      <c r="OI41" s="8"/>
      <c r="OJ41" s="5" t="str">
        <f t="shared" si="119"/>
        <v>NO APLICA</v>
      </c>
      <c r="OK41" s="6"/>
      <c r="OL41" s="6"/>
      <c r="OM41" s="6"/>
      <c r="ON41" s="6"/>
      <c r="OO41" s="5" t="str">
        <f t="shared" si="120"/>
        <v>NO APLICA</v>
      </c>
      <c r="OP41" s="6"/>
      <c r="OQ41" s="6"/>
      <c r="OR41" s="6"/>
      <c r="OS41" s="6"/>
      <c r="OT41" s="5" t="str">
        <f t="shared" si="121"/>
        <v>NO APLICA</v>
      </c>
      <c r="OU41" s="6"/>
      <c r="OV41" s="6"/>
      <c r="OW41" s="6"/>
      <c r="OX41" s="6"/>
      <c r="OY41" s="5" t="str">
        <f t="shared" si="122"/>
        <v>NO APLICA</v>
      </c>
      <c r="OZ41" s="6"/>
      <c r="PA41" s="6"/>
      <c r="PB41" s="6"/>
      <c r="PC41" s="6"/>
      <c r="PD41" s="5" t="str">
        <f t="shared" si="123"/>
        <v>NO APLICA</v>
      </c>
      <c r="PE41" s="6"/>
      <c r="PF41" s="6"/>
      <c r="PG41" s="6"/>
      <c r="PH41" s="6"/>
      <c r="PI41" s="5" t="str">
        <f t="shared" si="124"/>
        <v>NO APLICA</v>
      </c>
      <c r="PJ41" s="5"/>
      <c r="PK41" s="6"/>
      <c r="PL41" s="4"/>
      <c r="PM41" s="8"/>
      <c r="PN41" s="5" t="str">
        <f t="shared" si="125"/>
        <v>NO APLICA</v>
      </c>
      <c r="PO41" s="6"/>
      <c r="PP41" s="6"/>
      <c r="PQ41" s="6"/>
      <c r="PR41" s="6"/>
      <c r="PS41" s="5" t="str">
        <f t="shared" si="126"/>
        <v>NO APLICA</v>
      </c>
      <c r="PT41" s="5"/>
      <c r="PU41" s="6"/>
      <c r="PV41" s="6"/>
      <c r="PW41" s="6"/>
      <c r="PX41" s="5" t="str">
        <f t="shared" si="127"/>
        <v>NO APLICA</v>
      </c>
    </row>
    <row r="42" spans="1:440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196</v>
      </c>
      <c r="V42" s="4">
        <v>45309</v>
      </c>
      <c r="W42" s="4">
        <f t="shared" si="2"/>
        <v>47136</v>
      </c>
      <c r="X42" s="8">
        <f t="shared" ca="1" si="3"/>
        <v>1002</v>
      </c>
      <c r="Y42" s="5" t="str">
        <f t="shared" ca="1" si="4"/>
        <v>VIGENTE</v>
      </c>
      <c r="Z42" s="2" t="s">
        <v>197</v>
      </c>
      <c r="AA42" s="4">
        <v>44824</v>
      </c>
      <c r="AB42" s="4">
        <f t="shared" si="212"/>
        <v>46650</v>
      </c>
      <c r="AC42" s="8">
        <f t="shared" ca="1" si="213"/>
        <v>516</v>
      </c>
      <c r="AD42" s="5" t="str">
        <f t="shared" ca="1" si="7"/>
        <v>VIGENTE</v>
      </c>
      <c r="AE42" s="3"/>
      <c r="AF42" s="3">
        <v>45594</v>
      </c>
      <c r="AG42" s="4">
        <f>DATE(YEAR(AF42)+2,MONTH(AF42),DAY(AF42)-1)</f>
        <v>46323</v>
      </c>
      <c r="AH42" s="8">
        <f t="shared" ca="1" si="8"/>
        <v>189</v>
      </c>
      <c r="AI42" s="5" t="str">
        <f t="shared" ca="1" si="9"/>
        <v>VIGENTE</v>
      </c>
      <c r="AJ42" s="3"/>
      <c r="AK42" s="4">
        <v>45959</v>
      </c>
      <c r="AL42" s="4">
        <f t="shared" si="218"/>
        <v>46689</v>
      </c>
      <c r="AM42" s="8">
        <f t="shared" ca="1" si="10"/>
        <v>555</v>
      </c>
      <c r="AN42" s="5" t="str">
        <f t="shared" ca="1" si="11"/>
        <v>VIGENTE</v>
      </c>
      <c r="AO42" s="3"/>
      <c r="AP42" s="4">
        <v>45971</v>
      </c>
      <c r="AQ42" s="4">
        <f>DATE(YEAR(AP42)+2,MONTH(AP42),DAY(AP42))</f>
        <v>46701</v>
      </c>
      <c r="AR42" s="8">
        <f t="shared" ca="1" si="12"/>
        <v>567</v>
      </c>
      <c r="AS42" s="5" t="str">
        <f t="shared" ca="1" si="13"/>
        <v>VIGENTE</v>
      </c>
      <c r="AT42" s="3"/>
      <c r="AU42" s="4">
        <v>45952</v>
      </c>
      <c r="AV42" s="4">
        <f>DATE(YEAR(AU42)+2,MONTH(AU42),DAY(AU42))</f>
        <v>46682</v>
      </c>
      <c r="AW42" s="8">
        <f t="shared" ca="1" si="15"/>
        <v>548</v>
      </c>
      <c r="AX42" s="5" t="str">
        <f t="shared" ca="1" si="16"/>
        <v>VIGENTE</v>
      </c>
      <c r="AY42" s="3"/>
      <c r="AZ42" s="4">
        <v>45717</v>
      </c>
      <c r="BA42" s="4">
        <f>DATE(YEAR(AZ42)+2,MONTH(AZ42),DAY(AZ42)-1)</f>
        <v>46446</v>
      </c>
      <c r="BB42" s="8">
        <f t="shared" ca="1" si="17"/>
        <v>312</v>
      </c>
      <c r="BC42" s="5" t="str">
        <f t="shared" ca="1" si="18"/>
        <v>VIGENTE</v>
      </c>
      <c r="BD42" s="3"/>
      <c r="BE42" s="4">
        <v>45968</v>
      </c>
      <c r="BF42" s="4">
        <f>DATE(YEAR(BE42)+2,MONTH(BE42),DAY(BE42))</f>
        <v>46698</v>
      </c>
      <c r="BG42" s="8">
        <f t="shared" ca="1" si="19"/>
        <v>564</v>
      </c>
      <c r="BH42" s="5" t="str">
        <f t="shared" ca="1" si="20"/>
        <v>VIGENTE</v>
      </c>
      <c r="BI42" s="3"/>
      <c r="BJ42" s="4">
        <v>46056</v>
      </c>
      <c r="BK42" s="4">
        <f>DATE(YEAR(BJ42)+2,MONTH(BJ42),DAY(BJ42))</f>
        <v>46786</v>
      </c>
      <c r="BL42" s="8">
        <f t="shared" ca="1" si="21"/>
        <v>652</v>
      </c>
      <c r="BM42" s="5" t="str">
        <f t="shared" ca="1" si="22"/>
        <v>VIGENTE</v>
      </c>
      <c r="BN42" s="3"/>
      <c r="BO42" s="4">
        <v>46069</v>
      </c>
      <c r="BP42" s="4">
        <f>DATE(YEAR(BO42)+2,MONTH(BO42),DAY(BO42))</f>
        <v>46799</v>
      </c>
      <c r="BQ42" s="8">
        <f t="shared" ca="1" si="23"/>
        <v>665</v>
      </c>
      <c r="BR42" s="5" t="str">
        <f t="shared" ca="1" si="24"/>
        <v>VIGENTE</v>
      </c>
      <c r="BS42" s="4"/>
      <c r="BT42" s="4">
        <v>45736</v>
      </c>
      <c r="BU42" s="4">
        <f t="shared" si="216"/>
        <v>46465</v>
      </c>
      <c r="BV42" s="8">
        <f t="shared" ca="1" si="25"/>
        <v>331</v>
      </c>
      <c r="BW42" s="5" t="str">
        <f t="shared" ca="1" si="26"/>
        <v>VIGENTE</v>
      </c>
      <c r="BX42" s="3"/>
      <c r="BY42" s="4">
        <v>45944</v>
      </c>
      <c r="BZ42" s="4">
        <f>DATE(YEAR(BY42)+2,MONTH(BY42),DAY(BY42))</f>
        <v>46674</v>
      </c>
      <c r="CA42" s="8">
        <f t="shared" ca="1" si="27"/>
        <v>540</v>
      </c>
      <c r="CB42" s="5" t="str">
        <f t="shared" ca="1" si="28"/>
        <v>VIGENTE</v>
      </c>
      <c r="CC42" s="6" t="s">
        <v>73</v>
      </c>
      <c r="CD42" s="4">
        <v>45262</v>
      </c>
      <c r="CE42" s="4">
        <f t="shared" si="29"/>
        <v>46723</v>
      </c>
      <c r="CF42" s="8">
        <f t="shared" ca="1" si="30"/>
        <v>589</v>
      </c>
      <c r="CG42" s="5" t="str">
        <f t="shared" ca="1" si="31"/>
        <v>VIGENTE</v>
      </c>
      <c r="CH42" s="4"/>
      <c r="CI42" s="4">
        <v>45723</v>
      </c>
      <c r="CJ42" s="4">
        <f>DATE(YEAR(CI42)+2,MONTH(CI42),DAY(CI42)-1)</f>
        <v>46452</v>
      </c>
      <c r="CK42" s="8">
        <f t="shared" ca="1" si="32"/>
        <v>318</v>
      </c>
      <c r="CL42" s="5" t="str">
        <f t="shared" ca="1" si="33"/>
        <v>VIGENTE</v>
      </c>
      <c r="CM42" s="4"/>
      <c r="CN42" s="4">
        <v>45684</v>
      </c>
      <c r="CO42" s="4">
        <f t="shared" si="217"/>
        <v>46413</v>
      </c>
      <c r="CP42" s="8">
        <f t="shared" ca="1" si="34"/>
        <v>279</v>
      </c>
      <c r="CQ42" s="5" t="str">
        <f t="shared" ca="1" si="35"/>
        <v>VIGENTE</v>
      </c>
      <c r="CR42" s="3"/>
      <c r="CS42" s="4">
        <v>45631</v>
      </c>
      <c r="CT42" s="4">
        <f>DATE(YEAR(CS42)+2,MONTH(CS42),DAY(CS42)-1)</f>
        <v>46360</v>
      </c>
      <c r="CU42" s="8">
        <f t="shared" ca="1" si="36"/>
        <v>226</v>
      </c>
      <c r="CV42" s="5" t="str">
        <f t="shared" ca="1" si="37"/>
        <v>VIGENTE</v>
      </c>
      <c r="CW42" s="3"/>
      <c r="CX42" s="4">
        <v>45665</v>
      </c>
      <c r="CY42" s="4">
        <f>DATE(YEAR(CX42)+2,MONTH(CX42),DAY(CX42)-1)</f>
        <v>46394</v>
      </c>
      <c r="CZ42" s="8">
        <f t="shared" ca="1" si="38"/>
        <v>260</v>
      </c>
      <c r="DA42" s="5" t="str">
        <f t="shared" ca="1" si="39"/>
        <v>VIGENTE</v>
      </c>
      <c r="DB42" s="3"/>
      <c r="DC42" s="4">
        <v>45689</v>
      </c>
      <c r="DD42" s="4">
        <f>DATE(YEAR(DC42)+2,MONTH(DC42),DAY(DC42)-1)</f>
        <v>46418</v>
      </c>
      <c r="DE42" s="8">
        <f t="shared" ca="1" si="40"/>
        <v>284</v>
      </c>
      <c r="DF42" s="5" t="str">
        <f t="shared" ca="1" si="41"/>
        <v>VIGENTE</v>
      </c>
      <c r="DG42" s="4"/>
      <c r="DH42" s="4">
        <v>45696</v>
      </c>
      <c r="DI42" s="4">
        <f>DATE(YEAR(DH42)+2,MONTH(DH42),DAY(DH42)-1)</f>
        <v>46425</v>
      </c>
      <c r="DJ42" s="8">
        <f t="shared" ca="1" si="43"/>
        <v>291</v>
      </c>
      <c r="DK42" s="5" t="str">
        <f t="shared" ca="1" si="44"/>
        <v>VIGENTE</v>
      </c>
      <c r="DL42" s="3"/>
      <c r="DM42" s="4">
        <v>45982</v>
      </c>
      <c r="DN42" s="4">
        <f t="shared" si="223"/>
        <v>46712</v>
      </c>
      <c r="DO42" s="8">
        <f t="shared" ca="1" si="46"/>
        <v>578</v>
      </c>
      <c r="DP42" s="5" t="str">
        <f t="shared" ca="1" si="47"/>
        <v>VIGENTE</v>
      </c>
      <c r="DQ42" s="3"/>
      <c r="DR42" s="4">
        <v>45743</v>
      </c>
      <c r="DS42" s="4">
        <f>DATE(YEAR(DR42)+2,MONTH(DR42),DAY(DR42)-1)</f>
        <v>46472</v>
      </c>
      <c r="DT42" s="8">
        <f t="shared" ca="1" si="48"/>
        <v>338</v>
      </c>
      <c r="DU42" s="5" t="str">
        <f t="shared" ca="1" si="49"/>
        <v>VIGENTE</v>
      </c>
      <c r="DV42" s="4"/>
      <c r="DW42" s="4">
        <v>45682</v>
      </c>
      <c r="DX42" s="4">
        <f>DATE(YEAR(DW42)+2,MONTH(DW42),DAY(DW42)-1)</f>
        <v>46411</v>
      </c>
      <c r="DY42" s="8">
        <f t="shared" ca="1" si="50"/>
        <v>277</v>
      </c>
      <c r="DZ42" s="5" t="str">
        <f t="shared" ca="1" si="51"/>
        <v>VIGENTE</v>
      </c>
      <c r="EA42" s="4"/>
      <c r="EB42" s="4">
        <v>45674</v>
      </c>
      <c r="EC42" s="4">
        <f>DATE(YEAR(EB42)+2,MONTH(EB42),DAY(EB42)-1)</f>
        <v>46403</v>
      </c>
      <c r="ED42" s="8">
        <f t="shared" ca="1" si="52"/>
        <v>269</v>
      </c>
      <c r="EE42" s="5" t="str">
        <f t="shared" ca="1" si="53"/>
        <v>VIGENTE</v>
      </c>
      <c r="EF42" s="3"/>
      <c r="EG42" s="3">
        <v>46085</v>
      </c>
      <c r="EH42" s="4">
        <f t="shared" si="137"/>
        <v>46450</v>
      </c>
      <c r="EI42" s="8">
        <f t="shared" ca="1" si="54"/>
        <v>316</v>
      </c>
      <c r="EJ42" s="5" t="str">
        <f t="shared" ca="1" si="55"/>
        <v>VIGENTE</v>
      </c>
      <c r="EK42" s="3"/>
      <c r="EL42" s="4">
        <v>45737</v>
      </c>
      <c r="EM42" s="4">
        <f>DATE(YEAR(EL42)+2,MONTH(EL42),DAY(EL42)-1)</f>
        <v>46466</v>
      </c>
      <c r="EN42" s="8">
        <f t="shared" ca="1" si="56"/>
        <v>332</v>
      </c>
      <c r="EO42" s="5" t="str">
        <f t="shared" ca="1" si="57"/>
        <v>VIGENTE</v>
      </c>
      <c r="EP42" s="4"/>
      <c r="EQ42" s="4">
        <v>45735</v>
      </c>
      <c r="ER42" s="4">
        <f>DATE(YEAR(EQ42)+2,MONTH(EQ42),DAY(EQ42)-1)</f>
        <v>46464</v>
      </c>
      <c r="ES42" s="8">
        <f t="shared" ca="1" si="58"/>
        <v>330</v>
      </c>
      <c r="ET42" s="5" t="str">
        <f t="shared" ca="1" si="59"/>
        <v>VIGENTE</v>
      </c>
      <c r="EU42" s="3"/>
      <c r="EV42" s="4">
        <v>45973</v>
      </c>
      <c r="EW42" s="4">
        <f t="shared" si="219"/>
        <v>46703</v>
      </c>
      <c r="EX42" s="8">
        <f t="shared" ca="1" si="60"/>
        <v>569</v>
      </c>
      <c r="EY42" s="5" t="str">
        <f t="shared" ca="1" si="61"/>
        <v>VIGENTE</v>
      </c>
      <c r="EZ42" s="3"/>
      <c r="FA42" s="4">
        <v>45951</v>
      </c>
      <c r="FB42" s="4">
        <f t="shared" si="220"/>
        <v>46681</v>
      </c>
      <c r="FC42" s="8">
        <f t="shared" ca="1" si="62"/>
        <v>547</v>
      </c>
      <c r="FD42" s="5" t="str">
        <f t="shared" ca="1" si="63"/>
        <v>VIGENTE</v>
      </c>
      <c r="FE42" s="3"/>
      <c r="FF42" s="4">
        <v>45932</v>
      </c>
      <c r="FG42" s="4">
        <f t="shared" si="221"/>
        <v>46662</v>
      </c>
      <c r="FH42" s="8">
        <f t="shared" ca="1" si="64"/>
        <v>528</v>
      </c>
      <c r="FI42" s="5" t="str">
        <f t="shared" ca="1" si="65"/>
        <v>VIGENTE</v>
      </c>
      <c r="FJ42" s="4"/>
      <c r="FK42" s="4">
        <v>45738</v>
      </c>
      <c r="FL42" s="4">
        <f>DATE(YEAR(FK42)+2,MONTH(FK42),DAY(FK42)-1)</f>
        <v>46467</v>
      </c>
      <c r="FM42" s="8">
        <f t="shared" ca="1" si="67"/>
        <v>333</v>
      </c>
      <c r="FN42" s="5" t="str">
        <f t="shared" ca="1" si="68"/>
        <v>VIGENTE</v>
      </c>
      <c r="FO42" s="4"/>
      <c r="FP42" s="4">
        <v>45724</v>
      </c>
      <c r="FQ42" s="4">
        <f>DATE(YEAR(FP42)+2,MONTH(FP42),DAY(FP42)-1)</f>
        <v>46453</v>
      </c>
      <c r="FR42" s="8">
        <f t="shared" ca="1" si="69"/>
        <v>319</v>
      </c>
      <c r="FS42" s="5" t="str">
        <f t="shared" ca="1" si="70"/>
        <v>VIGENTE</v>
      </c>
      <c r="FT42" s="3"/>
      <c r="FU42" s="4">
        <v>45536</v>
      </c>
      <c r="FV42" s="4">
        <f>DATE(YEAR(FU42)+2,MONTH(FU42),DAY(FU42)-1)</f>
        <v>46265</v>
      </c>
      <c r="FW42" s="8">
        <f t="shared" ca="1" si="71"/>
        <v>131</v>
      </c>
      <c r="FX42" s="5" t="str">
        <f t="shared" ca="1" si="72"/>
        <v>VIGENTE</v>
      </c>
      <c r="FY42" s="4"/>
      <c r="FZ42" s="4">
        <v>45667</v>
      </c>
      <c r="GA42" s="4">
        <f>DATE(YEAR(FZ42)+2,MONTH(FZ42),DAY(FZ42)-1)</f>
        <v>46396</v>
      </c>
      <c r="GB42" s="8">
        <f t="shared" ca="1" si="73"/>
        <v>262</v>
      </c>
      <c r="GC42" s="5" t="str">
        <f t="shared" ca="1" si="74"/>
        <v>VIGENTE</v>
      </c>
      <c r="GD42" s="4"/>
      <c r="GE42" s="4">
        <v>45672</v>
      </c>
      <c r="GF42" s="4">
        <f>DATE(YEAR(GE42)+2,MONTH(GE42),DAY(GE42)-1)</f>
        <v>46401</v>
      </c>
      <c r="GG42" s="8">
        <f t="shared" ca="1" si="75"/>
        <v>267</v>
      </c>
      <c r="GH42" s="5" t="str">
        <f t="shared" ca="1" si="76"/>
        <v>VIGENTE</v>
      </c>
      <c r="GI42" s="3"/>
      <c r="GJ42" s="4">
        <v>45945</v>
      </c>
      <c r="GK42" s="4">
        <f t="shared" si="222"/>
        <v>46675</v>
      </c>
      <c r="GL42" s="8">
        <f t="shared" ca="1" si="77"/>
        <v>541</v>
      </c>
      <c r="GM42" s="5" t="str">
        <f t="shared" ca="1" si="78"/>
        <v>VIGENTE</v>
      </c>
      <c r="GN42" s="4"/>
      <c r="GO42" s="4">
        <v>45244</v>
      </c>
      <c r="GP42" s="4">
        <f t="shared" si="79"/>
        <v>47071</v>
      </c>
      <c r="GQ42" s="8">
        <f t="shared" ca="1" si="181"/>
        <v>937</v>
      </c>
      <c r="GR42" s="5" t="str">
        <f t="shared" ca="1" si="81"/>
        <v>VIGENTE</v>
      </c>
      <c r="GS42" s="3"/>
      <c r="GT42" s="4">
        <v>45245</v>
      </c>
      <c r="GU42" s="4">
        <f t="shared" si="82"/>
        <v>47072</v>
      </c>
      <c r="GV42" s="8">
        <f t="shared" ca="1" si="83"/>
        <v>938</v>
      </c>
      <c r="GW42" s="5" t="str">
        <f t="shared" ca="1" si="84"/>
        <v>VIGENTE</v>
      </c>
      <c r="GX42" s="3"/>
      <c r="GY42" s="4">
        <v>45251</v>
      </c>
      <c r="GZ42" s="4">
        <f t="shared" si="85"/>
        <v>47078</v>
      </c>
      <c r="HA42" s="8">
        <f t="shared" ca="1" si="86"/>
        <v>944</v>
      </c>
      <c r="HB42" s="5" t="str">
        <f t="shared" ca="1" si="87"/>
        <v>VIGENTE</v>
      </c>
      <c r="HC42" s="6"/>
      <c r="HD42" s="4">
        <v>44862</v>
      </c>
      <c r="HE42" s="4">
        <f t="shared" si="214"/>
        <v>46688</v>
      </c>
      <c r="HF42" s="8">
        <f t="shared" ca="1" si="215"/>
        <v>554</v>
      </c>
      <c r="HG42" s="5" t="str">
        <f t="shared" ca="1" si="192"/>
        <v>VIGENTE</v>
      </c>
      <c r="HH42" s="3"/>
      <c r="HI42" s="4">
        <v>45331</v>
      </c>
      <c r="HJ42" s="4">
        <f>DATE(YEAR(HI42)+5,MONTH(HI42),DAY(HI42))</f>
        <v>47158</v>
      </c>
      <c r="HK42" s="8">
        <f ca="1">HJ42-TODAY()</f>
        <v>1024</v>
      </c>
      <c r="HL42" s="5" t="str">
        <f t="shared" ca="1" si="207"/>
        <v>VIGENTE</v>
      </c>
      <c r="HM42" s="2"/>
      <c r="HN42" s="3">
        <v>45374</v>
      </c>
      <c r="HO42" s="4">
        <f>DATE(YEAR(HN42)+5,MONTH(HN42),DAY(HN42))</f>
        <v>47200</v>
      </c>
      <c r="HP42" s="8">
        <f ca="1">HO42-TODAY()</f>
        <v>1066</v>
      </c>
      <c r="HQ42" s="5" t="str">
        <f t="shared" ca="1" si="92"/>
        <v>VIGENTE</v>
      </c>
      <c r="HR42" s="3"/>
      <c r="HS42" s="4">
        <v>45243</v>
      </c>
      <c r="HT42" s="4">
        <f>DATE(YEAR(HS42)+5,MONTH(HS42),DAY(HS42))</f>
        <v>47070</v>
      </c>
      <c r="HU42" s="8">
        <f ca="1">HT42-TODAY()</f>
        <v>936</v>
      </c>
      <c r="HV42" s="5" t="str">
        <f t="shared" ca="1" si="93"/>
        <v>VIGENTE</v>
      </c>
      <c r="HW42" s="3"/>
      <c r="HX42" s="4">
        <v>45475</v>
      </c>
      <c r="HY42" s="4">
        <f>DATE(YEAR(HX42)+5,MONTH(HX42),DAY(HX42))</f>
        <v>47301</v>
      </c>
      <c r="HZ42" s="8">
        <f ca="1">HY42-TODAY()</f>
        <v>1167</v>
      </c>
      <c r="IA42" s="5" t="str">
        <f t="shared" ca="1" si="94"/>
        <v>VIGENTE</v>
      </c>
      <c r="IB42" s="3"/>
      <c r="IC42" s="4">
        <v>45444</v>
      </c>
      <c r="ID42" s="4">
        <f>DATE(YEAR(IC42)+5,MONTH(IC42),DAY(IC42))</f>
        <v>47270</v>
      </c>
      <c r="IE42" s="8">
        <f ca="1">ID42-TODAY()</f>
        <v>1136</v>
      </c>
      <c r="IF42" s="5" t="str">
        <f t="shared" ca="1" si="95"/>
        <v>VIGENTE</v>
      </c>
      <c r="IG42" s="4"/>
      <c r="IH42" s="4">
        <v>45449</v>
      </c>
      <c r="II42" s="4">
        <f>DATE(YEAR(IH42)+5,MONTH(IH42),DAY(IH42))</f>
        <v>47275</v>
      </c>
      <c r="IJ42" s="8">
        <f ca="1">II42-TODAY()</f>
        <v>1141</v>
      </c>
      <c r="IK42" s="5" t="str">
        <f t="shared" ca="1" si="96"/>
        <v>VIGENTE</v>
      </c>
      <c r="IL42" s="3"/>
      <c r="IM42" s="4">
        <v>45433</v>
      </c>
      <c r="IN42" s="4">
        <f>DATE(YEAR(IM42)+5,MONTH(IM42),DAY(IM42))</f>
        <v>47259</v>
      </c>
      <c r="IO42" s="8">
        <f ca="1">IN42-TODAY()</f>
        <v>1125</v>
      </c>
      <c r="IP42" s="5" t="str">
        <f t="shared" ca="1" si="97"/>
        <v>VIGENTE</v>
      </c>
      <c r="IQ42" s="3"/>
      <c r="IR42" s="4">
        <v>45423</v>
      </c>
      <c r="IS42" s="4">
        <f>DATE(YEAR(IR42)+5,MONTH(IR42),DAY(IR42))</f>
        <v>47249</v>
      </c>
      <c r="IT42" s="8">
        <f ca="1">IS42-TODAY()</f>
        <v>1115</v>
      </c>
      <c r="IU42" s="5" t="str">
        <f t="shared" ca="1" si="98"/>
        <v>VIGENTE</v>
      </c>
      <c r="IV42" s="3"/>
      <c r="IW42" s="4">
        <v>45419</v>
      </c>
      <c r="IX42" s="4">
        <f>DATE(YEAR(IW42)+5,MONTH(IW42),DAY(IW42))</f>
        <v>47245</v>
      </c>
      <c r="IY42" s="8">
        <f ca="1">IX42-TODAY()</f>
        <v>1111</v>
      </c>
      <c r="IZ42" s="5" t="str">
        <f t="shared" ca="1" si="99"/>
        <v>VIGENTE</v>
      </c>
      <c r="JA42" s="3"/>
      <c r="JB42" s="3"/>
      <c r="JC42" s="4"/>
      <c r="JD42" s="8"/>
      <c r="JE42" s="5" t="str">
        <f t="shared" si="100"/>
        <v>NO APLICA</v>
      </c>
      <c r="JF42" s="6"/>
      <c r="JG42" s="6"/>
      <c r="JH42" s="6"/>
      <c r="JI42" s="6"/>
      <c r="JJ42" s="5" t="str">
        <f t="shared" si="101"/>
        <v>NO APLICA</v>
      </c>
      <c r="JK42" s="6"/>
      <c r="JL42" s="6"/>
      <c r="JM42" s="6"/>
      <c r="JN42" s="6"/>
      <c r="JO42" s="5" t="str">
        <f t="shared" si="102"/>
        <v>NO APLICA</v>
      </c>
      <c r="JP42" s="6"/>
      <c r="JQ42" s="6"/>
      <c r="JR42" s="6"/>
      <c r="JS42" s="6"/>
      <c r="JT42" s="5" t="str">
        <f t="shared" si="103"/>
        <v>NO APLICA</v>
      </c>
      <c r="JU42" s="5"/>
      <c r="JV42" s="5"/>
      <c r="JW42" s="5"/>
      <c r="JX42" s="5"/>
      <c r="JY42" s="5" t="str">
        <f t="shared" si="104"/>
        <v>NO APLICA</v>
      </c>
      <c r="JZ42" s="5"/>
      <c r="KA42" s="2"/>
      <c r="KB42" s="4"/>
      <c r="KC42" s="8"/>
      <c r="KD42" s="5" t="str">
        <f t="shared" si="105"/>
        <v>NO APLICA</v>
      </c>
      <c r="KE42" s="5"/>
      <c r="KF42" s="2"/>
      <c r="KG42" s="4"/>
      <c r="KH42" s="8"/>
      <c r="KI42" s="5" t="str">
        <f t="shared" si="141"/>
        <v>NO APLICA</v>
      </c>
      <c r="KJ42" s="5"/>
      <c r="KK42" s="2"/>
      <c r="KL42" s="4"/>
      <c r="KM42" s="8"/>
      <c r="KN42" s="5" t="str">
        <f t="shared" si="106"/>
        <v>NO APLICA</v>
      </c>
      <c r="KO42" s="5"/>
      <c r="KP42" s="2"/>
      <c r="KQ42" s="4"/>
      <c r="KR42" s="8"/>
      <c r="KS42" s="5" t="str">
        <f t="shared" si="142"/>
        <v>NO APLICA</v>
      </c>
      <c r="KT42" s="2"/>
      <c r="KU42" s="6"/>
      <c r="KV42" s="4"/>
      <c r="KW42" s="8"/>
      <c r="KX42" s="5" t="str">
        <f t="shared" si="156"/>
        <v>NO APLICA</v>
      </c>
      <c r="KY42" s="5"/>
      <c r="KZ42" s="4">
        <v>44603</v>
      </c>
      <c r="LA42" s="4">
        <f>DATE(YEAR(KZ42)+5,MONTH(KZ42),DAY(KZ42))</f>
        <v>46429</v>
      </c>
      <c r="LB42" s="8">
        <f ca="1">LA42-TODAY()</f>
        <v>295</v>
      </c>
      <c r="LC42" s="5" t="str">
        <f t="shared" ca="1" si="143"/>
        <v>VIGENTE</v>
      </c>
      <c r="LD42" s="6"/>
      <c r="LE42" s="4"/>
      <c r="LF42" s="4"/>
      <c r="LG42" s="8"/>
      <c r="LH42" s="5" t="str">
        <f t="shared" si="107"/>
        <v>NO APLICA</v>
      </c>
      <c r="LI42" s="5"/>
      <c r="LJ42" s="5"/>
      <c r="LK42" s="5"/>
      <c r="LL42" s="5"/>
      <c r="LM42" s="5" t="str">
        <f t="shared" si="157"/>
        <v>NO APLICA</v>
      </c>
      <c r="LN42" s="2"/>
      <c r="LO42" s="6"/>
      <c r="LP42" s="4"/>
      <c r="LQ42" s="8"/>
      <c r="LR42" s="5" t="str">
        <f t="shared" si="144"/>
        <v>NO APLICA</v>
      </c>
      <c r="LS42" s="6"/>
      <c r="LT42" s="6"/>
      <c r="LU42" s="4"/>
      <c r="LV42" s="8"/>
      <c r="LW42" s="5" t="str">
        <f t="shared" si="145"/>
        <v>NO APLICA</v>
      </c>
      <c r="LX42" s="6"/>
      <c r="LY42" s="6"/>
      <c r="LZ42" s="4"/>
      <c r="MA42" s="8"/>
      <c r="MB42" s="5" t="str">
        <f t="shared" si="146"/>
        <v>NO APLICA</v>
      </c>
      <c r="MC42" s="2"/>
      <c r="MD42" s="2"/>
      <c r="ME42" s="4"/>
      <c r="MF42" s="8"/>
      <c r="MG42" s="5" t="str">
        <f t="shared" si="108"/>
        <v>NO APLICA</v>
      </c>
      <c r="MH42" s="2"/>
      <c r="MI42" s="2"/>
      <c r="MJ42" s="4"/>
      <c r="MK42" s="8"/>
      <c r="ML42" s="5" t="str">
        <f t="shared" si="109"/>
        <v>NO APLICA</v>
      </c>
      <c r="MM42" s="5"/>
      <c r="MN42" s="2"/>
      <c r="MO42" s="4"/>
      <c r="MP42" s="8"/>
      <c r="MQ42" s="5" t="str">
        <f t="shared" si="110"/>
        <v>NO APLICA</v>
      </c>
      <c r="MR42" s="5"/>
      <c r="MS42" s="2"/>
      <c r="MT42" s="4"/>
      <c r="MU42" s="2"/>
      <c r="MV42" s="5" t="str">
        <f t="shared" si="111"/>
        <v>NO APLICA</v>
      </c>
      <c r="MW42" s="2"/>
      <c r="MX42" s="6"/>
      <c r="MY42" s="4"/>
      <c r="MZ42" s="8"/>
      <c r="NA42" s="5" t="str">
        <f t="shared" si="112"/>
        <v>NO APLICA</v>
      </c>
      <c r="NB42" s="2"/>
      <c r="NC42" s="6"/>
      <c r="ND42" s="4"/>
      <c r="NE42" s="8"/>
      <c r="NF42" s="5" t="str">
        <f t="shared" si="113"/>
        <v>NO APLICA</v>
      </c>
      <c r="NG42" s="2"/>
      <c r="NH42" s="6"/>
      <c r="NI42" s="4"/>
      <c r="NJ42" s="8"/>
      <c r="NK42" s="5" t="str">
        <f t="shared" si="114"/>
        <v>NO APLICA</v>
      </c>
      <c r="NL42" s="2"/>
      <c r="NM42" s="2"/>
      <c r="NN42" s="4"/>
      <c r="NO42" s="2"/>
      <c r="NP42" s="5" t="str">
        <f t="shared" si="115"/>
        <v>NO APLICA</v>
      </c>
      <c r="NQ42" s="2"/>
      <c r="NR42" s="2"/>
      <c r="NS42" s="4"/>
      <c r="NT42" s="2"/>
      <c r="NU42" s="5" t="str">
        <f t="shared" si="116"/>
        <v>NO APLICA</v>
      </c>
      <c r="NV42" s="6"/>
      <c r="NW42" s="6"/>
      <c r="NX42" s="4"/>
      <c r="NY42" s="8"/>
      <c r="NZ42" s="5" t="str">
        <f t="shared" si="117"/>
        <v>NO APLICA</v>
      </c>
      <c r="OA42" s="6"/>
      <c r="OB42" s="6"/>
      <c r="OC42" s="6"/>
      <c r="OD42" s="6"/>
      <c r="OE42" s="5" t="str">
        <f t="shared" si="118"/>
        <v>NO APLICA</v>
      </c>
      <c r="OF42" s="6"/>
      <c r="OG42" s="6"/>
      <c r="OH42" s="4"/>
      <c r="OI42" s="8"/>
      <c r="OJ42" s="5" t="str">
        <f t="shared" si="119"/>
        <v>NO APLICA</v>
      </c>
      <c r="OK42" s="6"/>
      <c r="OL42" s="6"/>
      <c r="OM42" s="6"/>
      <c r="ON42" s="6"/>
      <c r="OO42" s="5" t="str">
        <f t="shared" si="120"/>
        <v>NO APLICA</v>
      </c>
      <c r="OP42" s="6"/>
      <c r="OQ42" s="6"/>
      <c r="OR42" s="6"/>
      <c r="OS42" s="6"/>
      <c r="OT42" s="5" t="str">
        <f t="shared" si="121"/>
        <v>NO APLICA</v>
      </c>
      <c r="OU42" s="6"/>
      <c r="OV42" s="6"/>
      <c r="OW42" s="6"/>
      <c r="OX42" s="6"/>
      <c r="OY42" s="5" t="str">
        <f t="shared" si="122"/>
        <v>NO APLICA</v>
      </c>
      <c r="OZ42" s="6"/>
      <c r="PA42" s="6"/>
      <c r="PB42" s="6"/>
      <c r="PC42" s="6"/>
      <c r="PD42" s="5" t="str">
        <f t="shared" si="123"/>
        <v>NO APLICA</v>
      </c>
      <c r="PE42" s="6"/>
      <c r="PF42" s="6"/>
      <c r="PG42" s="6"/>
      <c r="PH42" s="6"/>
      <c r="PI42" s="5" t="str">
        <f t="shared" si="124"/>
        <v>NO APLICA</v>
      </c>
      <c r="PJ42" s="5"/>
      <c r="PK42" s="6"/>
      <c r="PL42" s="4"/>
      <c r="PM42" s="8"/>
      <c r="PN42" s="5" t="str">
        <f t="shared" si="125"/>
        <v>NO APLICA</v>
      </c>
      <c r="PO42" s="6"/>
      <c r="PP42" s="6"/>
      <c r="PQ42" s="6"/>
      <c r="PR42" s="6"/>
      <c r="PS42" s="5" t="str">
        <f t="shared" si="126"/>
        <v>NO APLICA</v>
      </c>
      <c r="PT42" s="5"/>
      <c r="PU42" s="6"/>
      <c r="PV42" s="6"/>
      <c r="PW42" s="6"/>
      <c r="PX42" s="5" t="str">
        <f t="shared" si="127"/>
        <v>NO APLICA</v>
      </c>
    </row>
    <row r="43" spans="1:440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199</v>
      </c>
      <c r="V43" s="4">
        <v>44801</v>
      </c>
      <c r="W43" s="4">
        <f t="shared" si="2"/>
        <v>46627</v>
      </c>
      <c r="X43" s="8">
        <f t="shared" ca="1" si="3"/>
        <v>493</v>
      </c>
      <c r="Y43" s="5" t="str">
        <f t="shared" ca="1" si="4"/>
        <v>VIGENTE</v>
      </c>
      <c r="Z43" s="22" t="s">
        <v>200</v>
      </c>
      <c r="AA43" s="4">
        <v>44391</v>
      </c>
      <c r="AB43" s="4">
        <f t="shared" si="212"/>
        <v>46217</v>
      </c>
      <c r="AC43" s="8">
        <f t="shared" ca="1" si="213"/>
        <v>83</v>
      </c>
      <c r="AD43" s="5" t="str">
        <f t="shared" ca="1" si="7"/>
        <v>POR VENCER</v>
      </c>
      <c r="AE43" s="3"/>
      <c r="AF43" s="4">
        <v>45617</v>
      </c>
      <c r="AG43" s="4">
        <f>DATE(YEAR(AF43)+2,MONTH(AF43),DAY(AF43)-1)</f>
        <v>46346</v>
      </c>
      <c r="AH43" s="8">
        <f t="shared" ca="1" si="8"/>
        <v>212</v>
      </c>
      <c r="AI43" s="5" t="str">
        <f ca="1">IF(AH43&gt;=91,"VIGENTE",IF(AH43&gt;=1,"POR VENCER",Z61SI(AH43&lt;=-1,"VENCIDA",IF(AF43=0,"NO APLICA"))))</f>
        <v>VIGENTE</v>
      </c>
      <c r="AJ43" s="3"/>
      <c r="AK43" s="4">
        <v>45926</v>
      </c>
      <c r="AL43" s="4">
        <f t="shared" si="218"/>
        <v>46656</v>
      </c>
      <c r="AM43" s="8">
        <f t="shared" ca="1" si="10"/>
        <v>522</v>
      </c>
      <c r="AN43" s="5" t="str">
        <f t="shared" ca="1" si="11"/>
        <v>VIGENTE</v>
      </c>
      <c r="AO43" s="3"/>
      <c r="AP43" s="4">
        <v>45703</v>
      </c>
      <c r="AQ43" s="4">
        <f>DATE(YEAR(AP43)+2,MONTH(AP43),DAY(AP43)-1)</f>
        <v>46432</v>
      </c>
      <c r="AR43" s="8">
        <f t="shared" ca="1" si="12"/>
        <v>298</v>
      </c>
      <c r="AS43" s="5" t="str">
        <f t="shared" ca="1" si="13"/>
        <v>VIGENTE</v>
      </c>
      <c r="AT43" s="4"/>
      <c r="AU43" s="4">
        <v>45745</v>
      </c>
      <c r="AV43" s="4">
        <f>DATE(YEAR(AU43)+2,MONTH(AU43),DAY(AU43)-1)</f>
        <v>46474</v>
      </c>
      <c r="AW43" s="8">
        <f t="shared" ca="1" si="15"/>
        <v>340</v>
      </c>
      <c r="AX43" s="5" t="str">
        <f t="shared" ca="1" si="16"/>
        <v>VIGENTE</v>
      </c>
      <c r="AY43" s="3"/>
      <c r="AZ43" s="4">
        <v>45717</v>
      </c>
      <c r="BA43" s="4">
        <f>DATE(YEAR(AZ43)+2,MONTH(AZ43),DAY(AZ43)-1)</f>
        <v>46446</v>
      </c>
      <c r="BB43" s="8">
        <f t="shared" ca="1" si="17"/>
        <v>312</v>
      </c>
      <c r="BC43" s="5" t="str">
        <f t="shared" ca="1" si="18"/>
        <v>VIGENTE</v>
      </c>
      <c r="BD43" s="3"/>
      <c r="BE43" s="4">
        <v>45698</v>
      </c>
      <c r="BF43" s="4">
        <f>DATE(YEAR(BE43)+2,MONTH(BE43),DAY(BE43)-1)</f>
        <v>46427</v>
      </c>
      <c r="BG43" s="8">
        <f t="shared" ca="1" si="19"/>
        <v>293</v>
      </c>
      <c r="BH43" s="5" t="str">
        <f t="shared" ca="1" si="20"/>
        <v>VIGENTE</v>
      </c>
      <c r="BI43" s="3"/>
      <c r="BJ43" s="4">
        <v>46035</v>
      </c>
      <c r="BK43" s="4">
        <f>DATE(YEAR(BJ43)+2,MONTH(BJ43),DAY(BJ43))</f>
        <v>46765</v>
      </c>
      <c r="BL43" s="8">
        <f t="shared" ca="1" si="21"/>
        <v>631</v>
      </c>
      <c r="BM43" s="5" t="str">
        <f t="shared" ca="1" si="22"/>
        <v>VIGENTE</v>
      </c>
      <c r="BN43" s="3"/>
      <c r="BO43" s="4">
        <v>45447</v>
      </c>
      <c r="BP43" s="4">
        <f>DATE(YEAR(BO43)+2,MONTH(BO43),DAY(BO43)-1)</f>
        <v>46176</v>
      </c>
      <c r="BQ43" s="8">
        <f t="shared" ca="1" si="23"/>
        <v>42</v>
      </c>
      <c r="BR43" s="5" t="str">
        <f t="shared" ca="1" si="24"/>
        <v>POR VENCER</v>
      </c>
      <c r="BS43" s="4"/>
      <c r="BT43" s="4">
        <v>45736</v>
      </c>
      <c r="BU43" s="4">
        <f t="shared" si="216"/>
        <v>46465</v>
      </c>
      <c r="BV43" s="8">
        <f t="shared" ca="1" si="25"/>
        <v>331</v>
      </c>
      <c r="BW43" s="5" t="str">
        <f t="shared" ca="1" si="26"/>
        <v>VIGENTE</v>
      </c>
      <c r="BX43" s="3"/>
      <c r="BY43" s="4">
        <v>45954</v>
      </c>
      <c r="BZ43" s="4">
        <f>DATE(YEAR(BY43)+2,MONTH(BY43),DAY(BY43))</f>
        <v>46684</v>
      </c>
      <c r="CA43" s="8">
        <f t="shared" ca="1" si="27"/>
        <v>550</v>
      </c>
      <c r="CB43" s="5" t="str">
        <f t="shared" ca="1" si="28"/>
        <v>VIGENTE</v>
      </c>
      <c r="CC43" s="6" t="s">
        <v>73</v>
      </c>
      <c r="CD43" s="4">
        <v>45241</v>
      </c>
      <c r="CE43" s="4">
        <f t="shared" si="29"/>
        <v>46702</v>
      </c>
      <c r="CF43" s="8">
        <f t="shared" ca="1" si="30"/>
        <v>568</v>
      </c>
      <c r="CG43" s="5" t="str">
        <f t="shared" ca="1" si="31"/>
        <v>VIGENTE</v>
      </c>
      <c r="CH43" s="4"/>
      <c r="CI43" s="4">
        <v>45757</v>
      </c>
      <c r="CJ43" s="4">
        <f>DATE(YEAR(CI43)+2,MONTH(CI43),DAY(CI43)-1)</f>
        <v>46486</v>
      </c>
      <c r="CK43" s="8">
        <f t="shared" ca="1" si="32"/>
        <v>352</v>
      </c>
      <c r="CL43" s="5" t="str">
        <f t="shared" ca="1" si="33"/>
        <v>VIGENTE</v>
      </c>
      <c r="CM43" s="4"/>
      <c r="CN43" s="4">
        <v>45726</v>
      </c>
      <c r="CO43" s="4">
        <f t="shared" si="217"/>
        <v>46455</v>
      </c>
      <c r="CP43" s="8">
        <f t="shared" ca="1" si="34"/>
        <v>321</v>
      </c>
      <c r="CQ43" s="5" t="str">
        <f t="shared" ca="1" si="35"/>
        <v>VIGENTE</v>
      </c>
      <c r="CR43" s="3"/>
      <c r="CS43" s="4">
        <v>45645</v>
      </c>
      <c r="CT43" s="4">
        <f>DATE(YEAR(CS43)+2,MONTH(CS43),DAY(CS43)-1)</f>
        <v>46374</v>
      </c>
      <c r="CU43" s="8">
        <f t="shared" ca="1" si="36"/>
        <v>240</v>
      </c>
      <c r="CV43" s="5" t="str">
        <f t="shared" ca="1" si="37"/>
        <v>VIGENTE</v>
      </c>
      <c r="CW43" s="3"/>
      <c r="CX43" s="4">
        <v>45665</v>
      </c>
      <c r="CY43" s="4">
        <f>DATE(YEAR(CX43)+2,MONTH(CX43),DAY(CX43)-1)</f>
        <v>46394</v>
      </c>
      <c r="CZ43" s="8">
        <f t="shared" ca="1" si="38"/>
        <v>260</v>
      </c>
      <c r="DA43" s="5" t="str">
        <f t="shared" ca="1" si="39"/>
        <v>VIGENTE</v>
      </c>
      <c r="DB43" s="3"/>
      <c r="DC43" s="4">
        <v>45689</v>
      </c>
      <c r="DD43" s="4">
        <f>DATE(YEAR(DC43)+2,MONTH(DC43),DAY(DC43)-1)</f>
        <v>46418</v>
      </c>
      <c r="DE43" s="8">
        <f t="shared" ca="1" si="40"/>
        <v>284</v>
      </c>
      <c r="DF43" s="5" t="str">
        <f t="shared" ca="1" si="41"/>
        <v>VIGENTE</v>
      </c>
      <c r="DG43" s="4"/>
      <c r="DH43" s="4">
        <v>45696</v>
      </c>
      <c r="DI43" s="4">
        <f>DATE(YEAR(DH43)+2,MONTH(DH43),DAY(DH43)-1)</f>
        <v>46425</v>
      </c>
      <c r="DJ43" s="8">
        <f t="shared" ca="1" si="43"/>
        <v>291</v>
      </c>
      <c r="DK43" s="5" t="str">
        <f t="shared" ca="1" si="44"/>
        <v>VIGENTE</v>
      </c>
      <c r="DL43" s="3"/>
      <c r="DM43" s="4">
        <v>46007</v>
      </c>
      <c r="DN43" s="4">
        <f t="shared" si="223"/>
        <v>46737</v>
      </c>
      <c r="DO43" s="8">
        <f t="shared" ca="1" si="46"/>
        <v>603</v>
      </c>
      <c r="DP43" s="5" t="str">
        <f t="shared" ca="1" si="47"/>
        <v>VIGENTE</v>
      </c>
      <c r="DQ43" s="3"/>
      <c r="DR43" s="4">
        <v>45728</v>
      </c>
      <c r="DS43" s="4">
        <f>DATE(YEAR(DR43)+2,MONTH(DR43),DAY(DR43)-1)</f>
        <v>46457</v>
      </c>
      <c r="DT43" s="8">
        <f t="shared" ca="1" si="48"/>
        <v>323</v>
      </c>
      <c r="DU43" s="5" t="str">
        <f t="shared" ca="1" si="49"/>
        <v>VIGENTE</v>
      </c>
      <c r="DV43" s="3"/>
      <c r="DW43" s="4">
        <v>45709</v>
      </c>
      <c r="DX43" s="4">
        <f>DATE(YEAR(DW43)+2,MONTH(DW43),DAY(DW43)-1)</f>
        <v>46438</v>
      </c>
      <c r="DY43" s="8">
        <f t="shared" ca="1" si="50"/>
        <v>304</v>
      </c>
      <c r="DZ43" s="5" t="str">
        <f t="shared" ca="1" si="51"/>
        <v>VIGENTE</v>
      </c>
      <c r="EA43" s="3"/>
      <c r="EB43" s="4">
        <v>45674</v>
      </c>
      <c r="EC43" s="4">
        <f>DATE(YEAR(EB43)+2,MONTH(EB43),DAY(EB43)-1)</f>
        <v>46403</v>
      </c>
      <c r="ED43" s="8">
        <f t="shared" ca="1" si="52"/>
        <v>269</v>
      </c>
      <c r="EE43" s="5" t="str">
        <f t="shared" ca="1" si="53"/>
        <v>VIGENTE</v>
      </c>
      <c r="EF43" s="3"/>
      <c r="EG43" s="3">
        <v>46085</v>
      </c>
      <c r="EH43" s="4">
        <f t="shared" si="137"/>
        <v>46450</v>
      </c>
      <c r="EI43" s="8">
        <f t="shared" ca="1" si="54"/>
        <v>316</v>
      </c>
      <c r="EJ43" s="5" t="str">
        <f t="shared" ca="1" si="55"/>
        <v>VIGENTE</v>
      </c>
      <c r="EK43" s="3"/>
      <c r="EL43" s="4">
        <v>45460</v>
      </c>
      <c r="EM43" s="4">
        <f>DATE(YEAR(EL43)+2,MONTH(EL43),DAY(EL43)-1)</f>
        <v>46189</v>
      </c>
      <c r="EN43" s="8">
        <f t="shared" ca="1" si="56"/>
        <v>55</v>
      </c>
      <c r="EO43" s="5" t="str">
        <f t="shared" ca="1" si="57"/>
        <v>POR VENCER</v>
      </c>
      <c r="EP43" s="4"/>
      <c r="EQ43" s="4">
        <v>45755</v>
      </c>
      <c r="ER43" s="4">
        <f>DATE(YEAR(EQ43)+2,MONTH(EQ43),DAY(EQ43)-1)</f>
        <v>46484</v>
      </c>
      <c r="ES43" s="8">
        <f t="shared" ca="1" si="58"/>
        <v>350</v>
      </c>
      <c r="ET43" s="5" t="str">
        <f t="shared" ca="1" si="59"/>
        <v>VIGENTE</v>
      </c>
      <c r="EU43" s="3"/>
      <c r="EV43" s="4">
        <v>45953</v>
      </c>
      <c r="EW43" s="4">
        <f t="shared" si="219"/>
        <v>46683</v>
      </c>
      <c r="EX43" s="8">
        <f t="shared" ca="1" si="60"/>
        <v>549</v>
      </c>
      <c r="EY43" s="5" t="str">
        <f t="shared" ca="1" si="61"/>
        <v>VIGENTE</v>
      </c>
      <c r="EZ43" s="3"/>
      <c r="FA43" s="4">
        <v>45951</v>
      </c>
      <c r="FB43" s="4">
        <f t="shared" si="220"/>
        <v>46681</v>
      </c>
      <c r="FC43" s="8">
        <f t="shared" ca="1" si="62"/>
        <v>547</v>
      </c>
      <c r="FD43" s="5" t="str">
        <f t="shared" ca="1" si="63"/>
        <v>VIGENTE</v>
      </c>
      <c r="FE43" s="3"/>
      <c r="FF43" s="4">
        <v>45919</v>
      </c>
      <c r="FG43" s="4">
        <f t="shared" si="221"/>
        <v>46649</v>
      </c>
      <c r="FH43" s="8">
        <f t="shared" ca="1" si="64"/>
        <v>515</v>
      </c>
      <c r="FI43" s="5" t="str">
        <f t="shared" ca="1" si="65"/>
        <v>VIGENTE</v>
      </c>
      <c r="FJ43" s="3"/>
      <c r="FK43" s="4">
        <v>45670</v>
      </c>
      <c r="FL43" s="4">
        <f>DATE(YEAR(FK43)+2,MONTH(FK43),DAY(FK43)-1)</f>
        <v>46399</v>
      </c>
      <c r="FM43" s="8">
        <f t="shared" ca="1" si="67"/>
        <v>265</v>
      </c>
      <c r="FN43" s="5" t="str">
        <f t="shared" ca="1" si="68"/>
        <v>VIGENTE</v>
      </c>
      <c r="FO43" s="3"/>
      <c r="FP43" s="4">
        <v>45458</v>
      </c>
      <c r="FQ43" s="4">
        <f>DATE(YEAR(FP43)+2,MONTH(FP43),DAY(FP43)-1)</f>
        <v>46187</v>
      </c>
      <c r="FR43" s="8">
        <f t="shared" ca="1" si="69"/>
        <v>53</v>
      </c>
      <c r="FS43" s="5" t="str">
        <f t="shared" ca="1" si="70"/>
        <v>POR VENCER</v>
      </c>
      <c r="FT43" s="3"/>
      <c r="FU43" s="4">
        <v>45581</v>
      </c>
      <c r="FV43" s="4">
        <f>DATE(YEAR(FU43)+2,MONTH(FU43),DAY(FU43)-1)</f>
        <v>46310</v>
      </c>
      <c r="FW43" s="8">
        <f t="shared" ca="1" si="71"/>
        <v>176</v>
      </c>
      <c r="FX43" s="5" t="str">
        <f t="shared" ca="1" si="72"/>
        <v>VIGENTE</v>
      </c>
      <c r="FY43" s="4"/>
      <c r="FZ43" s="4">
        <v>45741</v>
      </c>
      <c r="GA43" s="4">
        <f>DATE(YEAR(FZ43)+2,MONTH(FZ43),DAY(FZ43)-1)</f>
        <v>46470</v>
      </c>
      <c r="GB43" s="8">
        <f t="shared" ca="1" si="73"/>
        <v>336</v>
      </c>
      <c r="GC43" s="5" t="str">
        <f t="shared" ca="1" si="74"/>
        <v>VIGENTE</v>
      </c>
      <c r="GD43" s="3"/>
      <c r="GE43" s="4">
        <v>46092</v>
      </c>
      <c r="GF43" s="4">
        <f>DATE(YEAR(GE43)+2,MONTH(GE43),DAY(GE43))</f>
        <v>46823</v>
      </c>
      <c r="GG43" s="8">
        <f t="shared" ca="1" si="75"/>
        <v>689</v>
      </c>
      <c r="GH43" s="5" t="str">
        <f t="shared" ca="1" si="76"/>
        <v>VIGENTE</v>
      </c>
      <c r="GI43" s="3"/>
      <c r="GJ43" s="4">
        <v>45923</v>
      </c>
      <c r="GK43" s="4">
        <f t="shared" si="222"/>
        <v>46653</v>
      </c>
      <c r="GL43" s="8">
        <f t="shared" ca="1" si="77"/>
        <v>519</v>
      </c>
      <c r="GM43" s="5" t="str">
        <f t="shared" ca="1" si="78"/>
        <v>VIGENTE</v>
      </c>
      <c r="GN43" s="4"/>
      <c r="GO43" s="4">
        <v>45017</v>
      </c>
      <c r="GP43" s="4">
        <f t="shared" si="79"/>
        <v>46844</v>
      </c>
      <c r="GQ43" s="8">
        <f t="shared" ca="1" si="181"/>
        <v>710</v>
      </c>
      <c r="GR43" s="5" t="str">
        <f t="shared" ca="1" si="81"/>
        <v>VIGENTE</v>
      </c>
      <c r="GS43" s="3"/>
      <c r="GT43" s="4">
        <v>45252</v>
      </c>
      <c r="GU43" s="4">
        <f t="shared" si="82"/>
        <v>47079</v>
      </c>
      <c r="GV43" s="8">
        <f t="shared" ca="1" si="83"/>
        <v>945</v>
      </c>
      <c r="GW43" s="5" t="str">
        <f t="shared" ca="1" si="84"/>
        <v>VIGENTE</v>
      </c>
      <c r="GX43" s="3"/>
      <c r="GY43" s="4">
        <v>44980</v>
      </c>
      <c r="GZ43" s="4">
        <f t="shared" si="85"/>
        <v>46806</v>
      </c>
      <c r="HA43" s="8">
        <f t="shared" ca="1" si="86"/>
        <v>672</v>
      </c>
      <c r="HB43" s="5" t="str">
        <f t="shared" ca="1" si="87"/>
        <v>VIGENTE</v>
      </c>
      <c r="HC43" s="6"/>
      <c r="HD43" s="4">
        <v>44956</v>
      </c>
      <c r="HE43" s="4">
        <f t="shared" si="214"/>
        <v>46782</v>
      </c>
      <c r="HF43" s="8">
        <f t="shared" ca="1" si="215"/>
        <v>648</v>
      </c>
      <c r="HG43" s="5" t="str">
        <f t="shared" ca="1" si="192"/>
        <v>VIGENTE</v>
      </c>
      <c r="HH43" s="3"/>
      <c r="HI43" s="4">
        <v>45414</v>
      </c>
      <c r="HJ43" s="4">
        <f>DATE(YEAR(HI43)+5,MONTH(HI43),DAY(HI43))</f>
        <v>47240</v>
      </c>
      <c r="HK43" s="8">
        <f ca="1">HJ43-TODAY()</f>
        <v>1106</v>
      </c>
      <c r="HL43" s="5" t="str">
        <f t="shared" ca="1" si="207"/>
        <v>VIGENTE</v>
      </c>
      <c r="HM43" s="2"/>
      <c r="HN43" s="2"/>
      <c r="HO43" s="4"/>
      <c r="HP43" s="2"/>
      <c r="HQ43" s="5" t="str">
        <f t="shared" si="92"/>
        <v>NO APLICA</v>
      </c>
      <c r="HR43" s="3"/>
      <c r="HS43" s="4">
        <v>45469</v>
      </c>
      <c r="HT43" s="4">
        <f>DATE(YEAR(HS43)+5,MONTH(HS43),DAY(HS43))</f>
        <v>47295</v>
      </c>
      <c r="HU43" s="8">
        <f ca="1">HT43-TODAY()</f>
        <v>1161</v>
      </c>
      <c r="HV43" s="5" t="str">
        <f t="shared" ca="1" si="93"/>
        <v>VIGENTE</v>
      </c>
      <c r="HW43" s="3"/>
      <c r="HX43" s="4">
        <v>45205</v>
      </c>
      <c r="HY43" s="4">
        <f>DATE(YEAR(HX43)+5,MONTH(HX43),DAY(HX43))</f>
        <v>47032</v>
      </c>
      <c r="HZ43" s="8">
        <f ca="1">HY43-TODAY()</f>
        <v>898</v>
      </c>
      <c r="IA43" s="5" t="str">
        <f t="shared" ca="1" si="94"/>
        <v>VIGENTE</v>
      </c>
      <c r="IB43" s="3"/>
      <c r="IC43" s="4">
        <v>45444</v>
      </c>
      <c r="ID43" s="4">
        <f>DATE(YEAR(IC43)+5,MONTH(IC43),DAY(IC43))</f>
        <v>47270</v>
      </c>
      <c r="IE43" s="8">
        <f ca="1">ID43-TODAY()</f>
        <v>1136</v>
      </c>
      <c r="IF43" s="5" t="str">
        <f t="shared" ca="1" si="95"/>
        <v>VIGENTE</v>
      </c>
      <c r="IG43" s="4"/>
      <c r="IH43" s="4">
        <v>45262</v>
      </c>
      <c r="II43" s="4">
        <f>DATE(YEAR(IH43)+5,MONTH(IH43),DAY(IH43))</f>
        <v>47089</v>
      </c>
      <c r="IJ43" s="8">
        <f ca="1">II43-TODAY()</f>
        <v>955</v>
      </c>
      <c r="IK43" s="5" t="str">
        <f t="shared" ca="1" si="96"/>
        <v>VIGENTE</v>
      </c>
      <c r="IL43" s="3"/>
      <c r="IM43" s="4">
        <v>45259</v>
      </c>
      <c r="IN43" s="4">
        <f>DATE(YEAR(IM43)+5,MONTH(IM43),DAY(IM43))</f>
        <v>47086</v>
      </c>
      <c r="IO43" s="8">
        <f ca="1">IN43-TODAY()</f>
        <v>952</v>
      </c>
      <c r="IP43" s="5" t="str">
        <f t="shared" ca="1" si="97"/>
        <v>VIGENTE</v>
      </c>
      <c r="IQ43" s="3"/>
      <c r="IR43" s="4">
        <v>45435</v>
      </c>
      <c r="IS43" s="4">
        <f>DATE(YEAR(IR43)+5,MONTH(IR43),DAY(IR43))</f>
        <v>47261</v>
      </c>
      <c r="IT43" s="8">
        <f ca="1">IS43-TODAY()</f>
        <v>1127</v>
      </c>
      <c r="IU43" s="5" t="str">
        <f t="shared" ca="1" si="98"/>
        <v>VIGENTE</v>
      </c>
      <c r="IV43" s="3"/>
      <c r="IW43" s="4">
        <v>45206</v>
      </c>
      <c r="IX43" s="4">
        <f>DATE(YEAR(IW43)+5,MONTH(IW43),DAY(IW43))</f>
        <v>47033</v>
      </c>
      <c r="IY43" s="8">
        <f ca="1">IX43-TODAY()</f>
        <v>899</v>
      </c>
      <c r="IZ43" s="5" t="str">
        <f t="shared" ca="1" si="99"/>
        <v>VIGENTE</v>
      </c>
      <c r="JA43" s="3"/>
      <c r="JB43" s="3"/>
      <c r="JC43" s="4"/>
      <c r="JD43" s="8"/>
      <c r="JE43" s="5" t="str">
        <f t="shared" si="100"/>
        <v>NO APLICA</v>
      </c>
      <c r="JF43" s="6"/>
      <c r="JG43" s="6"/>
      <c r="JH43" s="6"/>
      <c r="JI43" s="6"/>
      <c r="JJ43" s="5" t="str">
        <f t="shared" si="101"/>
        <v>NO APLICA</v>
      </c>
      <c r="JK43" s="6"/>
      <c r="JL43" s="6"/>
      <c r="JM43" s="6"/>
      <c r="JN43" s="6"/>
      <c r="JO43" s="5" t="str">
        <f t="shared" si="102"/>
        <v>NO APLICA</v>
      </c>
      <c r="JP43" s="6"/>
      <c r="JQ43" s="6"/>
      <c r="JR43" s="6"/>
      <c r="JS43" s="6"/>
      <c r="JT43" s="5" t="str">
        <f t="shared" si="103"/>
        <v>NO APLICA</v>
      </c>
      <c r="JU43" s="5"/>
      <c r="JV43" s="5"/>
      <c r="JW43" s="5"/>
      <c r="JX43" s="5"/>
      <c r="JY43" s="5" t="str">
        <f t="shared" si="104"/>
        <v>NO APLICA</v>
      </c>
      <c r="JZ43" s="5"/>
      <c r="KA43" s="2"/>
      <c r="KB43" s="4"/>
      <c r="KC43" s="8"/>
      <c r="KD43" s="5" t="str">
        <f t="shared" si="105"/>
        <v>NO APLICA</v>
      </c>
      <c r="KE43" s="5"/>
      <c r="KF43" s="2"/>
      <c r="KG43" s="4"/>
      <c r="KH43" s="8"/>
      <c r="KI43" s="5" t="str">
        <f t="shared" si="141"/>
        <v>NO APLICA</v>
      </c>
      <c r="KJ43" s="5"/>
      <c r="KK43" s="3">
        <v>45364</v>
      </c>
      <c r="KL43" s="4">
        <f>DATE(YEAR(KK43)+5,MONTH(KK43),DAY(KK43))</f>
        <v>47190</v>
      </c>
      <c r="KM43" s="8">
        <f ca="1">KL43-TODAY()</f>
        <v>1056</v>
      </c>
      <c r="KN43" s="5" t="str">
        <f t="shared" ca="1" si="106"/>
        <v>VIGENTE</v>
      </c>
      <c r="KO43" s="5"/>
      <c r="KP43" s="3"/>
      <c r="KQ43" s="4"/>
      <c r="KR43" s="8"/>
      <c r="KS43" s="5" t="str">
        <f t="shared" si="142"/>
        <v>NO APLICA</v>
      </c>
      <c r="KT43" s="4"/>
      <c r="KU43" s="4">
        <v>44658</v>
      </c>
      <c r="KV43" s="4">
        <f>DATE(YEAR(KU43)+5,MONTH(KU43),DAY(KU43))</f>
        <v>46484</v>
      </c>
      <c r="KW43" s="8">
        <f ca="1">KV43-TODAY()</f>
        <v>350</v>
      </c>
      <c r="KX43" s="5" t="str">
        <f t="shared" ca="1" si="156"/>
        <v>VIGENTE</v>
      </c>
      <c r="KY43" s="5"/>
      <c r="KZ43" s="4">
        <v>44545</v>
      </c>
      <c r="LA43" s="4">
        <f>DATE(YEAR(KZ43)+5,MONTH(KZ43),DAY(KZ43))</f>
        <v>46371</v>
      </c>
      <c r="LB43" s="8">
        <f ca="1">LA43-TODAY()</f>
        <v>237</v>
      </c>
      <c r="LC43" s="5" t="str">
        <f t="shared" ca="1" si="143"/>
        <v>VIGENTE</v>
      </c>
      <c r="LD43" s="4"/>
      <c r="LE43" s="4"/>
      <c r="LF43" s="4"/>
      <c r="LG43" s="8"/>
      <c r="LH43" s="5" t="str">
        <f t="shared" si="107"/>
        <v>NO APLICA</v>
      </c>
      <c r="LI43" s="5"/>
      <c r="LJ43" s="21">
        <v>44086</v>
      </c>
      <c r="LK43" s="4">
        <f>DATE(YEAR(LJ43)+5,MONTH(LJ43),DAY(LJ43))</f>
        <v>45912</v>
      </c>
      <c r="LL43" s="8">
        <f ca="1">LK43-TODAY()</f>
        <v>-222</v>
      </c>
      <c r="LM43" s="5" t="str">
        <f t="shared" ca="1" si="157"/>
        <v>VENCIDA</v>
      </c>
      <c r="LN43" s="3"/>
      <c r="LO43" s="4">
        <v>44376</v>
      </c>
      <c r="LP43" s="4">
        <f>DATE(YEAR(LO43)+5,MONTH(LO43),DAY(LO43))</f>
        <v>46202</v>
      </c>
      <c r="LQ43" s="8">
        <f ca="1">LP43-TODAY()</f>
        <v>68</v>
      </c>
      <c r="LR43" s="5" t="str">
        <f t="shared" ca="1" si="144"/>
        <v>VIGENTE</v>
      </c>
      <c r="LS43" s="4"/>
      <c r="LT43" s="4">
        <v>44986</v>
      </c>
      <c r="LU43" s="4">
        <f>DATE(YEAR(LT43)+5,MONTH(LT43),DAY(LT43))</f>
        <v>46813</v>
      </c>
      <c r="LV43" s="8">
        <f ca="1">LU43-TODAY()</f>
        <v>679</v>
      </c>
      <c r="LW43" s="5" t="str">
        <f t="shared" ca="1" si="145"/>
        <v>VIGENTE</v>
      </c>
      <c r="LX43" s="4"/>
      <c r="LY43" s="4">
        <v>44988</v>
      </c>
      <c r="LZ43" s="4">
        <f>DATE(YEAR(LY43)+5,MONTH(LY43),DAY(LY43))</f>
        <v>46815</v>
      </c>
      <c r="MA43" s="8">
        <f ca="1">LZ43-TODAY()</f>
        <v>681</v>
      </c>
      <c r="MB43" s="5" t="str">
        <f t="shared" ca="1" si="146"/>
        <v>VIGENTE</v>
      </c>
      <c r="MC43" s="4"/>
      <c r="MD43" s="4">
        <v>45010</v>
      </c>
      <c r="ME43" s="4">
        <f>DATE(YEAR(MD43)+5,MONTH(MD43),DAY(MD43))</f>
        <v>46837</v>
      </c>
      <c r="MF43" s="8">
        <f ca="1">ME43-TODAY()</f>
        <v>703</v>
      </c>
      <c r="MG43" s="5" t="str">
        <f t="shared" ca="1" si="108"/>
        <v>VIGENTE</v>
      </c>
      <c r="MH43" s="2"/>
      <c r="MI43" s="2"/>
      <c r="MJ43" s="4"/>
      <c r="MK43" s="8"/>
      <c r="ML43" s="5" t="str">
        <f t="shared" si="109"/>
        <v>NO APLICA</v>
      </c>
      <c r="MM43" s="5"/>
      <c r="MN43" s="2"/>
      <c r="MO43" s="4"/>
      <c r="MP43" s="8"/>
      <c r="MQ43" s="5" t="str">
        <f t="shared" si="110"/>
        <v>NO APLICA</v>
      </c>
      <c r="MR43" s="5"/>
      <c r="MS43" s="2"/>
      <c r="MT43" s="4"/>
      <c r="MU43" s="2"/>
      <c r="MV43" s="5" t="str">
        <f t="shared" si="111"/>
        <v>NO APLICA</v>
      </c>
      <c r="MW43" s="2"/>
      <c r="MX43" s="6"/>
      <c r="MY43" s="4"/>
      <c r="MZ43" s="8"/>
      <c r="NA43" s="5" t="str">
        <f t="shared" si="112"/>
        <v>NO APLICA</v>
      </c>
      <c r="NB43" s="2"/>
      <c r="NC43" s="6"/>
      <c r="ND43" s="4"/>
      <c r="NE43" s="8"/>
      <c r="NF43" s="5" t="str">
        <f t="shared" si="113"/>
        <v>NO APLICA</v>
      </c>
      <c r="NG43" s="2"/>
      <c r="NH43" s="6"/>
      <c r="NI43" s="4"/>
      <c r="NJ43" s="8"/>
      <c r="NK43" s="5" t="str">
        <f t="shared" si="114"/>
        <v>NO APLICA</v>
      </c>
      <c r="NL43" s="2"/>
      <c r="NM43" s="2"/>
      <c r="NN43" s="4"/>
      <c r="NO43" s="8"/>
      <c r="NP43" s="5" t="str">
        <f t="shared" si="115"/>
        <v>NO APLICA</v>
      </c>
      <c r="NQ43" s="2"/>
      <c r="NR43" s="2"/>
      <c r="NS43" s="2"/>
      <c r="NT43" s="2"/>
      <c r="NU43" s="5" t="str">
        <f t="shared" si="116"/>
        <v>NO APLICA</v>
      </c>
      <c r="NV43" s="6"/>
      <c r="NW43" s="6"/>
      <c r="NX43" s="4"/>
      <c r="NY43" s="8"/>
      <c r="NZ43" s="5" t="str">
        <f t="shared" si="117"/>
        <v>NO APLICA</v>
      </c>
      <c r="OA43" s="6"/>
      <c r="OB43" s="6"/>
      <c r="OC43" s="6"/>
      <c r="OD43" s="6"/>
      <c r="OE43" s="5" t="str">
        <f t="shared" si="118"/>
        <v>NO APLICA</v>
      </c>
      <c r="OF43" s="2"/>
      <c r="OG43" s="2"/>
      <c r="OH43" s="4"/>
      <c r="OI43" s="8"/>
      <c r="OJ43" s="5" t="str">
        <f t="shared" si="119"/>
        <v>NO APLICA</v>
      </c>
      <c r="OK43" s="6"/>
      <c r="OL43" s="6"/>
      <c r="OM43" s="6"/>
      <c r="ON43" s="6"/>
      <c r="OO43" s="5" t="str">
        <f t="shared" si="120"/>
        <v>NO APLICA</v>
      </c>
      <c r="OP43" s="6"/>
      <c r="OQ43" s="6"/>
      <c r="OR43" s="6"/>
      <c r="OS43" s="6"/>
      <c r="OT43" s="5" t="str">
        <f t="shared" si="121"/>
        <v>NO APLICA</v>
      </c>
      <c r="OU43" s="6"/>
      <c r="OV43" s="6"/>
      <c r="OW43" s="6"/>
      <c r="OX43" s="6"/>
      <c r="OY43" s="5" t="str">
        <f t="shared" si="122"/>
        <v>NO APLICA</v>
      </c>
      <c r="OZ43" s="6"/>
      <c r="PA43" s="6"/>
      <c r="PB43" s="6"/>
      <c r="PC43" s="6"/>
      <c r="PD43" s="5" t="str">
        <f t="shared" si="123"/>
        <v>NO APLICA</v>
      </c>
      <c r="PE43" s="6"/>
      <c r="PF43" s="6"/>
      <c r="PG43" s="6"/>
      <c r="PH43" s="6"/>
      <c r="PI43" s="5" t="str">
        <f t="shared" si="124"/>
        <v>NO APLICA</v>
      </c>
      <c r="PJ43" s="5"/>
      <c r="PK43" s="6"/>
      <c r="PL43" s="4"/>
      <c r="PM43" s="8"/>
      <c r="PN43" s="5" t="str">
        <f t="shared" si="125"/>
        <v>NO APLICA</v>
      </c>
      <c r="PO43" s="6"/>
      <c r="PP43" s="6"/>
      <c r="PQ43" s="6"/>
      <c r="PR43" s="6"/>
      <c r="PS43" s="5" t="str">
        <f t="shared" si="126"/>
        <v>NO APLICA</v>
      </c>
      <c r="PT43" s="5"/>
      <c r="PU43" s="6"/>
      <c r="PV43" s="6"/>
      <c r="PW43" s="6"/>
      <c r="PX43" s="5" t="str">
        <f t="shared" si="127"/>
        <v>NO APLICA</v>
      </c>
    </row>
    <row r="44" spans="1:440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654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202</v>
      </c>
      <c r="V44" s="4">
        <v>44790</v>
      </c>
      <c r="W44" s="4">
        <f t="shared" si="2"/>
        <v>46616</v>
      </c>
      <c r="X44" s="8">
        <f t="shared" ca="1" si="3"/>
        <v>482</v>
      </c>
      <c r="Y44" s="5" t="str">
        <f t="shared" ca="1" si="4"/>
        <v>VIGENTE</v>
      </c>
      <c r="Z44" s="2"/>
      <c r="AA44" s="6"/>
      <c r="AB44" s="4"/>
      <c r="AC44" s="8"/>
      <c r="AD44" s="5" t="str">
        <f t="shared" si="7"/>
        <v>NO APLICA</v>
      </c>
      <c r="AE44" s="3"/>
      <c r="AF44" s="4">
        <v>45902</v>
      </c>
      <c r="AG44" s="4">
        <f>DATE(YEAR(AF44)+2,MONTH(AF44),DAY(AF44))</f>
        <v>46632</v>
      </c>
      <c r="AH44" s="8">
        <f t="shared" ca="1" si="8"/>
        <v>498</v>
      </c>
      <c r="AI44" s="5" t="str">
        <f t="shared" ref="AI44:AI107" ca="1" si="224">IF(AH44&gt;=91,"VIGENTE",IF(AH44&gt;=1,"POR VENCER",IF(AH44&lt;=-1,"VENCIDA",IF(AF44=0,"NO APLICA"))))</f>
        <v>VIGENTE</v>
      </c>
      <c r="AJ44" s="3"/>
      <c r="AK44" s="4">
        <v>45903</v>
      </c>
      <c r="AL44" s="4">
        <f t="shared" si="218"/>
        <v>46633</v>
      </c>
      <c r="AM44" s="8">
        <f t="shared" ca="1" si="10"/>
        <v>499</v>
      </c>
      <c r="AN44" s="5" t="str">
        <f t="shared" ca="1" si="11"/>
        <v>VIGENTE</v>
      </c>
      <c r="AO44" s="3"/>
      <c r="AP44" s="4">
        <v>45904</v>
      </c>
      <c r="AQ44" s="4">
        <f t="shared" ref="AQ44:AQ51" si="225">DATE(YEAR(AP44)+2,MONTH(AP44),DAY(AP44))</f>
        <v>46634</v>
      </c>
      <c r="AR44" s="8">
        <f t="shared" ca="1" si="12"/>
        <v>500</v>
      </c>
      <c r="AS44" s="5" t="str">
        <f t="shared" ca="1" si="13"/>
        <v>VIGENTE</v>
      </c>
      <c r="AT44" s="3"/>
      <c r="AU44" s="4">
        <v>45990</v>
      </c>
      <c r="AV44" s="4">
        <f t="shared" ref="AV44:AV51" si="226">DATE(YEAR(AU44)+2,MONTH(AU44),DAY(AU44))</f>
        <v>46720</v>
      </c>
      <c r="AW44" s="8">
        <f t="shared" ca="1" si="15"/>
        <v>586</v>
      </c>
      <c r="AX44" s="5" t="str">
        <f t="shared" ca="1" si="16"/>
        <v>VIGENTE</v>
      </c>
      <c r="AY44" s="3"/>
      <c r="AZ44" s="4">
        <v>46041</v>
      </c>
      <c r="BA44" s="4">
        <f>DATE(YEAR(AZ44)+2,MONTH(AZ44),DAY(AZ44))</f>
        <v>46771</v>
      </c>
      <c r="BB44" s="8">
        <f t="shared" ca="1" si="17"/>
        <v>637</v>
      </c>
      <c r="BC44" s="5" t="str">
        <f t="shared" ca="1" si="18"/>
        <v>VIGENTE</v>
      </c>
      <c r="BD44" s="3"/>
      <c r="BE44" s="4">
        <v>46067</v>
      </c>
      <c r="BF44" s="4">
        <f t="shared" ref="BF44:BF49" si="227">DATE(YEAR(BE44)+2,MONTH(BE44),DAY(BE44))</f>
        <v>46797</v>
      </c>
      <c r="BG44" s="8">
        <f t="shared" ca="1" si="19"/>
        <v>663</v>
      </c>
      <c r="BH44" s="5" t="str">
        <f t="shared" ca="1" si="20"/>
        <v>VIGENTE</v>
      </c>
      <c r="BI44" s="3"/>
      <c r="BJ44" s="4">
        <v>46017</v>
      </c>
      <c r="BK44" s="4">
        <f>DATE(YEAR(BJ44)+2,MONTH(BJ44),DAY(BJ44))</f>
        <v>46747</v>
      </c>
      <c r="BL44" s="8">
        <f t="shared" ca="1" si="21"/>
        <v>613</v>
      </c>
      <c r="BM44" s="5" t="str">
        <f t="shared" ca="1" si="22"/>
        <v>VIGENTE</v>
      </c>
      <c r="BN44" s="3"/>
      <c r="BO44" s="4">
        <v>46050</v>
      </c>
      <c r="BP44" s="4">
        <f>DATE(YEAR(BO44)+2,MONTH(BO44),DAY(BO44))</f>
        <v>46780</v>
      </c>
      <c r="BQ44" s="8">
        <f t="shared" ca="1" si="23"/>
        <v>646</v>
      </c>
      <c r="BR44" s="5" t="str">
        <f t="shared" ca="1" si="24"/>
        <v>VIGENTE</v>
      </c>
      <c r="BS44" s="3"/>
      <c r="BT44" s="4">
        <v>45950</v>
      </c>
      <c r="BU44" s="4">
        <f>DATE(YEAR(BT44)+2,MONTH(BT44),DAY(BT44))</f>
        <v>46680</v>
      </c>
      <c r="BV44" s="8">
        <f t="shared" ca="1" si="25"/>
        <v>546</v>
      </c>
      <c r="BW44" s="5" t="str">
        <f t="shared" ca="1" si="26"/>
        <v>VIGENTE</v>
      </c>
      <c r="BX44" s="3"/>
      <c r="BY44" s="4">
        <v>45911</v>
      </c>
      <c r="BZ44" s="4">
        <f>DATE(YEAR(BY44)+2,MONTH(BY44),DAY(BY44))</f>
        <v>46641</v>
      </c>
      <c r="CA44" s="8">
        <f t="shared" ca="1" si="27"/>
        <v>507</v>
      </c>
      <c r="CB44" s="5" t="str">
        <f t="shared" ca="1" si="28"/>
        <v>VIGENTE</v>
      </c>
      <c r="CC44" s="6" t="s">
        <v>73</v>
      </c>
      <c r="CD44" s="4">
        <v>45616</v>
      </c>
      <c r="CE44" s="4">
        <f t="shared" si="29"/>
        <v>47077</v>
      </c>
      <c r="CF44" s="8">
        <f t="shared" ca="1" si="30"/>
        <v>943</v>
      </c>
      <c r="CG44" s="5" t="str">
        <f t="shared" ca="1" si="31"/>
        <v>VIGENTE</v>
      </c>
      <c r="CH44" s="4"/>
      <c r="CI44" s="4">
        <v>45504</v>
      </c>
      <c r="CJ44" s="4">
        <f>DATE(YEAR(CI44)+2,MONTH(CI44),DAY(CI44)-1)</f>
        <v>46233</v>
      </c>
      <c r="CK44" s="8">
        <f t="shared" ca="1" si="32"/>
        <v>99</v>
      </c>
      <c r="CL44" s="5" t="str">
        <f t="shared" ca="1" si="33"/>
        <v>VIGENTE</v>
      </c>
      <c r="CM44" s="3"/>
      <c r="CN44" s="4">
        <v>45517</v>
      </c>
      <c r="CO44" s="4">
        <f t="shared" si="217"/>
        <v>46246</v>
      </c>
      <c r="CP44" s="8">
        <f t="shared" ca="1" si="34"/>
        <v>112</v>
      </c>
      <c r="CQ44" s="5" t="str">
        <f t="shared" ca="1" si="35"/>
        <v>VIGENTE</v>
      </c>
      <c r="CR44" s="3"/>
      <c r="CS44" s="4">
        <v>45905</v>
      </c>
      <c r="CT44" s="4">
        <f>DATE(YEAR(CS44)+2,MONTH(CS44),DAY(CS44))</f>
        <v>46635</v>
      </c>
      <c r="CU44" s="8">
        <f t="shared" ca="1" si="36"/>
        <v>501</v>
      </c>
      <c r="CV44" s="5" t="str">
        <f t="shared" ca="1" si="37"/>
        <v>VIGENTE</v>
      </c>
      <c r="CW44" s="3"/>
      <c r="CX44" s="4">
        <v>45924</v>
      </c>
      <c r="CY44" s="4">
        <f>DATE(YEAR(CX44)+2,MONTH(CX44),DAY(CX44))</f>
        <v>46654</v>
      </c>
      <c r="CZ44" s="8">
        <f t="shared" ca="1" si="38"/>
        <v>520</v>
      </c>
      <c r="DA44" s="5" t="str">
        <f t="shared" ca="1" si="39"/>
        <v>VIGENTE</v>
      </c>
      <c r="DB44" s="3"/>
      <c r="DC44" s="4">
        <v>45535</v>
      </c>
      <c r="DD44" s="4">
        <f>DATE(YEAR(DC44)+2,MONTH(DC44),DAY(DC44)-1)</f>
        <v>46264</v>
      </c>
      <c r="DE44" s="8">
        <f t="shared" ca="1" si="40"/>
        <v>130</v>
      </c>
      <c r="DF44" s="5" t="str">
        <f t="shared" ca="1" si="41"/>
        <v>VIGENTE</v>
      </c>
      <c r="DG44" s="3"/>
      <c r="DH44" s="4">
        <v>45899</v>
      </c>
      <c r="DI44" s="4">
        <f>DATE(YEAR(DH44)+2,MONTH(DH44),DAY(DH44))</f>
        <v>46629</v>
      </c>
      <c r="DJ44" s="8">
        <f t="shared" ca="1" si="43"/>
        <v>495</v>
      </c>
      <c r="DK44" s="5" t="str">
        <f t="shared" ca="1" si="44"/>
        <v>VIGENTE</v>
      </c>
      <c r="DL44" s="3"/>
      <c r="DM44" s="4">
        <v>45982</v>
      </c>
      <c r="DN44" s="4">
        <f t="shared" si="223"/>
        <v>46712</v>
      </c>
      <c r="DO44" s="8">
        <f t="shared" ca="1" si="46"/>
        <v>578</v>
      </c>
      <c r="DP44" s="5" t="str">
        <f t="shared" ca="1" si="47"/>
        <v>VIGENTE</v>
      </c>
      <c r="DQ44" s="3"/>
      <c r="DR44" s="4">
        <v>46018</v>
      </c>
      <c r="DS44" s="4">
        <f>DATE(YEAR(DR44)+2,MONTH(DR44),DAY(DR44))</f>
        <v>46748</v>
      </c>
      <c r="DT44" s="8">
        <f t="shared" ca="1" si="48"/>
        <v>614</v>
      </c>
      <c r="DU44" s="5" t="str">
        <f t="shared" ca="1" si="49"/>
        <v>VIGENTE</v>
      </c>
      <c r="DV44" s="3"/>
      <c r="DW44" s="4">
        <v>45663</v>
      </c>
      <c r="DX44" s="4">
        <f>DATE(YEAR(DW44)+2,MONTH(DW44),DAY(DW44)-1)</f>
        <v>46392</v>
      </c>
      <c r="DY44" s="8">
        <f t="shared" ca="1" si="50"/>
        <v>258</v>
      </c>
      <c r="DZ44" s="5" t="str">
        <f t="shared" ca="1" si="51"/>
        <v>VIGENTE</v>
      </c>
      <c r="EA44" s="3"/>
      <c r="EB44" s="4">
        <v>45674</v>
      </c>
      <c r="EC44" s="4">
        <f>DATE(YEAR(EB44)+2,MONTH(EB44),DAY(EB44)-1)</f>
        <v>46403</v>
      </c>
      <c r="ED44" s="8">
        <f t="shared" ca="1" si="52"/>
        <v>269</v>
      </c>
      <c r="EE44" s="5" t="str">
        <f t="shared" ca="1" si="53"/>
        <v>VIGENTE</v>
      </c>
      <c r="EF44" s="3"/>
      <c r="EG44" s="3">
        <v>46107</v>
      </c>
      <c r="EH44" s="4">
        <f t="shared" si="137"/>
        <v>46472</v>
      </c>
      <c r="EI44" s="8">
        <f t="shared" ca="1" si="54"/>
        <v>338</v>
      </c>
      <c r="EJ44" s="5" t="str">
        <f t="shared" ca="1" si="55"/>
        <v>VIGENTE</v>
      </c>
      <c r="EK44" s="3"/>
      <c r="EL44" s="4">
        <v>45671</v>
      </c>
      <c r="EM44" s="4">
        <f>DATE(YEAR(EL44)+2,MONTH(EL44),DAY(EL44)-1)</f>
        <v>46400</v>
      </c>
      <c r="EN44" s="8">
        <f t="shared" ca="1" si="56"/>
        <v>266</v>
      </c>
      <c r="EO44" s="5" t="str">
        <f t="shared" ca="1" si="57"/>
        <v>VIGENTE</v>
      </c>
      <c r="EP44" s="3"/>
      <c r="EQ44" s="4">
        <v>45993</v>
      </c>
      <c r="ER44" s="4">
        <f>DATE(YEAR(EQ44)+2,MONTH(EQ44),DAY(EQ44))</f>
        <v>46723</v>
      </c>
      <c r="ES44" s="8">
        <f t="shared" ca="1" si="58"/>
        <v>589</v>
      </c>
      <c r="ET44" s="5" t="str">
        <f t="shared" ca="1" si="59"/>
        <v>VIGENTE</v>
      </c>
      <c r="EU44" s="3"/>
      <c r="EV44" s="4">
        <v>45917</v>
      </c>
      <c r="EW44" s="4">
        <f t="shared" si="219"/>
        <v>46647</v>
      </c>
      <c r="EX44" s="8">
        <f t="shared" ca="1" si="60"/>
        <v>513</v>
      </c>
      <c r="EY44" s="5" t="str">
        <f t="shared" ca="1" si="61"/>
        <v>VIGENTE</v>
      </c>
      <c r="EZ44" s="3"/>
      <c r="FA44" s="4">
        <v>45988</v>
      </c>
      <c r="FB44" s="4">
        <f t="shared" si="220"/>
        <v>46718</v>
      </c>
      <c r="FC44" s="8">
        <f t="shared" ca="1" si="62"/>
        <v>584</v>
      </c>
      <c r="FD44" s="5" t="str">
        <f t="shared" ca="1" si="63"/>
        <v>VIGENTE</v>
      </c>
      <c r="FE44" s="3"/>
      <c r="FF44" s="4">
        <v>45932</v>
      </c>
      <c r="FG44" s="4">
        <f t="shared" si="221"/>
        <v>46662</v>
      </c>
      <c r="FH44" s="8">
        <f t="shared" ca="1" si="64"/>
        <v>528</v>
      </c>
      <c r="FI44" s="5" t="str">
        <f t="shared" ca="1" si="65"/>
        <v>VIGENTE</v>
      </c>
      <c r="FJ44" s="3"/>
      <c r="FK44" s="4">
        <v>45738</v>
      </c>
      <c r="FL44" s="4">
        <f>DATE(YEAR(FK44)+2,MONTH(FK44),DAY(FK44)-1)</f>
        <v>46467</v>
      </c>
      <c r="FM44" s="8">
        <f t="shared" ca="1" si="67"/>
        <v>333</v>
      </c>
      <c r="FN44" s="5" t="str">
        <f t="shared" ca="1" si="68"/>
        <v>VIGENTE</v>
      </c>
      <c r="FO44" s="3"/>
      <c r="FP44" s="4">
        <v>45664</v>
      </c>
      <c r="FQ44" s="4">
        <f>DATE(YEAR(FP44)+2,MONTH(FP44),DAY(FP44)-1)</f>
        <v>46393</v>
      </c>
      <c r="FR44" s="8">
        <f t="shared" ca="1" si="69"/>
        <v>259</v>
      </c>
      <c r="FS44" s="5" t="str">
        <f t="shared" ca="1" si="70"/>
        <v>VIGENTE</v>
      </c>
      <c r="FT44" s="3"/>
      <c r="FU44" s="4">
        <v>46014</v>
      </c>
      <c r="FV44" s="4">
        <f>DATE(YEAR(FU44)+2,MONTH(FU44),DAY(FU44))</f>
        <v>46744</v>
      </c>
      <c r="FW44" s="8">
        <f t="shared" ca="1" si="71"/>
        <v>610</v>
      </c>
      <c r="FX44" s="5" t="str">
        <f t="shared" ca="1" si="72"/>
        <v>VIGENTE</v>
      </c>
      <c r="FY44" s="3"/>
      <c r="FZ44" s="4">
        <v>45833</v>
      </c>
      <c r="GA44" s="4">
        <f>DATE(YEAR(FZ44)+2,MONTH(FZ44),DAY(FZ44))</f>
        <v>46563</v>
      </c>
      <c r="GB44" s="8">
        <f t="shared" ca="1" si="73"/>
        <v>429</v>
      </c>
      <c r="GC44" s="5" t="str">
        <f t="shared" ca="1" si="74"/>
        <v>VIGENTE</v>
      </c>
      <c r="GD44" s="3"/>
      <c r="GE44" s="4">
        <v>45672</v>
      </c>
      <c r="GF44" s="4">
        <f>DATE(YEAR(GE44)+2,MONTH(GE44),DAY(GE44)-1)</f>
        <v>46401</v>
      </c>
      <c r="GG44" s="8">
        <f t="shared" ca="1" si="75"/>
        <v>267</v>
      </c>
      <c r="GH44" s="5" t="str">
        <f t="shared" ca="1" si="76"/>
        <v>VIGENTE</v>
      </c>
      <c r="GI44" s="3"/>
      <c r="GJ44" s="4">
        <v>45945</v>
      </c>
      <c r="GK44" s="4">
        <f t="shared" si="222"/>
        <v>46675</v>
      </c>
      <c r="GL44" s="8">
        <f t="shared" ca="1" si="77"/>
        <v>541</v>
      </c>
      <c r="GM44" s="5" t="str">
        <f t="shared" ca="1" si="78"/>
        <v>VIGENTE</v>
      </c>
      <c r="GN44" s="4"/>
      <c r="GO44" s="4">
        <v>45013</v>
      </c>
      <c r="GP44" s="4">
        <f t="shared" si="79"/>
        <v>46840</v>
      </c>
      <c r="GQ44" s="8">
        <f t="shared" ca="1" si="181"/>
        <v>706</v>
      </c>
      <c r="GR44" s="5" t="str">
        <f t="shared" ca="1" si="81"/>
        <v>VIGENTE</v>
      </c>
      <c r="GS44" s="3"/>
      <c r="GT44" s="4">
        <v>45006</v>
      </c>
      <c r="GU44" s="4">
        <f t="shared" si="82"/>
        <v>46833</v>
      </c>
      <c r="GV44" s="8">
        <f t="shared" ca="1" si="83"/>
        <v>699</v>
      </c>
      <c r="GW44" s="5" t="str">
        <f t="shared" ca="1" si="84"/>
        <v>VIGENTE</v>
      </c>
      <c r="GX44" s="2"/>
      <c r="GY44" s="4">
        <v>44919</v>
      </c>
      <c r="GZ44" s="4">
        <f t="shared" si="85"/>
        <v>46745</v>
      </c>
      <c r="HA44" s="8">
        <f t="shared" ca="1" si="86"/>
        <v>611</v>
      </c>
      <c r="HB44" s="5" t="str">
        <f t="shared" ca="1" si="87"/>
        <v>VIGENTE</v>
      </c>
      <c r="HC44" s="6"/>
      <c r="HD44" s="6"/>
      <c r="HE44" s="4"/>
      <c r="HF44" s="8"/>
      <c r="HG44" s="5" t="str">
        <f t="shared" si="192"/>
        <v>NO APLICA</v>
      </c>
      <c r="HH44" s="2"/>
      <c r="HI44" s="6"/>
      <c r="HJ44" s="4"/>
      <c r="HK44" s="8"/>
      <c r="HL44" s="5" t="str">
        <f t="shared" si="207"/>
        <v>NO APLICA</v>
      </c>
      <c r="HM44" s="2"/>
      <c r="HN44" s="5"/>
      <c r="HO44" s="4"/>
      <c r="HP44" s="5"/>
      <c r="HQ44" s="5" t="str">
        <f t="shared" si="92"/>
        <v>NO APLICA</v>
      </c>
      <c r="HR44" s="2"/>
      <c r="HS44" s="6"/>
      <c r="HT44" s="4"/>
      <c r="HU44" s="8"/>
      <c r="HV44" s="5" t="str">
        <f t="shared" si="93"/>
        <v>NO APLICA</v>
      </c>
      <c r="HW44" s="2"/>
      <c r="HX44" s="6"/>
      <c r="HY44" s="4"/>
      <c r="HZ44" s="8"/>
      <c r="IA44" s="5" t="str">
        <f t="shared" si="94"/>
        <v>NO APLICA</v>
      </c>
      <c r="IB44" s="2"/>
      <c r="IC44" s="6"/>
      <c r="ID44" s="4"/>
      <c r="IE44" s="8"/>
      <c r="IF44" s="5" t="str">
        <f t="shared" si="95"/>
        <v>NO APLICA</v>
      </c>
      <c r="IG44" s="6"/>
      <c r="IH44" s="6"/>
      <c r="II44" s="4"/>
      <c r="IJ44" s="8"/>
      <c r="IK44" s="5" t="str">
        <f t="shared" si="96"/>
        <v>NO APLICA</v>
      </c>
      <c r="IL44" s="2"/>
      <c r="IM44" s="6"/>
      <c r="IN44" s="4"/>
      <c r="IO44" s="8"/>
      <c r="IP44" s="5" t="str">
        <f t="shared" si="97"/>
        <v>NO APLICA</v>
      </c>
      <c r="IQ44" s="2"/>
      <c r="IR44" s="6"/>
      <c r="IS44" s="4"/>
      <c r="IT44" s="8"/>
      <c r="IU44" s="5" t="str">
        <f t="shared" si="98"/>
        <v>NO APLICA</v>
      </c>
      <c r="IV44" s="2"/>
      <c r="IW44" s="6"/>
      <c r="IX44" s="4"/>
      <c r="IY44" s="8"/>
      <c r="IZ44" s="5" t="str">
        <f t="shared" si="99"/>
        <v>NO APLICA</v>
      </c>
      <c r="JA44" s="3"/>
      <c r="JB44" s="3"/>
      <c r="JC44" s="4"/>
      <c r="JD44" s="8"/>
      <c r="JE44" s="5" t="str">
        <f t="shared" si="100"/>
        <v>NO APLICA</v>
      </c>
      <c r="JF44" s="6"/>
      <c r="JG44" s="6"/>
      <c r="JH44" s="6"/>
      <c r="JI44" s="6"/>
      <c r="JJ44" s="5" t="str">
        <f t="shared" si="101"/>
        <v>NO APLICA</v>
      </c>
      <c r="JK44" s="6"/>
      <c r="JL44" s="6"/>
      <c r="JM44" s="6"/>
      <c r="JN44" s="6"/>
      <c r="JO44" s="5" t="str">
        <f t="shared" si="102"/>
        <v>NO APLICA</v>
      </c>
      <c r="JP44" s="6"/>
      <c r="JQ44" s="6"/>
      <c r="JR44" s="6"/>
      <c r="JS44" s="6"/>
      <c r="JT44" s="5" t="str">
        <f t="shared" si="103"/>
        <v>NO APLICA</v>
      </c>
      <c r="JU44" s="5"/>
      <c r="JV44" s="5"/>
      <c r="JW44" s="5"/>
      <c r="JX44" s="5"/>
      <c r="JY44" s="5" t="str">
        <f t="shared" si="104"/>
        <v>NO APLICA</v>
      </c>
      <c r="JZ44" s="5"/>
      <c r="KA44" s="5"/>
      <c r="KB44" s="4"/>
      <c r="KC44" s="8"/>
      <c r="KD44" s="5" t="str">
        <f t="shared" si="105"/>
        <v>NO APLICA</v>
      </c>
      <c r="KE44" s="5"/>
      <c r="KF44" s="5"/>
      <c r="KG44" s="4"/>
      <c r="KH44" s="8"/>
      <c r="KI44" s="5" t="str">
        <f t="shared" si="141"/>
        <v>NO APLICA</v>
      </c>
      <c r="KJ44" s="5"/>
      <c r="KK44" s="5"/>
      <c r="KL44" s="4"/>
      <c r="KM44" s="8"/>
      <c r="KN44" s="5" t="str">
        <f t="shared" si="106"/>
        <v>NO APLICA</v>
      </c>
      <c r="KO44" s="5"/>
      <c r="KP44" s="2"/>
      <c r="KQ44" s="4"/>
      <c r="KR44" s="8"/>
      <c r="KS44" s="5" t="str">
        <f t="shared" si="142"/>
        <v>NO APLICA</v>
      </c>
      <c r="KT44" s="2"/>
      <c r="KU44" s="6"/>
      <c r="KV44" s="4"/>
      <c r="KW44" s="8"/>
      <c r="KX44" s="5" t="str">
        <f t="shared" si="156"/>
        <v>NO APLICA</v>
      </c>
      <c r="KY44" s="5"/>
      <c r="KZ44" s="6"/>
      <c r="LA44" s="4"/>
      <c r="LB44" s="8"/>
      <c r="LC44" s="5" t="str">
        <f t="shared" si="143"/>
        <v>NO APLICA</v>
      </c>
      <c r="LD44" s="6"/>
      <c r="LE44" s="6"/>
      <c r="LF44" s="4"/>
      <c r="LG44" s="8"/>
      <c r="LH44" s="5" t="str">
        <f t="shared" si="107"/>
        <v>NO APLICA</v>
      </c>
      <c r="LI44" s="5"/>
      <c r="LJ44" s="5"/>
      <c r="LK44" s="4"/>
      <c r="LL44" s="8"/>
      <c r="LM44" s="5" t="str">
        <f t="shared" si="157"/>
        <v>NO APLICA</v>
      </c>
      <c r="LN44" s="5"/>
      <c r="LO44" s="6"/>
      <c r="LP44" s="4"/>
      <c r="LQ44" s="8"/>
      <c r="LR44" s="5" t="str">
        <f t="shared" si="144"/>
        <v>NO APLICA</v>
      </c>
      <c r="LS44" s="6"/>
      <c r="LT44" s="6"/>
      <c r="LU44" s="4"/>
      <c r="LV44" s="8"/>
      <c r="LW44" s="5" t="str">
        <f t="shared" si="145"/>
        <v>NO APLICA</v>
      </c>
      <c r="LX44" s="6"/>
      <c r="LY44" s="6"/>
      <c r="LZ44" s="4"/>
      <c r="MA44" s="8"/>
      <c r="MB44" s="5" t="str">
        <f t="shared" si="146"/>
        <v>NO APLICA</v>
      </c>
      <c r="MC44" s="5"/>
      <c r="MD44" s="5"/>
      <c r="ME44" s="4"/>
      <c r="MF44" s="8"/>
      <c r="MG44" s="5" t="str">
        <f t="shared" si="108"/>
        <v>NO APLICA</v>
      </c>
      <c r="MH44" s="5"/>
      <c r="MI44" s="5"/>
      <c r="MJ44" s="4"/>
      <c r="MK44" s="8"/>
      <c r="ML44" s="5" t="str">
        <f t="shared" si="109"/>
        <v>NO APLICA</v>
      </c>
      <c r="MM44" s="5"/>
      <c r="MN44" s="5"/>
      <c r="MO44" s="4"/>
      <c r="MP44" s="8"/>
      <c r="MQ44" s="5" t="str">
        <f t="shared" si="110"/>
        <v>NO APLICA</v>
      </c>
      <c r="MR44" s="5"/>
      <c r="MS44" s="5"/>
      <c r="MT44" s="4"/>
      <c r="MU44" s="5"/>
      <c r="MV44" s="5" t="str">
        <f t="shared" si="111"/>
        <v>NO APLICA</v>
      </c>
      <c r="MW44" s="5"/>
      <c r="MX44" s="6"/>
      <c r="MY44" s="4"/>
      <c r="MZ44" s="8"/>
      <c r="NA44" s="5" t="str">
        <f t="shared" si="112"/>
        <v>NO APLICA</v>
      </c>
      <c r="NB44" s="5"/>
      <c r="NC44" s="6"/>
      <c r="ND44" s="4"/>
      <c r="NE44" s="8"/>
      <c r="NF44" s="5" t="str">
        <f t="shared" si="113"/>
        <v>NO APLICA</v>
      </c>
      <c r="NG44" s="5"/>
      <c r="NH44" s="6"/>
      <c r="NI44" s="4"/>
      <c r="NJ44" s="8"/>
      <c r="NK44" s="5" t="str">
        <f t="shared" si="114"/>
        <v>NO APLICA</v>
      </c>
      <c r="NL44" s="5"/>
      <c r="NM44" s="5"/>
      <c r="NN44" s="4"/>
      <c r="NO44" s="8"/>
      <c r="NP44" s="5" t="str">
        <f t="shared" si="115"/>
        <v>NO APLICA</v>
      </c>
      <c r="NQ44" s="5"/>
      <c r="NR44" s="5"/>
      <c r="NS44" s="5"/>
      <c r="NT44" s="5"/>
      <c r="NU44" s="5" t="str">
        <f t="shared" si="116"/>
        <v>NO APLICA</v>
      </c>
      <c r="NV44" s="6"/>
      <c r="NW44" s="6"/>
      <c r="NX44" s="4"/>
      <c r="NY44" s="8"/>
      <c r="NZ44" s="5" t="str">
        <f t="shared" si="117"/>
        <v>NO APLICA</v>
      </c>
      <c r="OA44" s="6"/>
      <c r="OB44" s="6"/>
      <c r="OC44" s="6"/>
      <c r="OD44" s="6"/>
      <c r="OE44" s="5" t="str">
        <f t="shared" si="118"/>
        <v>NO APLICA</v>
      </c>
      <c r="OF44" s="6"/>
      <c r="OG44" s="6"/>
      <c r="OH44" s="4"/>
      <c r="OI44" s="8"/>
      <c r="OJ44" s="5" t="str">
        <f t="shared" si="119"/>
        <v>NO APLICA</v>
      </c>
      <c r="OK44" s="6"/>
      <c r="OL44" s="6"/>
      <c r="OM44" s="6"/>
      <c r="ON44" s="6"/>
      <c r="OO44" s="5" t="str">
        <f t="shared" si="120"/>
        <v>NO APLICA</v>
      </c>
      <c r="OP44" s="6"/>
      <c r="OQ44" s="6"/>
      <c r="OR44" s="6"/>
      <c r="OS44" s="6"/>
      <c r="OT44" s="5" t="str">
        <f t="shared" si="121"/>
        <v>NO APLICA</v>
      </c>
      <c r="OU44" s="6"/>
      <c r="OV44" s="6"/>
      <c r="OW44" s="6"/>
      <c r="OX44" s="6"/>
      <c r="OY44" s="5" t="str">
        <f t="shared" si="122"/>
        <v>NO APLICA</v>
      </c>
      <c r="OZ44" s="6"/>
      <c r="PA44" s="6"/>
      <c r="PB44" s="6"/>
      <c r="PC44" s="6"/>
      <c r="PD44" s="5" t="str">
        <f t="shared" si="123"/>
        <v>NO APLICA</v>
      </c>
      <c r="PE44" s="6"/>
      <c r="PF44" s="6"/>
      <c r="PG44" s="6"/>
      <c r="PH44" s="6"/>
      <c r="PI44" s="5" t="str">
        <f t="shared" si="124"/>
        <v>NO APLICA</v>
      </c>
      <c r="PJ44" s="5"/>
      <c r="PK44" s="6"/>
      <c r="PL44" s="4"/>
      <c r="PM44" s="8"/>
      <c r="PN44" s="5" t="str">
        <f t="shared" si="125"/>
        <v>NO APLICA</v>
      </c>
      <c r="PO44" s="6"/>
      <c r="PP44" s="6"/>
      <c r="PQ44" s="6"/>
      <c r="PR44" s="6"/>
      <c r="PS44" s="5" t="str">
        <f t="shared" si="126"/>
        <v>NO APLICA</v>
      </c>
      <c r="PT44" s="5"/>
      <c r="PU44" s="6"/>
      <c r="PV44" s="6"/>
      <c r="PW44" s="6"/>
      <c r="PX44" s="5" t="str">
        <f t="shared" si="127"/>
        <v>NO APLICA</v>
      </c>
    </row>
    <row r="45" spans="1:440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204</v>
      </c>
      <c r="V45" s="4">
        <v>45309</v>
      </c>
      <c r="W45" s="4">
        <f t="shared" si="2"/>
        <v>47136</v>
      </c>
      <c r="X45" s="8">
        <f t="shared" ca="1" si="3"/>
        <v>1002</v>
      </c>
      <c r="Y45" s="5" t="str">
        <f t="shared" ca="1" si="4"/>
        <v>VIGENTE</v>
      </c>
      <c r="Z45" s="6" t="s">
        <v>205</v>
      </c>
      <c r="AA45" s="4">
        <v>45577</v>
      </c>
      <c r="AB45" s="4">
        <f>DATE(YEAR(AA45)+5,MONTH(AA45),DAY(AA45))</f>
        <v>47403</v>
      </c>
      <c r="AC45" s="8">
        <f ca="1">AB45-TODAY()</f>
        <v>1269</v>
      </c>
      <c r="AD45" s="5" t="str">
        <f t="shared" ca="1" si="7"/>
        <v>VIGENTE</v>
      </c>
      <c r="AE45" s="4"/>
      <c r="AF45" s="4">
        <v>46006</v>
      </c>
      <c r="AG45" s="4">
        <f>DATE(YEAR(AF45)+2,MONTH(AF45),DAY(AF45))</f>
        <v>46736</v>
      </c>
      <c r="AH45" s="8">
        <f t="shared" ca="1" si="8"/>
        <v>602</v>
      </c>
      <c r="AI45" s="5" t="str">
        <f t="shared" ca="1" si="224"/>
        <v>VIGENTE</v>
      </c>
      <c r="AJ45" s="6"/>
      <c r="AK45" s="4">
        <v>45937</v>
      </c>
      <c r="AL45" s="4">
        <f t="shared" si="218"/>
        <v>46667</v>
      </c>
      <c r="AM45" s="8">
        <f t="shared" ca="1" si="10"/>
        <v>533</v>
      </c>
      <c r="AN45" s="5" t="str">
        <f t="shared" ca="1" si="11"/>
        <v>VIGENTE</v>
      </c>
      <c r="AO45" s="4"/>
      <c r="AP45" s="4">
        <v>46083</v>
      </c>
      <c r="AQ45" s="4">
        <f t="shared" si="225"/>
        <v>46814</v>
      </c>
      <c r="AR45" s="8">
        <f t="shared" ca="1" si="12"/>
        <v>680</v>
      </c>
      <c r="AS45" s="5" t="str">
        <f t="shared" ca="1" si="13"/>
        <v>VIGENTE</v>
      </c>
      <c r="AT45" s="4"/>
      <c r="AU45" s="4">
        <v>45972</v>
      </c>
      <c r="AV45" s="4">
        <f t="shared" si="226"/>
        <v>46702</v>
      </c>
      <c r="AW45" s="8">
        <f t="shared" ca="1" si="15"/>
        <v>568</v>
      </c>
      <c r="AX45" s="5" t="str">
        <f t="shared" ca="1" si="16"/>
        <v>VIGENTE</v>
      </c>
      <c r="AY45" s="4"/>
      <c r="AZ45" s="4">
        <v>46071</v>
      </c>
      <c r="BA45" s="4">
        <f>DATE(YEAR(AZ45)+2,MONTH(AZ45),DAY(AZ45))</f>
        <v>46801</v>
      </c>
      <c r="BB45" s="8">
        <f t="shared" ca="1" si="17"/>
        <v>667</v>
      </c>
      <c r="BC45" s="5" t="str">
        <f t="shared" ca="1" si="18"/>
        <v>VIGENTE</v>
      </c>
      <c r="BD45" s="6"/>
      <c r="BE45" s="4">
        <v>45997</v>
      </c>
      <c r="BF45" s="4">
        <f t="shared" si="227"/>
        <v>46727</v>
      </c>
      <c r="BG45" s="8">
        <f t="shared" ca="1" si="19"/>
        <v>593</v>
      </c>
      <c r="BH45" s="5" t="str">
        <f t="shared" ca="1" si="20"/>
        <v>VIGENTE</v>
      </c>
      <c r="BI45" s="4"/>
      <c r="BJ45" s="4">
        <v>45519</v>
      </c>
      <c r="BK45" s="4">
        <f>DATE(YEAR(BJ45)+2,MONTH(BJ45),DAY(BJ45)-1)</f>
        <v>46248</v>
      </c>
      <c r="BL45" s="8">
        <f t="shared" ca="1" si="21"/>
        <v>114</v>
      </c>
      <c r="BM45" s="5" t="str">
        <f t="shared" ca="1" si="22"/>
        <v>VIGENTE</v>
      </c>
      <c r="BN45" s="4"/>
      <c r="BO45" s="4">
        <v>46069</v>
      </c>
      <c r="BP45" s="4">
        <f>DATE(YEAR(BO45)+2,MONTH(BO45),DAY(BO45))</f>
        <v>46799</v>
      </c>
      <c r="BQ45" s="8">
        <f t="shared" ca="1" si="23"/>
        <v>665</v>
      </c>
      <c r="BR45" s="5" t="str">
        <f t="shared" ca="1" si="24"/>
        <v>VIGENTE</v>
      </c>
      <c r="BS45" s="4"/>
      <c r="BT45" s="4">
        <v>46074</v>
      </c>
      <c r="BU45" s="4">
        <f>DATE(YEAR(BT45)+2,MONTH(BT45),DAY(BT45))</f>
        <v>46804</v>
      </c>
      <c r="BV45" s="8">
        <f t="shared" ca="1" si="25"/>
        <v>670</v>
      </c>
      <c r="BW45" s="5" t="str">
        <f t="shared" ca="1" si="26"/>
        <v>VIGENTE</v>
      </c>
      <c r="BX45" s="6"/>
      <c r="BY45" s="4">
        <v>45480</v>
      </c>
      <c r="BZ45" s="4">
        <f>DATE(YEAR(BY45)+2,MONTH(BY45),DAY(BY45)-1)</f>
        <v>46209</v>
      </c>
      <c r="CA45" s="8">
        <f t="shared" ca="1" si="27"/>
        <v>75</v>
      </c>
      <c r="CB45" s="5" t="str">
        <f t="shared" ca="1" si="28"/>
        <v>POR VENCER</v>
      </c>
      <c r="CC45" s="6" t="s">
        <v>73</v>
      </c>
      <c r="CD45" s="4">
        <v>45346</v>
      </c>
      <c r="CE45" s="4">
        <f t="shared" si="29"/>
        <v>46807</v>
      </c>
      <c r="CF45" s="8">
        <f t="shared" ca="1" si="30"/>
        <v>673</v>
      </c>
      <c r="CG45" s="5" t="str">
        <f t="shared" ca="1" si="31"/>
        <v>VIGENTE</v>
      </c>
      <c r="CH45" s="4"/>
      <c r="CI45" s="4">
        <v>46018</v>
      </c>
      <c r="CJ45" s="4">
        <f>DATE(YEAR(CI45)+2,MONTH(CI45),DAY(CI45))</f>
        <v>46748</v>
      </c>
      <c r="CK45" s="8">
        <f t="shared" ca="1" si="32"/>
        <v>614</v>
      </c>
      <c r="CL45" s="5" t="str">
        <f t="shared" ca="1" si="33"/>
        <v>VIGENTE</v>
      </c>
      <c r="CM45" s="4"/>
      <c r="CN45" s="4">
        <v>46101</v>
      </c>
      <c r="CO45" s="4">
        <f>DATE(YEAR(CN45)+2,MONTH(CN45),DAY(CN45))</f>
        <v>46832</v>
      </c>
      <c r="CP45" s="8">
        <f t="shared" ca="1" si="34"/>
        <v>698</v>
      </c>
      <c r="CQ45" s="5" t="str">
        <f t="shared" ca="1" si="35"/>
        <v>VIGENTE</v>
      </c>
      <c r="CR45" s="4"/>
      <c r="CS45" s="4">
        <v>46043</v>
      </c>
      <c r="CT45" s="4">
        <f>DATE(YEAR(CS45)+2,MONTH(CS45),DAY(CS45))</f>
        <v>46773</v>
      </c>
      <c r="CU45" s="8">
        <f t="shared" ca="1" si="36"/>
        <v>639</v>
      </c>
      <c r="CV45" s="5" t="str">
        <f t="shared" ca="1" si="37"/>
        <v>VIGENTE</v>
      </c>
      <c r="CW45" s="4"/>
      <c r="CX45" s="4">
        <v>46028</v>
      </c>
      <c r="CY45" s="4">
        <f>DATE(YEAR(CX45)+2,MONTH(CX45),DAY(CX45))</f>
        <v>46758</v>
      </c>
      <c r="CZ45" s="8">
        <f t="shared" ca="1" si="38"/>
        <v>624</v>
      </c>
      <c r="DA45" s="5" t="str">
        <f t="shared" ca="1" si="39"/>
        <v>VIGENTE</v>
      </c>
      <c r="DB45" s="4"/>
      <c r="DC45" s="4">
        <v>46045</v>
      </c>
      <c r="DD45" s="4">
        <f>DATE(YEAR(DC45)+2,MONTH(DC45),DAY(DC45))</f>
        <v>46775</v>
      </c>
      <c r="DE45" s="8">
        <f t="shared" ca="1" si="40"/>
        <v>641</v>
      </c>
      <c r="DF45" s="5" t="str">
        <f t="shared" ca="1" si="41"/>
        <v>VIGENTE</v>
      </c>
      <c r="DG45" s="4"/>
      <c r="DH45" s="4">
        <v>46029</v>
      </c>
      <c r="DI45" s="4">
        <f>DATE(YEAR(DH45)+2,MONTH(DH45),DAY(DH45))</f>
        <v>46759</v>
      </c>
      <c r="DJ45" s="8">
        <f t="shared" ca="1" si="43"/>
        <v>625</v>
      </c>
      <c r="DK45" s="5" t="str">
        <f t="shared" ca="1" si="44"/>
        <v>VIGENTE</v>
      </c>
      <c r="DL45" s="4"/>
      <c r="DM45" s="4">
        <v>46046</v>
      </c>
      <c r="DN45" s="4">
        <f t="shared" si="223"/>
        <v>46776</v>
      </c>
      <c r="DO45" s="8">
        <f t="shared" ca="1" si="46"/>
        <v>642</v>
      </c>
      <c r="DP45" s="5" t="str">
        <f t="shared" ca="1" si="47"/>
        <v>VIGENTE</v>
      </c>
      <c r="DQ45" s="6"/>
      <c r="DR45" s="4">
        <v>46072</v>
      </c>
      <c r="DS45" s="4">
        <f>DATE(YEAR(DR45)+2,MONTH(DR45),DAY(DR45))</f>
        <v>46802</v>
      </c>
      <c r="DT45" s="8">
        <f t="shared" ca="1" si="48"/>
        <v>668</v>
      </c>
      <c r="DU45" s="5" t="str">
        <f t="shared" ca="1" si="49"/>
        <v>VIGENTE</v>
      </c>
      <c r="DV45" s="4"/>
      <c r="DW45" s="4">
        <v>45510</v>
      </c>
      <c r="DX45" s="4">
        <f>DATE(YEAR(DW45)+2,MONTH(DW45),DAY(DW45)-1)</f>
        <v>46239</v>
      </c>
      <c r="DY45" s="8">
        <f t="shared" ca="1" si="50"/>
        <v>105</v>
      </c>
      <c r="DZ45" s="5" t="str">
        <f t="shared" ca="1" si="51"/>
        <v>VIGENTE</v>
      </c>
      <c r="EA45" s="4"/>
      <c r="EB45" s="4">
        <v>45462</v>
      </c>
      <c r="EC45" s="4">
        <f>DATE(YEAR(EB45)+2,MONTH(EB45),DAY(EB45)-1)</f>
        <v>46191</v>
      </c>
      <c r="ED45" s="8">
        <f t="shared" ca="1" si="52"/>
        <v>57</v>
      </c>
      <c r="EE45" s="5" t="str">
        <f t="shared" ca="1" si="53"/>
        <v>POR VENCER</v>
      </c>
      <c r="EF45" s="4"/>
      <c r="EG45" s="4">
        <v>45812</v>
      </c>
      <c r="EH45" s="4">
        <f t="shared" si="137"/>
        <v>46177</v>
      </c>
      <c r="EI45" s="8">
        <f t="shared" ca="1" si="54"/>
        <v>43</v>
      </c>
      <c r="EJ45" s="5" t="str">
        <f t="shared" ca="1" si="55"/>
        <v>POR VENCER</v>
      </c>
      <c r="EK45" s="4"/>
      <c r="EL45" s="4">
        <v>45465</v>
      </c>
      <c r="EM45" s="4">
        <f>DATE(YEAR(EL45)+2,MONTH(EL45),DAY(EL45)-1)</f>
        <v>46194</v>
      </c>
      <c r="EN45" s="8">
        <f t="shared" ca="1" si="56"/>
        <v>60</v>
      </c>
      <c r="EO45" s="5" t="str">
        <f t="shared" ca="1" si="57"/>
        <v>POR VENCER</v>
      </c>
      <c r="EP45" s="6"/>
      <c r="EQ45" s="4">
        <v>45999</v>
      </c>
      <c r="ER45" s="4">
        <f>DATE(YEAR(EQ45)+2,MONTH(EQ45),DAY(EQ45))</f>
        <v>46729</v>
      </c>
      <c r="ES45" s="8">
        <f t="shared" ca="1" si="58"/>
        <v>595</v>
      </c>
      <c r="ET45" s="5" t="str">
        <f t="shared" ca="1" si="59"/>
        <v>VIGENTE</v>
      </c>
      <c r="EU45" s="3"/>
      <c r="EV45" s="4">
        <v>46037</v>
      </c>
      <c r="EW45" s="4">
        <f t="shared" si="219"/>
        <v>46767</v>
      </c>
      <c r="EX45" s="8">
        <f t="shared" ca="1" si="60"/>
        <v>633</v>
      </c>
      <c r="EY45" s="5" t="str">
        <f t="shared" ca="1" si="61"/>
        <v>VIGENTE</v>
      </c>
      <c r="EZ45" s="4"/>
      <c r="FA45" s="4">
        <v>46017</v>
      </c>
      <c r="FB45" s="4">
        <f t="shared" si="220"/>
        <v>46747</v>
      </c>
      <c r="FC45" s="8">
        <f t="shared" ca="1" si="62"/>
        <v>613</v>
      </c>
      <c r="FD45" s="5" t="str">
        <f t="shared" ca="1" si="63"/>
        <v>VIGENTE</v>
      </c>
      <c r="FE45" s="6"/>
      <c r="FF45" s="4">
        <v>46009</v>
      </c>
      <c r="FG45" s="4">
        <f t="shared" si="221"/>
        <v>46739</v>
      </c>
      <c r="FH45" s="8">
        <f t="shared" ca="1" si="64"/>
        <v>605</v>
      </c>
      <c r="FI45" s="5" t="str">
        <f t="shared" ca="1" si="65"/>
        <v>VIGENTE</v>
      </c>
      <c r="FJ45" s="4"/>
      <c r="FK45" s="4">
        <v>46039</v>
      </c>
      <c r="FL45" s="4">
        <f>DATE(YEAR(FK45)+2,MONTH(FK45),DAY(FK45))</f>
        <v>46769</v>
      </c>
      <c r="FM45" s="8">
        <f t="shared" ca="1" si="67"/>
        <v>635</v>
      </c>
      <c r="FN45" s="5" t="str">
        <f t="shared" ca="1" si="68"/>
        <v>VIGENTE</v>
      </c>
      <c r="FO45" s="4"/>
      <c r="FP45" s="4">
        <v>46034</v>
      </c>
      <c r="FQ45" s="4">
        <f>DATE(YEAR(FP45)+2,MONTH(FP45),DAY(FP45))</f>
        <v>46764</v>
      </c>
      <c r="FR45" s="8">
        <f t="shared" ca="1" si="69"/>
        <v>630</v>
      </c>
      <c r="FS45" s="5" t="str">
        <f t="shared" ca="1" si="70"/>
        <v>VIGENTE</v>
      </c>
      <c r="FT45" s="4"/>
      <c r="FU45" s="4">
        <v>45581</v>
      </c>
      <c r="FV45" s="4">
        <f>DATE(YEAR(FU45)+2,MONTH(FU45),DAY(FU45)-1)</f>
        <v>46310</v>
      </c>
      <c r="FW45" s="8">
        <f t="shared" ca="1" si="71"/>
        <v>176</v>
      </c>
      <c r="FX45" s="5" t="str">
        <f t="shared" ca="1" si="72"/>
        <v>VIGENTE</v>
      </c>
      <c r="FY45" s="4"/>
      <c r="FZ45" s="4">
        <v>46030</v>
      </c>
      <c r="GA45" s="4">
        <f>DATE(YEAR(FZ45)+2,MONTH(FZ45),DAY(FZ45))</f>
        <v>46760</v>
      </c>
      <c r="GB45" s="8">
        <f t="shared" ca="1" si="73"/>
        <v>626</v>
      </c>
      <c r="GC45" s="5" t="str">
        <f t="shared" ca="1" si="74"/>
        <v>VIGENTE</v>
      </c>
      <c r="GD45" s="4"/>
      <c r="GE45" s="4">
        <v>46092</v>
      </c>
      <c r="GF45" s="4">
        <f>DATE(YEAR(GE45)+2,MONTH(GE45),DAY(GE45))</f>
        <v>46823</v>
      </c>
      <c r="GG45" s="8">
        <f t="shared" ca="1" si="75"/>
        <v>689</v>
      </c>
      <c r="GH45" s="5" t="str">
        <f t="shared" ca="1" si="76"/>
        <v>VIGENTE</v>
      </c>
      <c r="GI45" s="3"/>
      <c r="GJ45" s="4">
        <v>46044</v>
      </c>
      <c r="GK45" s="4">
        <f t="shared" si="222"/>
        <v>46774</v>
      </c>
      <c r="GL45" s="8">
        <f t="shared" ca="1" si="77"/>
        <v>640</v>
      </c>
      <c r="GM45" s="5" t="str">
        <f t="shared" ca="1" si="78"/>
        <v>VIGENTE</v>
      </c>
      <c r="GN45" s="4"/>
      <c r="GO45" s="4">
        <v>45367</v>
      </c>
      <c r="GP45" s="4">
        <f t="shared" si="79"/>
        <v>47193</v>
      </c>
      <c r="GQ45" s="8">
        <f t="shared" ca="1" si="181"/>
        <v>1059</v>
      </c>
      <c r="GR45" s="5" t="str">
        <f t="shared" ca="1" si="81"/>
        <v>VIGENTE</v>
      </c>
      <c r="GS45" s="4"/>
      <c r="GT45" s="4">
        <v>45464</v>
      </c>
      <c r="GU45" s="4">
        <f t="shared" si="82"/>
        <v>47290</v>
      </c>
      <c r="GV45" s="8">
        <f t="shared" ca="1" si="83"/>
        <v>1156</v>
      </c>
      <c r="GW45" s="5" t="str">
        <f t="shared" ca="1" si="84"/>
        <v>VIGENTE</v>
      </c>
      <c r="GX45" s="6"/>
      <c r="GY45" s="4">
        <v>45479</v>
      </c>
      <c r="GZ45" s="4">
        <f t="shared" si="85"/>
        <v>47305</v>
      </c>
      <c r="HA45" s="8">
        <f t="shared" ca="1" si="86"/>
        <v>1171</v>
      </c>
      <c r="HB45" s="5" t="str">
        <f t="shared" ca="1" si="87"/>
        <v>VIGENTE</v>
      </c>
      <c r="HC45" s="6"/>
      <c r="HD45" s="6"/>
      <c r="HE45" s="4">
        <f>DATE(YEAR(HD45)+5,MONTH(HD45),DAY(HD45))</f>
        <v>1827</v>
      </c>
      <c r="HF45" s="8">
        <f ca="1">HE45-TODAY()</f>
        <v>-44307</v>
      </c>
      <c r="HG45" s="5" t="str">
        <f ca="1">IF(HF45&gt;=61,"VIGENTE",IF(HF45&gt;=1,"POR VENCER",IF(HF45&lt;=-1,"PROGRAMAR",IF(HD45=0,"NO APLICA"))))</f>
        <v>PROGRAMAR</v>
      </c>
      <c r="HH45" s="6"/>
      <c r="HI45" s="6"/>
      <c r="HJ45" s="4"/>
      <c r="HK45" s="8"/>
      <c r="HL45" s="5" t="str">
        <f t="shared" si="207"/>
        <v>NO APLICA</v>
      </c>
      <c r="HM45" s="2"/>
      <c r="HN45" s="2"/>
      <c r="HO45" s="4"/>
      <c r="HP45" s="2"/>
      <c r="HQ45" s="5" t="str">
        <f t="shared" si="92"/>
        <v>NO APLICA</v>
      </c>
      <c r="HR45" s="6"/>
      <c r="HS45" s="6"/>
      <c r="HT45" s="4"/>
      <c r="HU45" s="8"/>
      <c r="HV45" s="5" t="str">
        <f t="shared" si="93"/>
        <v>NO APLICA</v>
      </c>
      <c r="HW45" s="6"/>
      <c r="HX45" s="6"/>
      <c r="HY45" s="4"/>
      <c r="HZ45" s="8"/>
      <c r="IA45" s="5" t="str">
        <f t="shared" si="94"/>
        <v>NO APLICA</v>
      </c>
      <c r="IB45" s="6"/>
      <c r="IC45" s="6"/>
      <c r="ID45" s="4"/>
      <c r="IE45" s="8"/>
      <c r="IF45" s="5" t="str">
        <f t="shared" si="95"/>
        <v>NO APLICA</v>
      </c>
      <c r="IG45" s="6"/>
      <c r="IH45" s="6"/>
      <c r="II45" s="4"/>
      <c r="IJ45" s="6"/>
      <c r="IK45" s="5" t="str">
        <f t="shared" si="96"/>
        <v>NO APLICA</v>
      </c>
      <c r="IL45" s="6"/>
      <c r="IM45" s="4"/>
      <c r="IN45" s="4"/>
      <c r="IO45" s="8"/>
      <c r="IP45" s="5" t="str">
        <f t="shared" si="97"/>
        <v>NO APLICA</v>
      </c>
      <c r="IQ45" s="6"/>
      <c r="IR45" s="6"/>
      <c r="IS45" s="4"/>
      <c r="IT45" s="8"/>
      <c r="IU45" s="5" t="str">
        <f t="shared" si="98"/>
        <v>NO APLICA</v>
      </c>
      <c r="IV45" s="6"/>
      <c r="IW45" s="6"/>
      <c r="IX45" s="4"/>
      <c r="IY45" s="8"/>
      <c r="IZ45" s="5" t="str">
        <f t="shared" si="99"/>
        <v>NO APLICA</v>
      </c>
      <c r="JA45" s="3"/>
      <c r="JB45" s="3"/>
      <c r="JC45" s="4"/>
      <c r="JD45" s="8"/>
      <c r="JE45" s="5" t="str">
        <f t="shared" si="100"/>
        <v>NO APLICA</v>
      </c>
      <c r="JF45" s="6"/>
      <c r="JG45" s="6"/>
      <c r="JH45" s="6"/>
      <c r="JI45" s="6"/>
      <c r="JJ45" s="5" t="str">
        <f t="shared" si="101"/>
        <v>NO APLICA</v>
      </c>
      <c r="JK45" s="6"/>
      <c r="JL45" s="6"/>
      <c r="JM45" s="6"/>
      <c r="JN45" s="6"/>
      <c r="JO45" s="5" t="str">
        <f t="shared" si="102"/>
        <v>NO APLICA</v>
      </c>
      <c r="JP45" s="6"/>
      <c r="JQ45" s="6"/>
      <c r="JR45" s="6"/>
      <c r="JS45" s="6"/>
      <c r="JT45" s="5" t="str">
        <f t="shared" si="103"/>
        <v>NO APLICA</v>
      </c>
      <c r="JU45" s="5"/>
      <c r="JV45" s="5"/>
      <c r="JW45" s="5"/>
      <c r="JX45" s="5"/>
      <c r="JY45" s="5" t="str">
        <f t="shared" si="104"/>
        <v>NO APLICA</v>
      </c>
      <c r="JZ45" s="5"/>
      <c r="KA45" s="2"/>
      <c r="KB45" s="4"/>
      <c r="KC45" s="8"/>
      <c r="KD45" s="5" t="str">
        <f t="shared" si="105"/>
        <v>NO APLICA</v>
      </c>
      <c r="KE45" s="5"/>
      <c r="KF45" s="3">
        <v>45328</v>
      </c>
      <c r="KG45" s="4">
        <f>DATE(YEAR(KF45)+5,MONTH(KF45),DAY(KF45)-1)</f>
        <v>47154</v>
      </c>
      <c r="KH45" s="8">
        <f ca="1">KG45-TODAY()</f>
        <v>1020</v>
      </c>
      <c r="KI45" s="5" t="str">
        <f t="shared" ca="1" si="141"/>
        <v>VIGENTE</v>
      </c>
      <c r="KJ45" s="5"/>
      <c r="KK45" s="2"/>
      <c r="KL45" s="4"/>
      <c r="KM45" s="8"/>
      <c r="KN45" s="5" t="str">
        <f t="shared" si="106"/>
        <v>NO APLICA</v>
      </c>
      <c r="KO45" s="5"/>
      <c r="KP45" s="3">
        <v>45346</v>
      </c>
      <c r="KQ45" s="4">
        <f>DATE(YEAR(KP45)+5,MONTH(KP45),DAY(KP45))</f>
        <v>47173</v>
      </c>
      <c r="KR45" s="8">
        <f ca="1">KQ45-TODAY()</f>
        <v>1039</v>
      </c>
      <c r="KS45" s="5" t="str">
        <f t="shared" ca="1" si="142"/>
        <v>VIGENTE</v>
      </c>
      <c r="KT45" s="6"/>
      <c r="KU45" s="6"/>
      <c r="KV45" s="4"/>
      <c r="KW45" s="6"/>
      <c r="KX45" s="5" t="str">
        <f t="shared" si="156"/>
        <v>NO APLICA</v>
      </c>
      <c r="KY45" s="5"/>
      <c r="KZ45" s="6"/>
      <c r="LA45" s="4"/>
      <c r="LB45" s="6"/>
      <c r="LC45" s="5" t="str">
        <f t="shared" si="143"/>
        <v>NO APLICA</v>
      </c>
      <c r="LD45" s="6"/>
      <c r="LE45" s="4"/>
      <c r="LF45" s="4"/>
      <c r="LG45" s="8"/>
      <c r="LH45" s="5" t="str">
        <f t="shared" si="107"/>
        <v>NO APLICA</v>
      </c>
      <c r="LI45" s="5"/>
      <c r="LJ45" s="5"/>
      <c r="LK45" s="4"/>
      <c r="LL45" s="8"/>
      <c r="LM45" s="5" t="str">
        <f t="shared" si="157"/>
        <v>NO APLICA</v>
      </c>
      <c r="LN45" s="6"/>
      <c r="LO45" s="6"/>
      <c r="LP45" s="4"/>
      <c r="LQ45" s="8"/>
      <c r="LR45" s="5" t="str">
        <f t="shared" si="144"/>
        <v>NO APLICA</v>
      </c>
      <c r="LS45" s="6"/>
      <c r="LT45" s="6"/>
      <c r="LU45" s="4"/>
      <c r="LV45" s="6"/>
      <c r="LW45" s="5" t="str">
        <f t="shared" si="145"/>
        <v>NO APLICA</v>
      </c>
      <c r="LX45" s="6"/>
      <c r="LY45" s="6"/>
      <c r="LZ45" s="4"/>
      <c r="MA45" s="6"/>
      <c r="MB45" s="5" t="str">
        <f t="shared" si="146"/>
        <v>NO APLICA</v>
      </c>
      <c r="MC45" s="6"/>
      <c r="MD45" s="6"/>
      <c r="ME45" s="4"/>
      <c r="MF45" s="6"/>
      <c r="MG45" s="5" t="str">
        <f t="shared" si="108"/>
        <v>NO APLICA</v>
      </c>
      <c r="MH45" s="6"/>
      <c r="MI45" s="6"/>
      <c r="MJ45" s="4"/>
      <c r="MK45" s="6"/>
      <c r="ML45" s="5" t="str">
        <f t="shared" si="109"/>
        <v>NO APLICA</v>
      </c>
      <c r="MM45" s="5"/>
      <c r="MN45" s="6"/>
      <c r="MO45" s="4"/>
      <c r="MP45" s="6"/>
      <c r="MQ45" s="5" t="str">
        <f t="shared" si="110"/>
        <v>NO APLICA</v>
      </c>
      <c r="MR45" s="5"/>
      <c r="MS45" s="6"/>
      <c r="MT45" s="6"/>
      <c r="MU45" s="6"/>
      <c r="MV45" s="5" t="str">
        <f t="shared" si="111"/>
        <v>NO APLICA</v>
      </c>
      <c r="MW45" s="6"/>
      <c r="MX45" s="6"/>
      <c r="MY45" s="4"/>
      <c r="MZ45" s="6"/>
      <c r="NA45" s="5" t="str">
        <f t="shared" si="112"/>
        <v>NO APLICA</v>
      </c>
      <c r="NB45" s="6"/>
      <c r="NC45" s="6"/>
      <c r="ND45" s="4"/>
      <c r="NE45" s="6"/>
      <c r="NF45" s="5" t="str">
        <f t="shared" si="113"/>
        <v>NO APLICA</v>
      </c>
      <c r="NG45" s="6"/>
      <c r="NH45" s="6"/>
      <c r="NI45" s="4"/>
      <c r="NJ45" s="6"/>
      <c r="NK45" s="5" t="str">
        <f t="shared" si="114"/>
        <v>NO APLICA</v>
      </c>
      <c r="NL45" s="6"/>
      <c r="NM45" s="6"/>
      <c r="NN45" s="4"/>
      <c r="NO45" s="6"/>
      <c r="NP45" s="5" t="str">
        <f t="shared" si="115"/>
        <v>NO APLICA</v>
      </c>
      <c r="NQ45" s="6"/>
      <c r="NR45" s="6"/>
      <c r="NS45" s="4"/>
      <c r="NT45" s="6"/>
      <c r="NU45" s="5" t="str">
        <f t="shared" si="116"/>
        <v>NO APLICA</v>
      </c>
      <c r="NV45" s="6"/>
      <c r="NW45" s="6"/>
      <c r="NX45" s="4"/>
      <c r="NY45" s="8"/>
      <c r="NZ45" s="5" t="str">
        <f t="shared" si="117"/>
        <v>NO APLICA</v>
      </c>
      <c r="OA45" s="6"/>
      <c r="OB45" s="6"/>
      <c r="OC45" s="6"/>
      <c r="OD45" s="6"/>
      <c r="OE45" s="5" t="str">
        <f t="shared" si="118"/>
        <v>NO APLICA</v>
      </c>
      <c r="OF45" s="6"/>
      <c r="OG45" s="6"/>
      <c r="OH45" s="6"/>
      <c r="OI45" s="6"/>
      <c r="OJ45" s="5" t="str">
        <f t="shared" si="119"/>
        <v>NO APLICA</v>
      </c>
      <c r="OK45" s="6"/>
      <c r="OL45" s="6"/>
      <c r="OM45" s="6"/>
      <c r="ON45" s="6"/>
      <c r="OO45" s="5" t="str">
        <f t="shared" si="120"/>
        <v>NO APLICA</v>
      </c>
      <c r="OP45" s="6"/>
      <c r="OQ45" s="6"/>
      <c r="OR45" s="6"/>
      <c r="OS45" s="6"/>
      <c r="OT45" s="5" t="str">
        <f t="shared" si="121"/>
        <v>NO APLICA</v>
      </c>
      <c r="OU45" s="6"/>
      <c r="OV45" s="6"/>
      <c r="OW45" s="6"/>
      <c r="OX45" s="6"/>
      <c r="OY45" s="5" t="str">
        <f t="shared" si="122"/>
        <v>NO APLICA</v>
      </c>
      <c r="OZ45" s="6"/>
      <c r="PA45" s="6"/>
      <c r="PB45" s="6"/>
      <c r="PC45" s="6"/>
      <c r="PD45" s="5" t="str">
        <f t="shared" si="123"/>
        <v>NO APLICA</v>
      </c>
      <c r="PE45" s="6"/>
      <c r="PF45" s="6"/>
      <c r="PG45" s="6"/>
      <c r="PH45" s="6"/>
      <c r="PI45" s="5" t="str">
        <f t="shared" si="124"/>
        <v>NO APLICA</v>
      </c>
      <c r="PJ45" s="5"/>
      <c r="PK45" s="6"/>
      <c r="PL45" s="6"/>
      <c r="PM45" s="6"/>
      <c r="PN45" s="5" t="str">
        <f t="shared" si="125"/>
        <v>NO APLICA</v>
      </c>
      <c r="PO45" s="6"/>
      <c r="PP45" s="6"/>
      <c r="PQ45" s="6"/>
      <c r="PR45" s="6"/>
      <c r="PS45" s="5" t="str">
        <f t="shared" si="126"/>
        <v>NO APLICA</v>
      </c>
      <c r="PT45" s="5"/>
      <c r="PU45" s="6"/>
      <c r="PV45" s="6"/>
      <c r="PW45" s="6"/>
      <c r="PX45" s="5" t="str">
        <f t="shared" si="127"/>
        <v>NO APLICA</v>
      </c>
    </row>
    <row r="46" spans="1:440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207</v>
      </c>
      <c r="V46" s="4">
        <v>44790</v>
      </c>
      <c r="W46" s="4">
        <f t="shared" si="2"/>
        <v>46616</v>
      </c>
      <c r="X46" s="8">
        <f t="shared" ca="1" si="3"/>
        <v>482</v>
      </c>
      <c r="Y46" s="5" t="str">
        <f t="shared" ca="1" si="4"/>
        <v>VIGENTE</v>
      </c>
      <c r="Z46" s="2" t="s">
        <v>208</v>
      </c>
      <c r="AA46" s="4">
        <v>44826</v>
      </c>
      <c r="AB46" s="4">
        <f>DATE(YEAR(AA46)+5,MONTH(AA46),DAY(AA46))</f>
        <v>46652</v>
      </c>
      <c r="AC46" s="8">
        <f ca="1">AB46-TODAY()</f>
        <v>518</v>
      </c>
      <c r="AD46" s="5" t="str">
        <f t="shared" ca="1" si="7"/>
        <v>VIGENTE</v>
      </c>
      <c r="AE46" s="3"/>
      <c r="AF46" s="3">
        <v>45609</v>
      </c>
      <c r="AG46" s="4">
        <f>DATE(YEAR(AF46)+2,MONTH(AF46),DAY(AF46)-1)</f>
        <v>46338</v>
      </c>
      <c r="AH46" s="8">
        <f t="shared" ca="1" si="8"/>
        <v>204</v>
      </c>
      <c r="AI46" s="5" t="str">
        <f t="shared" ca="1" si="224"/>
        <v>VIGENTE</v>
      </c>
      <c r="AJ46" s="3"/>
      <c r="AK46" s="4">
        <v>45710</v>
      </c>
      <c r="AL46" s="4">
        <f>DATE(YEAR(AK46)+2,MONTH(AK46),DAY(AK46)-1)</f>
        <v>46439</v>
      </c>
      <c r="AM46" s="8">
        <f t="shared" ca="1" si="10"/>
        <v>305</v>
      </c>
      <c r="AN46" s="5" t="str">
        <f t="shared" ca="1" si="11"/>
        <v>VIGENTE</v>
      </c>
      <c r="AO46" s="3"/>
      <c r="AP46" s="4">
        <v>45845</v>
      </c>
      <c r="AQ46" s="4">
        <f t="shared" si="225"/>
        <v>46575</v>
      </c>
      <c r="AR46" s="8">
        <f t="shared" ca="1" si="12"/>
        <v>441</v>
      </c>
      <c r="AS46" s="5" t="str">
        <f t="shared" ca="1" si="13"/>
        <v>VIGENTE</v>
      </c>
      <c r="AT46" s="3"/>
      <c r="AU46" s="4">
        <v>45972</v>
      </c>
      <c r="AV46" s="4">
        <f t="shared" si="226"/>
        <v>46702</v>
      </c>
      <c r="AW46" s="8">
        <f t="shared" ca="1" si="15"/>
        <v>568</v>
      </c>
      <c r="AX46" s="5" t="str">
        <f t="shared" ca="1" si="16"/>
        <v>VIGENTE</v>
      </c>
      <c r="AY46" s="3"/>
      <c r="AZ46" s="4">
        <v>46071</v>
      </c>
      <c r="BA46" s="4">
        <f>DATE(YEAR(AZ46)+2,MONTH(AZ46),DAY(AZ46))</f>
        <v>46801</v>
      </c>
      <c r="BB46" s="8">
        <f t="shared" ca="1" si="17"/>
        <v>667</v>
      </c>
      <c r="BC46" s="5" t="str">
        <f t="shared" ca="1" si="18"/>
        <v>VIGENTE</v>
      </c>
      <c r="BD46" s="3"/>
      <c r="BE46" s="4">
        <v>46027</v>
      </c>
      <c r="BF46" s="4">
        <f t="shared" si="227"/>
        <v>46757</v>
      </c>
      <c r="BG46" s="8">
        <f t="shared" ca="1" si="19"/>
        <v>623</v>
      </c>
      <c r="BH46" s="5" t="str">
        <f t="shared" ca="1" si="20"/>
        <v>VIGENTE</v>
      </c>
      <c r="BI46" s="3"/>
      <c r="BJ46" s="4">
        <v>46051</v>
      </c>
      <c r="BK46" s="4">
        <f>DATE(YEAR(BJ46)+2,MONTH(BJ46),DAY(BJ46))</f>
        <v>46781</v>
      </c>
      <c r="BL46" s="8">
        <f t="shared" ca="1" si="21"/>
        <v>647</v>
      </c>
      <c r="BM46" s="5" t="str">
        <f t="shared" ca="1" si="22"/>
        <v>VIGENTE</v>
      </c>
      <c r="BN46" s="3"/>
      <c r="BO46" s="4">
        <v>46069</v>
      </c>
      <c r="BP46" s="4">
        <f>DATE(YEAR(BO46)+2,MONTH(BO46),DAY(BO46))</f>
        <v>46799</v>
      </c>
      <c r="BQ46" s="8">
        <f t="shared" ca="1" si="23"/>
        <v>665</v>
      </c>
      <c r="BR46" s="5" t="str">
        <f t="shared" ca="1" si="24"/>
        <v>VIGENTE</v>
      </c>
      <c r="BS46" s="3"/>
      <c r="BT46" s="4">
        <v>46031</v>
      </c>
      <c r="BU46" s="4">
        <f>DATE(YEAR(BT46)+2,MONTH(BT46),DAY(BT46))</f>
        <v>46761</v>
      </c>
      <c r="BV46" s="8">
        <f t="shared" ca="1" si="25"/>
        <v>627</v>
      </c>
      <c r="BW46" s="5" t="str">
        <f t="shared" ca="1" si="26"/>
        <v>VIGENTE</v>
      </c>
      <c r="BX46" s="3"/>
      <c r="BY46" s="4">
        <v>45954</v>
      </c>
      <c r="BZ46" s="4">
        <f>DATE(YEAR(BY46)+2,MONTH(BY46),DAY(BY46))</f>
        <v>46684</v>
      </c>
      <c r="CA46" s="8">
        <f t="shared" ca="1" si="27"/>
        <v>550</v>
      </c>
      <c r="CB46" s="5" t="str">
        <f t="shared" ca="1" si="28"/>
        <v>VIGENTE</v>
      </c>
      <c r="CC46" s="6" t="s">
        <v>73</v>
      </c>
      <c r="CD46" s="4">
        <v>45227</v>
      </c>
      <c r="CE46" s="4">
        <f t="shared" si="29"/>
        <v>46688</v>
      </c>
      <c r="CF46" s="8">
        <f t="shared" ca="1" si="30"/>
        <v>554</v>
      </c>
      <c r="CG46" s="5" t="str">
        <f t="shared" ca="1" si="31"/>
        <v>VIGENTE</v>
      </c>
      <c r="CH46" s="4"/>
      <c r="CI46" s="4">
        <v>45500</v>
      </c>
      <c r="CJ46" s="4">
        <f>DATE(YEAR(CI46)+2,MONTH(CI46),DAY(CI46)-1)</f>
        <v>46229</v>
      </c>
      <c r="CK46" s="8">
        <f t="shared" ca="1" si="32"/>
        <v>95</v>
      </c>
      <c r="CL46" s="5" t="str">
        <f t="shared" ca="1" si="33"/>
        <v>VIGENTE</v>
      </c>
      <c r="CM46" s="3"/>
      <c r="CN46" s="4">
        <v>45513</v>
      </c>
      <c r="CO46" s="4">
        <f>DATE(YEAR(CN46)+2,MONTH(CN46),DAY(CN46)-1)</f>
        <v>46242</v>
      </c>
      <c r="CP46" s="8">
        <f t="shared" ca="1" si="34"/>
        <v>108</v>
      </c>
      <c r="CQ46" s="5" t="str">
        <f t="shared" ca="1" si="35"/>
        <v>VIGENTE</v>
      </c>
      <c r="CR46" s="3"/>
      <c r="CS46" s="4">
        <v>45639</v>
      </c>
      <c r="CT46" s="4">
        <f>DATE(YEAR(CS46)+2,MONTH(CS46),DAY(CS46)-1)</f>
        <v>46368</v>
      </c>
      <c r="CU46" s="8">
        <f t="shared" ca="1" si="36"/>
        <v>234</v>
      </c>
      <c r="CV46" s="5" t="str">
        <f t="shared" ca="1" si="37"/>
        <v>VIGENTE</v>
      </c>
      <c r="CW46" s="3"/>
      <c r="CX46" s="4">
        <v>45646</v>
      </c>
      <c r="CY46" s="4">
        <f>DATE(YEAR(CX46)+2,MONTH(CX46),DAY(CX46)-1)</f>
        <v>46375</v>
      </c>
      <c r="CZ46" s="8">
        <f t="shared" ca="1" si="38"/>
        <v>241</v>
      </c>
      <c r="DA46" s="5" t="str">
        <f t="shared" ca="1" si="39"/>
        <v>VIGENTE</v>
      </c>
      <c r="DB46" s="3"/>
      <c r="DC46" s="4">
        <v>45689</v>
      </c>
      <c r="DD46" s="4">
        <f>DATE(YEAR(DC46)+2,MONTH(DC46),DAY(DC46)-1)</f>
        <v>46418</v>
      </c>
      <c r="DE46" s="8">
        <f t="shared" ca="1" si="40"/>
        <v>284</v>
      </c>
      <c r="DF46" s="5" t="str">
        <f t="shared" ca="1" si="41"/>
        <v>VIGENTE</v>
      </c>
      <c r="DG46" s="3"/>
      <c r="DH46" s="4">
        <v>45696</v>
      </c>
      <c r="DI46" s="4">
        <f>DATE(YEAR(DH46)+2,MONTH(DH46),DAY(DH46)-1)</f>
        <v>46425</v>
      </c>
      <c r="DJ46" s="8">
        <f t="shared" ca="1" si="43"/>
        <v>291</v>
      </c>
      <c r="DK46" s="5" t="str">
        <f t="shared" ca="1" si="44"/>
        <v>VIGENTE</v>
      </c>
      <c r="DL46" s="3"/>
      <c r="DM46" s="4">
        <v>45982</v>
      </c>
      <c r="DN46" s="4">
        <f t="shared" si="223"/>
        <v>46712</v>
      </c>
      <c r="DO46" s="8">
        <f t="shared" ca="1" si="46"/>
        <v>578</v>
      </c>
      <c r="DP46" s="5" t="str">
        <f t="shared" ca="1" si="47"/>
        <v>VIGENTE</v>
      </c>
      <c r="DQ46" s="3"/>
      <c r="DR46" s="4">
        <v>46053</v>
      </c>
      <c r="DS46" s="4">
        <f>DATE(YEAR(DR46)+2,MONTH(DR46),DAY(DR46))</f>
        <v>46783</v>
      </c>
      <c r="DT46" s="8">
        <f t="shared" ca="1" si="48"/>
        <v>649</v>
      </c>
      <c r="DU46" s="5" t="str">
        <f t="shared" ca="1" si="49"/>
        <v>VIGENTE</v>
      </c>
      <c r="DV46" s="3"/>
      <c r="DW46" s="4">
        <v>45663</v>
      </c>
      <c r="DX46" s="4">
        <f>DATE(YEAR(DW46)+2,MONTH(DW46),DAY(DW46)-1)</f>
        <v>46392</v>
      </c>
      <c r="DY46" s="8">
        <f t="shared" ca="1" si="50"/>
        <v>258</v>
      </c>
      <c r="DZ46" s="5" t="str">
        <f t="shared" ca="1" si="51"/>
        <v>VIGENTE</v>
      </c>
      <c r="EA46" s="3"/>
      <c r="EB46" s="4">
        <v>45674</v>
      </c>
      <c r="EC46" s="4">
        <f>DATE(YEAR(EB46)+2,MONTH(EB46),DAY(EB46)-1)</f>
        <v>46403</v>
      </c>
      <c r="ED46" s="8">
        <f t="shared" ca="1" si="52"/>
        <v>269</v>
      </c>
      <c r="EE46" s="5" t="str">
        <f t="shared" ca="1" si="53"/>
        <v>VIGENTE</v>
      </c>
      <c r="EF46" s="3"/>
      <c r="EG46" s="4">
        <v>45808</v>
      </c>
      <c r="EH46" s="4">
        <f t="shared" si="137"/>
        <v>46173</v>
      </c>
      <c r="EI46" s="8">
        <f t="shared" ca="1" si="54"/>
        <v>39</v>
      </c>
      <c r="EJ46" s="5" t="str">
        <f t="shared" ca="1" si="55"/>
        <v>POR VENCER</v>
      </c>
      <c r="EK46" s="3"/>
      <c r="EL46" s="4">
        <v>45468</v>
      </c>
      <c r="EM46" s="4">
        <f>DATE(YEAR(EL46)+2,MONTH(EL46),DAY(EL46)-1)</f>
        <v>46197</v>
      </c>
      <c r="EN46" s="8">
        <f t="shared" ca="1" si="56"/>
        <v>63</v>
      </c>
      <c r="EO46" s="5" t="str">
        <f t="shared" ca="1" si="57"/>
        <v>POR VENCER</v>
      </c>
      <c r="EP46" s="3"/>
      <c r="EQ46" s="4">
        <v>46042</v>
      </c>
      <c r="ER46" s="4">
        <f>DATE(YEAR(EQ46)+2,MONTH(EQ46),DAY(EQ46))</f>
        <v>46772</v>
      </c>
      <c r="ES46" s="8">
        <f t="shared" ca="1" si="58"/>
        <v>638</v>
      </c>
      <c r="ET46" s="5" t="str">
        <f t="shared" ca="1" si="59"/>
        <v>VIGENTE</v>
      </c>
      <c r="EU46" s="3"/>
      <c r="EV46" s="4">
        <v>45964</v>
      </c>
      <c r="EW46" s="4">
        <f t="shared" si="219"/>
        <v>46694</v>
      </c>
      <c r="EX46" s="8">
        <f t="shared" ca="1" si="60"/>
        <v>560</v>
      </c>
      <c r="EY46" s="5" t="str">
        <f t="shared" ca="1" si="61"/>
        <v>VIGENTE</v>
      </c>
      <c r="EZ46" s="3"/>
      <c r="FA46" s="4">
        <v>45988</v>
      </c>
      <c r="FB46" s="4">
        <f t="shared" si="220"/>
        <v>46718</v>
      </c>
      <c r="FC46" s="8">
        <f t="shared" ca="1" si="62"/>
        <v>584</v>
      </c>
      <c r="FD46" s="5" t="str">
        <f t="shared" ca="1" si="63"/>
        <v>VIGENTE</v>
      </c>
      <c r="FE46" s="3"/>
      <c r="FF46" s="4">
        <v>45932</v>
      </c>
      <c r="FG46" s="4">
        <f t="shared" si="221"/>
        <v>46662</v>
      </c>
      <c r="FH46" s="8">
        <f t="shared" ca="1" si="64"/>
        <v>528</v>
      </c>
      <c r="FI46" s="5" t="str">
        <f t="shared" ca="1" si="65"/>
        <v>VIGENTE</v>
      </c>
      <c r="FJ46" s="3"/>
      <c r="FK46" s="4">
        <v>45670</v>
      </c>
      <c r="FL46" s="4">
        <f>DATE(YEAR(FK46)+2,MONTH(FK46),DAY(FK46)-1)</f>
        <v>46399</v>
      </c>
      <c r="FM46" s="8">
        <f t="shared" ca="1" si="67"/>
        <v>265</v>
      </c>
      <c r="FN46" s="5" t="str">
        <f t="shared" ca="1" si="68"/>
        <v>VIGENTE</v>
      </c>
      <c r="FO46" s="3"/>
      <c r="FP46" s="4">
        <v>45664</v>
      </c>
      <c r="FQ46" s="4">
        <f>DATE(YEAR(FP46)+2,MONTH(FP46),DAY(FP46)-1)</f>
        <v>46393</v>
      </c>
      <c r="FR46" s="8">
        <f t="shared" ca="1" si="69"/>
        <v>259</v>
      </c>
      <c r="FS46" s="5" t="str">
        <f t="shared" ca="1" si="70"/>
        <v>VIGENTE</v>
      </c>
      <c r="FT46" s="4"/>
      <c r="FU46" s="4">
        <v>45574</v>
      </c>
      <c r="FV46" s="4">
        <f>DATE(YEAR(FU46)+2,MONTH(FU46),DAY(FU46)-1)</f>
        <v>46303</v>
      </c>
      <c r="FW46" s="8">
        <f t="shared" ca="1" si="71"/>
        <v>169</v>
      </c>
      <c r="FX46" s="5" t="str">
        <f t="shared" ca="1" si="72"/>
        <v>VIGENTE</v>
      </c>
      <c r="FY46" s="3"/>
      <c r="FZ46" s="4">
        <v>46030</v>
      </c>
      <c r="GA46" s="4">
        <f>DATE(YEAR(FZ46)+2,MONTH(FZ46),DAY(FZ46))</f>
        <v>46760</v>
      </c>
      <c r="GB46" s="8">
        <f t="shared" ca="1" si="73"/>
        <v>626</v>
      </c>
      <c r="GC46" s="5" t="str">
        <f t="shared" ca="1" si="74"/>
        <v>VIGENTE</v>
      </c>
      <c r="GD46" s="3"/>
      <c r="GE46" s="4">
        <v>45672</v>
      </c>
      <c r="GF46" s="4">
        <f>DATE(YEAR(GE46)+2,MONTH(GE46),DAY(GE46)-1)</f>
        <v>46401</v>
      </c>
      <c r="GG46" s="8">
        <f t="shared" ca="1" si="75"/>
        <v>267</v>
      </c>
      <c r="GH46" s="5" t="str">
        <f t="shared" ca="1" si="76"/>
        <v>VIGENTE</v>
      </c>
      <c r="GI46" s="3"/>
      <c r="GJ46" s="4">
        <v>45923</v>
      </c>
      <c r="GK46" s="4">
        <f t="shared" si="222"/>
        <v>46653</v>
      </c>
      <c r="GL46" s="8">
        <f t="shared" ca="1" si="77"/>
        <v>519</v>
      </c>
      <c r="GM46" s="5" t="str">
        <f t="shared" ca="1" si="78"/>
        <v>VIGENTE</v>
      </c>
      <c r="GN46" s="4"/>
      <c r="GO46" s="4">
        <v>45265</v>
      </c>
      <c r="GP46" s="4">
        <f t="shared" si="79"/>
        <v>47092</v>
      </c>
      <c r="GQ46" s="8">
        <f t="shared" ca="1" si="181"/>
        <v>958</v>
      </c>
      <c r="GR46" s="5" t="str">
        <f t="shared" ca="1" si="81"/>
        <v>VIGENTE</v>
      </c>
      <c r="GS46" s="3"/>
      <c r="GT46" s="4">
        <v>45200</v>
      </c>
      <c r="GU46" s="4">
        <f t="shared" si="82"/>
        <v>47027</v>
      </c>
      <c r="GV46" s="8">
        <f t="shared" ca="1" si="83"/>
        <v>893</v>
      </c>
      <c r="GW46" s="5" t="str">
        <f t="shared" ca="1" si="84"/>
        <v>VIGENTE</v>
      </c>
      <c r="GX46" s="3"/>
      <c r="GY46" s="4">
        <v>45268</v>
      </c>
      <c r="GZ46" s="4">
        <f t="shared" si="85"/>
        <v>47095</v>
      </c>
      <c r="HA46" s="8">
        <f t="shared" ca="1" si="86"/>
        <v>961</v>
      </c>
      <c r="HB46" s="5" t="str">
        <f t="shared" ca="1" si="87"/>
        <v>VIGENTE</v>
      </c>
      <c r="HC46" s="6"/>
      <c r="HD46" s="4">
        <v>44865</v>
      </c>
      <c r="HE46" s="4">
        <f>DATE(YEAR(HD46)+5,MONTH(HD46),DAY(HD46))</f>
        <v>46691</v>
      </c>
      <c r="HF46" s="8">
        <f ca="1">HE46-TODAY()</f>
        <v>557</v>
      </c>
      <c r="HG46" s="5" t="str">
        <f t="shared" ref="HG46:HG72" ca="1" si="228">IF(HF46&gt;=61,"VIGENTE",IF(HF46&gt;=1,"POR VENCER",IF(HF46&lt;=-1,"VENCIDA",IF(HD46=0,"NO APLICA"))))</f>
        <v>VIGENTE</v>
      </c>
      <c r="HH46" s="2"/>
      <c r="HI46" s="4">
        <v>45331</v>
      </c>
      <c r="HJ46" s="4">
        <f>DATE(YEAR(HI46)+5,MONTH(HI46),DAY(HI46))</f>
        <v>47158</v>
      </c>
      <c r="HK46" s="8">
        <f ca="1">HJ46-TODAY()</f>
        <v>1024</v>
      </c>
      <c r="HL46" s="5" t="str">
        <f t="shared" ca="1" si="207"/>
        <v>VIGENTE</v>
      </c>
      <c r="HM46" s="2"/>
      <c r="HN46" s="3">
        <v>45374</v>
      </c>
      <c r="HO46" s="4">
        <f>DATE(YEAR(HN46)+5,MONTH(HN46),DAY(HN46))</f>
        <v>47200</v>
      </c>
      <c r="HP46" s="8">
        <f ca="1">HO46-TODAY()</f>
        <v>1066</v>
      </c>
      <c r="HQ46" s="5" t="str">
        <f t="shared" ca="1" si="92"/>
        <v>VIGENTE</v>
      </c>
      <c r="HR46" s="3"/>
      <c r="HS46" s="4">
        <v>45440</v>
      </c>
      <c r="HT46" s="4">
        <f>DATE(YEAR(HS46)+5,MONTH(HS46),DAY(HS46))</f>
        <v>47266</v>
      </c>
      <c r="HU46" s="8">
        <f ca="1">HT46-TODAY()</f>
        <v>1132</v>
      </c>
      <c r="HV46" s="5" t="str">
        <f t="shared" ca="1" si="93"/>
        <v>VIGENTE</v>
      </c>
      <c r="HW46" s="3"/>
      <c r="HX46" s="4">
        <v>45205</v>
      </c>
      <c r="HY46" s="4">
        <f>DATE(YEAR(HX46)+5,MONTH(HX46),DAY(HX46))</f>
        <v>47032</v>
      </c>
      <c r="HZ46" s="8">
        <f ca="1">HY46-TODAY()</f>
        <v>898</v>
      </c>
      <c r="IA46" s="5" t="str">
        <f t="shared" ca="1" si="94"/>
        <v>VIGENTE</v>
      </c>
      <c r="IB46" s="3"/>
      <c r="IC46" s="4">
        <v>45173</v>
      </c>
      <c r="ID46" s="4">
        <f>DATE(YEAR(IC46)+5,MONTH(IC46),DAY(IC46))</f>
        <v>47000</v>
      </c>
      <c r="IE46" s="8">
        <f ca="1">ID46-TODAY()</f>
        <v>866</v>
      </c>
      <c r="IF46" s="5" t="str">
        <f t="shared" ca="1" si="95"/>
        <v>VIGENTE</v>
      </c>
      <c r="IG46" s="4"/>
      <c r="IH46" s="4">
        <v>45449</v>
      </c>
      <c r="II46" s="4">
        <f>DATE(YEAR(IH46)+5,MONTH(IH46),DAY(IH46))</f>
        <v>47275</v>
      </c>
      <c r="IJ46" s="8">
        <f ca="1">II46-TODAY()</f>
        <v>1141</v>
      </c>
      <c r="IK46" s="5" t="str">
        <f t="shared" ca="1" si="96"/>
        <v>VIGENTE</v>
      </c>
      <c r="IL46" s="3"/>
      <c r="IM46" s="4">
        <v>45433</v>
      </c>
      <c r="IN46" s="4">
        <f>DATE(YEAR(IM46)+5,MONTH(IM46),DAY(IM46))</f>
        <v>47259</v>
      </c>
      <c r="IO46" s="8">
        <f ca="1">IN46-TODAY()</f>
        <v>1125</v>
      </c>
      <c r="IP46" s="5" t="str">
        <f t="shared" ca="1" si="97"/>
        <v>VIGENTE</v>
      </c>
      <c r="IQ46" s="3"/>
      <c r="IR46" s="4">
        <v>45171</v>
      </c>
      <c r="IS46" s="4">
        <f>DATE(YEAR(IR46)+5,MONTH(IR46),DAY(IR46))</f>
        <v>46998</v>
      </c>
      <c r="IT46" s="8">
        <f ca="1">IS46-TODAY()</f>
        <v>864</v>
      </c>
      <c r="IU46" s="5" t="str">
        <f t="shared" ca="1" si="98"/>
        <v>VIGENTE</v>
      </c>
      <c r="IV46" s="3"/>
      <c r="IW46" s="4">
        <v>45206</v>
      </c>
      <c r="IX46" s="4">
        <f>DATE(YEAR(IW46)+5,MONTH(IW46),DAY(IW46))</f>
        <v>47033</v>
      </c>
      <c r="IY46" s="8">
        <f ca="1">IX46-TODAY()</f>
        <v>899</v>
      </c>
      <c r="IZ46" s="5" t="str">
        <f t="shared" ca="1" si="99"/>
        <v>VIGENTE</v>
      </c>
      <c r="JA46" s="3"/>
      <c r="JB46" s="3"/>
      <c r="JC46" s="4"/>
      <c r="JD46" s="8"/>
      <c r="JE46" s="5" t="str">
        <f t="shared" si="100"/>
        <v>NO APLICA</v>
      </c>
      <c r="JF46" s="4"/>
      <c r="JG46" s="4"/>
      <c r="JH46" s="4"/>
      <c r="JI46" s="8"/>
      <c r="JJ46" s="5" t="str">
        <f t="shared" si="101"/>
        <v>NO APLICA</v>
      </c>
      <c r="JK46" s="4"/>
      <c r="JL46" s="4"/>
      <c r="JM46" s="4"/>
      <c r="JN46" s="8"/>
      <c r="JO46" s="5" t="str">
        <f t="shared" si="102"/>
        <v>NO APLICA</v>
      </c>
      <c r="JP46" s="4"/>
      <c r="JQ46" s="4"/>
      <c r="JR46" s="4"/>
      <c r="JS46" s="8"/>
      <c r="JT46" s="5" t="str">
        <f t="shared" si="103"/>
        <v>NO APLICA</v>
      </c>
      <c r="JU46" s="5"/>
      <c r="JV46" s="5"/>
      <c r="JW46" s="5"/>
      <c r="JX46" s="5"/>
      <c r="JY46" s="5" t="str">
        <f t="shared" si="104"/>
        <v>NO APLICA</v>
      </c>
      <c r="JZ46" s="5"/>
      <c r="KA46" s="2"/>
      <c r="KB46" s="4"/>
      <c r="KC46" s="8"/>
      <c r="KD46" s="5" t="str">
        <f t="shared" si="105"/>
        <v>NO APLICA</v>
      </c>
      <c r="KE46" s="5"/>
      <c r="KF46" s="2"/>
      <c r="KG46" s="4"/>
      <c r="KH46" s="8"/>
      <c r="KI46" s="5" t="str">
        <f t="shared" si="141"/>
        <v>NO APLICA</v>
      </c>
      <c r="KJ46" s="5"/>
      <c r="KK46" s="2"/>
      <c r="KL46" s="4"/>
      <c r="KM46" s="8"/>
      <c r="KN46" s="5" t="str">
        <f t="shared" si="106"/>
        <v>NO APLICA</v>
      </c>
      <c r="KO46" s="5"/>
      <c r="KP46" s="2"/>
      <c r="KQ46" s="4"/>
      <c r="KR46" s="8"/>
      <c r="KS46" s="5" t="str">
        <f t="shared" si="142"/>
        <v>NO APLICA</v>
      </c>
      <c r="KT46" s="3"/>
      <c r="KU46" s="4">
        <v>44651</v>
      </c>
      <c r="KV46" s="4">
        <f>DATE(YEAR(KU46)+5,MONTH(KU46),DAY(KU46))</f>
        <v>46477</v>
      </c>
      <c r="KW46" s="8">
        <f ca="1">KV46-TODAY()</f>
        <v>343</v>
      </c>
      <c r="KX46" s="5" t="str">
        <f t="shared" ca="1" si="156"/>
        <v>VIGENTE</v>
      </c>
      <c r="KY46" s="5"/>
      <c r="KZ46" s="6"/>
      <c r="LA46" s="4"/>
      <c r="LB46" s="8"/>
      <c r="LC46" s="5" t="str">
        <f t="shared" si="143"/>
        <v>NO APLICA</v>
      </c>
      <c r="LD46" s="4"/>
      <c r="LE46" s="4"/>
      <c r="LF46" s="4"/>
      <c r="LG46" s="8"/>
      <c r="LH46" s="5" t="str">
        <f t="shared" si="107"/>
        <v>NO APLICA</v>
      </c>
      <c r="LI46" s="5"/>
      <c r="LJ46" s="3">
        <v>44218</v>
      </c>
      <c r="LK46" s="4">
        <f>DATE(YEAR(LJ46)+5,MONTH(LJ46),DAY(LJ46))</f>
        <v>46044</v>
      </c>
      <c r="LL46" s="8">
        <f ca="1">LK46-TODAY()</f>
        <v>-90</v>
      </c>
      <c r="LM46" s="5" t="str">
        <f t="shared" ca="1" si="157"/>
        <v>VENCIDA</v>
      </c>
      <c r="LN46" s="2"/>
      <c r="LO46" s="6"/>
      <c r="LP46" s="4"/>
      <c r="LQ46" s="8"/>
      <c r="LR46" s="5" t="str">
        <f t="shared" si="144"/>
        <v>NO APLICA</v>
      </c>
      <c r="LS46" s="6"/>
      <c r="LT46" s="6"/>
      <c r="LU46" s="4"/>
      <c r="LV46" s="8"/>
      <c r="LW46" s="5" t="str">
        <f t="shared" si="145"/>
        <v>NO APLICA</v>
      </c>
      <c r="LX46" s="6"/>
      <c r="LY46" s="6"/>
      <c r="LZ46" s="4"/>
      <c r="MA46" s="8"/>
      <c r="MB46" s="5" t="str">
        <f t="shared" si="146"/>
        <v>NO APLICA</v>
      </c>
      <c r="MC46" s="2"/>
      <c r="MD46" s="2"/>
      <c r="ME46" s="4"/>
      <c r="MF46" s="8"/>
      <c r="MG46" s="5" t="str">
        <f t="shared" si="108"/>
        <v>NO APLICA</v>
      </c>
      <c r="MH46" s="2"/>
      <c r="MI46" s="2"/>
      <c r="MJ46" s="4"/>
      <c r="MK46" s="8"/>
      <c r="ML46" s="5" t="str">
        <f t="shared" si="109"/>
        <v>NO APLICA</v>
      </c>
      <c r="MM46" s="5"/>
      <c r="MN46" s="2"/>
      <c r="MO46" s="4"/>
      <c r="MP46" s="8"/>
      <c r="MQ46" s="5" t="str">
        <f t="shared" si="110"/>
        <v>NO APLICA</v>
      </c>
      <c r="MR46" s="5"/>
      <c r="MS46" s="2"/>
      <c r="MT46" s="4"/>
      <c r="MU46" s="2"/>
      <c r="MV46" s="5" t="str">
        <f t="shared" si="111"/>
        <v>NO APLICA</v>
      </c>
      <c r="MW46" s="2"/>
      <c r="MX46" s="6"/>
      <c r="MY46" s="4"/>
      <c r="MZ46" s="8"/>
      <c r="NA46" s="5" t="str">
        <f t="shared" si="112"/>
        <v>NO APLICA</v>
      </c>
      <c r="NB46" s="2"/>
      <c r="NC46" s="6"/>
      <c r="ND46" s="4"/>
      <c r="NE46" s="8"/>
      <c r="NF46" s="5" t="str">
        <f t="shared" si="113"/>
        <v>NO APLICA</v>
      </c>
      <c r="NG46" s="2"/>
      <c r="NH46" s="6"/>
      <c r="NI46" s="4"/>
      <c r="NJ46" s="8"/>
      <c r="NK46" s="5" t="str">
        <f t="shared" si="114"/>
        <v>NO APLICA</v>
      </c>
      <c r="NL46" s="2"/>
      <c r="NM46" s="2"/>
      <c r="NN46" s="4"/>
      <c r="NO46" s="8"/>
      <c r="NP46" s="5" t="str">
        <f t="shared" si="115"/>
        <v>NO APLICA</v>
      </c>
      <c r="NQ46" s="2"/>
      <c r="NR46" s="2"/>
      <c r="NS46" s="2"/>
      <c r="NT46" s="2"/>
      <c r="NU46" s="5" t="str">
        <f t="shared" si="116"/>
        <v>NO APLICA</v>
      </c>
      <c r="NV46" s="6"/>
      <c r="NW46" s="6"/>
      <c r="NX46" s="4"/>
      <c r="NY46" s="8"/>
      <c r="NZ46" s="5" t="str">
        <f t="shared" si="117"/>
        <v>NO APLICA</v>
      </c>
      <c r="OA46" s="6"/>
      <c r="OB46" s="6"/>
      <c r="OC46" s="6"/>
      <c r="OD46" s="6"/>
      <c r="OE46" s="5" t="str">
        <f t="shared" si="118"/>
        <v>NO APLICA</v>
      </c>
      <c r="OF46" s="2"/>
      <c r="OG46" s="2"/>
      <c r="OH46" s="4"/>
      <c r="OI46" s="8"/>
      <c r="OJ46" s="5" t="str">
        <f t="shared" si="119"/>
        <v>NO APLICA</v>
      </c>
      <c r="OK46" s="6"/>
      <c r="OL46" s="6"/>
      <c r="OM46" s="6"/>
      <c r="ON46" s="6"/>
      <c r="OO46" s="5" t="str">
        <f t="shared" si="120"/>
        <v>NO APLICA</v>
      </c>
      <c r="OP46" s="6"/>
      <c r="OQ46" s="6"/>
      <c r="OR46" s="6"/>
      <c r="OS46" s="6"/>
      <c r="OT46" s="5" t="str">
        <f t="shared" si="121"/>
        <v>NO APLICA</v>
      </c>
      <c r="OU46" s="6"/>
      <c r="OV46" s="6"/>
      <c r="OW46" s="6"/>
      <c r="OX46" s="6"/>
      <c r="OY46" s="5" t="str">
        <f t="shared" si="122"/>
        <v>NO APLICA</v>
      </c>
      <c r="OZ46" s="6"/>
      <c r="PA46" s="6"/>
      <c r="PB46" s="6"/>
      <c r="PC46" s="6"/>
      <c r="PD46" s="5" t="str">
        <f t="shared" si="123"/>
        <v>NO APLICA</v>
      </c>
      <c r="PE46" s="6"/>
      <c r="PF46" s="6"/>
      <c r="PG46" s="6"/>
      <c r="PH46" s="6"/>
      <c r="PI46" s="5" t="str">
        <f t="shared" si="124"/>
        <v>NO APLICA</v>
      </c>
      <c r="PJ46" s="5"/>
      <c r="PK46" s="6"/>
      <c r="PL46" s="4"/>
      <c r="PM46" s="8"/>
      <c r="PN46" s="5" t="str">
        <f t="shared" si="125"/>
        <v>NO APLICA</v>
      </c>
      <c r="PO46" s="6"/>
      <c r="PP46" s="6"/>
      <c r="PQ46" s="6"/>
      <c r="PR46" s="6"/>
      <c r="PS46" s="5" t="str">
        <f t="shared" si="126"/>
        <v>NO APLICA</v>
      </c>
      <c r="PT46" s="5"/>
      <c r="PU46" s="6"/>
      <c r="PV46" s="6"/>
      <c r="PW46" s="6"/>
      <c r="PX46" s="5" t="str">
        <f t="shared" si="127"/>
        <v>NO APLICA</v>
      </c>
    </row>
    <row r="47" spans="1:440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656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210</v>
      </c>
      <c r="V47" s="4">
        <v>44944</v>
      </c>
      <c r="W47" s="4">
        <f t="shared" si="2"/>
        <v>46770</v>
      </c>
      <c r="X47" s="8">
        <f t="shared" ca="1" si="3"/>
        <v>636</v>
      </c>
      <c r="Y47" s="5" t="str">
        <f t="shared" ca="1" si="4"/>
        <v>VIGENTE</v>
      </c>
      <c r="Z47" s="2"/>
      <c r="AA47" s="6"/>
      <c r="AB47" s="4"/>
      <c r="AC47" s="8"/>
      <c r="AD47" s="5" t="str">
        <f t="shared" si="7"/>
        <v>NO APLICA</v>
      </c>
      <c r="AE47" s="2"/>
      <c r="AF47" s="4">
        <v>45892</v>
      </c>
      <c r="AG47" s="4">
        <f>DATE(YEAR(AF47)+2,MONTH(AF47),DAY(AF47))</f>
        <v>46622</v>
      </c>
      <c r="AH47" s="8">
        <f t="shared" ca="1" si="8"/>
        <v>488</v>
      </c>
      <c r="AI47" s="5" t="str">
        <f t="shared" ca="1" si="224"/>
        <v>VIGENTE</v>
      </c>
      <c r="AJ47" s="3"/>
      <c r="AK47" s="4">
        <v>45838</v>
      </c>
      <c r="AL47" s="4">
        <f>DATE(YEAR(AK47)+2,MONTH(AK47),DAY(AK47))</f>
        <v>46568</v>
      </c>
      <c r="AM47" s="8">
        <f t="shared" ca="1" si="10"/>
        <v>434</v>
      </c>
      <c r="AN47" s="5" t="str">
        <f t="shared" ca="1" si="11"/>
        <v>VIGENTE</v>
      </c>
      <c r="AO47" s="3"/>
      <c r="AP47" s="4">
        <v>45904</v>
      </c>
      <c r="AQ47" s="4">
        <f t="shared" si="225"/>
        <v>46634</v>
      </c>
      <c r="AR47" s="8">
        <f t="shared" ca="1" si="12"/>
        <v>500</v>
      </c>
      <c r="AS47" s="5" t="str">
        <f t="shared" ca="1" si="13"/>
        <v>VIGENTE</v>
      </c>
      <c r="AT47" s="2"/>
      <c r="AU47" s="4">
        <v>45990</v>
      </c>
      <c r="AV47" s="4">
        <f t="shared" si="226"/>
        <v>46720</v>
      </c>
      <c r="AW47" s="8">
        <f t="shared" ca="1" si="15"/>
        <v>586</v>
      </c>
      <c r="AX47" s="5" t="str">
        <f t="shared" ca="1" si="16"/>
        <v>VIGENTE</v>
      </c>
      <c r="AY47" s="3"/>
      <c r="AZ47" s="4">
        <v>45943</v>
      </c>
      <c r="BA47" s="4">
        <f>DATE(YEAR(AZ47)+2,MONTH(AZ47),DAY(AZ47))</f>
        <v>46673</v>
      </c>
      <c r="BB47" s="8">
        <f t="shared" ca="1" si="17"/>
        <v>539</v>
      </c>
      <c r="BC47" s="5" t="str">
        <f t="shared" ca="1" si="18"/>
        <v>VIGENTE</v>
      </c>
      <c r="BD47" s="2"/>
      <c r="BE47" s="4">
        <v>45997</v>
      </c>
      <c r="BF47" s="4">
        <f t="shared" si="227"/>
        <v>46727</v>
      </c>
      <c r="BG47" s="8">
        <f t="shared" ca="1" si="19"/>
        <v>593</v>
      </c>
      <c r="BH47" s="5" t="str">
        <f t="shared" ca="1" si="20"/>
        <v>VIGENTE</v>
      </c>
      <c r="BI47" s="3"/>
      <c r="BJ47" s="4">
        <v>45797</v>
      </c>
      <c r="BK47" s="4">
        <f>DATE(YEAR(BJ47)+2,MONTH(BJ47),DAY(BJ47))</f>
        <v>46527</v>
      </c>
      <c r="BL47" s="8">
        <f t="shared" ca="1" si="21"/>
        <v>393</v>
      </c>
      <c r="BM47" s="5" t="str">
        <f t="shared" ca="1" si="22"/>
        <v>VIGENTE</v>
      </c>
      <c r="BN47" s="3"/>
      <c r="BO47" s="4">
        <v>45701</v>
      </c>
      <c r="BP47" s="4">
        <f>DATE(YEAR(BO47)+2,MONTH(BO47),DAY(BO47)-1)</f>
        <v>46430</v>
      </c>
      <c r="BQ47" s="8">
        <f t="shared" ca="1" si="23"/>
        <v>296</v>
      </c>
      <c r="BR47" s="5" t="str">
        <f t="shared" ca="1" si="24"/>
        <v>VIGENTE</v>
      </c>
      <c r="BS47" s="3"/>
      <c r="BT47" s="4">
        <v>45871</v>
      </c>
      <c r="BU47" s="4">
        <f>DATE(YEAR(BT47)+2,MONTH(BT47),DAY(BT47))</f>
        <v>46601</v>
      </c>
      <c r="BV47" s="8">
        <f t="shared" ca="1" si="25"/>
        <v>467</v>
      </c>
      <c r="BW47" s="5" t="str">
        <f t="shared" ca="1" si="26"/>
        <v>VIGENTE</v>
      </c>
      <c r="BX47" s="3"/>
      <c r="BY47" s="4">
        <v>45954</v>
      </c>
      <c r="BZ47" s="4">
        <f>DATE(YEAR(BY47)+2,MONTH(BY47),DAY(BY47))</f>
        <v>46684</v>
      </c>
      <c r="CA47" s="8">
        <f t="shared" ca="1" si="27"/>
        <v>550</v>
      </c>
      <c r="CB47" s="5" t="str">
        <f t="shared" ca="1" si="28"/>
        <v>VIGENTE</v>
      </c>
      <c r="CC47" s="6" t="s">
        <v>68</v>
      </c>
      <c r="CD47" s="4">
        <v>45828</v>
      </c>
      <c r="CE47" s="4">
        <f t="shared" si="29"/>
        <v>47289</v>
      </c>
      <c r="CF47" s="8">
        <f t="shared" ca="1" si="30"/>
        <v>1155</v>
      </c>
      <c r="CG47" s="5" t="str">
        <f t="shared" ca="1" si="31"/>
        <v>VIGENTE</v>
      </c>
      <c r="CH47" s="6"/>
      <c r="CI47" s="4">
        <v>45929</v>
      </c>
      <c r="CJ47" s="4">
        <f>DATE(YEAR(CI47)+2,MONTH(CI47),DAY(CI47))</f>
        <v>46659</v>
      </c>
      <c r="CK47" s="8">
        <f t="shared" ca="1" si="32"/>
        <v>525</v>
      </c>
      <c r="CL47" s="5" t="str">
        <f t="shared" ca="1" si="33"/>
        <v>VIGENTE</v>
      </c>
      <c r="CM47" s="3"/>
      <c r="CN47" s="4">
        <v>45888</v>
      </c>
      <c r="CO47" s="4">
        <f>DATE(YEAR(CN47)+2,MONTH(CN47),DAY(CN47))</f>
        <v>46618</v>
      </c>
      <c r="CP47" s="8">
        <f t="shared" ca="1" si="34"/>
        <v>484</v>
      </c>
      <c r="CQ47" s="5" t="str">
        <f t="shared" ca="1" si="35"/>
        <v>VIGENTE</v>
      </c>
      <c r="CR47" s="3"/>
      <c r="CS47" s="4">
        <v>45965</v>
      </c>
      <c r="CT47" s="4">
        <f>DATE(YEAR(CS47)+2,MONTH(CS47),DAY(CS47))</f>
        <v>46695</v>
      </c>
      <c r="CU47" s="8">
        <f t="shared" ca="1" si="36"/>
        <v>561</v>
      </c>
      <c r="CV47" s="5" t="str">
        <f t="shared" ca="1" si="37"/>
        <v>VIGENTE</v>
      </c>
      <c r="CW47" s="3"/>
      <c r="CX47" s="4">
        <v>45924</v>
      </c>
      <c r="CY47" s="4">
        <f>DATE(YEAR(CX47)+2,MONTH(CX47),DAY(CX47))</f>
        <v>46654</v>
      </c>
      <c r="CZ47" s="8">
        <f t="shared" ca="1" si="38"/>
        <v>520</v>
      </c>
      <c r="DA47" s="5" t="str">
        <f t="shared" ca="1" si="39"/>
        <v>VIGENTE</v>
      </c>
      <c r="DB47" s="3"/>
      <c r="DC47" s="4">
        <v>45896</v>
      </c>
      <c r="DD47" s="4">
        <f>DATE(YEAR(DC47)+2,MONTH(DC47),DAY(DC47))</f>
        <v>46626</v>
      </c>
      <c r="DE47" s="8">
        <f t="shared" ca="1" si="40"/>
        <v>492</v>
      </c>
      <c r="DF47" s="5" t="str">
        <f t="shared" ca="1" si="41"/>
        <v>VIGENTE</v>
      </c>
      <c r="DG47" s="3"/>
      <c r="DH47" s="4">
        <v>45834</v>
      </c>
      <c r="DI47" s="4">
        <f t="shared" ref="DI47:DI54" si="229">DATE(YEAR(DH47)+2,MONTH(DH47),DAY(DH47))</f>
        <v>46564</v>
      </c>
      <c r="DJ47" s="8">
        <f t="shared" ca="1" si="43"/>
        <v>430</v>
      </c>
      <c r="DK47" s="5" t="str">
        <f t="shared" ca="1" si="44"/>
        <v>VIGENTE</v>
      </c>
      <c r="DL47" s="4"/>
      <c r="DM47" s="4">
        <v>45873</v>
      </c>
      <c r="DN47" s="4">
        <f t="shared" si="223"/>
        <v>46603</v>
      </c>
      <c r="DO47" s="8">
        <f t="shared" ca="1" si="46"/>
        <v>469</v>
      </c>
      <c r="DP47" s="5" t="str">
        <f t="shared" ca="1" si="47"/>
        <v>VIGENTE</v>
      </c>
      <c r="DQ47" s="3"/>
      <c r="DR47" s="4">
        <v>45852</v>
      </c>
      <c r="DS47" s="4">
        <f>DATE(YEAR(DR47)+2,MONTH(DR47),DAY(DR47))</f>
        <v>46582</v>
      </c>
      <c r="DT47" s="8">
        <f t="shared" ca="1" si="48"/>
        <v>448</v>
      </c>
      <c r="DU47" s="5" t="str">
        <f t="shared" ca="1" si="49"/>
        <v>VIGENTE</v>
      </c>
      <c r="DV47" s="3"/>
      <c r="DW47" s="4">
        <v>45934</v>
      </c>
      <c r="DX47" s="4">
        <f>DATE(YEAR(DW47)+2,MONTH(DW47),DAY(DW47))</f>
        <v>46664</v>
      </c>
      <c r="DY47" s="8">
        <f t="shared" ca="1" si="50"/>
        <v>530</v>
      </c>
      <c r="DZ47" s="5" t="str">
        <f t="shared" ca="1" si="51"/>
        <v>VIGENTE</v>
      </c>
      <c r="EA47" s="3"/>
      <c r="EB47" s="4">
        <v>45913</v>
      </c>
      <c r="EC47" s="4">
        <f>DATE(YEAR(EB47)+2,MONTH(EB47),DAY(EB47))</f>
        <v>46643</v>
      </c>
      <c r="ED47" s="8">
        <f t="shared" ca="1" si="52"/>
        <v>509</v>
      </c>
      <c r="EE47" s="5" t="str">
        <f t="shared" ca="1" si="53"/>
        <v>VIGENTE</v>
      </c>
      <c r="EF47" s="3"/>
      <c r="EG47" s="3">
        <v>45911</v>
      </c>
      <c r="EH47" s="4">
        <f t="shared" si="137"/>
        <v>46276</v>
      </c>
      <c r="EI47" s="8">
        <f t="shared" ca="1" si="54"/>
        <v>142</v>
      </c>
      <c r="EJ47" s="5" t="str">
        <f t="shared" ca="1" si="55"/>
        <v>VIGENTE</v>
      </c>
      <c r="EK47" s="3"/>
      <c r="EL47" s="4">
        <v>45966</v>
      </c>
      <c r="EM47" s="4">
        <f>DATE(YEAR(EL47)+2,MONTH(EL47),DAY(EL47))</f>
        <v>46696</v>
      </c>
      <c r="EN47" s="8">
        <f t="shared" ca="1" si="56"/>
        <v>562</v>
      </c>
      <c r="EO47" s="5" t="str">
        <f t="shared" ca="1" si="57"/>
        <v>VIGENTE</v>
      </c>
      <c r="EP47" s="2"/>
      <c r="EQ47" s="4">
        <v>45922</v>
      </c>
      <c r="ER47" s="4">
        <f>DATE(YEAR(EQ47)+2,MONTH(EQ47),DAY(EQ47))</f>
        <v>46652</v>
      </c>
      <c r="ES47" s="8">
        <f t="shared" ca="1" si="58"/>
        <v>518</v>
      </c>
      <c r="ET47" s="5" t="str">
        <f t="shared" ca="1" si="59"/>
        <v>VIGENTE</v>
      </c>
      <c r="EU47" s="3"/>
      <c r="EV47" s="4">
        <v>45917</v>
      </c>
      <c r="EW47" s="4">
        <f t="shared" si="219"/>
        <v>46647</v>
      </c>
      <c r="EX47" s="8">
        <f t="shared" ca="1" si="60"/>
        <v>513</v>
      </c>
      <c r="EY47" s="5" t="str">
        <f t="shared" ca="1" si="61"/>
        <v>VIGENTE</v>
      </c>
      <c r="EZ47" s="2"/>
      <c r="FA47" s="4">
        <v>45931</v>
      </c>
      <c r="FB47" s="4">
        <f t="shared" si="220"/>
        <v>46661</v>
      </c>
      <c r="FC47" s="8">
        <f t="shared" ca="1" si="62"/>
        <v>527</v>
      </c>
      <c r="FD47" s="5" t="str">
        <f t="shared" ca="1" si="63"/>
        <v>VIGENTE</v>
      </c>
      <c r="FE47" s="2"/>
      <c r="FF47" s="4">
        <v>45932</v>
      </c>
      <c r="FG47" s="4">
        <f t="shared" si="221"/>
        <v>46662</v>
      </c>
      <c r="FH47" s="8">
        <f t="shared" ca="1" si="64"/>
        <v>528</v>
      </c>
      <c r="FI47" s="5" t="str">
        <f t="shared" ca="1" si="65"/>
        <v>VIGENTE</v>
      </c>
      <c r="FJ47" s="3"/>
      <c r="FK47" s="4">
        <v>45933</v>
      </c>
      <c r="FL47" s="4">
        <f>DATE(YEAR(FK47)+2,MONTH(FK47),DAY(FK47))</f>
        <v>46663</v>
      </c>
      <c r="FM47" s="8">
        <f t="shared" ca="1" si="67"/>
        <v>529</v>
      </c>
      <c r="FN47" s="5" t="str">
        <f t="shared" ca="1" si="68"/>
        <v>VIGENTE</v>
      </c>
      <c r="FO47" s="3"/>
      <c r="FP47" s="4">
        <v>46013</v>
      </c>
      <c r="FQ47" s="4">
        <f>DATE(YEAR(FP47)+2,MONTH(FP47),DAY(FP47))</f>
        <v>46743</v>
      </c>
      <c r="FR47" s="8">
        <f t="shared" ca="1" si="69"/>
        <v>609</v>
      </c>
      <c r="FS47" s="5" t="str">
        <f t="shared" ca="1" si="70"/>
        <v>VIGENTE</v>
      </c>
      <c r="FT47" s="3"/>
      <c r="FU47" s="4">
        <v>45961</v>
      </c>
      <c r="FV47" s="4">
        <f>DATE(YEAR(FU47)+2,MONTH(FU47),DAY(FU47))</f>
        <v>46691</v>
      </c>
      <c r="FW47" s="8">
        <f t="shared" ca="1" si="71"/>
        <v>557</v>
      </c>
      <c r="FX47" s="5" t="str">
        <f t="shared" ca="1" si="72"/>
        <v>VIGENTE</v>
      </c>
      <c r="FY47" s="3"/>
      <c r="FZ47" s="4">
        <v>45925</v>
      </c>
      <c r="GA47" s="4">
        <f>DATE(YEAR(FZ47)+2,MONTH(FZ47),DAY(FZ47))</f>
        <v>46655</v>
      </c>
      <c r="GB47" s="8">
        <f t="shared" ca="1" si="73"/>
        <v>521</v>
      </c>
      <c r="GC47" s="5" t="str">
        <f t="shared" ca="1" si="74"/>
        <v>VIGENTE</v>
      </c>
      <c r="GD47" s="3"/>
      <c r="GE47" s="4">
        <v>45985</v>
      </c>
      <c r="GF47" s="4">
        <f>DATE(YEAR(GE47)+2,MONTH(GE47),DAY(GE47))</f>
        <v>46715</v>
      </c>
      <c r="GG47" s="8">
        <f t="shared" ca="1" si="75"/>
        <v>581</v>
      </c>
      <c r="GH47" s="5" t="str">
        <f t="shared" ca="1" si="76"/>
        <v>VIGENTE</v>
      </c>
      <c r="GI47" s="3"/>
      <c r="GJ47" s="4">
        <v>45958</v>
      </c>
      <c r="GK47" s="4">
        <f t="shared" si="222"/>
        <v>46688</v>
      </c>
      <c r="GL47" s="8">
        <f t="shared" ca="1" si="77"/>
        <v>554</v>
      </c>
      <c r="GM47" s="5" t="str">
        <f t="shared" ca="1" si="78"/>
        <v>VIGENTE</v>
      </c>
      <c r="GN47" s="4"/>
      <c r="GO47" s="4">
        <v>45181</v>
      </c>
      <c r="GP47" s="4">
        <f t="shared" si="79"/>
        <v>47008</v>
      </c>
      <c r="GQ47" s="8">
        <f t="shared" ca="1" si="181"/>
        <v>874</v>
      </c>
      <c r="GR47" s="5" t="str">
        <f t="shared" ca="1" si="81"/>
        <v>VIGENTE</v>
      </c>
      <c r="GS47" s="3"/>
      <c r="GT47" s="4">
        <v>45329</v>
      </c>
      <c r="GU47" s="4">
        <f t="shared" si="82"/>
        <v>47156</v>
      </c>
      <c r="GV47" s="8">
        <f t="shared" ca="1" si="83"/>
        <v>1022</v>
      </c>
      <c r="GW47" s="5" t="str">
        <f t="shared" ca="1" si="84"/>
        <v>VIGENTE</v>
      </c>
      <c r="GX47" s="2"/>
      <c r="GY47" s="4">
        <v>45258</v>
      </c>
      <c r="GZ47" s="4">
        <f t="shared" si="85"/>
        <v>47085</v>
      </c>
      <c r="HA47" s="8">
        <f t="shared" ca="1" si="86"/>
        <v>951</v>
      </c>
      <c r="HB47" s="5" t="str">
        <f t="shared" ca="1" si="87"/>
        <v>VIGENTE</v>
      </c>
      <c r="HC47" s="6"/>
      <c r="HD47" s="6"/>
      <c r="HE47" s="4"/>
      <c r="HF47" s="8"/>
      <c r="HG47" s="5" t="str">
        <f t="shared" si="228"/>
        <v>NO APLICA</v>
      </c>
      <c r="HH47" s="2"/>
      <c r="HI47" s="6"/>
      <c r="HJ47" s="4"/>
      <c r="HK47" s="8"/>
      <c r="HL47" s="5" t="str">
        <f t="shared" si="207"/>
        <v>NO APLICA</v>
      </c>
      <c r="HM47" s="2"/>
      <c r="HN47" s="2"/>
      <c r="HO47" s="4"/>
      <c r="HP47" s="2"/>
      <c r="HQ47" s="5" t="str">
        <f t="shared" si="92"/>
        <v>NO APLICA</v>
      </c>
      <c r="HR47" s="2"/>
      <c r="HS47" s="6"/>
      <c r="HT47" s="4"/>
      <c r="HU47" s="8"/>
      <c r="HV47" s="5" t="str">
        <f t="shared" si="93"/>
        <v>NO APLICA</v>
      </c>
      <c r="HW47" s="2"/>
      <c r="HX47" s="6"/>
      <c r="HY47" s="4"/>
      <c r="HZ47" s="8"/>
      <c r="IA47" s="5" t="str">
        <f t="shared" si="94"/>
        <v>NO APLICA</v>
      </c>
      <c r="IB47" s="2"/>
      <c r="IC47" s="6"/>
      <c r="ID47" s="4"/>
      <c r="IE47" s="8"/>
      <c r="IF47" s="5" t="str">
        <f t="shared" si="95"/>
        <v>NO APLICA</v>
      </c>
      <c r="IG47" s="6"/>
      <c r="IH47" s="6"/>
      <c r="II47" s="4"/>
      <c r="IJ47" s="8"/>
      <c r="IK47" s="5" t="str">
        <f t="shared" si="96"/>
        <v>NO APLICA</v>
      </c>
      <c r="IL47" s="2"/>
      <c r="IM47" s="6"/>
      <c r="IN47" s="4"/>
      <c r="IO47" s="8"/>
      <c r="IP47" s="5" t="str">
        <f t="shared" si="97"/>
        <v>NO APLICA</v>
      </c>
      <c r="IQ47" s="2"/>
      <c r="IR47" s="6"/>
      <c r="IS47" s="4"/>
      <c r="IT47" s="8"/>
      <c r="IU47" s="5" t="str">
        <f t="shared" si="98"/>
        <v>NO APLICA</v>
      </c>
      <c r="IV47" s="2"/>
      <c r="IW47" s="6"/>
      <c r="IX47" s="4"/>
      <c r="IY47" s="8"/>
      <c r="IZ47" s="5" t="str">
        <f t="shared" si="99"/>
        <v>NO APLICA</v>
      </c>
      <c r="JA47" s="3"/>
      <c r="JB47" s="3"/>
      <c r="JC47" s="4"/>
      <c r="JD47" s="8"/>
      <c r="JE47" s="5" t="str">
        <f t="shared" si="100"/>
        <v>NO APLICA</v>
      </c>
      <c r="JF47" s="6"/>
      <c r="JG47" s="6"/>
      <c r="JH47" s="6"/>
      <c r="JI47" s="6"/>
      <c r="JJ47" s="5" t="str">
        <f t="shared" si="101"/>
        <v>NO APLICA</v>
      </c>
      <c r="JK47" s="6"/>
      <c r="JL47" s="6"/>
      <c r="JM47" s="6"/>
      <c r="JN47" s="6"/>
      <c r="JO47" s="5" t="str">
        <f t="shared" si="102"/>
        <v>NO APLICA</v>
      </c>
      <c r="JP47" s="6"/>
      <c r="JQ47" s="6"/>
      <c r="JR47" s="6"/>
      <c r="JS47" s="6"/>
      <c r="JT47" s="5" t="str">
        <f t="shared" si="103"/>
        <v>NO APLICA</v>
      </c>
      <c r="JU47" s="5"/>
      <c r="JV47" s="5"/>
      <c r="JW47" s="5"/>
      <c r="JX47" s="5"/>
      <c r="JY47" s="5" t="str">
        <f t="shared" si="104"/>
        <v>NO APLICA</v>
      </c>
      <c r="JZ47" s="5"/>
      <c r="KA47" s="2"/>
      <c r="KB47" s="4"/>
      <c r="KC47" s="8"/>
      <c r="KD47" s="5" t="str">
        <f t="shared" si="105"/>
        <v>NO APLICA</v>
      </c>
      <c r="KE47" s="5"/>
      <c r="KF47" s="2"/>
      <c r="KG47" s="4"/>
      <c r="KH47" s="8"/>
      <c r="KI47" s="5" t="str">
        <f t="shared" si="141"/>
        <v>NO APLICA</v>
      </c>
      <c r="KJ47" s="5"/>
      <c r="KK47" s="2"/>
      <c r="KL47" s="4"/>
      <c r="KM47" s="8"/>
      <c r="KN47" s="5" t="str">
        <f t="shared" si="106"/>
        <v>NO APLICA</v>
      </c>
      <c r="KO47" s="5"/>
      <c r="KP47" s="2"/>
      <c r="KQ47" s="4"/>
      <c r="KR47" s="8"/>
      <c r="KS47" s="5" t="str">
        <f t="shared" si="142"/>
        <v>NO APLICA</v>
      </c>
      <c r="KT47" s="2"/>
      <c r="KU47" s="6"/>
      <c r="KV47" s="4"/>
      <c r="KW47" s="8"/>
      <c r="KX47" s="5" t="str">
        <f t="shared" si="156"/>
        <v>NO APLICA</v>
      </c>
      <c r="KY47" s="5"/>
      <c r="KZ47" s="6"/>
      <c r="LA47" s="4"/>
      <c r="LB47" s="8"/>
      <c r="LC47" s="5" t="str">
        <f t="shared" si="143"/>
        <v>NO APLICA</v>
      </c>
      <c r="LD47" s="6"/>
      <c r="LE47" s="6"/>
      <c r="LF47" s="4"/>
      <c r="LG47" s="8"/>
      <c r="LH47" s="5" t="str">
        <f t="shared" si="107"/>
        <v>NO APLICA</v>
      </c>
      <c r="LI47" s="5"/>
      <c r="LJ47" s="5"/>
      <c r="LK47" s="4"/>
      <c r="LL47" s="8"/>
      <c r="LM47" s="5" t="str">
        <f t="shared" si="157"/>
        <v>NO APLICA</v>
      </c>
      <c r="LN47" s="2"/>
      <c r="LO47" s="6"/>
      <c r="LP47" s="4"/>
      <c r="LQ47" s="8"/>
      <c r="LR47" s="5" t="str">
        <f t="shared" si="144"/>
        <v>NO APLICA</v>
      </c>
      <c r="LS47" s="6"/>
      <c r="LT47" s="6"/>
      <c r="LU47" s="4"/>
      <c r="LV47" s="8"/>
      <c r="LW47" s="5" t="str">
        <f t="shared" si="145"/>
        <v>NO APLICA</v>
      </c>
      <c r="LX47" s="6"/>
      <c r="LY47" s="6"/>
      <c r="LZ47" s="4"/>
      <c r="MA47" s="8"/>
      <c r="MB47" s="5" t="str">
        <f t="shared" si="146"/>
        <v>NO APLICA</v>
      </c>
      <c r="MC47" s="2"/>
      <c r="MD47" s="2"/>
      <c r="ME47" s="4"/>
      <c r="MF47" s="8"/>
      <c r="MG47" s="5" t="str">
        <f t="shared" si="108"/>
        <v>NO APLICA</v>
      </c>
      <c r="MH47" s="2"/>
      <c r="MI47" s="2"/>
      <c r="MJ47" s="4"/>
      <c r="MK47" s="8"/>
      <c r="ML47" s="5" t="str">
        <f t="shared" si="109"/>
        <v>NO APLICA</v>
      </c>
      <c r="MM47" s="5"/>
      <c r="MN47" s="2"/>
      <c r="MO47" s="4"/>
      <c r="MP47" s="8"/>
      <c r="MQ47" s="5" t="str">
        <f t="shared" si="110"/>
        <v>NO APLICA</v>
      </c>
      <c r="MR47" s="5"/>
      <c r="MS47" s="2"/>
      <c r="MT47" s="4"/>
      <c r="MU47" s="2"/>
      <c r="MV47" s="5" t="str">
        <f t="shared" si="111"/>
        <v>NO APLICA</v>
      </c>
      <c r="MW47" s="2"/>
      <c r="MX47" s="6"/>
      <c r="MY47" s="4"/>
      <c r="MZ47" s="8"/>
      <c r="NA47" s="5" t="str">
        <f t="shared" si="112"/>
        <v>NO APLICA</v>
      </c>
      <c r="NB47" s="2"/>
      <c r="NC47" s="6"/>
      <c r="ND47" s="4"/>
      <c r="NE47" s="8"/>
      <c r="NF47" s="5" t="str">
        <f t="shared" si="113"/>
        <v>NO APLICA</v>
      </c>
      <c r="NG47" s="2"/>
      <c r="NH47" s="6"/>
      <c r="NI47" s="4"/>
      <c r="NJ47" s="8"/>
      <c r="NK47" s="5" t="str">
        <f t="shared" si="114"/>
        <v>NO APLICA</v>
      </c>
      <c r="NL47" s="2"/>
      <c r="NM47" s="2"/>
      <c r="NN47" s="4"/>
      <c r="NO47" s="8"/>
      <c r="NP47" s="5" t="str">
        <f t="shared" si="115"/>
        <v>NO APLICA</v>
      </c>
      <c r="NQ47" s="2"/>
      <c r="NR47" s="2"/>
      <c r="NS47" s="4"/>
      <c r="NT47" s="2"/>
      <c r="NU47" s="5" t="str">
        <f t="shared" si="116"/>
        <v>NO APLICA</v>
      </c>
      <c r="NV47" s="6"/>
      <c r="NW47" s="6"/>
      <c r="NX47" s="4"/>
      <c r="NY47" s="8"/>
      <c r="NZ47" s="5" t="str">
        <f t="shared" si="117"/>
        <v>NO APLICA</v>
      </c>
      <c r="OA47" s="6"/>
      <c r="OB47" s="6"/>
      <c r="OC47" s="6"/>
      <c r="OD47" s="6"/>
      <c r="OE47" s="5" t="str">
        <f t="shared" si="118"/>
        <v>NO APLICA</v>
      </c>
      <c r="OF47" s="6"/>
      <c r="OG47" s="6"/>
      <c r="OH47" s="4"/>
      <c r="OI47" s="8"/>
      <c r="OJ47" s="5" t="str">
        <f t="shared" si="119"/>
        <v>NO APLICA</v>
      </c>
      <c r="OK47" s="6"/>
      <c r="OL47" s="6"/>
      <c r="OM47" s="6"/>
      <c r="ON47" s="6"/>
      <c r="OO47" s="5" t="str">
        <f t="shared" si="120"/>
        <v>NO APLICA</v>
      </c>
      <c r="OP47" s="6"/>
      <c r="OQ47" s="6"/>
      <c r="OR47" s="6"/>
      <c r="OS47" s="6"/>
      <c r="OT47" s="5" t="str">
        <f t="shared" si="121"/>
        <v>NO APLICA</v>
      </c>
      <c r="OU47" s="6"/>
      <c r="OV47" s="6"/>
      <c r="OW47" s="6"/>
      <c r="OX47" s="6"/>
      <c r="OY47" s="5" t="str">
        <f t="shared" si="122"/>
        <v>NO APLICA</v>
      </c>
      <c r="OZ47" s="6"/>
      <c r="PA47" s="6"/>
      <c r="PB47" s="6"/>
      <c r="PC47" s="6"/>
      <c r="PD47" s="5" t="str">
        <f t="shared" si="123"/>
        <v>NO APLICA</v>
      </c>
      <c r="PE47" s="6"/>
      <c r="PF47" s="6"/>
      <c r="PG47" s="6"/>
      <c r="PH47" s="6"/>
      <c r="PI47" s="5" t="str">
        <f t="shared" si="124"/>
        <v>NO APLICA</v>
      </c>
      <c r="PJ47" s="5"/>
      <c r="PK47" s="6"/>
      <c r="PL47" s="4"/>
      <c r="PM47" s="8"/>
      <c r="PN47" s="5" t="str">
        <f t="shared" si="125"/>
        <v>NO APLICA</v>
      </c>
      <c r="PO47" s="6"/>
      <c r="PP47" s="6"/>
      <c r="PQ47" s="6"/>
      <c r="PR47" s="6"/>
      <c r="PS47" s="5" t="str">
        <f t="shared" si="126"/>
        <v>NO APLICA</v>
      </c>
      <c r="PT47" s="5"/>
      <c r="PU47" s="6"/>
      <c r="PV47" s="6"/>
      <c r="PW47" s="6"/>
      <c r="PX47" s="5" t="str">
        <f t="shared" si="127"/>
        <v>NO APLICA</v>
      </c>
    </row>
    <row r="48" spans="1:440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212</v>
      </c>
      <c r="V48" s="4">
        <v>45337</v>
      </c>
      <c r="W48" s="4">
        <f t="shared" si="2"/>
        <v>47164</v>
      </c>
      <c r="X48" s="8">
        <f t="shared" ca="1" si="3"/>
        <v>1030</v>
      </c>
      <c r="Y48" s="5" t="str">
        <f t="shared" ca="1" si="4"/>
        <v>VIGENTE</v>
      </c>
      <c r="Z48" s="2" t="s">
        <v>213</v>
      </c>
      <c r="AA48" s="4">
        <v>44824</v>
      </c>
      <c r="AB48" s="4">
        <f>DATE(YEAR(AA48)+5,MONTH(AA48),DAY(AA48))</f>
        <v>46650</v>
      </c>
      <c r="AC48" s="8">
        <f ca="1">AB48-TODAY()</f>
        <v>516</v>
      </c>
      <c r="AD48" s="5" t="str">
        <f t="shared" ca="1" si="7"/>
        <v>VIGENTE</v>
      </c>
      <c r="AE48" s="3"/>
      <c r="AF48" s="4">
        <v>45589</v>
      </c>
      <c r="AG48" s="4">
        <f>DATE(YEAR(AF48)+2,MONTH(AF48),DAY(AF48)-1)</f>
        <v>46318</v>
      </c>
      <c r="AH48" s="8">
        <f t="shared" ca="1" si="8"/>
        <v>184</v>
      </c>
      <c r="AI48" s="5" t="str">
        <f t="shared" ca="1" si="224"/>
        <v>VIGENTE</v>
      </c>
      <c r="AJ48" s="3"/>
      <c r="AK48" s="4">
        <v>45903</v>
      </c>
      <c r="AL48" s="4">
        <f>DATE(YEAR(AK48)+2,MONTH(AK48),DAY(AK48))</f>
        <v>46633</v>
      </c>
      <c r="AM48" s="8">
        <f t="shared" ca="1" si="10"/>
        <v>499</v>
      </c>
      <c r="AN48" s="5" t="str">
        <f t="shared" ca="1" si="11"/>
        <v>VIGENTE</v>
      </c>
      <c r="AO48" s="3"/>
      <c r="AP48" s="4">
        <v>45989</v>
      </c>
      <c r="AQ48" s="4">
        <f t="shared" si="225"/>
        <v>46719</v>
      </c>
      <c r="AR48" s="8">
        <f t="shared" ca="1" si="12"/>
        <v>585</v>
      </c>
      <c r="AS48" s="5" t="str">
        <f t="shared" ca="1" si="13"/>
        <v>VIGENTE</v>
      </c>
      <c r="AT48" s="3"/>
      <c r="AU48" s="4">
        <v>45972</v>
      </c>
      <c r="AV48" s="4">
        <f t="shared" si="226"/>
        <v>46702</v>
      </c>
      <c r="AW48" s="8">
        <f t="shared" ca="1" si="15"/>
        <v>568</v>
      </c>
      <c r="AX48" s="5" t="str">
        <f t="shared" ca="1" si="16"/>
        <v>VIGENTE</v>
      </c>
      <c r="AY48" s="3"/>
      <c r="AZ48" s="4">
        <v>45717</v>
      </c>
      <c r="BA48" s="4">
        <f>DATE(YEAR(AZ48)+2,MONTH(AZ48),DAY(AZ48)-1)</f>
        <v>46446</v>
      </c>
      <c r="BB48" s="8">
        <f t="shared" ca="1" si="17"/>
        <v>312</v>
      </c>
      <c r="BC48" s="5" t="str">
        <f t="shared" ca="1" si="18"/>
        <v>VIGENTE</v>
      </c>
      <c r="BD48" s="3"/>
      <c r="BE48" s="4">
        <v>45968</v>
      </c>
      <c r="BF48" s="4">
        <f t="shared" si="227"/>
        <v>46698</v>
      </c>
      <c r="BG48" s="8">
        <f t="shared" ca="1" si="19"/>
        <v>564</v>
      </c>
      <c r="BH48" s="5" t="str">
        <f t="shared" ca="1" si="20"/>
        <v>VIGENTE</v>
      </c>
      <c r="BI48" s="3"/>
      <c r="BJ48" s="4">
        <v>46035</v>
      </c>
      <c r="BK48" s="4">
        <f>DATE(YEAR(BJ48)+2,MONTH(BJ48),DAY(BJ48))</f>
        <v>46765</v>
      </c>
      <c r="BL48" s="8">
        <f t="shared" ca="1" si="21"/>
        <v>631</v>
      </c>
      <c r="BM48" s="5" t="str">
        <f t="shared" ca="1" si="22"/>
        <v>VIGENTE</v>
      </c>
      <c r="BN48" s="3"/>
      <c r="BO48" s="4">
        <v>46050</v>
      </c>
      <c r="BP48" s="4">
        <f>DATE(YEAR(BO48)+2,MONTH(BO48),DAY(BO48))</f>
        <v>46780</v>
      </c>
      <c r="BQ48" s="8">
        <f t="shared" ca="1" si="23"/>
        <v>646</v>
      </c>
      <c r="BR48" s="5" t="str">
        <f t="shared" ca="1" si="24"/>
        <v>VIGENTE</v>
      </c>
      <c r="BS48" s="3"/>
      <c r="BT48" s="4">
        <v>45736</v>
      </c>
      <c r="BU48" s="4">
        <f>DATE(YEAR(BT48)+2,MONTH(BT48),DAY(BT48)-1)</f>
        <v>46465</v>
      </c>
      <c r="BV48" s="8">
        <f t="shared" ca="1" si="25"/>
        <v>331</v>
      </c>
      <c r="BW48" s="5" t="str">
        <f t="shared" ca="1" si="26"/>
        <v>VIGENTE</v>
      </c>
      <c r="BX48" s="3"/>
      <c r="BY48" s="4">
        <v>45944</v>
      </c>
      <c r="BZ48" s="4">
        <f>DATE(YEAR(BY48)+2,MONTH(BY48),DAY(BY48))</f>
        <v>46674</v>
      </c>
      <c r="CA48" s="8">
        <f t="shared" ca="1" si="27"/>
        <v>540</v>
      </c>
      <c r="CB48" s="5" t="str">
        <f t="shared" ca="1" si="28"/>
        <v>VIGENTE</v>
      </c>
      <c r="CC48" s="6" t="s">
        <v>73</v>
      </c>
      <c r="CD48" s="4">
        <v>45282</v>
      </c>
      <c r="CE48" s="4">
        <f t="shared" si="29"/>
        <v>46743</v>
      </c>
      <c r="CF48" s="8">
        <f t="shared" ca="1" si="30"/>
        <v>609</v>
      </c>
      <c r="CG48" s="5" t="str">
        <f t="shared" ca="1" si="31"/>
        <v>VIGENTE</v>
      </c>
      <c r="CH48" s="4"/>
      <c r="CI48" s="4">
        <v>45723</v>
      </c>
      <c r="CJ48" s="4">
        <f t="shared" ref="CJ48:CJ53" si="230">DATE(YEAR(CI48)+2,MONTH(CI48),DAY(CI48)-1)</f>
        <v>46452</v>
      </c>
      <c r="CK48" s="8">
        <f t="shared" ca="1" si="32"/>
        <v>318</v>
      </c>
      <c r="CL48" s="5" t="str">
        <f t="shared" ca="1" si="33"/>
        <v>VIGENTE</v>
      </c>
      <c r="CM48" s="3"/>
      <c r="CN48" s="4">
        <v>45517</v>
      </c>
      <c r="CO48" s="4">
        <f>DATE(YEAR(CN48)+2,MONTH(CN48),DAY(CN48)-1)</f>
        <v>46246</v>
      </c>
      <c r="CP48" s="8">
        <f t="shared" ca="1" si="34"/>
        <v>112</v>
      </c>
      <c r="CQ48" s="5" t="str">
        <f t="shared" ca="1" si="35"/>
        <v>VIGENTE</v>
      </c>
      <c r="CR48" s="3"/>
      <c r="CS48" s="4">
        <v>45639</v>
      </c>
      <c r="CT48" s="4">
        <f>DATE(YEAR(CS48)+2,MONTH(CS48),DAY(CS48)-1)</f>
        <v>46368</v>
      </c>
      <c r="CU48" s="8">
        <f t="shared" ca="1" si="36"/>
        <v>234</v>
      </c>
      <c r="CV48" s="5" t="str">
        <f t="shared" ca="1" si="37"/>
        <v>VIGENTE</v>
      </c>
      <c r="CW48" s="3"/>
      <c r="CX48" s="4">
        <v>46000</v>
      </c>
      <c r="CY48" s="4">
        <f>DATE(YEAR(CX48)+2,MONTH(CX48),DAY(CX48))</f>
        <v>46730</v>
      </c>
      <c r="CZ48" s="8">
        <f t="shared" ca="1" si="38"/>
        <v>596</v>
      </c>
      <c r="DA48" s="5" t="str">
        <f t="shared" ca="1" si="39"/>
        <v>VIGENTE</v>
      </c>
      <c r="DB48" s="3"/>
      <c r="DC48" s="4">
        <v>45761</v>
      </c>
      <c r="DD48" s="4">
        <f>DATE(YEAR(DC48)+2,MONTH(DC48),DAY(DC48))</f>
        <v>46491</v>
      </c>
      <c r="DE48" s="8">
        <f t="shared" ca="1" si="40"/>
        <v>357</v>
      </c>
      <c r="DF48" s="5" t="str">
        <f t="shared" ca="1" si="41"/>
        <v>VIGENTE</v>
      </c>
      <c r="DG48" s="3"/>
      <c r="DH48" s="4">
        <v>45955</v>
      </c>
      <c r="DI48" s="4">
        <f t="shared" si="229"/>
        <v>46685</v>
      </c>
      <c r="DJ48" s="8">
        <f t="shared" ca="1" si="43"/>
        <v>551</v>
      </c>
      <c r="DK48" s="5" t="str">
        <f t="shared" ca="1" si="44"/>
        <v>VIGENTE</v>
      </c>
      <c r="DL48" s="3"/>
      <c r="DM48" s="4">
        <v>45731</v>
      </c>
      <c r="DN48" s="4">
        <f>DATE(YEAR(DM48)+2,MONTH(DM48),DAY(DM48)-1)</f>
        <v>46460</v>
      </c>
      <c r="DO48" s="8">
        <f t="shared" ca="1" si="46"/>
        <v>326</v>
      </c>
      <c r="DP48" s="5" t="str">
        <f t="shared" ca="1" si="47"/>
        <v>VIGENTE</v>
      </c>
      <c r="DQ48" s="3"/>
      <c r="DR48" s="4">
        <v>45685</v>
      </c>
      <c r="DS48" s="4">
        <f>DATE(YEAR(DR48)+2,MONTH(DR48),DAY(DR48)-1)</f>
        <v>46414</v>
      </c>
      <c r="DT48" s="8">
        <f t="shared" ca="1" si="48"/>
        <v>280</v>
      </c>
      <c r="DU48" s="5" t="str">
        <f t="shared" ca="1" si="49"/>
        <v>VIGENTE</v>
      </c>
      <c r="DV48" s="3"/>
      <c r="DW48" s="4">
        <v>45751</v>
      </c>
      <c r="DX48" s="4">
        <f>DATE(YEAR(DW48)+2,MONTH(DW48),DAY(DW48)-1)</f>
        <v>46480</v>
      </c>
      <c r="DY48" s="8">
        <f t="shared" ca="1" si="50"/>
        <v>346</v>
      </c>
      <c r="DZ48" s="5" t="str">
        <f t="shared" ca="1" si="51"/>
        <v>VIGENTE</v>
      </c>
      <c r="EA48" s="3"/>
      <c r="EB48" s="4">
        <v>45768</v>
      </c>
      <c r="EC48" s="4">
        <f>DATE(YEAR(EB48)+2,MONTH(EB48),DAY(EB48))</f>
        <v>46498</v>
      </c>
      <c r="ED48" s="8">
        <f t="shared" ca="1" si="52"/>
        <v>364</v>
      </c>
      <c r="EE48" s="5" t="str">
        <f t="shared" ca="1" si="53"/>
        <v>VIGENTE</v>
      </c>
      <c r="EF48" s="3"/>
      <c r="EG48" s="4">
        <v>45948</v>
      </c>
      <c r="EH48" s="4">
        <f t="shared" si="137"/>
        <v>46313</v>
      </c>
      <c r="EI48" s="8">
        <f t="shared" ca="1" si="54"/>
        <v>179</v>
      </c>
      <c r="EJ48" s="5" t="str">
        <f t="shared" ca="1" si="55"/>
        <v>VIGENTE</v>
      </c>
      <c r="EK48" s="3"/>
      <c r="EL48" s="4">
        <v>45737</v>
      </c>
      <c r="EM48" s="4">
        <f>DATE(YEAR(EL48)+2,MONTH(EL48),DAY(EL48)-1)</f>
        <v>46466</v>
      </c>
      <c r="EN48" s="8">
        <f t="shared" ca="1" si="56"/>
        <v>332</v>
      </c>
      <c r="EO48" s="5" t="str">
        <f t="shared" ca="1" si="57"/>
        <v>VIGENTE</v>
      </c>
      <c r="EP48" s="3"/>
      <c r="EQ48" s="4">
        <v>45755</v>
      </c>
      <c r="ER48" s="4">
        <f>DATE(YEAR(EQ48)+2,MONTH(EQ48),DAY(EQ48)-1)</f>
        <v>46484</v>
      </c>
      <c r="ES48" s="8">
        <f t="shared" ca="1" si="58"/>
        <v>350</v>
      </c>
      <c r="ET48" s="5" t="str">
        <f t="shared" ca="1" si="59"/>
        <v>VIGENTE</v>
      </c>
      <c r="EU48" s="3"/>
      <c r="EV48" s="4">
        <v>45953</v>
      </c>
      <c r="EW48" s="4">
        <f t="shared" si="219"/>
        <v>46683</v>
      </c>
      <c r="EX48" s="8">
        <f t="shared" ca="1" si="60"/>
        <v>549</v>
      </c>
      <c r="EY48" s="5" t="str">
        <f t="shared" ca="1" si="61"/>
        <v>VIGENTE</v>
      </c>
      <c r="EZ48" s="3"/>
      <c r="FA48" s="4">
        <v>45922</v>
      </c>
      <c r="FB48" s="4">
        <f t="shared" si="220"/>
        <v>46652</v>
      </c>
      <c r="FC48" s="8">
        <f t="shared" ca="1" si="62"/>
        <v>518</v>
      </c>
      <c r="FD48" s="5" t="str">
        <f t="shared" ca="1" si="63"/>
        <v>VIGENTE</v>
      </c>
      <c r="FE48" s="3"/>
      <c r="FF48" s="4">
        <v>45969</v>
      </c>
      <c r="FG48" s="4">
        <f t="shared" si="221"/>
        <v>46699</v>
      </c>
      <c r="FH48" s="8">
        <f t="shared" ca="1" si="64"/>
        <v>565</v>
      </c>
      <c r="FI48" s="5" t="str">
        <f t="shared" ca="1" si="65"/>
        <v>VIGENTE</v>
      </c>
      <c r="FJ48" s="3"/>
      <c r="FK48" s="4">
        <v>45738</v>
      </c>
      <c r="FL48" s="4">
        <f>DATE(YEAR(FK48)+2,MONTH(FK48),DAY(FK48)-1)</f>
        <v>46467</v>
      </c>
      <c r="FM48" s="8">
        <f t="shared" ca="1" si="67"/>
        <v>333</v>
      </c>
      <c r="FN48" s="5" t="str">
        <f t="shared" ca="1" si="68"/>
        <v>VIGENTE</v>
      </c>
      <c r="FO48" s="3"/>
      <c r="FP48" s="4">
        <v>45724</v>
      </c>
      <c r="FQ48" s="4">
        <f>DATE(YEAR(FP48)+2,MONTH(FP48),DAY(FP48)-1)</f>
        <v>46453</v>
      </c>
      <c r="FR48" s="8">
        <f t="shared" ca="1" si="69"/>
        <v>319</v>
      </c>
      <c r="FS48" s="5" t="str">
        <f t="shared" ca="1" si="70"/>
        <v>VIGENTE</v>
      </c>
      <c r="FT48" s="3"/>
      <c r="FU48" s="4">
        <v>45574</v>
      </c>
      <c r="FV48" s="4">
        <f>DATE(YEAR(FU48)+2,MONTH(FU48),DAY(FU48)-1)</f>
        <v>46303</v>
      </c>
      <c r="FW48" s="8">
        <f t="shared" ca="1" si="71"/>
        <v>169</v>
      </c>
      <c r="FX48" s="5" t="str">
        <f t="shared" ca="1" si="72"/>
        <v>VIGENTE</v>
      </c>
      <c r="FY48" s="3"/>
      <c r="FZ48" s="4">
        <v>45741</v>
      </c>
      <c r="GA48" s="4">
        <f>DATE(YEAR(FZ48)+2,MONTH(FZ48),DAY(FZ48)-1)</f>
        <v>46470</v>
      </c>
      <c r="GB48" s="8">
        <f t="shared" ca="1" si="73"/>
        <v>336</v>
      </c>
      <c r="GC48" s="5" t="str">
        <f t="shared" ca="1" si="74"/>
        <v>VIGENTE</v>
      </c>
      <c r="GD48" s="3"/>
      <c r="GE48" s="4">
        <v>45752</v>
      </c>
      <c r="GF48" s="4">
        <f>DATE(YEAR(GE48)+2,MONTH(GE48),DAY(GE48)-1)</f>
        <v>46481</v>
      </c>
      <c r="GG48" s="8">
        <f t="shared" ca="1" si="75"/>
        <v>347</v>
      </c>
      <c r="GH48" s="5" t="str">
        <f t="shared" ca="1" si="76"/>
        <v>VIGENTE</v>
      </c>
      <c r="GI48" s="3"/>
      <c r="GJ48" s="4">
        <v>45923</v>
      </c>
      <c r="GK48" s="4">
        <f t="shared" si="222"/>
        <v>46653</v>
      </c>
      <c r="GL48" s="8">
        <f t="shared" ca="1" si="77"/>
        <v>519</v>
      </c>
      <c r="GM48" s="5" t="str">
        <f t="shared" ca="1" si="78"/>
        <v>VIGENTE</v>
      </c>
      <c r="GN48" s="4"/>
      <c r="GO48" s="4">
        <v>45224</v>
      </c>
      <c r="GP48" s="4">
        <f t="shared" si="79"/>
        <v>47051</v>
      </c>
      <c r="GQ48" s="8">
        <f t="shared" ca="1" si="181"/>
        <v>917</v>
      </c>
      <c r="GR48" s="5" t="str">
        <f t="shared" ca="1" si="81"/>
        <v>VIGENTE</v>
      </c>
      <c r="GS48" s="3"/>
      <c r="GT48" s="4">
        <v>45277</v>
      </c>
      <c r="GU48" s="4">
        <f t="shared" si="82"/>
        <v>47104</v>
      </c>
      <c r="GV48" s="8">
        <f t="shared" ca="1" si="83"/>
        <v>970</v>
      </c>
      <c r="GW48" s="5" t="str">
        <f t="shared" ca="1" si="84"/>
        <v>VIGENTE</v>
      </c>
      <c r="GX48" s="3"/>
      <c r="GY48" s="4">
        <v>45268</v>
      </c>
      <c r="GZ48" s="4">
        <f t="shared" si="85"/>
        <v>47095</v>
      </c>
      <c r="HA48" s="8">
        <f t="shared" ca="1" si="86"/>
        <v>961</v>
      </c>
      <c r="HB48" s="5" t="str">
        <f t="shared" ca="1" si="87"/>
        <v>VIGENTE</v>
      </c>
      <c r="HC48" s="6"/>
      <c r="HD48" s="4">
        <v>44921</v>
      </c>
      <c r="HE48" s="4">
        <f>DATE(YEAR(HD48)+5,MONTH(HD48),DAY(HD48))</f>
        <v>46747</v>
      </c>
      <c r="HF48" s="8">
        <f ca="1">HE48-TODAY()</f>
        <v>613</v>
      </c>
      <c r="HG48" s="5" t="str">
        <f t="shared" ca="1" si="228"/>
        <v>VIGENTE</v>
      </c>
      <c r="HH48" s="2"/>
      <c r="HI48" s="6"/>
      <c r="HJ48" s="4"/>
      <c r="HK48" s="8"/>
      <c r="HL48" s="5" t="str">
        <f t="shared" si="207"/>
        <v>NO APLICA</v>
      </c>
      <c r="HM48" s="2"/>
      <c r="HN48" s="2"/>
      <c r="HO48" s="4"/>
      <c r="HP48" s="2"/>
      <c r="HQ48" s="5" t="str">
        <f t="shared" si="92"/>
        <v>NO APLICA</v>
      </c>
      <c r="HR48" s="3"/>
      <c r="HS48" s="4">
        <v>45260</v>
      </c>
      <c r="HT48" s="4">
        <f>DATE(YEAR(HS48)+5,MONTH(HS48),DAY(HS48))</f>
        <v>47087</v>
      </c>
      <c r="HU48" s="8">
        <f ca="1">HT48-TODAY()</f>
        <v>953</v>
      </c>
      <c r="HV48" s="5" t="str">
        <f t="shared" ca="1" si="93"/>
        <v>VIGENTE</v>
      </c>
      <c r="HW48" s="3"/>
      <c r="HX48" s="4">
        <v>45475</v>
      </c>
      <c r="HY48" s="4">
        <f>DATE(YEAR(HX48)+5,MONTH(HX48),DAY(HX48))</f>
        <v>47301</v>
      </c>
      <c r="HZ48" s="8">
        <f ca="1">HY48-TODAY()</f>
        <v>1167</v>
      </c>
      <c r="IA48" s="5" t="str">
        <f t="shared" ca="1" si="94"/>
        <v>VIGENTE</v>
      </c>
      <c r="IB48" s="3"/>
      <c r="IC48" s="4">
        <v>45230</v>
      </c>
      <c r="ID48" s="4">
        <f>DATE(YEAR(IC48)+5,MONTH(IC48),DAY(IC48))</f>
        <v>47057</v>
      </c>
      <c r="IE48" s="8">
        <f ca="1">ID48-TODAY()</f>
        <v>923</v>
      </c>
      <c r="IF48" s="5" t="str">
        <f t="shared" ca="1" si="95"/>
        <v>VIGENTE</v>
      </c>
      <c r="IG48" s="4"/>
      <c r="IH48" s="4">
        <v>45225</v>
      </c>
      <c r="II48" s="4">
        <f>DATE(YEAR(IH48)+5,MONTH(IH48),DAY(IH48))</f>
        <v>47052</v>
      </c>
      <c r="IJ48" s="8">
        <f ca="1">II48-TODAY()</f>
        <v>918</v>
      </c>
      <c r="IK48" s="5" t="str">
        <f t="shared" ca="1" si="96"/>
        <v>VIGENTE</v>
      </c>
      <c r="IL48" s="3"/>
      <c r="IM48" s="4">
        <v>45259</v>
      </c>
      <c r="IN48" s="4">
        <f>DATE(YEAR(IM48)+5,MONTH(IM48),DAY(IM48))</f>
        <v>47086</v>
      </c>
      <c r="IO48" s="8">
        <f ca="1">IN48-TODAY()</f>
        <v>952</v>
      </c>
      <c r="IP48" s="5" t="str">
        <f t="shared" ca="1" si="97"/>
        <v>VIGENTE</v>
      </c>
      <c r="IQ48" s="3"/>
      <c r="IR48" s="4">
        <v>45240</v>
      </c>
      <c r="IS48" s="4">
        <f>DATE(YEAR(IR48)+5,MONTH(IR48),DAY(IR48))</f>
        <v>47067</v>
      </c>
      <c r="IT48" s="8">
        <f ca="1">IS48-TODAY()</f>
        <v>933</v>
      </c>
      <c r="IU48" s="5" t="str">
        <f t="shared" ca="1" si="98"/>
        <v>VIGENTE</v>
      </c>
      <c r="IV48" s="3"/>
      <c r="IW48" s="4">
        <v>45446</v>
      </c>
      <c r="IX48" s="4">
        <f>DATE(YEAR(IW48)+5,MONTH(IW48),DAY(IW48))</f>
        <v>47272</v>
      </c>
      <c r="IY48" s="8">
        <f ca="1">IX48-TODAY()</f>
        <v>1138</v>
      </c>
      <c r="IZ48" s="5" t="str">
        <f t="shared" ca="1" si="99"/>
        <v>VIGENTE</v>
      </c>
      <c r="JA48" s="3"/>
      <c r="JB48" s="3"/>
      <c r="JC48" s="4"/>
      <c r="JD48" s="8"/>
      <c r="JE48" s="5" t="str">
        <f t="shared" si="100"/>
        <v>NO APLICA</v>
      </c>
      <c r="JF48" s="6"/>
      <c r="JG48" s="6"/>
      <c r="JH48" s="6"/>
      <c r="JI48" s="6"/>
      <c r="JJ48" s="5" t="str">
        <f t="shared" si="101"/>
        <v>NO APLICA</v>
      </c>
      <c r="JK48" s="6"/>
      <c r="JL48" s="6"/>
      <c r="JM48" s="6"/>
      <c r="JN48" s="6"/>
      <c r="JO48" s="5" t="str">
        <f t="shared" si="102"/>
        <v>NO APLICA</v>
      </c>
      <c r="JP48" s="6"/>
      <c r="JQ48" s="6"/>
      <c r="JR48" s="6"/>
      <c r="JS48" s="6"/>
      <c r="JT48" s="5" t="str">
        <f t="shared" si="103"/>
        <v>NO APLICA</v>
      </c>
      <c r="JU48" s="5"/>
      <c r="JV48" s="5"/>
      <c r="JW48" s="5"/>
      <c r="JX48" s="5"/>
      <c r="JY48" s="5" t="str">
        <f t="shared" si="104"/>
        <v>NO APLICA</v>
      </c>
      <c r="JZ48" s="5"/>
      <c r="KA48" s="2"/>
      <c r="KB48" s="4"/>
      <c r="KC48" s="8"/>
      <c r="KD48" s="5" t="str">
        <f t="shared" si="105"/>
        <v>NO APLICA</v>
      </c>
      <c r="KE48" s="5"/>
      <c r="KF48" s="3">
        <v>45328</v>
      </c>
      <c r="KG48" s="4">
        <f>DATE(YEAR(KF48)+5,MONTH(KF48),DAY(KF48)-1)</f>
        <v>47154</v>
      </c>
      <c r="KH48" s="8">
        <f ca="1">KG48-TODAY()</f>
        <v>1020</v>
      </c>
      <c r="KI48" s="5" t="str">
        <f t="shared" ca="1" si="141"/>
        <v>VIGENTE</v>
      </c>
      <c r="KJ48" s="5"/>
      <c r="KK48" s="2"/>
      <c r="KL48" s="4"/>
      <c r="KM48" s="8"/>
      <c r="KN48" s="5" t="str">
        <f t="shared" si="106"/>
        <v>NO APLICA</v>
      </c>
      <c r="KO48" s="5"/>
      <c r="KP48" s="2"/>
      <c r="KQ48" s="4"/>
      <c r="KR48" s="8"/>
      <c r="KS48" s="5" t="str">
        <f t="shared" si="142"/>
        <v>NO APLICA</v>
      </c>
      <c r="KT48" s="3"/>
      <c r="KU48" s="4">
        <v>44651</v>
      </c>
      <c r="KV48" s="4">
        <f>DATE(YEAR(KU48)+5,MONTH(KU48),DAY(KU48))</f>
        <v>46477</v>
      </c>
      <c r="KW48" s="8">
        <f ca="1">KV48-TODAY()</f>
        <v>343</v>
      </c>
      <c r="KX48" s="5" t="str">
        <f t="shared" ca="1" si="156"/>
        <v>VIGENTE</v>
      </c>
      <c r="KY48" s="5"/>
      <c r="KZ48" s="4">
        <v>44608</v>
      </c>
      <c r="LA48" s="4">
        <f>DATE(YEAR(KZ48)+5,MONTH(KZ48),DAY(KZ48))</f>
        <v>46434</v>
      </c>
      <c r="LB48" s="8">
        <f ca="1">LA48-TODAY()</f>
        <v>300</v>
      </c>
      <c r="LC48" s="5" t="str">
        <f t="shared" ca="1" si="143"/>
        <v>VIGENTE</v>
      </c>
      <c r="LD48" s="6"/>
      <c r="LE48" s="6"/>
      <c r="LF48" s="4"/>
      <c r="LG48" s="8"/>
      <c r="LH48" s="5" t="str">
        <f t="shared" si="107"/>
        <v>NO APLICA</v>
      </c>
      <c r="LI48" s="5"/>
      <c r="LJ48" s="5"/>
      <c r="LK48" s="5"/>
      <c r="LL48" s="5"/>
      <c r="LM48" s="5" t="str">
        <f t="shared" si="157"/>
        <v>NO APLICA</v>
      </c>
      <c r="LN48" s="2"/>
      <c r="LO48" s="6"/>
      <c r="LP48" s="4"/>
      <c r="LQ48" s="8"/>
      <c r="LR48" s="5" t="str">
        <f t="shared" si="144"/>
        <v>NO APLICA</v>
      </c>
      <c r="LS48" s="6"/>
      <c r="LT48" s="6"/>
      <c r="LU48" s="4"/>
      <c r="LV48" s="8"/>
      <c r="LW48" s="5" t="str">
        <f t="shared" si="145"/>
        <v>NO APLICA</v>
      </c>
      <c r="LX48" s="6"/>
      <c r="LY48" s="6"/>
      <c r="LZ48" s="4"/>
      <c r="MA48" s="8"/>
      <c r="MB48" s="5" t="str">
        <f t="shared" si="146"/>
        <v>NO APLICA</v>
      </c>
      <c r="MC48" s="2"/>
      <c r="MD48" s="2"/>
      <c r="ME48" s="4"/>
      <c r="MF48" s="8"/>
      <c r="MG48" s="5" t="str">
        <f t="shared" si="108"/>
        <v>NO APLICA</v>
      </c>
      <c r="MH48" s="2"/>
      <c r="MI48" s="2"/>
      <c r="MJ48" s="4"/>
      <c r="MK48" s="8"/>
      <c r="ML48" s="5" t="str">
        <f t="shared" si="109"/>
        <v>NO APLICA</v>
      </c>
      <c r="MM48" s="5"/>
      <c r="MN48" s="2"/>
      <c r="MO48" s="4"/>
      <c r="MP48" s="8"/>
      <c r="MQ48" s="5" t="str">
        <f t="shared" si="110"/>
        <v>NO APLICA</v>
      </c>
      <c r="MR48" s="5"/>
      <c r="MS48" s="2"/>
      <c r="MT48" s="4"/>
      <c r="MU48" s="2"/>
      <c r="MV48" s="5" t="str">
        <f t="shared" si="111"/>
        <v>NO APLICA</v>
      </c>
      <c r="MW48" s="2"/>
      <c r="MX48" s="6"/>
      <c r="MY48" s="4"/>
      <c r="MZ48" s="8"/>
      <c r="NA48" s="5" t="str">
        <f t="shared" si="112"/>
        <v>NO APLICA</v>
      </c>
      <c r="NB48" s="2"/>
      <c r="NC48" s="6"/>
      <c r="ND48" s="4"/>
      <c r="NE48" s="8"/>
      <c r="NF48" s="5" t="str">
        <f t="shared" si="113"/>
        <v>NO APLICA</v>
      </c>
      <c r="NG48" s="2"/>
      <c r="NH48" s="6"/>
      <c r="NI48" s="4"/>
      <c r="NJ48" s="8"/>
      <c r="NK48" s="5" t="str">
        <f t="shared" si="114"/>
        <v>NO APLICA</v>
      </c>
      <c r="NL48" s="2"/>
      <c r="NM48" s="2"/>
      <c r="NN48" s="4"/>
      <c r="NO48" s="2"/>
      <c r="NP48" s="5" t="str">
        <f t="shared" si="115"/>
        <v>NO APLICA</v>
      </c>
      <c r="NQ48" s="4"/>
      <c r="NR48" s="4">
        <v>45103</v>
      </c>
      <c r="NS48" s="4">
        <f>DATE(YEAR(NR48)+5,MONTH(NR48),DAY(NR48))</f>
        <v>46930</v>
      </c>
      <c r="NT48" s="8">
        <f ca="1">NS48-TODAY()</f>
        <v>796</v>
      </c>
      <c r="NU48" s="5" t="str">
        <f t="shared" ca="1" si="116"/>
        <v>VIGENTE</v>
      </c>
      <c r="NV48" s="6"/>
      <c r="NW48" s="6"/>
      <c r="NX48" s="4"/>
      <c r="NY48" s="8"/>
      <c r="NZ48" s="5" t="str">
        <f t="shared" si="117"/>
        <v>NO APLICA</v>
      </c>
      <c r="OA48" s="6"/>
      <c r="OB48" s="6"/>
      <c r="OC48" s="6"/>
      <c r="OD48" s="6"/>
      <c r="OE48" s="5" t="str">
        <f t="shared" si="118"/>
        <v>NO APLICA</v>
      </c>
      <c r="OF48" s="6"/>
      <c r="OG48" s="6"/>
      <c r="OH48" s="4"/>
      <c r="OI48" s="8"/>
      <c r="OJ48" s="5" t="str">
        <f t="shared" si="119"/>
        <v>NO APLICA</v>
      </c>
      <c r="OK48" s="6"/>
      <c r="OL48" s="6"/>
      <c r="OM48" s="6"/>
      <c r="ON48" s="6"/>
      <c r="OO48" s="5" t="str">
        <f t="shared" si="120"/>
        <v>NO APLICA</v>
      </c>
      <c r="OP48" s="6"/>
      <c r="OQ48" s="6"/>
      <c r="OR48" s="6"/>
      <c r="OS48" s="6"/>
      <c r="OT48" s="5" t="str">
        <f t="shared" si="121"/>
        <v>NO APLICA</v>
      </c>
      <c r="OU48" s="6"/>
      <c r="OV48" s="6"/>
      <c r="OW48" s="6"/>
      <c r="OX48" s="6"/>
      <c r="OY48" s="5" t="str">
        <f t="shared" si="122"/>
        <v>NO APLICA</v>
      </c>
      <c r="OZ48" s="6"/>
      <c r="PA48" s="6"/>
      <c r="PB48" s="6"/>
      <c r="PC48" s="6"/>
      <c r="PD48" s="5" t="str">
        <f t="shared" si="123"/>
        <v>NO APLICA</v>
      </c>
      <c r="PE48" s="6"/>
      <c r="PF48" s="6"/>
      <c r="PG48" s="6"/>
      <c r="PH48" s="6"/>
      <c r="PI48" s="5" t="str">
        <f t="shared" si="124"/>
        <v>NO APLICA</v>
      </c>
      <c r="PJ48" s="5"/>
      <c r="PK48" s="6"/>
      <c r="PL48" s="4"/>
      <c r="PM48" s="8"/>
      <c r="PN48" s="5" t="str">
        <f t="shared" si="125"/>
        <v>NO APLICA</v>
      </c>
      <c r="PO48" s="6"/>
      <c r="PP48" s="6"/>
      <c r="PQ48" s="6"/>
      <c r="PR48" s="6"/>
      <c r="PS48" s="5" t="str">
        <f t="shared" si="126"/>
        <v>NO APLICA</v>
      </c>
      <c r="PT48" s="5"/>
      <c r="PU48" s="6"/>
      <c r="PV48" s="6"/>
      <c r="PW48" s="6"/>
      <c r="PX48" s="5" t="str">
        <f t="shared" si="127"/>
        <v>NO APLICA</v>
      </c>
    </row>
    <row r="49" spans="1:440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215</v>
      </c>
      <c r="V49" s="4">
        <v>45401</v>
      </c>
      <c r="W49" s="4">
        <f t="shared" si="2"/>
        <v>47227</v>
      </c>
      <c r="X49" s="8">
        <f t="shared" ca="1" si="3"/>
        <v>1093</v>
      </c>
      <c r="Y49" s="5" t="str">
        <f t="shared" ca="1" si="4"/>
        <v>VIGENTE</v>
      </c>
      <c r="Z49" s="6" t="s">
        <v>216</v>
      </c>
      <c r="AA49" s="4">
        <v>45577</v>
      </c>
      <c r="AB49" s="4">
        <f>DATE(YEAR(AA49)+5,MONTH(AA49),DAY(AA49))</f>
        <v>47403</v>
      </c>
      <c r="AC49" s="8">
        <f ca="1">AB49-TODAY()</f>
        <v>1269</v>
      </c>
      <c r="AD49" s="5" t="str">
        <f t="shared" ca="1" si="7"/>
        <v>VIGENTE</v>
      </c>
      <c r="AE49" s="4"/>
      <c r="AF49" s="4">
        <v>46085</v>
      </c>
      <c r="AG49" s="4">
        <f>DATE(YEAR(AF49)+2,MONTH(AF49),DAY(AF49))</f>
        <v>46816</v>
      </c>
      <c r="AH49" s="8">
        <f t="shared" ca="1" si="8"/>
        <v>682</v>
      </c>
      <c r="AI49" s="5" t="str">
        <f t="shared" ca="1" si="224"/>
        <v>VIGENTE</v>
      </c>
      <c r="AJ49" s="4"/>
      <c r="AK49" s="4">
        <v>46084</v>
      </c>
      <c r="AL49" s="4">
        <f>DATE(YEAR(AK49)+2,MONTH(AK49),DAY(AK49))</f>
        <v>46815</v>
      </c>
      <c r="AM49" s="8">
        <f t="shared" ca="1" si="10"/>
        <v>681</v>
      </c>
      <c r="AN49" s="5" t="str">
        <f t="shared" ca="1" si="11"/>
        <v>VIGENTE</v>
      </c>
      <c r="AO49" s="6"/>
      <c r="AP49" s="4">
        <v>46048</v>
      </c>
      <c r="AQ49" s="4">
        <f t="shared" si="225"/>
        <v>46778</v>
      </c>
      <c r="AR49" s="8">
        <f t="shared" ca="1" si="12"/>
        <v>644</v>
      </c>
      <c r="AS49" s="5" t="str">
        <f t="shared" ca="1" si="13"/>
        <v>VIGENTE</v>
      </c>
      <c r="AT49" s="6"/>
      <c r="AU49" s="4">
        <v>46070</v>
      </c>
      <c r="AV49" s="4">
        <f t="shared" si="226"/>
        <v>46800</v>
      </c>
      <c r="AW49" s="8">
        <f t="shared" ca="1" si="15"/>
        <v>666</v>
      </c>
      <c r="AX49" s="5" t="str">
        <f t="shared" ca="1" si="16"/>
        <v>VIGENTE</v>
      </c>
      <c r="AY49" s="4"/>
      <c r="AZ49" s="4">
        <v>45454</v>
      </c>
      <c r="BA49" s="4">
        <f>DATE(YEAR(AZ49)+2,MONTH(AZ49),DAY(AZ49)-1)</f>
        <v>46183</v>
      </c>
      <c r="BB49" s="8">
        <f t="shared" ca="1" si="17"/>
        <v>49</v>
      </c>
      <c r="BC49" s="5" t="str">
        <f t="shared" ca="1" si="18"/>
        <v>POR VENCER</v>
      </c>
      <c r="BD49" s="6"/>
      <c r="BE49" s="4">
        <v>46067</v>
      </c>
      <c r="BF49" s="4">
        <f t="shared" si="227"/>
        <v>46797</v>
      </c>
      <c r="BG49" s="8">
        <f t="shared" ca="1" si="19"/>
        <v>663</v>
      </c>
      <c r="BH49" s="5" t="str">
        <f t="shared" ca="1" si="20"/>
        <v>VIGENTE</v>
      </c>
      <c r="BI49" s="4"/>
      <c r="BJ49" s="4">
        <v>46051</v>
      </c>
      <c r="BK49" s="4">
        <f>DATE(YEAR(BJ49)+2,MONTH(BJ49),DAY(BJ49))</f>
        <v>46781</v>
      </c>
      <c r="BL49" s="8">
        <f t="shared" ca="1" si="21"/>
        <v>647</v>
      </c>
      <c r="BM49" s="5" t="str">
        <f t="shared" ca="1" si="22"/>
        <v>VIGENTE</v>
      </c>
      <c r="BN49" s="4"/>
      <c r="BO49" s="4">
        <v>46069</v>
      </c>
      <c r="BP49" s="4">
        <f>DATE(YEAR(BO49)+2,MONTH(BO49),DAY(BO49))</f>
        <v>46799</v>
      </c>
      <c r="BQ49" s="8">
        <f t="shared" ca="1" si="23"/>
        <v>665</v>
      </c>
      <c r="BR49" s="5" t="str">
        <f t="shared" ca="1" si="24"/>
        <v>VIGENTE</v>
      </c>
      <c r="BS49" s="6"/>
      <c r="BT49" s="4">
        <v>45455</v>
      </c>
      <c r="BU49" s="4">
        <f>DATE(YEAR(BT49)+2,MONTH(BT49),DAY(BT49)-1)</f>
        <v>46184</v>
      </c>
      <c r="BV49" s="8">
        <f t="shared" ca="1" si="25"/>
        <v>50</v>
      </c>
      <c r="BW49" s="5" t="str">
        <f t="shared" ca="1" si="26"/>
        <v>POR VENCER</v>
      </c>
      <c r="BX49" s="6"/>
      <c r="BY49" s="4">
        <v>45480</v>
      </c>
      <c r="BZ49" s="4">
        <f>DATE(YEAR(BY49)+2,MONTH(BY49),DAY(BY49)-1)</f>
        <v>46209</v>
      </c>
      <c r="CA49" s="8">
        <f t="shared" ca="1" si="27"/>
        <v>75</v>
      </c>
      <c r="CB49" s="5" t="str">
        <f t="shared" ca="1" si="28"/>
        <v>POR VENCER</v>
      </c>
      <c r="CC49" s="6" t="s">
        <v>73</v>
      </c>
      <c r="CD49" s="4">
        <v>45533</v>
      </c>
      <c r="CE49" s="4">
        <f t="shared" si="29"/>
        <v>46994</v>
      </c>
      <c r="CF49" s="8">
        <f t="shared" ca="1" si="30"/>
        <v>860</v>
      </c>
      <c r="CG49" s="5" t="str">
        <f t="shared" ca="1" si="31"/>
        <v>VIGENTE</v>
      </c>
      <c r="CH49" s="6"/>
      <c r="CI49" s="4">
        <v>45504</v>
      </c>
      <c r="CJ49" s="4">
        <f t="shared" si="230"/>
        <v>46233</v>
      </c>
      <c r="CK49" s="8">
        <f t="shared" ca="1" si="32"/>
        <v>99</v>
      </c>
      <c r="CL49" s="5" t="str">
        <f t="shared" ca="1" si="33"/>
        <v>VIGENTE</v>
      </c>
      <c r="CM49" s="4"/>
      <c r="CN49" s="4">
        <v>46101</v>
      </c>
      <c r="CO49" s="4">
        <f>DATE(YEAR(CN49)+2,MONTH(CN49),DAY(CN49))</f>
        <v>46832</v>
      </c>
      <c r="CP49" s="8">
        <f t="shared" ca="1" si="34"/>
        <v>698</v>
      </c>
      <c r="CQ49" s="5" t="str">
        <f t="shared" ca="1" si="35"/>
        <v>VIGENTE</v>
      </c>
      <c r="CR49" s="4"/>
      <c r="CS49" s="4">
        <v>46043</v>
      </c>
      <c r="CT49" s="4">
        <f>DATE(YEAR(CS49)+2,MONTH(CS49),DAY(CS49))</f>
        <v>46773</v>
      </c>
      <c r="CU49" s="8">
        <f t="shared" ca="1" si="36"/>
        <v>639</v>
      </c>
      <c r="CV49" s="5" t="str">
        <f t="shared" ca="1" si="37"/>
        <v>VIGENTE</v>
      </c>
      <c r="CW49" s="4"/>
      <c r="CX49" s="4">
        <v>46028</v>
      </c>
      <c r="CY49" s="4">
        <f>DATE(YEAR(CX49)+2,MONTH(CX49),DAY(CX49))</f>
        <v>46758</v>
      </c>
      <c r="CZ49" s="8">
        <f t="shared" ca="1" si="38"/>
        <v>624</v>
      </c>
      <c r="DA49" s="5" t="str">
        <f t="shared" ca="1" si="39"/>
        <v>VIGENTE</v>
      </c>
      <c r="DB49" s="4"/>
      <c r="DC49" s="4">
        <v>46066</v>
      </c>
      <c r="DD49" s="4">
        <f>DATE(YEAR(DC49)+2,MONTH(DC49),DAY(DC49))</f>
        <v>46796</v>
      </c>
      <c r="DE49" s="8">
        <f t="shared" ca="1" si="40"/>
        <v>662</v>
      </c>
      <c r="DF49" s="5" t="str">
        <f t="shared" ca="1" si="41"/>
        <v>VIGENTE</v>
      </c>
      <c r="DG49" s="6"/>
      <c r="DH49" s="4">
        <v>46073</v>
      </c>
      <c r="DI49" s="4">
        <f t="shared" si="229"/>
        <v>46803</v>
      </c>
      <c r="DJ49" s="8">
        <f t="shared" ca="1" si="43"/>
        <v>669</v>
      </c>
      <c r="DK49" s="5" t="str">
        <f t="shared" ca="1" si="44"/>
        <v>VIGENTE</v>
      </c>
      <c r="DL49" s="4"/>
      <c r="DM49" s="4">
        <v>45520</v>
      </c>
      <c r="DN49" s="4">
        <f>DATE(YEAR(DM49)+2,MONTH(DM49),DAY(DM49)-1)</f>
        <v>46249</v>
      </c>
      <c r="DO49" s="8">
        <f t="shared" ca="1" si="46"/>
        <v>115</v>
      </c>
      <c r="DP49" s="5" t="str">
        <f t="shared" ca="1" si="47"/>
        <v>VIGENTE</v>
      </c>
      <c r="DQ49" s="6"/>
      <c r="DR49" s="4">
        <v>46053</v>
      </c>
      <c r="DS49" s="4">
        <f>DATE(YEAR(DR49)+2,MONTH(DR49),DAY(DR49))</f>
        <v>46783</v>
      </c>
      <c r="DT49" s="8">
        <f t="shared" ca="1" si="48"/>
        <v>649</v>
      </c>
      <c r="DU49" s="5" t="str">
        <f t="shared" ca="1" si="49"/>
        <v>VIGENTE</v>
      </c>
      <c r="DV49" s="4"/>
      <c r="DW49" s="4">
        <v>46099</v>
      </c>
      <c r="DX49" s="4">
        <f>DATE(YEAR(DW49)+2,MONTH(DW49),DAY(DW49))</f>
        <v>46830</v>
      </c>
      <c r="DY49" s="8">
        <f t="shared" ca="1" si="50"/>
        <v>696</v>
      </c>
      <c r="DZ49" s="5" t="str">
        <f t="shared" ca="1" si="51"/>
        <v>VIGENTE</v>
      </c>
      <c r="EA49" s="4"/>
      <c r="EB49" s="4">
        <v>45462</v>
      </c>
      <c r="EC49" s="4">
        <f>DATE(YEAR(EB49)+2,MONTH(EB49),DAY(EB49)-1)</f>
        <v>46191</v>
      </c>
      <c r="ED49" s="8">
        <f t="shared" ca="1" si="52"/>
        <v>57</v>
      </c>
      <c r="EE49" s="5" t="str">
        <f t="shared" ca="1" si="53"/>
        <v>POR VENCER</v>
      </c>
      <c r="EF49" s="4"/>
      <c r="EG49" s="4">
        <v>45808</v>
      </c>
      <c r="EH49" s="4">
        <f t="shared" si="137"/>
        <v>46173</v>
      </c>
      <c r="EI49" s="8">
        <f t="shared" ca="1" si="54"/>
        <v>39</v>
      </c>
      <c r="EJ49" s="5" t="str">
        <f t="shared" ca="1" si="55"/>
        <v>POR VENCER</v>
      </c>
      <c r="EK49" s="4"/>
      <c r="EL49" s="4">
        <v>45465</v>
      </c>
      <c r="EM49" s="4">
        <f>DATE(YEAR(EL49)+2,MONTH(EL49),DAY(EL49)-1)</f>
        <v>46194</v>
      </c>
      <c r="EN49" s="8">
        <f t="shared" ca="1" si="56"/>
        <v>60</v>
      </c>
      <c r="EO49" s="5" t="str">
        <f t="shared" ca="1" si="57"/>
        <v>POR VENCER</v>
      </c>
      <c r="EP49" s="6"/>
      <c r="EQ49" s="4">
        <v>45467</v>
      </c>
      <c r="ER49" s="4">
        <f>DATE(YEAR(EQ49)+2,MONTH(EQ49),DAY(EQ49)-1)</f>
        <v>46196</v>
      </c>
      <c r="ES49" s="8">
        <f t="shared" ca="1" si="58"/>
        <v>62</v>
      </c>
      <c r="ET49" s="5" t="str">
        <f t="shared" ca="1" si="59"/>
        <v>POR VENCER</v>
      </c>
      <c r="EU49" s="6"/>
      <c r="EV49" s="4">
        <v>45502</v>
      </c>
      <c r="EW49" s="4">
        <f>DATE(YEAR(EV49)+2,MONTH(EV49),DAY(EV49)-1)</f>
        <v>46231</v>
      </c>
      <c r="EX49" s="8">
        <f t="shared" ca="1" si="60"/>
        <v>97</v>
      </c>
      <c r="EY49" s="5" t="str">
        <f t="shared" ca="1" si="61"/>
        <v>VIGENTE</v>
      </c>
      <c r="EZ49" s="6"/>
      <c r="FA49" s="4">
        <v>46091</v>
      </c>
      <c r="FB49" s="4">
        <f t="shared" si="220"/>
        <v>46822</v>
      </c>
      <c r="FC49" s="8">
        <f t="shared" ca="1" si="62"/>
        <v>688</v>
      </c>
      <c r="FD49" s="5" t="str">
        <f t="shared" ca="1" si="63"/>
        <v>VIGENTE</v>
      </c>
      <c r="FE49" s="6"/>
      <c r="FF49" s="4">
        <v>45542</v>
      </c>
      <c r="FG49" s="4">
        <f>DATE(YEAR(FF49)+2,MONTH(FF49),DAY(FF49)-1)</f>
        <v>46271</v>
      </c>
      <c r="FH49" s="8">
        <f t="shared" ca="1" si="64"/>
        <v>137</v>
      </c>
      <c r="FI49" s="5" t="str">
        <f t="shared" ca="1" si="65"/>
        <v>VIGENTE</v>
      </c>
      <c r="FJ49" s="4"/>
      <c r="FK49" s="4">
        <v>46039</v>
      </c>
      <c r="FL49" s="4">
        <f>DATE(YEAR(FK49)+2,MONTH(FK49),DAY(FK49))</f>
        <v>46769</v>
      </c>
      <c r="FM49" s="8">
        <f t="shared" ca="1" si="67"/>
        <v>635</v>
      </c>
      <c r="FN49" s="5" t="str">
        <f t="shared" ca="1" si="68"/>
        <v>VIGENTE</v>
      </c>
      <c r="FO49" s="4"/>
      <c r="FP49" s="4">
        <v>45458</v>
      </c>
      <c r="FQ49" s="4">
        <f>DATE(YEAR(FP49)+2,MONTH(FP49),DAY(FP49)-1)</f>
        <v>46187</v>
      </c>
      <c r="FR49" s="8">
        <f t="shared" ca="1" si="69"/>
        <v>53</v>
      </c>
      <c r="FS49" s="5" t="str">
        <f t="shared" ca="1" si="70"/>
        <v>POR VENCER</v>
      </c>
      <c r="FT49" s="4"/>
      <c r="FU49" s="4">
        <v>45541</v>
      </c>
      <c r="FV49" s="4">
        <f>DATE(YEAR(FU49)+2,MONTH(FU49),DAY(FU49)-1)</f>
        <v>46270</v>
      </c>
      <c r="FW49" s="8">
        <f t="shared" ca="1" si="71"/>
        <v>136</v>
      </c>
      <c r="FX49" s="5" t="str">
        <f t="shared" ca="1" si="72"/>
        <v>VIGENTE</v>
      </c>
      <c r="FY49" s="4"/>
      <c r="FZ49" s="4">
        <v>46030</v>
      </c>
      <c r="GA49" s="4">
        <f>DATE(YEAR(FZ49)+2,MONTH(FZ49),DAY(FZ49))</f>
        <v>46760</v>
      </c>
      <c r="GB49" s="8">
        <f t="shared" ca="1" si="73"/>
        <v>626</v>
      </c>
      <c r="GC49" s="5" t="str">
        <f t="shared" ca="1" si="74"/>
        <v>VIGENTE</v>
      </c>
      <c r="GD49" s="4"/>
      <c r="GE49" s="4">
        <v>46092</v>
      </c>
      <c r="GF49" s="4">
        <f>DATE(YEAR(GE49)+2,MONTH(GE49),DAY(GE49))</f>
        <v>46823</v>
      </c>
      <c r="GG49" s="8">
        <f t="shared" ca="1" si="75"/>
        <v>689</v>
      </c>
      <c r="GH49" s="5" t="str">
        <f t="shared" ca="1" si="76"/>
        <v>VIGENTE</v>
      </c>
      <c r="GI49" s="4"/>
      <c r="GJ49" s="4">
        <v>45499</v>
      </c>
      <c r="GK49" s="4">
        <f>DATE(YEAR(GJ49)+2,MONTH(GJ49),DAY(GJ49)-1)</f>
        <v>46228</v>
      </c>
      <c r="GL49" s="8">
        <f t="shared" ca="1" si="77"/>
        <v>94</v>
      </c>
      <c r="GM49" s="5" t="str">
        <f t="shared" ca="1" si="78"/>
        <v>VIGENTE</v>
      </c>
      <c r="GN49" s="4"/>
      <c r="GO49" s="4">
        <v>45468</v>
      </c>
      <c r="GP49" s="4">
        <f t="shared" si="79"/>
        <v>47294</v>
      </c>
      <c r="GQ49" s="8">
        <f t="shared" ca="1" si="181"/>
        <v>1160</v>
      </c>
      <c r="GR49" s="5" t="str">
        <f t="shared" ca="1" si="81"/>
        <v>VIGENTE</v>
      </c>
      <c r="GS49" s="4"/>
      <c r="GT49" s="4">
        <v>45464</v>
      </c>
      <c r="GU49" s="4">
        <f t="shared" si="82"/>
        <v>47290</v>
      </c>
      <c r="GV49" s="8">
        <f t="shared" ca="1" si="83"/>
        <v>1156</v>
      </c>
      <c r="GW49" s="5" t="str">
        <f t="shared" ca="1" si="84"/>
        <v>VIGENTE</v>
      </c>
      <c r="GX49" s="6"/>
      <c r="GY49" s="4">
        <v>45479</v>
      </c>
      <c r="GZ49" s="4">
        <f t="shared" si="85"/>
        <v>47305</v>
      </c>
      <c r="HA49" s="8">
        <f t="shared" ca="1" si="86"/>
        <v>1171</v>
      </c>
      <c r="HB49" s="5" t="str">
        <f t="shared" ca="1" si="87"/>
        <v>VIGENTE</v>
      </c>
      <c r="HC49" s="6"/>
      <c r="HD49" s="4">
        <v>45401</v>
      </c>
      <c r="HE49" s="4">
        <f>DATE(YEAR(HD49)+5,MONTH(HD49),DAY(HD49))</f>
        <v>47227</v>
      </c>
      <c r="HF49" s="8">
        <f ca="1">HE49-TODAY()</f>
        <v>1093</v>
      </c>
      <c r="HG49" s="5" t="str">
        <f t="shared" ca="1" si="228"/>
        <v>VIGENTE</v>
      </c>
      <c r="HH49" s="6"/>
      <c r="HI49" s="6"/>
      <c r="HJ49" s="4">
        <f>DATE(YEAR(HI49)+5,MONTH(HI49),DAY(HI49))</f>
        <v>1827</v>
      </c>
      <c r="HK49" s="8">
        <f ca="1">HJ49-TODAY()</f>
        <v>-44307</v>
      </c>
      <c r="HL49" s="5" t="str">
        <f ca="1">IF(HK49&gt;=61,"VIGENTE",IF(HK49&gt;=1,"POR VENCER",IF(HK49&lt;=-1,"PROGRAMAR",IF(HI49=0,"NO APLICA"))))</f>
        <v>PROGRAMAR</v>
      </c>
      <c r="HM49" s="6"/>
      <c r="HN49" s="6"/>
      <c r="HO49" s="4"/>
      <c r="HP49" s="6"/>
      <c r="HQ49" s="5" t="str">
        <f t="shared" si="92"/>
        <v>NO APLICA</v>
      </c>
      <c r="HR49" s="6"/>
      <c r="HS49" s="6"/>
      <c r="HT49" s="4"/>
      <c r="HU49" s="8"/>
      <c r="HV49" s="5" t="str">
        <f t="shared" si="93"/>
        <v>NO APLICA</v>
      </c>
      <c r="HW49" s="6"/>
      <c r="HX49" s="6"/>
      <c r="HY49" s="4"/>
      <c r="HZ49" s="8"/>
      <c r="IA49" s="5" t="str">
        <f t="shared" si="94"/>
        <v>NO APLICA</v>
      </c>
      <c r="IB49" s="6"/>
      <c r="IC49" s="6"/>
      <c r="ID49" s="4"/>
      <c r="IE49" s="8"/>
      <c r="IF49" s="5" t="str">
        <f t="shared" si="95"/>
        <v>NO APLICA</v>
      </c>
      <c r="IG49" s="6"/>
      <c r="IH49" s="6"/>
      <c r="II49" s="4"/>
      <c r="IJ49" s="6"/>
      <c r="IK49" s="5" t="str">
        <f t="shared" si="96"/>
        <v>NO APLICA</v>
      </c>
      <c r="IL49" s="6"/>
      <c r="IM49" s="4">
        <v>45490</v>
      </c>
      <c r="IN49" s="4">
        <f>DATE(YEAR(IM49)+5,MONTH(IM49),DAY(IM49))</f>
        <v>47316</v>
      </c>
      <c r="IO49" s="8">
        <f ca="1">IN49-TODAY()</f>
        <v>1182</v>
      </c>
      <c r="IP49" s="5" t="str">
        <f t="shared" ca="1" si="97"/>
        <v>VIGENTE</v>
      </c>
      <c r="IQ49" s="6"/>
      <c r="IR49" s="4">
        <v>45402</v>
      </c>
      <c r="IS49" s="4">
        <f>DATE(YEAR(IR49)+5,MONTH(IR49),DAY(IR49))</f>
        <v>47228</v>
      </c>
      <c r="IT49" s="8">
        <f ca="1">IS49-TODAY()</f>
        <v>1094</v>
      </c>
      <c r="IU49" s="5" t="str">
        <f t="shared" ca="1" si="98"/>
        <v>VIGENTE</v>
      </c>
      <c r="IV49" s="6"/>
      <c r="IW49" s="4">
        <v>45491</v>
      </c>
      <c r="IX49" s="4">
        <f>DATE(YEAR(IW49)+5,MONTH(IW49),DAY(IW49))</f>
        <v>47317</v>
      </c>
      <c r="IY49" s="8">
        <f ca="1">IX49-TODAY()</f>
        <v>1183</v>
      </c>
      <c r="IZ49" s="5" t="str">
        <f t="shared" ca="1" si="99"/>
        <v>VIGENTE</v>
      </c>
      <c r="JA49" s="6"/>
      <c r="JB49" s="6"/>
      <c r="JC49" s="6"/>
      <c r="JD49" s="6"/>
      <c r="JE49" s="5" t="str">
        <f t="shared" si="100"/>
        <v>NO APLICA</v>
      </c>
      <c r="JF49" s="6"/>
      <c r="JG49" s="6"/>
      <c r="JH49" s="6"/>
      <c r="JI49" s="6"/>
      <c r="JJ49" s="5" t="str">
        <f t="shared" si="101"/>
        <v>NO APLICA</v>
      </c>
      <c r="JK49" s="6"/>
      <c r="JL49" s="6"/>
      <c r="JM49" s="6"/>
      <c r="JN49" s="6"/>
      <c r="JO49" s="5" t="str">
        <f t="shared" si="102"/>
        <v>NO APLICA</v>
      </c>
      <c r="JP49" s="6"/>
      <c r="JQ49" s="6"/>
      <c r="JR49" s="6"/>
      <c r="JS49" s="6"/>
      <c r="JT49" s="5" t="str">
        <f t="shared" si="103"/>
        <v>NO APLICA</v>
      </c>
      <c r="JU49" s="5"/>
      <c r="JV49" s="5"/>
      <c r="JW49" s="5"/>
      <c r="JX49" s="5"/>
      <c r="JY49" s="5" t="str">
        <f t="shared" si="104"/>
        <v>NO APLICA</v>
      </c>
      <c r="JZ49" s="5"/>
      <c r="KA49" s="6"/>
      <c r="KB49" s="4"/>
      <c r="KC49" s="6"/>
      <c r="KD49" s="5" t="str">
        <f t="shared" si="105"/>
        <v>NO APLICA</v>
      </c>
      <c r="KE49" s="5"/>
      <c r="KF49" s="6"/>
      <c r="KG49" s="4"/>
      <c r="KH49" s="6"/>
      <c r="KI49" s="5" t="str">
        <f t="shared" si="141"/>
        <v>NO APLICA</v>
      </c>
      <c r="KJ49" s="5"/>
      <c r="KK49" s="6"/>
      <c r="KL49" s="4"/>
      <c r="KM49" s="6"/>
      <c r="KN49" s="5" t="str">
        <f t="shared" si="106"/>
        <v>NO APLICA</v>
      </c>
      <c r="KO49" s="5"/>
      <c r="KP49" s="6"/>
      <c r="KQ49" s="4"/>
      <c r="KR49" s="6"/>
      <c r="KS49" s="5" t="str">
        <f t="shared" si="142"/>
        <v>NO APLICA</v>
      </c>
      <c r="KT49" s="6"/>
      <c r="KU49" s="6"/>
      <c r="KV49" s="4"/>
      <c r="KW49" s="6"/>
      <c r="KX49" s="5" t="str">
        <f t="shared" si="156"/>
        <v>NO APLICA</v>
      </c>
      <c r="KY49" s="5"/>
      <c r="KZ49" s="6"/>
      <c r="LA49" s="4"/>
      <c r="LB49" s="6"/>
      <c r="LC49" s="5" t="str">
        <f t="shared" si="143"/>
        <v>NO APLICA</v>
      </c>
      <c r="LD49" s="6"/>
      <c r="LE49" s="4"/>
      <c r="LF49" s="4"/>
      <c r="LG49" s="8"/>
      <c r="LH49" s="5" t="str">
        <f t="shared" si="107"/>
        <v>NO APLICA</v>
      </c>
      <c r="LI49" s="5"/>
      <c r="LJ49" s="5"/>
      <c r="LK49" s="4"/>
      <c r="LL49" s="8"/>
      <c r="LM49" s="5" t="str">
        <f t="shared" si="157"/>
        <v>NO APLICA</v>
      </c>
      <c r="LN49" s="6"/>
      <c r="LO49" s="6"/>
      <c r="LP49" s="4"/>
      <c r="LQ49" s="8"/>
      <c r="LR49" s="5" t="str">
        <f t="shared" si="144"/>
        <v>NO APLICA</v>
      </c>
      <c r="LS49" s="6"/>
      <c r="LT49" s="6"/>
      <c r="LU49" s="4"/>
      <c r="LV49" s="6"/>
      <c r="LW49" s="5" t="str">
        <f t="shared" si="145"/>
        <v>NO APLICA</v>
      </c>
      <c r="LX49" s="6"/>
      <c r="LY49" s="6"/>
      <c r="LZ49" s="4"/>
      <c r="MA49" s="6"/>
      <c r="MB49" s="5" t="str">
        <f t="shared" si="146"/>
        <v>NO APLICA</v>
      </c>
      <c r="MC49" s="6"/>
      <c r="MD49" s="6"/>
      <c r="ME49" s="4"/>
      <c r="MF49" s="6"/>
      <c r="MG49" s="5" t="str">
        <f t="shared" si="108"/>
        <v>NO APLICA</v>
      </c>
      <c r="MH49" s="6"/>
      <c r="MI49" s="6"/>
      <c r="MJ49" s="4"/>
      <c r="MK49" s="6"/>
      <c r="ML49" s="5" t="str">
        <f t="shared" si="109"/>
        <v>NO APLICA</v>
      </c>
      <c r="MM49" s="5"/>
      <c r="MN49" s="6"/>
      <c r="MO49" s="4"/>
      <c r="MP49" s="6"/>
      <c r="MQ49" s="5" t="str">
        <f t="shared" si="110"/>
        <v>NO APLICA</v>
      </c>
      <c r="MR49" s="5"/>
      <c r="MS49" s="6"/>
      <c r="MT49" s="6"/>
      <c r="MU49" s="6"/>
      <c r="MV49" s="5" t="str">
        <f t="shared" si="111"/>
        <v>NO APLICA</v>
      </c>
      <c r="MW49" s="6"/>
      <c r="MX49" s="6"/>
      <c r="MY49" s="4"/>
      <c r="MZ49" s="6"/>
      <c r="NA49" s="5" t="str">
        <f t="shared" si="112"/>
        <v>NO APLICA</v>
      </c>
      <c r="NB49" s="6"/>
      <c r="NC49" s="6"/>
      <c r="ND49" s="4"/>
      <c r="NE49" s="6"/>
      <c r="NF49" s="5" t="str">
        <f t="shared" si="113"/>
        <v>NO APLICA</v>
      </c>
      <c r="NG49" s="6"/>
      <c r="NH49" s="6"/>
      <c r="NI49" s="4"/>
      <c r="NJ49" s="6"/>
      <c r="NK49" s="5" t="str">
        <f t="shared" si="114"/>
        <v>NO APLICA</v>
      </c>
      <c r="NL49" s="6"/>
      <c r="NM49" s="6"/>
      <c r="NN49" s="4"/>
      <c r="NO49" s="6"/>
      <c r="NP49" s="5" t="str">
        <f t="shared" si="115"/>
        <v>NO APLICA</v>
      </c>
      <c r="NQ49" s="6"/>
      <c r="NR49" s="6"/>
      <c r="NS49" s="4"/>
      <c r="NT49" s="6"/>
      <c r="NU49" s="5" t="str">
        <f t="shared" si="116"/>
        <v>NO APLICA</v>
      </c>
      <c r="NV49" s="6"/>
      <c r="NW49" s="6"/>
      <c r="NX49" s="4"/>
      <c r="NY49" s="8"/>
      <c r="NZ49" s="5" t="str">
        <f t="shared" si="117"/>
        <v>NO APLICA</v>
      </c>
      <c r="OA49" s="6"/>
      <c r="OB49" s="6"/>
      <c r="OC49" s="6"/>
      <c r="OD49" s="6"/>
      <c r="OE49" s="5" t="str">
        <f t="shared" si="118"/>
        <v>NO APLICA</v>
      </c>
      <c r="OF49" s="6"/>
      <c r="OG49" s="6"/>
      <c r="OH49" s="6"/>
      <c r="OI49" s="6"/>
      <c r="OJ49" s="5" t="str">
        <f t="shared" si="119"/>
        <v>NO APLICA</v>
      </c>
      <c r="OK49" s="6"/>
      <c r="OL49" s="6"/>
      <c r="OM49" s="4"/>
      <c r="ON49" s="8"/>
      <c r="OO49" s="5" t="str">
        <f t="shared" si="120"/>
        <v>NO APLICA</v>
      </c>
      <c r="OP49" s="6"/>
      <c r="OQ49" s="6"/>
      <c r="OR49" s="6"/>
      <c r="OS49" s="6"/>
      <c r="OT49" s="5" t="str">
        <f t="shared" si="121"/>
        <v>NO APLICA</v>
      </c>
      <c r="OU49" s="6"/>
      <c r="OV49" s="6"/>
      <c r="OW49" s="6"/>
      <c r="OX49" s="6"/>
      <c r="OY49" s="5" t="str">
        <f t="shared" si="122"/>
        <v>NO APLICA</v>
      </c>
      <c r="OZ49" s="6"/>
      <c r="PA49" s="6"/>
      <c r="PB49" s="6"/>
      <c r="PC49" s="6"/>
      <c r="PD49" s="5" t="str">
        <f t="shared" si="123"/>
        <v>NO APLICA</v>
      </c>
      <c r="PE49" s="6"/>
      <c r="PF49" s="6"/>
      <c r="PG49" s="6"/>
      <c r="PH49" s="6"/>
      <c r="PI49" s="5" t="str">
        <f t="shared" si="124"/>
        <v>NO APLICA</v>
      </c>
      <c r="PJ49" s="5"/>
      <c r="PK49" s="6"/>
      <c r="PL49" s="6"/>
      <c r="PM49" s="6"/>
      <c r="PN49" s="5" t="str">
        <f t="shared" si="125"/>
        <v>NO APLICA</v>
      </c>
      <c r="PO49" s="6"/>
      <c r="PP49" s="6"/>
      <c r="PQ49" s="6"/>
      <c r="PR49" s="6"/>
      <c r="PS49" s="5" t="str">
        <f t="shared" si="126"/>
        <v>NO APLICA</v>
      </c>
      <c r="PT49" s="5"/>
      <c r="PU49" s="6"/>
      <c r="PV49" s="6"/>
      <c r="PW49" s="6"/>
      <c r="PX49" s="5" t="str">
        <f t="shared" si="127"/>
        <v>NO APLICA</v>
      </c>
    </row>
    <row r="50" spans="1:440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218</v>
      </c>
      <c r="V50" s="4">
        <v>44801</v>
      </c>
      <c r="W50" s="4">
        <f t="shared" si="2"/>
        <v>46627</v>
      </c>
      <c r="X50" s="8">
        <f t="shared" ca="1" si="3"/>
        <v>493</v>
      </c>
      <c r="Y50" s="5" t="str">
        <f t="shared" ca="1" si="4"/>
        <v>VIGENTE</v>
      </c>
      <c r="Z50" s="2" t="s">
        <v>219</v>
      </c>
      <c r="AA50" s="4">
        <v>44826</v>
      </c>
      <c r="AB50" s="4">
        <f>DATE(YEAR(AA50)+5,MONTH(AA50),DAY(AA50))</f>
        <v>46652</v>
      </c>
      <c r="AC50" s="8">
        <f ca="1">AB50-TODAY()</f>
        <v>518</v>
      </c>
      <c r="AD50" s="5" t="str">
        <f t="shared" ca="1" si="7"/>
        <v>VIGENTE</v>
      </c>
      <c r="AE50" s="3"/>
      <c r="AF50" s="3">
        <v>45628</v>
      </c>
      <c r="AG50" s="4">
        <f>DATE(YEAR(AF50)+2,MONTH(AF50),DAY(AF50)-1)</f>
        <v>46357</v>
      </c>
      <c r="AH50" s="8">
        <f t="shared" ca="1" si="8"/>
        <v>223</v>
      </c>
      <c r="AI50" s="5" t="str">
        <f t="shared" ca="1" si="224"/>
        <v>VIGENTE</v>
      </c>
      <c r="AJ50" s="3"/>
      <c r="AK50" s="4">
        <v>45748</v>
      </c>
      <c r="AL50" s="4">
        <f>DATE(YEAR(AK50)+2,MONTH(AK50),DAY(AK50)-1)</f>
        <v>46477</v>
      </c>
      <c r="AM50" s="8">
        <f t="shared" ca="1" si="10"/>
        <v>343</v>
      </c>
      <c r="AN50" s="5" t="str">
        <f t="shared" ca="1" si="11"/>
        <v>VIGENTE</v>
      </c>
      <c r="AO50" s="3"/>
      <c r="AP50" s="4">
        <v>45996</v>
      </c>
      <c r="AQ50" s="4">
        <f t="shared" si="225"/>
        <v>46726</v>
      </c>
      <c r="AR50" s="8">
        <f t="shared" ca="1" si="12"/>
        <v>592</v>
      </c>
      <c r="AS50" s="5" t="str">
        <f t="shared" ca="1" si="13"/>
        <v>VIGENTE</v>
      </c>
      <c r="AT50" s="3"/>
      <c r="AU50" s="4">
        <v>45952</v>
      </c>
      <c r="AV50" s="4">
        <f t="shared" si="226"/>
        <v>46682</v>
      </c>
      <c r="AW50" s="8">
        <f t="shared" ca="1" si="15"/>
        <v>548</v>
      </c>
      <c r="AX50" s="5" t="str">
        <f t="shared" ca="1" si="16"/>
        <v>VIGENTE</v>
      </c>
      <c r="AY50" s="3"/>
      <c r="AZ50" s="4">
        <v>45717</v>
      </c>
      <c r="BA50" s="4">
        <f>DATE(YEAR(AZ50)+2,MONTH(AZ50),DAY(AZ50)-1)</f>
        <v>46446</v>
      </c>
      <c r="BB50" s="8">
        <f t="shared" ca="1" si="17"/>
        <v>312</v>
      </c>
      <c r="BC50" s="5" t="str">
        <f t="shared" ca="1" si="18"/>
        <v>VIGENTE</v>
      </c>
      <c r="BD50" s="3"/>
      <c r="BE50" s="4">
        <v>45698</v>
      </c>
      <c r="BF50" s="4">
        <f>DATE(YEAR(BE50)+2,MONTH(BE50),DAY(BE50)-1)</f>
        <v>46427</v>
      </c>
      <c r="BG50" s="8">
        <f t="shared" ca="1" si="19"/>
        <v>293</v>
      </c>
      <c r="BH50" s="5" t="str">
        <f t="shared" ca="1" si="20"/>
        <v>VIGENTE</v>
      </c>
      <c r="BI50" s="3"/>
      <c r="BJ50" s="4">
        <v>45477</v>
      </c>
      <c r="BK50" s="4">
        <f>DATE(YEAR(BJ50)+2,MONTH(BJ50),DAY(BJ50)-1)</f>
        <v>46206</v>
      </c>
      <c r="BL50" s="8">
        <f t="shared" ca="1" si="21"/>
        <v>72</v>
      </c>
      <c r="BM50" s="5" t="str">
        <f t="shared" ca="1" si="22"/>
        <v>POR VENCER</v>
      </c>
      <c r="BN50" s="3"/>
      <c r="BO50" s="4">
        <v>45470</v>
      </c>
      <c r="BP50" s="4">
        <f>DATE(YEAR(BO50)+2,MONTH(BO50),DAY(BO50)-1)</f>
        <v>46199</v>
      </c>
      <c r="BQ50" s="8">
        <f t="shared" ca="1" si="23"/>
        <v>65</v>
      </c>
      <c r="BR50" s="5" t="str">
        <f t="shared" ca="1" si="24"/>
        <v>POR VENCER</v>
      </c>
      <c r="BS50" s="3"/>
      <c r="BT50" s="4">
        <v>45736</v>
      </c>
      <c r="BU50" s="4">
        <f>DATE(YEAR(BT50)+2,MONTH(BT50),DAY(BT50)-1)</f>
        <v>46465</v>
      </c>
      <c r="BV50" s="8">
        <f t="shared" ca="1" si="25"/>
        <v>331</v>
      </c>
      <c r="BW50" s="5" t="str">
        <f t="shared" ca="1" si="26"/>
        <v>VIGENTE</v>
      </c>
      <c r="BX50" s="3"/>
      <c r="BY50" s="4">
        <v>45629</v>
      </c>
      <c r="BZ50" s="4">
        <f>DATE(YEAR(BY50)+2,MONTH(BY50),DAY(BY50)-1)</f>
        <v>46358</v>
      </c>
      <c r="CA50" s="8">
        <f t="shared" ca="1" si="27"/>
        <v>224</v>
      </c>
      <c r="CB50" s="5" t="str">
        <f t="shared" ca="1" si="28"/>
        <v>VIGENTE</v>
      </c>
      <c r="CC50" s="6" t="s">
        <v>73</v>
      </c>
      <c r="CD50" s="4">
        <v>45247</v>
      </c>
      <c r="CE50" s="4">
        <f t="shared" si="29"/>
        <v>46708</v>
      </c>
      <c r="CF50" s="8">
        <f t="shared" ca="1" si="30"/>
        <v>574</v>
      </c>
      <c r="CG50" s="5" t="str">
        <f t="shared" ca="1" si="31"/>
        <v>VIGENTE</v>
      </c>
      <c r="CH50" s="4"/>
      <c r="CI50" s="4">
        <v>45688</v>
      </c>
      <c r="CJ50" s="4">
        <f t="shared" si="230"/>
        <v>46417</v>
      </c>
      <c r="CK50" s="8">
        <f t="shared" ca="1" si="32"/>
        <v>283</v>
      </c>
      <c r="CL50" s="5" t="str">
        <f t="shared" ca="1" si="33"/>
        <v>VIGENTE</v>
      </c>
      <c r="CM50" s="3"/>
      <c r="CN50" s="4">
        <v>45726</v>
      </c>
      <c r="CO50" s="4">
        <f>DATE(YEAR(CN50)+2,MONTH(CN50),DAY(CN50)-1)</f>
        <v>46455</v>
      </c>
      <c r="CP50" s="8">
        <f t="shared" ca="1" si="34"/>
        <v>321</v>
      </c>
      <c r="CQ50" s="5" t="str">
        <f t="shared" ca="1" si="35"/>
        <v>VIGENTE</v>
      </c>
      <c r="CR50" s="3"/>
      <c r="CS50" s="4">
        <v>45939</v>
      </c>
      <c r="CT50" s="4">
        <f>DATE(YEAR(CS50)+2,MONTH(CS50),DAY(CS50))</f>
        <v>46669</v>
      </c>
      <c r="CU50" s="8">
        <f t="shared" ca="1" si="36"/>
        <v>535</v>
      </c>
      <c r="CV50" s="5" t="str">
        <f t="shared" ca="1" si="37"/>
        <v>VIGENTE</v>
      </c>
      <c r="CW50" s="3"/>
      <c r="CX50" s="4">
        <v>46028</v>
      </c>
      <c r="CY50" s="4">
        <f>DATE(YEAR(CX50)+2,MONTH(CX50),DAY(CX50))</f>
        <v>46758</v>
      </c>
      <c r="CZ50" s="8">
        <f t="shared" ca="1" si="38"/>
        <v>624</v>
      </c>
      <c r="DA50" s="5" t="str">
        <f t="shared" ca="1" si="39"/>
        <v>VIGENTE</v>
      </c>
      <c r="DB50" s="3"/>
      <c r="DC50" s="4">
        <v>45463</v>
      </c>
      <c r="DD50" s="4">
        <f t="shared" ref="DD50:DD61" si="231">DATE(YEAR(DC50)+2,MONTH(DC50),DAY(DC50)-1)</f>
        <v>46192</v>
      </c>
      <c r="DE50" s="8">
        <f t="shared" ca="1" si="40"/>
        <v>58</v>
      </c>
      <c r="DF50" s="5" t="str">
        <f t="shared" ca="1" si="41"/>
        <v>POR VENCER</v>
      </c>
      <c r="DG50" s="3"/>
      <c r="DH50" s="4">
        <v>45955</v>
      </c>
      <c r="DI50" s="4">
        <f t="shared" si="229"/>
        <v>46685</v>
      </c>
      <c r="DJ50" s="8">
        <f t="shared" ca="1" si="43"/>
        <v>551</v>
      </c>
      <c r="DK50" s="5" t="str">
        <f t="shared" ca="1" si="44"/>
        <v>VIGENTE</v>
      </c>
      <c r="DL50" s="3"/>
      <c r="DM50" s="4">
        <v>45982</v>
      </c>
      <c r="DN50" s="4">
        <f>DATE(YEAR(DM50)+2,MONTH(DM50),DAY(DM50))</f>
        <v>46712</v>
      </c>
      <c r="DO50" s="8">
        <f t="shared" ca="1" si="46"/>
        <v>578</v>
      </c>
      <c r="DP50" s="5" t="str">
        <f t="shared" ca="1" si="47"/>
        <v>VIGENTE</v>
      </c>
      <c r="DQ50" s="3"/>
      <c r="DR50" s="4">
        <v>45685</v>
      </c>
      <c r="DS50" s="4">
        <f>DATE(YEAR(DR50)+2,MONTH(DR50),DAY(DR50)-1)</f>
        <v>46414</v>
      </c>
      <c r="DT50" s="8">
        <f t="shared" ca="1" si="48"/>
        <v>280</v>
      </c>
      <c r="DU50" s="5" t="str">
        <f t="shared" ca="1" si="49"/>
        <v>VIGENTE</v>
      </c>
      <c r="DV50" s="3"/>
      <c r="DW50" s="4">
        <v>45663</v>
      </c>
      <c r="DX50" s="4">
        <f>DATE(YEAR(DW50)+2,MONTH(DW50),DAY(DW50)-1)</f>
        <v>46392</v>
      </c>
      <c r="DY50" s="8">
        <f t="shared" ca="1" si="50"/>
        <v>258</v>
      </c>
      <c r="DZ50" s="5" t="str">
        <f t="shared" ca="1" si="51"/>
        <v>VIGENTE</v>
      </c>
      <c r="EA50" s="3"/>
      <c r="EB50" s="4">
        <v>45674</v>
      </c>
      <c r="EC50" s="4">
        <f>DATE(YEAR(EB50)+2,MONTH(EB50),DAY(EB50)-1)</f>
        <v>46403</v>
      </c>
      <c r="ED50" s="8">
        <f t="shared" ca="1" si="52"/>
        <v>269</v>
      </c>
      <c r="EE50" s="5" t="str">
        <f t="shared" ca="1" si="53"/>
        <v>VIGENTE</v>
      </c>
      <c r="EF50" s="3"/>
      <c r="EG50" s="4">
        <v>45812</v>
      </c>
      <c r="EH50" s="4">
        <f t="shared" si="137"/>
        <v>46177</v>
      </c>
      <c r="EI50" s="8">
        <f t="shared" ca="1" si="54"/>
        <v>43</v>
      </c>
      <c r="EJ50" s="5" t="str">
        <f t="shared" ca="1" si="55"/>
        <v>POR VENCER</v>
      </c>
      <c r="EK50" s="3"/>
      <c r="EL50" s="4">
        <v>46100</v>
      </c>
      <c r="EM50" s="4">
        <f>DATE(YEAR(EL50)+2,MONTH(EL50),DAY(EL50))</f>
        <v>46831</v>
      </c>
      <c r="EN50" s="8">
        <f t="shared" ca="1" si="56"/>
        <v>697</v>
      </c>
      <c r="EO50" s="5" t="str">
        <f t="shared" ca="1" si="57"/>
        <v>VIGENTE</v>
      </c>
      <c r="EP50" s="3"/>
      <c r="EQ50" s="4">
        <v>45677</v>
      </c>
      <c r="ER50" s="4">
        <f>DATE(YEAR(EQ50)+2,MONTH(EQ50),DAY(EQ50)-1)</f>
        <v>46406</v>
      </c>
      <c r="ES50" s="8">
        <f t="shared" ca="1" si="58"/>
        <v>272</v>
      </c>
      <c r="ET50" s="5" t="str">
        <f t="shared" ca="1" si="59"/>
        <v>VIGENTE</v>
      </c>
      <c r="EU50" s="3"/>
      <c r="EV50" s="4">
        <v>45630</v>
      </c>
      <c r="EW50" s="4">
        <f>DATE(YEAR(EV50)+2,MONTH(EV50),DAY(EV50)-1)</f>
        <v>46359</v>
      </c>
      <c r="EX50" s="8">
        <f t="shared" ca="1" si="60"/>
        <v>225</v>
      </c>
      <c r="EY50" s="5" t="str">
        <f t="shared" ca="1" si="61"/>
        <v>VIGENTE</v>
      </c>
      <c r="EZ50" s="3"/>
      <c r="FA50" s="4">
        <v>45632</v>
      </c>
      <c r="FB50" s="4">
        <f>DATE(YEAR(FA50)+2,MONTH(FA50),DAY(FA50)-1)</f>
        <v>46361</v>
      </c>
      <c r="FC50" s="8">
        <f t="shared" ca="1" si="62"/>
        <v>227</v>
      </c>
      <c r="FD50" s="5" t="str">
        <f t="shared" ca="1" si="63"/>
        <v>VIGENTE</v>
      </c>
      <c r="FE50" s="2"/>
      <c r="FF50" s="4">
        <v>45756</v>
      </c>
      <c r="FG50" s="4">
        <f>DATE(YEAR(FF50)+2,MONTH(FF50),DAY(FF50))</f>
        <v>46486</v>
      </c>
      <c r="FH50" s="8">
        <f t="shared" ca="1" si="64"/>
        <v>352</v>
      </c>
      <c r="FI50" s="5" t="str">
        <f t="shared" ca="1" si="65"/>
        <v>VIGENTE</v>
      </c>
      <c r="FJ50" s="3"/>
      <c r="FK50" s="4">
        <v>45576</v>
      </c>
      <c r="FL50" s="4">
        <f>DATE(YEAR(FK50)+2,MONTH(FK50),DAY(FK50)-1)</f>
        <v>46305</v>
      </c>
      <c r="FM50" s="8">
        <f t="shared" ca="1" si="67"/>
        <v>171</v>
      </c>
      <c r="FN50" s="5" t="str">
        <f t="shared" ca="1" si="68"/>
        <v>VIGENTE</v>
      </c>
      <c r="FO50" s="3"/>
      <c r="FP50" s="4">
        <v>46080</v>
      </c>
      <c r="FQ50" s="4">
        <f>DATE(YEAR(FP50)+2,MONTH(FP50),DAY(FP50))</f>
        <v>46810</v>
      </c>
      <c r="FR50" s="8">
        <f t="shared" ca="1" si="69"/>
        <v>676</v>
      </c>
      <c r="FS50" s="5" t="str">
        <f t="shared" ca="1" si="70"/>
        <v>VIGENTE</v>
      </c>
      <c r="FT50" s="3"/>
      <c r="FU50" s="4">
        <v>45700</v>
      </c>
      <c r="FV50" s="4">
        <f>DATE(YEAR(FU50)+2,MONTH(FU50),DAY(FU50)-1)</f>
        <v>46429</v>
      </c>
      <c r="FW50" s="8">
        <f t="shared" ca="1" si="71"/>
        <v>295</v>
      </c>
      <c r="FX50" s="5" t="str">
        <f t="shared" ca="1" si="72"/>
        <v>VIGENTE</v>
      </c>
      <c r="FY50" s="3"/>
      <c r="FZ50" s="4">
        <v>45560</v>
      </c>
      <c r="GA50" s="4">
        <f>DATE(YEAR(FZ50)+2,MONTH(FZ50),DAY(FZ50)-1)</f>
        <v>46289</v>
      </c>
      <c r="GB50" s="8">
        <f t="shared" ca="1" si="73"/>
        <v>155</v>
      </c>
      <c r="GC50" s="5" t="str">
        <f t="shared" ca="1" si="74"/>
        <v>VIGENTE</v>
      </c>
      <c r="GD50" s="3"/>
      <c r="GE50" s="4">
        <v>46079</v>
      </c>
      <c r="GF50" s="4">
        <f>DATE(YEAR(GE50)+2,MONTH(GE50),DAY(GE50))</f>
        <v>46809</v>
      </c>
      <c r="GG50" s="8">
        <f t="shared" ca="1" si="75"/>
        <v>675</v>
      </c>
      <c r="GH50" s="5" t="str">
        <f t="shared" ca="1" si="76"/>
        <v>VIGENTE</v>
      </c>
      <c r="GI50" s="3"/>
      <c r="GJ50" s="4">
        <v>45633</v>
      </c>
      <c r="GK50" s="4">
        <f>DATE(YEAR(GJ50)+2,MONTH(GJ50),DAY(GJ50)-1)</f>
        <v>46362</v>
      </c>
      <c r="GL50" s="8">
        <f t="shared" ca="1" si="77"/>
        <v>228</v>
      </c>
      <c r="GM50" s="5" t="str">
        <f t="shared" ca="1" si="78"/>
        <v>VIGENTE</v>
      </c>
      <c r="GN50" s="4"/>
      <c r="GO50" s="4">
        <v>45013</v>
      </c>
      <c r="GP50" s="4">
        <f t="shared" si="79"/>
        <v>46840</v>
      </c>
      <c r="GQ50" s="8">
        <f t="shared" ca="1" si="181"/>
        <v>706</v>
      </c>
      <c r="GR50" s="5" t="str">
        <f t="shared" ca="1" si="81"/>
        <v>VIGENTE</v>
      </c>
      <c r="GS50" s="3"/>
      <c r="GT50" s="4">
        <v>45464</v>
      </c>
      <c r="GU50" s="4">
        <f t="shared" si="82"/>
        <v>47290</v>
      </c>
      <c r="GV50" s="8">
        <f t="shared" ca="1" si="83"/>
        <v>1156</v>
      </c>
      <c r="GW50" s="5" t="str">
        <f t="shared" ca="1" si="84"/>
        <v>VIGENTE</v>
      </c>
      <c r="GX50" s="2"/>
      <c r="GY50" s="4">
        <v>45016</v>
      </c>
      <c r="GZ50" s="4">
        <f t="shared" si="85"/>
        <v>46843</v>
      </c>
      <c r="HA50" s="8">
        <f t="shared" ca="1" si="86"/>
        <v>709</v>
      </c>
      <c r="HB50" s="5" t="str">
        <f t="shared" ca="1" si="87"/>
        <v>VIGENTE</v>
      </c>
      <c r="HC50" s="6"/>
      <c r="HD50" s="4">
        <v>44956</v>
      </c>
      <c r="HE50" s="4">
        <f>DATE(YEAR(HD50)+5,MONTH(HD50),DAY(HD50))</f>
        <v>46782</v>
      </c>
      <c r="HF50" s="8">
        <f ca="1">HE50-TODAY()</f>
        <v>648</v>
      </c>
      <c r="HG50" s="5" t="str">
        <f t="shared" ca="1" si="228"/>
        <v>VIGENTE</v>
      </c>
      <c r="HH50" s="2"/>
      <c r="HI50" s="6"/>
      <c r="HJ50" s="4"/>
      <c r="HK50" s="8"/>
      <c r="HL50" s="5" t="str">
        <f t="shared" ref="HL50:HL79" si="232">IF(HK50&gt;=61,"VIGENTE",IF(HK50&gt;=1,"POR VENCER",IF(HK50&lt;=-1,"VENCIDA",IF(HI50=0,"NO APLICA"))))</f>
        <v>NO APLICA</v>
      </c>
      <c r="HM50" s="2"/>
      <c r="HN50" s="5"/>
      <c r="HO50" s="4"/>
      <c r="HP50" s="5"/>
      <c r="HQ50" s="5" t="str">
        <f t="shared" si="92"/>
        <v>NO APLICA</v>
      </c>
      <c r="HR50" s="2"/>
      <c r="HS50" s="4">
        <v>45089</v>
      </c>
      <c r="HT50" s="4">
        <f>DATE(YEAR(HS50)+5,MONTH(HS50),DAY(HS50))</f>
        <v>46916</v>
      </c>
      <c r="HU50" s="8">
        <f ca="1">HT50-TODAY()</f>
        <v>782</v>
      </c>
      <c r="HV50" s="5" t="str">
        <f t="shared" ca="1" si="93"/>
        <v>VIGENTE</v>
      </c>
      <c r="HW50" s="3"/>
      <c r="HX50" s="4">
        <v>45428</v>
      </c>
      <c r="HY50" s="4">
        <f>DATE(YEAR(HX50)+5,MONTH(HX50),DAY(HX50))</f>
        <v>47254</v>
      </c>
      <c r="HZ50" s="8">
        <f ca="1">HY50-TODAY()</f>
        <v>1120</v>
      </c>
      <c r="IA50" s="5" t="str">
        <f t="shared" ca="1" si="94"/>
        <v>VIGENTE</v>
      </c>
      <c r="IB50" s="3"/>
      <c r="IC50" s="4">
        <v>45425</v>
      </c>
      <c r="ID50" s="4">
        <f>DATE(YEAR(IC50)+5,MONTH(IC50),DAY(IC50))</f>
        <v>47251</v>
      </c>
      <c r="IE50" s="8">
        <f ca="1">ID50-TODAY()</f>
        <v>1117</v>
      </c>
      <c r="IF50" s="5" t="str">
        <f t="shared" ca="1" si="95"/>
        <v>VIGENTE</v>
      </c>
      <c r="IG50" s="4"/>
      <c r="IH50" s="4">
        <v>45449</v>
      </c>
      <c r="II50" s="4">
        <f>DATE(YEAR(IH50)+5,MONTH(IH50),DAY(IH50))</f>
        <v>47275</v>
      </c>
      <c r="IJ50" s="8">
        <f ca="1">II50-TODAY()</f>
        <v>1141</v>
      </c>
      <c r="IK50" s="5" t="str">
        <f t="shared" ca="1" si="96"/>
        <v>VIGENTE</v>
      </c>
      <c r="IL50" s="3"/>
      <c r="IM50" s="4">
        <v>45433</v>
      </c>
      <c r="IN50" s="4">
        <f>DATE(YEAR(IM50)+5,MONTH(IM50),DAY(IM50))</f>
        <v>47259</v>
      </c>
      <c r="IO50" s="8">
        <f ca="1">IN50-TODAY()</f>
        <v>1125</v>
      </c>
      <c r="IP50" s="5" t="str">
        <f t="shared" ca="1" si="97"/>
        <v>VIGENTE</v>
      </c>
      <c r="IQ50" s="3"/>
      <c r="IR50" s="4">
        <v>45423</v>
      </c>
      <c r="IS50" s="4">
        <f>DATE(YEAR(IR50)+5,MONTH(IR50),DAY(IR50))</f>
        <v>47249</v>
      </c>
      <c r="IT50" s="8">
        <f ca="1">IS50-TODAY()</f>
        <v>1115</v>
      </c>
      <c r="IU50" s="5" t="str">
        <f t="shared" ca="1" si="98"/>
        <v>VIGENTE</v>
      </c>
      <c r="IV50" s="3"/>
      <c r="IW50" s="4">
        <v>45461</v>
      </c>
      <c r="IX50" s="4">
        <f>DATE(YEAR(IW50)+5,MONTH(IW50),DAY(IW50))</f>
        <v>47287</v>
      </c>
      <c r="IY50" s="8">
        <f ca="1">IX50-TODAY()</f>
        <v>1153</v>
      </c>
      <c r="IZ50" s="5" t="str">
        <f t="shared" ca="1" si="99"/>
        <v>VIGENTE</v>
      </c>
      <c r="JA50" s="3"/>
      <c r="JB50" s="3"/>
      <c r="JC50" s="4"/>
      <c r="JD50" s="8"/>
      <c r="JE50" s="5" t="str">
        <f t="shared" si="100"/>
        <v>NO APLICA</v>
      </c>
      <c r="JF50" s="6"/>
      <c r="JG50" s="6"/>
      <c r="JH50" s="6"/>
      <c r="JI50" s="6"/>
      <c r="JJ50" s="5" t="str">
        <f t="shared" si="101"/>
        <v>NO APLICA</v>
      </c>
      <c r="JK50" s="6"/>
      <c r="JL50" s="6"/>
      <c r="JM50" s="6"/>
      <c r="JN50" s="6"/>
      <c r="JO50" s="5" t="str">
        <f t="shared" si="102"/>
        <v>NO APLICA</v>
      </c>
      <c r="JP50" s="6"/>
      <c r="JQ50" s="6"/>
      <c r="JR50" s="6"/>
      <c r="JS50" s="6"/>
      <c r="JT50" s="5" t="str">
        <f t="shared" si="103"/>
        <v>NO APLICA</v>
      </c>
      <c r="JU50" s="5"/>
      <c r="JV50" s="3"/>
      <c r="JW50" s="4"/>
      <c r="JX50" s="8"/>
      <c r="JY50" s="5" t="str">
        <f t="shared" si="104"/>
        <v>NO APLICA</v>
      </c>
      <c r="JZ50" s="5"/>
      <c r="KA50" s="5"/>
      <c r="KB50" s="4"/>
      <c r="KC50" s="8"/>
      <c r="KD50" s="5" t="str">
        <f t="shared" si="105"/>
        <v>NO APLICA</v>
      </c>
      <c r="KE50" s="5"/>
      <c r="KF50" s="5"/>
      <c r="KG50" s="4"/>
      <c r="KH50" s="8"/>
      <c r="KI50" s="5" t="str">
        <f t="shared" si="141"/>
        <v>NO APLICA</v>
      </c>
      <c r="KJ50" s="5"/>
      <c r="KK50" s="5"/>
      <c r="KL50" s="4"/>
      <c r="KM50" s="8"/>
      <c r="KN50" s="5" t="str">
        <f t="shared" si="106"/>
        <v>NO APLICA</v>
      </c>
      <c r="KO50" s="5"/>
      <c r="KP50" s="2"/>
      <c r="KQ50" s="4"/>
      <c r="KR50" s="8"/>
      <c r="KS50" s="5" t="str">
        <f t="shared" si="142"/>
        <v>NO APLICA</v>
      </c>
      <c r="KT50" s="3"/>
      <c r="KU50" s="4">
        <v>44653</v>
      </c>
      <c r="KV50" s="4">
        <f>DATE(YEAR(KU50)+5,MONTH(KU50),DAY(KU50))</f>
        <v>46479</v>
      </c>
      <c r="KW50" s="8">
        <f ca="1">KV50-TODAY()</f>
        <v>345</v>
      </c>
      <c r="KX50" s="5" t="str">
        <f t="shared" ca="1" si="156"/>
        <v>VIGENTE</v>
      </c>
      <c r="KY50" s="5"/>
      <c r="KZ50" s="6"/>
      <c r="LA50" s="4"/>
      <c r="LB50" s="8"/>
      <c r="LC50" s="5" t="str">
        <f t="shared" si="143"/>
        <v>NO APLICA</v>
      </c>
      <c r="LD50" s="4"/>
      <c r="LE50" s="4"/>
      <c r="LF50" s="4"/>
      <c r="LG50" s="8"/>
      <c r="LH50" s="5" t="str">
        <f t="shared" si="107"/>
        <v>NO APLICA</v>
      </c>
      <c r="LI50" s="5"/>
      <c r="LJ50" s="5"/>
      <c r="LK50" s="4"/>
      <c r="LL50" s="8"/>
      <c r="LM50" s="5" t="str">
        <f t="shared" si="157"/>
        <v>NO APLICA</v>
      </c>
      <c r="LN50" s="5"/>
      <c r="LO50" s="6"/>
      <c r="LP50" s="4"/>
      <c r="LQ50" s="8"/>
      <c r="LR50" s="5" t="str">
        <f t="shared" si="144"/>
        <v>NO APLICA</v>
      </c>
      <c r="LS50" s="6"/>
      <c r="LT50" s="6"/>
      <c r="LU50" s="4"/>
      <c r="LV50" s="8"/>
      <c r="LW50" s="5" t="str">
        <f t="shared" si="145"/>
        <v>NO APLICA</v>
      </c>
      <c r="LX50" s="6"/>
      <c r="LY50" s="6"/>
      <c r="LZ50" s="4"/>
      <c r="MA50" s="8"/>
      <c r="MB50" s="5" t="str">
        <f t="shared" si="146"/>
        <v>NO APLICA</v>
      </c>
      <c r="MC50" s="5"/>
      <c r="MD50" s="5"/>
      <c r="ME50" s="4"/>
      <c r="MF50" s="8"/>
      <c r="MG50" s="5" t="str">
        <f t="shared" si="108"/>
        <v>NO APLICA</v>
      </c>
      <c r="MH50" s="5"/>
      <c r="MI50" s="5"/>
      <c r="MJ50" s="4"/>
      <c r="MK50" s="8"/>
      <c r="ML50" s="5" t="str">
        <f t="shared" si="109"/>
        <v>NO APLICA</v>
      </c>
      <c r="MM50" s="5"/>
      <c r="MN50" s="5"/>
      <c r="MO50" s="4"/>
      <c r="MP50" s="8"/>
      <c r="MQ50" s="5" t="str">
        <f t="shared" si="110"/>
        <v>NO APLICA</v>
      </c>
      <c r="MR50" s="5"/>
      <c r="MS50" s="5"/>
      <c r="MT50" s="4"/>
      <c r="MU50" s="5"/>
      <c r="MV50" s="5" t="str">
        <f t="shared" si="111"/>
        <v>NO APLICA</v>
      </c>
      <c r="MW50" s="5"/>
      <c r="MX50" s="6"/>
      <c r="MY50" s="4"/>
      <c r="MZ50" s="8"/>
      <c r="NA50" s="5" t="str">
        <f t="shared" si="112"/>
        <v>NO APLICA</v>
      </c>
      <c r="NB50" s="5"/>
      <c r="NC50" s="6"/>
      <c r="ND50" s="4"/>
      <c r="NE50" s="8"/>
      <c r="NF50" s="5" t="str">
        <f t="shared" si="113"/>
        <v>NO APLICA</v>
      </c>
      <c r="NG50" s="5"/>
      <c r="NH50" s="6"/>
      <c r="NI50" s="4"/>
      <c r="NJ50" s="8"/>
      <c r="NK50" s="5" t="str">
        <f t="shared" si="114"/>
        <v>NO APLICA</v>
      </c>
      <c r="NL50" s="5"/>
      <c r="NM50" s="5"/>
      <c r="NN50" s="4"/>
      <c r="NO50" s="8"/>
      <c r="NP50" s="5" t="str">
        <f t="shared" si="115"/>
        <v>NO APLICA</v>
      </c>
      <c r="NQ50" s="5"/>
      <c r="NR50" s="5"/>
      <c r="NS50" s="5"/>
      <c r="NT50" s="5"/>
      <c r="NU50" s="5" t="str">
        <f t="shared" si="116"/>
        <v>NO APLICA</v>
      </c>
      <c r="NV50" s="6"/>
      <c r="NW50" s="6"/>
      <c r="NX50" s="4"/>
      <c r="NY50" s="8"/>
      <c r="NZ50" s="5" t="str">
        <f t="shared" si="117"/>
        <v>NO APLICA</v>
      </c>
      <c r="OA50" s="6"/>
      <c r="OB50" s="6"/>
      <c r="OC50" s="6"/>
      <c r="OD50" s="6"/>
      <c r="OE50" s="5" t="str">
        <f t="shared" si="118"/>
        <v>NO APLICA</v>
      </c>
      <c r="OF50" s="5"/>
      <c r="OG50" s="5"/>
      <c r="OH50" s="4"/>
      <c r="OI50" s="8"/>
      <c r="OJ50" s="5" t="str">
        <f t="shared" si="119"/>
        <v>NO APLICA</v>
      </c>
      <c r="OK50" s="6"/>
      <c r="OL50" s="6"/>
      <c r="OM50" s="6"/>
      <c r="ON50" s="6"/>
      <c r="OO50" s="5" t="str">
        <f t="shared" si="120"/>
        <v>NO APLICA</v>
      </c>
      <c r="OP50" s="6"/>
      <c r="OQ50" s="6"/>
      <c r="OR50" s="6"/>
      <c r="OS50" s="6"/>
      <c r="OT50" s="5" t="str">
        <f t="shared" si="121"/>
        <v>NO APLICA</v>
      </c>
      <c r="OU50" s="6"/>
      <c r="OV50" s="6"/>
      <c r="OW50" s="6"/>
      <c r="OX50" s="6"/>
      <c r="OY50" s="5" t="str">
        <f t="shared" si="122"/>
        <v>NO APLICA</v>
      </c>
      <c r="OZ50" s="6"/>
      <c r="PA50" s="6"/>
      <c r="PB50" s="6"/>
      <c r="PC50" s="6"/>
      <c r="PD50" s="5" t="str">
        <f t="shared" si="123"/>
        <v>NO APLICA</v>
      </c>
      <c r="PE50" s="6"/>
      <c r="PF50" s="6"/>
      <c r="PG50" s="6"/>
      <c r="PH50" s="6"/>
      <c r="PI50" s="5" t="str">
        <f t="shared" si="124"/>
        <v>NO APLICA</v>
      </c>
      <c r="PJ50" s="5"/>
      <c r="PK50" s="6"/>
      <c r="PL50" s="4"/>
      <c r="PM50" s="8"/>
      <c r="PN50" s="5" t="str">
        <f t="shared" si="125"/>
        <v>NO APLICA</v>
      </c>
      <c r="PO50" s="6"/>
      <c r="PP50" s="6"/>
      <c r="PQ50" s="6"/>
      <c r="PR50" s="6"/>
      <c r="PS50" s="5" t="str">
        <f t="shared" si="126"/>
        <v>NO APLICA</v>
      </c>
      <c r="PT50" s="5"/>
      <c r="PU50" s="6"/>
      <c r="PV50" s="6"/>
      <c r="PW50" s="6"/>
      <c r="PX50" s="5" t="str">
        <f t="shared" si="127"/>
        <v>NO APLICA</v>
      </c>
    </row>
    <row r="51" spans="1:440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199</v>
      </c>
      <c r="T51" s="5" t="str">
        <f t="shared" ca="1" si="128"/>
        <v>VIGENTE</v>
      </c>
      <c r="U51" s="2" t="s">
        <v>221</v>
      </c>
      <c r="V51" s="4">
        <v>45693</v>
      </c>
      <c r="W51" s="4">
        <f t="shared" si="2"/>
        <v>47519</v>
      </c>
      <c r="X51" s="8">
        <f t="shared" ca="1" si="3"/>
        <v>1385</v>
      </c>
      <c r="Y51" s="5" t="str">
        <f t="shared" ca="1" si="4"/>
        <v>VIGENTE</v>
      </c>
      <c r="Z51" s="2" t="s">
        <v>222</v>
      </c>
      <c r="AA51" s="4">
        <v>45192</v>
      </c>
      <c r="AB51" s="4">
        <f>DATE(YEAR(AA51)+5,MONTH(AA51),DAY(AA51))</f>
        <v>47019</v>
      </c>
      <c r="AC51" s="8">
        <f ca="1">AB51-TODAY()</f>
        <v>885</v>
      </c>
      <c r="AD51" s="5" t="str">
        <f t="shared" ca="1" si="7"/>
        <v>VIGENTE</v>
      </c>
      <c r="AE51" s="3"/>
      <c r="AF51" s="4">
        <v>45902</v>
      </c>
      <c r="AG51" s="4">
        <f>DATE(YEAR(AF51)+2,MONTH(AF51),DAY(AF51))</f>
        <v>46632</v>
      </c>
      <c r="AH51" s="8">
        <f t="shared" ca="1" si="8"/>
        <v>498</v>
      </c>
      <c r="AI51" s="5" t="str">
        <f t="shared" ca="1" si="224"/>
        <v>VIGENTE</v>
      </c>
      <c r="AJ51" s="3"/>
      <c r="AK51" s="4">
        <v>45937</v>
      </c>
      <c r="AL51" s="4">
        <f>DATE(YEAR(AK51)+2,MONTH(AK51),DAY(AK51))</f>
        <v>46667</v>
      </c>
      <c r="AM51" s="8">
        <f t="shared" ca="1" si="10"/>
        <v>533</v>
      </c>
      <c r="AN51" s="5" t="str">
        <f t="shared" ca="1" si="11"/>
        <v>VIGENTE</v>
      </c>
      <c r="AO51" s="3"/>
      <c r="AP51" s="4">
        <v>45904</v>
      </c>
      <c r="AQ51" s="4">
        <f t="shared" si="225"/>
        <v>46634</v>
      </c>
      <c r="AR51" s="8">
        <f t="shared" ca="1" si="12"/>
        <v>500</v>
      </c>
      <c r="AS51" s="5" t="str">
        <f t="shared" ca="1" si="13"/>
        <v>VIGENTE</v>
      </c>
      <c r="AT51" s="3"/>
      <c r="AU51" s="4">
        <v>45927</v>
      </c>
      <c r="AV51" s="4">
        <f t="shared" si="226"/>
        <v>46657</v>
      </c>
      <c r="AW51" s="8">
        <f t="shared" ca="1" si="15"/>
        <v>523</v>
      </c>
      <c r="AX51" s="5" t="str">
        <f t="shared" ca="1" si="16"/>
        <v>VIGENTE</v>
      </c>
      <c r="AY51" s="3"/>
      <c r="AZ51" s="4">
        <v>46041</v>
      </c>
      <c r="BA51" s="4">
        <f>DATE(YEAR(AZ51)+2,MONTH(AZ51),DAY(AZ51))</f>
        <v>46771</v>
      </c>
      <c r="BB51" s="8">
        <f t="shared" ca="1" si="17"/>
        <v>637</v>
      </c>
      <c r="BC51" s="5" t="str">
        <f t="shared" ca="1" si="18"/>
        <v>VIGENTE</v>
      </c>
      <c r="BD51" s="3"/>
      <c r="BE51" s="4">
        <v>46027</v>
      </c>
      <c r="BF51" s="4">
        <f>DATE(YEAR(BE51)+2,MONTH(BE51),DAY(BE51))</f>
        <v>46757</v>
      </c>
      <c r="BG51" s="8">
        <f t="shared" ca="1" si="19"/>
        <v>623</v>
      </c>
      <c r="BH51" s="5" t="str">
        <f t="shared" ca="1" si="20"/>
        <v>VIGENTE</v>
      </c>
      <c r="BI51" s="3"/>
      <c r="BJ51" s="4">
        <v>46035</v>
      </c>
      <c r="BK51" s="4">
        <f>DATE(YEAR(BJ51)+2,MONTH(BJ51),DAY(BJ51))</f>
        <v>46765</v>
      </c>
      <c r="BL51" s="8">
        <f t="shared" ca="1" si="21"/>
        <v>631</v>
      </c>
      <c r="BM51" s="5" t="str">
        <f t="shared" ca="1" si="22"/>
        <v>VIGENTE</v>
      </c>
      <c r="BN51" s="3"/>
      <c r="BO51" s="4">
        <v>46050</v>
      </c>
      <c r="BP51" s="4">
        <f>DATE(YEAR(BO51)+2,MONTH(BO51),DAY(BO51))</f>
        <v>46780</v>
      </c>
      <c r="BQ51" s="8">
        <f t="shared" ca="1" si="23"/>
        <v>646</v>
      </c>
      <c r="BR51" s="5" t="str">
        <f t="shared" ca="1" si="24"/>
        <v>VIGENTE</v>
      </c>
      <c r="BS51" s="3"/>
      <c r="BT51" s="4">
        <v>45950</v>
      </c>
      <c r="BU51" s="4">
        <f>DATE(YEAR(BT51)+2,MONTH(BT51),DAY(BT51))</f>
        <v>46680</v>
      </c>
      <c r="BV51" s="8">
        <f t="shared" ca="1" si="25"/>
        <v>546</v>
      </c>
      <c r="BW51" s="5" t="str">
        <f t="shared" ca="1" si="26"/>
        <v>VIGENTE</v>
      </c>
      <c r="BX51" s="3"/>
      <c r="BY51" s="4">
        <v>45944</v>
      </c>
      <c r="BZ51" s="4">
        <f>DATE(YEAR(BY51)+2,MONTH(BY51),DAY(BY51))</f>
        <v>46674</v>
      </c>
      <c r="CA51" s="8">
        <f t="shared" ca="1" si="27"/>
        <v>540</v>
      </c>
      <c r="CB51" s="5" t="str">
        <f t="shared" ca="1" si="28"/>
        <v>VIGENTE</v>
      </c>
      <c r="CC51" s="6" t="s">
        <v>73</v>
      </c>
      <c r="CD51" s="4">
        <v>45616</v>
      </c>
      <c r="CE51" s="4">
        <f t="shared" si="29"/>
        <v>47077</v>
      </c>
      <c r="CF51" s="8">
        <f t="shared" ca="1" si="30"/>
        <v>943</v>
      </c>
      <c r="CG51" s="5" t="str">
        <f t="shared" ca="1" si="31"/>
        <v>VIGENTE</v>
      </c>
      <c r="CH51" s="4"/>
      <c r="CI51" s="4">
        <v>45504</v>
      </c>
      <c r="CJ51" s="4">
        <f t="shared" si="230"/>
        <v>46233</v>
      </c>
      <c r="CK51" s="8">
        <f t="shared" ca="1" si="32"/>
        <v>99</v>
      </c>
      <c r="CL51" s="5" t="str">
        <f t="shared" ca="1" si="33"/>
        <v>VIGENTE</v>
      </c>
      <c r="CM51" s="3"/>
      <c r="CN51" s="4">
        <v>45517</v>
      </c>
      <c r="CO51" s="4">
        <f>DATE(YEAR(CN51)+2,MONTH(CN51),DAY(CN51)-1)</f>
        <v>46246</v>
      </c>
      <c r="CP51" s="8">
        <f t="shared" ca="1" si="34"/>
        <v>112</v>
      </c>
      <c r="CQ51" s="5" t="str">
        <f t="shared" ca="1" si="35"/>
        <v>VIGENTE</v>
      </c>
      <c r="CR51" s="3"/>
      <c r="CS51" s="4">
        <v>45905</v>
      </c>
      <c r="CT51" s="4">
        <f>DATE(YEAR(CS51)+2,MONTH(CS51),DAY(CS51))</f>
        <v>46635</v>
      </c>
      <c r="CU51" s="8">
        <f t="shared" ca="1" si="36"/>
        <v>501</v>
      </c>
      <c r="CV51" s="5" t="str">
        <f t="shared" ca="1" si="37"/>
        <v>VIGENTE</v>
      </c>
      <c r="CW51" s="3"/>
      <c r="CX51" s="4">
        <v>46000</v>
      </c>
      <c r="CY51" s="4">
        <f>DATE(YEAR(CX51)+2,MONTH(CX51),DAY(CX51))</f>
        <v>46730</v>
      </c>
      <c r="CZ51" s="8">
        <f t="shared" ca="1" si="38"/>
        <v>596</v>
      </c>
      <c r="DA51" s="5" t="str">
        <f t="shared" ca="1" si="39"/>
        <v>VIGENTE</v>
      </c>
      <c r="DB51" s="3"/>
      <c r="DC51" s="4">
        <v>45689</v>
      </c>
      <c r="DD51" s="4">
        <f t="shared" si="231"/>
        <v>46418</v>
      </c>
      <c r="DE51" s="8">
        <f t="shared" ca="1" si="40"/>
        <v>284</v>
      </c>
      <c r="DF51" s="5" t="str">
        <f t="shared" ca="1" si="41"/>
        <v>VIGENTE</v>
      </c>
      <c r="DG51" s="3"/>
      <c r="DH51" s="4">
        <v>45975</v>
      </c>
      <c r="DI51" s="4">
        <f t="shared" si="229"/>
        <v>46705</v>
      </c>
      <c r="DJ51" s="8">
        <f t="shared" ca="1" si="43"/>
        <v>571</v>
      </c>
      <c r="DK51" s="5" t="str">
        <f t="shared" ca="1" si="44"/>
        <v>VIGENTE</v>
      </c>
      <c r="DL51" s="3"/>
      <c r="DM51" s="4">
        <v>45982</v>
      </c>
      <c r="DN51" s="4">
        <f>DATE(YEAR(DM51)+2,MONTH(DM51),DAY(DM51))</f>
        <v>46712</v>
      </c>
      <c r="DO51" s="8">
        <f t="shared" ca="1" si="46"/>
        <v>578</v>
      </c>
      <c r="DP51" s="5" t="str">
        <f t="shared" ca="1" si="47"/>
        <v>VIGENTE</v>
      </c>
      <c r="DQ51" s="3"/>
      <c r="DR51" s="4">
        <v>46053</v>
      </c>
      <c r="DS51" s="4">
        <f>DATE(YEAR(DR51)+2,MONTH(DR51),DAY(DR51))</f>
        <v>46783</v>
      </c>
      <c r="DT51" s="8">
        <f t="shared" ca="1" si="48"/>
        <v>649</v>
      </c>
      <c r="DU51" s="5" t="str">
        <f t="shared" ca="1" si="49"/>
        <v>VIGENTE</v>
      </c>
      <c r="DV51" s="3"/>
      <c r="DW51" s="4">
        <v>45663</v>
      </c>
      <c r="DX51" s="4">
        <f>DATE(YEAR(DW51)+2,MONTH(DW51),DAY(DW51)-1)</f>
        <v>46392</v>
      </c>
      <c r="DY51" s="8">
        <f t="shared" ca="1" si="50"/>
        <v>258</v>
      </c>
      <c r="DZ51" s="5" t="str">
        <f t="shared" ca="1" si="51"/>
        <v>VIGENTE</v>
      </c>
      <c r="EA51" s="3"/>
      <c r="EB51" s="4">
        <v>45674</v>
      </c>
      <c r="EC51" s="4">
        <f>DATE(YEAR(EB51)+2,MONTH(EB51),DAY(EB51)-1)</f>
        <v>46403</v>
      </c>
      <c r="ED51" s="8">
        <f t="shared" ca="1" si="52"/>
        <v>269</v>
      </c>
      <c r="EE51" s="5" t="str">
        <f t="shared" ca="1" si="53"/>
        <v>VIGENTE</v>
      </c>
      <c r="EF51" s="3"/>
      <c r="EG51" s="3">
        <v>46107</v>
      </c>
      <c r="EH51" s="4">
        <f t="shared" si="137"/>
        <v>46472</v>
      </c>
      <c r="EI51" s="8">
        <f t="shared" ca="1" si="54"/>
        <v>338</v>
      </c>
      <c r="EJ51" s="5" t="str">
        <f t="shared" ca="1" si="55"/>
        <v>VIGENTE</v>
      </c>
      <c r="EK51" s="3"/>
      <c r="EL51" s="4">
        <v>45660</v>
      </c>
      <c r="EM51" s="4">
        <f>DATE(YEAR(EL51)+2,MONTH(EL51),DAY(EL51)-1)</f>
        <v>46389</v>
      </c>
      <c r="EN51" s="8">
        <f t="shared" ca="1" si="56"/>
        <v>255</v>
      </c>
      <c r="EO51" s="5" t="str">
        <f t="shared" ca="1" si="57"/>
        <v>VIGENTE</v>
      </c>
      <c r="EP51" s="3"/>
      <c r="EQ51" s="4">
        <v>45999</v>
      </c>
      <c r="ER51" s="4">
        <f>DATE(YEAR(EQ51)+2,MONTH(EQ51),DAY(EQ51))</f>
        <v>46729</v>
      </c>
      <c r="ES51" s="8">
        <f t="shared" ca="1" si="58"/>
        <v>595</v>
      </c>
      <c r="ET51" s="5" t="str">
        <f t="shared" ca="1" si="59"/>
        <v>VIGENTE</v>
      </c>
      <c r="EU51" s="3"/>
      <c r="EV51" s="4">
        <v>45917</v>
      </c>
      <c r="EW51" s="4">
        <f>DATE(YEAR(EV51)+2,MONTH(EV51),DAY(EV51))</f>
        <v>46647</v>
      </c>
      <c r="EX51" s="8">
        <f t="shared" ca="1" si="60"/>
        <v>513</v>
      </c>
      <c r="EY51" s="5" t="str">
        <f t="shared" ca="1" si="61"/>
        <v>VIGENTE</v>
      </c>
      <c r="EZ51" s="3"/>
      <c r="FA51" s="4">
        <v>45931</v>
      </c>
      <c r="FB51" s="4">
        <f>DATE(YEAR(FA51)+2,MONTH(FA51),DAY(FA51))</f>
        <v>46661</v>
      </c>
      <c r="FC51" s="8">
        <f t="shared" ca="1" si="62"/>
        <v>527</v>
      </c>
      <c r="FD51" s="5" t="str">
        <f t="shared" ca="1" si="63"/>
        <v>VIGENTE</v>
      </c>
      <c r="FE51" s="3"/>
      <c r="FF51" s="4">
        <v>45919</v>
      </c>
      <c r="FG51" s="4">
        <f>DATE(YEAR(FF51)+2,MONTH(FF51),DAY(FF51))</f>
        <v>46649</v>
      </c>
      <c r="FH51" s="8">
        <f t="shared" ca="1" si="64"/>
        <v>515</v>
      </c>
      <c r="FI51" s="5" t="str">
        <f t="shared" ca="1" si="65"/>
        <v>VIGENTE</v>
      </c>
      <c r="FJ51" s="3"/>
      <c r="FK51" s="4">
        <v>45670</v>
      </c>
      <c r="FL51" s="4">
        <f>DATE(YEAR(FK51)+2,MONTH(FK51),DAY(FK51)-1)</f>
        <v>46399</v>
      </c>
      <c r="FM51" s="8">
        <f t="shared" ca="1" si="67"/>
        <v>265</v>
      </c>
      <c r="FN51" s="5" t="str">
        <f t="shared" ca="1" si="68"/>
        <v>VIGENTE</v>
      </c>
      <c r="FO51" s="3"/>
      <c r="FP51" s="4">
        <v>45664</v>
      </c>
      <c r="FQ51" s="4">
        <f>DATE(YEAR(FP51)+2,MONTH(FP51),DAY(FP51)-1)</f>
        <v>46393</v>
      </c>
      <c r="FR51" s="8">
        <f t="shared" ca="1" si="69"/>
        <v>259</v>
      </c>
      <c r="FS51" s="5" t="str">
        <f t="shared" ca="1" si="70"/>
        <v>VIGENTE</v>
      </c>
      <c r="FT51" s="3"/>
      <c r="FU51" s="4">
        <v>45961</v>
      </c>
      <c r="FV51" s="4">
        <f>DATE(YEAR(FU51)+2,MONTH(FU51),DAY(FU51))</f>
        <v>46691</v>
      </c>
      <c r="FW51" s="8">
        <f t="shared" ca="1" si="71"/>
        <v>557</v>
      </c>
      <c r="FX51" s="5" t="str">
        <f t="shared" ca="1" si="72"/>
        <v>VIGENTE</v>
      </c>
      <c r="FY51" s="3"/>
      <c r="FZ51" s="4">
        <v>45667</v>
      </c>
      <c r="GA51" s="4">
        <f>DATE(YEAR(FZ51)+2,MONTH(FZ51),DAY(FZ51)-1)</f>
        <v>46396</v>
      </c>
      <c r="GB51" s="8">
        <f t="shared" ca="1" si="73"/>
        <v>262</v>
      </c>
      <c r="GC51" s="5" t="str">
        <f t="shared" ca="1" si="74"/>
        <v>VIGENTE</v>
      </c>
      <c r="GD51" s="3"/>
      <c r="GE51" s="4">
        <v>45672</v>
      </c>
      <c r="GF51" s="4">
        <f>DATE(YEAR(GE51)+2,MONTH(GE51),DAY(GE51)-1)</f>
        <v>46401</v>
      </c>
      <c r="GG51" s="8">
        <f t="shared" ca="1" si="75"/>
        <v>267</v>
      </c>
      <c r="GH51" s="5" t="str">
        <f t="shared" ca="1" si="76"/>
        <v>VIGENTE</v>
      </c>
      <c r="GI51" s="3"/>
      <c r="GJ51" s="4">
        <v>45945</v>
      </c>
      <c r="GK51" s="4">
        <f>DATE(YEAR(GJ51)+2,MONTH(GJ51),DAY(GJ51))</f>
        <v>46675</v>
      </c>
      <c r="GL51" s="8">
        <f t="shared" ca="1" si="77"/>
        <v>541</v>
      </c>
      <c r="GM51" s="5" t="str">
        <f t="shared" ca="1" si="78"/>
        <v>VIGENTE</v>
      </c>
      <c r="GN51" s="4"/>
      <c r="GO51" s="4">
        <v>45017</v>
      </c>
      <c r="GP51" s="4">
        <f t="shared" si="79"/>
        <v>46844</v>
      </c>
      <c r="GQ51" s="8">
        <f t="shared" ca="1" si="181"/>
        <v>710</v>
      </c>
      <c r="GR51" s="5" t="str">
        <f t="shared" ca="1" si="81"/>
        <v>VIGENTE</v>
      </c>
      <c r="GS51" s="3"/>
      <c r="GT51" s="4">
        <v>45067</v>
      </c>
      <c r="GU51" s="4">
        <f t="shared" si="82"/>
        <v>46894</v>
      </c>
      <c r="GV51" s="8">
        <f t="shared" ca="1" si="83"/>
        <v>760</v>
      </c>
      <c r="GW51" s="5" t="str">
        <f t="shared" ca="1" si="84"/>
        <v>VIGENTE</v>
      </c>
      <c r="GX51" s="3"/>
      <c r="GY51" s="4">
        <v>45294</v>
      </c>
      <c r="GZ51" s="4">
        <f t="shared" si="85"/>
        <v>47121</v>
      </c>
      <c r="HA51" s="8">
        <f t="shared" ca="1" si="86"/>
        <v>987</v>
      </c>
      <c r="HB51" s="5" t="str">
        <f t="shared" ca="1" si="87"/>
        <v>VIGENTE</v>
      </c>
      <c r="HC51" s="6"/>
      <c r="HD51" s="4">
        <v>45020</v>
      </c>
      <c r="HE51" s="4">
        <f>DATE(YEAR(HD51)+5,MONTH(HD51),DAY(HD51))</f>
        <v>46847</v>
      </c>
      <c r="HF51" s="8">
        <f ca="1">HE51-TODAY()</f>
        <v>713</v>
      </c>
      <c r="HG51" s="5" t="str">
        <f t="shared" ca="1" si="228"/>
        <v>VIGENTE</v>
      </c>
      <c r="HH51" s="3"/>
      <c r="HI51" s="4">
        <v>45414</v>
      </c>
      <c r="HJ51" s="4">
        <f>DATE(YEAR(HI51)+5,MONTH(HI51),DAY(HI51))</f>
        <v>47240</v>
      </c>
      <c r="HK51" s="8">
        <f ca="1">HJ51-TODAY()</f>
        <v>1106</v>
      </c>
      <c r="HL51" s="5" t="str">
        <f t="shared" ca="1" si="232"/>
        <v>VIGENTE</v>
      </c>
      <c r="HM51" s="2"/>
      <c r="HN51" s="2"/>
      <c r="HO51" s="4"/>
      <c r="HP51" s="2"/>
      <c r="HQ51" s="5" t="str">
        <f t="shared" si="92"/>
        <v>NO APLICA</v>
      </c>
      <c r="HR51" s="2"/>
      <c r="HS51" s="6"/>
      <c r="HT51" s="4"/>
      <c r="HU51" s="8"/>
      <c r="HV51" s="5" t="str">
        <f t="shared" si="93"/>
        <v>NO APLICA</v>
      </c>
      <c r="HW51" s="2"/>
      <c r="HX51" s="6"/>
      <c r="HY51" s="4"/>
      <c r="HZ51" s="8"/>
      <c r="IA51" s="5" t="str">
        <f t="shared" si="94"/>
        <v>NO APLICA</v>
      </c>
      <c r="IB51" s="2"/>
      <c r="IC51" s="6"/>
      <c r="ID51" s="4"/>
      <c r="IE51" s="8"/>
      <c r="IF51" s="5" t="str">
        <f t="shared" si="95"/>
        <v>NO APLICA</v>
      </c>
      <c r="IG51" s="6"/>
      <c r="IH51" s="6"/>
      <c r="II51" s="4"/>
      <c r="IJ51" s="8"/>
      <c r="IK51" s="5" t="str">
        <f t="shared" si="96"/>
        <v>NO APLICA</v>
      </c>
      <c r="IL51" s="2"/>
      <c r="IM51" s="6"/>
      <c r="IN51" s="4"/>
      <c r="IO51" s="8"/>
      <c r="IP51" s="5" t="str">
        <f t="shared" si="97"/>
        <v>NO APLICA</v>
      </c>
      <c r="IQ51" s="2"/>
      <c r="IR51" s="6"/>
      <c r="IS51" s="4"/>
      <c r="IT51" s="8"/>
      <c r="IU51" s="5" t="str">
        <f t="shared" si="98"/>
        <v>NO APLICA</v>
      </c>
      <c r="IV51" s="2"/>
      <c r="IW51" s="6"/>
      <c r="IX51" s="4"/>
      <c r="IY51" s="8"/>
      <c r="IZ51" s="5" t="str">
        <f t="shared" si="99"/>
        <v>NO APLICA</v>
      </c>
      <c r="JA51" s="3"/>
      <c r="JB51" s="3"/>
      <c r="JC51" s="4"/>
      <c r="JD51" s="8"/>
      <c r="JE51" s="5" t="str">
        <f t="shared" si="100"/>
        <v>NO APLICA</v>
      </c>
      <c r="JF51" s="6"/>
      <c r="JG51" s="6"/>
      <c r="JH51" s="6"/>
      <c r="JI51" s="6"/>
      <c r="JJ51" s="5" t="str">
        <f t="shared" si="101"/>
        <v>NO APLICA</v>
      </c>
      <c r="JK51" s="6"/>
      <c r="JL51" s="6"/>
      <c r="JM51" s="6"/>
      <c r="JN51" s="6"/>
      <c r="JO51" s="5" t="str">
        <f t="shared" si="102"/>
        <v>NO APLICA</v>
      </c>
      <c r="JP51" s="6"/>
      <c r="JQ51" s="6"/>
      <c r="JR51" s="6"/>
      <c r="JS51" s="6"/>
      <c r="JT51" s="5" t="str">
        <f t="shared" si="103"/>
        <v>NO APLICA</v>
      </c>
      <c r="JU51" s="5"/>
      <c r="JV51" s="5"/>
      <c r="JW51" s="5"/>
      <c r="JX51" s="5"/>
      <c r="JY51" s="5" t="str">
        <f t="shared" si="104"/>
        <v>NO APLICA</v>
      </c>
      <c r="JZ51" s="5"/>
      <c r="KA51" s="2"/>
      <c r="KB51" s="4"/>
      <c r="KC51" s="8"/>
      <c r="KD51" s="5" t="str">
        <f t="shared" si="105"/>
        <v>NO APLICA</v>
      </c>
      <c r="KE51" s="5"/>
      <c r="KF51" s="2"/>
      <c r="KG51" s="4"/>
      <c r="KH51" s="8"/>
      <c r="KI51" s="5" t="str">
        <f t="shared" si="141"/>
        <v>NO APLICA</v>
      </c>
      <c r="KJ51" s="5"/>
      <c r="KK51" s="2"/>
      <c r="KL51" s="4"/>
      <c r="KM51" s="8"/>
      <c r="KN51" s="5" t="str">
        <f t="shared" si="106"/>
        <v>NO APLICA</v>
      </c>
      <c r="KO51" s="5"/>
      <c r="KP51" s="2"/>
      <c r="KQ51" s="4"/>
      <c r="KR51" s="8"/>
      <c r="KS51" s="5" t="str">
        <f t="shared" si="142"/>
        <v>NO APLICA</v>
      </c>
      <c r="KT51" s="3"/>
      <c r="KU51" s="4">
        <v>44649</v>
      </c>
      <c r="KV51" s="4">
        <f>DATE(YEAR(KU51)+5,MONTH(KU51),DAY(KU51))</f>
        <v>46475</v>
      </c>
      <c r="KW51" s="8">
        <f ca="1">KV51-TODAY()</f>
        <v>341</v>
      </c>
      <c r="KX51" s="5" t="str">
        <f t="shared" ca="1" si="156"/>
        <v>VIGENTE</v>
      </c>
      <c r="KY51" s="5"/>
      <c r="KZ51" s="4">
        <v>44603</v>
      </c>
      <c r="LA51" s="4">
        <f>DATE(YEAR(KZ51)+5,MONTH(KZ51),DAY(KZ51))</f>
        <v>46429</v>
      </c>
      <c r="LB51" s="8">
        <f ca="1">LA51-TODAY()</f>
        <v>295</v>
      </c>
      <c r="LC51" s="5" t="str">
        <f t="shared" ca="1" si="143"/>
        <v>VIGENTE</v>
      </c>
      <c r="LD51" s="6"/>
      <c r="LE51" s="6"/>
      <c r="LF51" s="4"/>
      <c r="LG51" s="8"/>
      <c r="LH51" s="5" t="str">
        <f t="shared" si="107"/>
        <v>NO APLICA</v>
      </c>
      <c r="LI51" s="5"/>
      <c r="LJ51" s="5"/>
      <c r="LK51" s="4"/>
      <c r="LL51" s="8"/>
      <c r="LM51" s="5" t="str">
        <f t="shared" si="157"/>
        <v>NO APLICA</v>
      </c>
      <c r="LN51" s="2"/>
      <c r="LO51" s="6"/>
      <c r="LP51" s="4"/>
      <c r="LQ51" s="8"/>
      <c r="LR51" s="5" t="str">
        <f t="shared" si="144"/>
        <v>NO APLICA</v>
      </c>
      <c r="LS51" s="6"/>
      <c r="LT51" s="6"/>
      <c r="LU51" s="4"/>
      <c r="LV51" s="8"/>
      <c r="LW51" s="5" t="str">
        <f t="shared" si="145"/>
        <v>NO APLICA</v>
      </c>
      <c r="LX51" s="6"/>
      <c r="LY51" s="6"/>
      <c r="LZ51" s="4"/>
      <c r="MA51" s="8"/>
      <c r="MB51" s="5" t="str">
        <f t="shared" si="146"/>
        <v>NO APLICA</v>
      </c>
      <c r="MC51" s="2"/>
      <c r="MD51" s="2"/>
      <c r="ME51" s="4"/>
      <c r="MF51" s="8"/>
      <c r="MG51" s="5" t="str">
        <f t="shared" si="108"/>
        <v>NO APLICA</v>
      </c>
      <c r="MH51" s="2"/>
      <c r="MI51" s="2"/>
      <c r="MJ51" s="4"/>
      <c r="MK51" s="8"/>
      <c r="ML51" s="5" t="str">
        <f t="shared" si="109"/>
        <v>NO APLICA</v>
      </c>
      <c r="MM51" s="5"/>
      <c r="MN51" s="2"/>
      <c r="MO51" s="4"/>
      <c r="MP51" s="8"/>
      <c r="MQ51" s="5" t="str">
        <f t="shared" si="110"/>
        <v>NO APLICA</v>
      </c>
      <c r="MR51" s="5"/>
      <c r="MS51" s="2"/>
      <c r="MT51" s="4"/>
      <c r="MU51" s="2"/>
      <c r="MV51" s="5" t="str">
        <f t="shared" si="111"/>
        <v>NO APLICA</v>
      </c>
      <c r="MW51" s="2"/>
      <c r="MX51" s="6"/>
      <c r="MY51" s="4"/>
      <c r="MZ51" s="8"/>
      <c r="NA51" s="5" t="str">
        <f t="shared" si="112"/>
        <v>NO APLICA</v>
      </c>
      <c r="NB51" s="2"/>
      <c r="NC51" s="6"/>
      <c r="ND51" s="4"/>
      <c r="NE51" s="8"/>
      <c r="NF51" s="5" t="str">
        <f t="shared" si="113"/>
        <v>NO APLICA</v>
      </c>
      <c r="NG51" s="2"/>
      <c r="NH51" s="6"/>
      <c r="NI51" s="4"/>
      <c r="NJ51" s="8"/>
      <c r="NK51" s="5" t="str">
        <f t="shared" si="114"/>
        <v>NO APLICA</v>
      </c>
      <c r="NL51" s="2"/>
      <c r="NM51" s="2"/>
      <c r="NN51" s="4"/>
      <c r="NO51" s="8"/>
      <c r="NP51" s="5" t="str">
        <f t="shared" si="115"/>
        <v>NO APLICA</v>
      </c>
      <c r="NQ51" s="2"/>
      <c r="NR51" s="2"/>
      <c r="NS51" s="4"/>
      <c r="NT51" s="2"/>
      <c r="NU51" s="5" t="str">
        <f t="shared" si="116"/>
        <v>NO APLICA</v>
      </c>
      <c r="NV51" s="6"/>
      <c r="NW51" s="4">
        <v>45320</v>
      </c>
      <c r="NX51" s="4">
        <f>DATE(YEAR(NW51)+2,MONTH(NW51),DAY(NW51))</f>
        <v>46051</v>
      </c>
      <c r="NY51" s="8">
        <f ca="1">NX51-TODAY()</f>
        <v>-83</v>
      </c>
      <c r="NZ51" s="5" t="str">
        <f t="shared" ca="1" si="117"/>
        <v>VENCIDA</v>
      </c>
      <c r="OA51" s="4"/>
      <c r="OB51" s="4">
        <v>44762</v>
      </c>
      <c r="OC51" s="4">
        <f>DATE(YEAR(OB51)+5,MONTH(OB51),DAY(OB51))</f>
        <v>46588</v>
      </c>
      <c r="OD51" s="8">
        <f ca="1">OC51-TODAY()</f>
        <v>454</v>
      </c>
      <c r="OE51" s="5" t="str">
        <f t="shared" ca="1" si="118"/>
        <v>VIGENTE</v>
      </c>
      <c r="OF51" s="2"/>
      <c r="OG51" s="2"/>
      <c r="OH51" s="4"/>
      <c r="OI51" s="8"/>
      <c r="OJ51" s="5" t="str">
        <f t="shared" si="119"/>
        <v>NO APLICA</v>
      </c>
      <c r="OK51" s="6"/>
      <c r="OL51" s="6"/>
      <c r="OM51" s="6"/>
      <c r="ON51" s="6"/>
      <c r="OO51" s="5" t="str">
        <f t="shared" si="120"/>
        <v>NO APLICA</v>
      </c>
      <c r="OP51" s="6"/>
      <c r="OQ51" s="6"/>
      <c r="OR51" s="6"/>
      <c r="OS51" s="6"/>
      <c r="OT51" s="5" t="str">
        <f t="shared" si="121"/>
        <v>NO APLICA</v>
      </c>
      <c r="OU51" s="6"/>
      <c r="OV51" s="6"/>
      <c r="OW51" s="6"/>
      <c r="OX51" s="6"/>
      <c r="OY51" s="5" t="str">
        <f t="shared" si="122"/>
        <v>NO APLICA</v>
      </c>
      <c r="OZ51" s="6"/>
      <c r="PA51" s="6"/>
      <c r="PB51" s="6"/>
      <c r="PC51" s="6"/>
      <c r="PD51" s="5" t="str">
        <f t="shared" si="123"/>
        <v>NO APLICA</v>
      </c>
      <c r="PE51" s="6"/>
      <c r="PF51" s="6"/>
      <c r="PG51" s="6"/>
      <c r="PH51" s="6"/>
      <c r="PI51" s="5" t="str">
        <f t="shared" si="124"/>
        <v>NO APLICA</v>
      </c>
      <c r="PJ51" s="5"/>
      <c r="PK51" s="6"/>
      <c r="PL51" s="4"/>
      <c r="PM51" s="8"/>
      <c r="PN51" s="5" t="str">
        <f t="shared" si="125"/>
        <v>NO APLICA</v>
      </c>
      <c r="PO51" s="6"/>
      <c r="PP51" s="6"/>
      <c r="PQ51" s="6"/>
      <c r="PR51" s="6"/>
      <c r="PS51" s="5" t="str">
        <f t="shared" si="126"/>
        <v>NO APLICA</v>
      </c>
      <c r="PT51" s="5"/>
      <c r="PU51" s="6"/>
      <c r="PV51" s="6"/>
      <c r="PW51" s="6"/>
      <c r="PX51" s="5" t="str">
        <f t="shared" si="127"/>
        <v>NO APLICA</v>
      </c>
    </row>
    <row r="52" spans="1:440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716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224</v>
      </c>
      <c r="V52" s="4">
        <v>44944</v>
      </c>
      <c r="W52" s="4">
        <f t="shared" si="2"/>
        <v>46770</v>
      </c>
      <c r="X52" s="8">
        <f t="shared" ca="1" si="3"/>
        <v>636</v>
      </c>
      <c r="Y52" s="5" t="str">
        <f t="shared" ca="1" si="4"/>
        <v>VIGENTE</v>
      </c>
      <c r="Z52" s="2"/>
      <c r="AA52" s="6"/>
      <c r="AB52" s="4"/>
      <c r="AC52" s="8"/>
      <c r="AD52" s="5" t="str">
        <f t="shared" si="7"/>
        <v>NO APLICA</v>
      </c>
      <c r="AE52" s="3"/>
      <c r="AF52" s="4">
        <v>45589</v>
      </c>
      <c r="AG52" s="4">
        <f>DATE(YEAR(AF52)+2,MONTH(AF52),DAY(AF52)-1)</f>
        <v>46318</v>
      </c>
      <c r="AH52" s="8">
        <f t="shared" ca="1" si="8"/>
        <v>184</v>
      </c>
      <c r="AI52" s="5" t="str">
        <f t="shared" ca="1" si="224"/>
        <v>VIGENTE</v>
      </c>
      <c r="AJ52" s="3"/>
      <c r="AK52" s="4">
        <v>45748</v>
      </c>
      <c r="AL52" s="4">
        <f>DATE(YEAR(AK52)+2,MONTH(AK52),DAY(AK52)-1)</f>
        <v>46477</v>
      </c>
      <c r="AM52" s="8">
        <f t="shared" ca="1" si="10"/>
        <v>343</v>
      </c>
      <c r="AN52" s="5" t="str">
        <f t="shared" ca="1" si="11"/>
        <v>VIGENTE</v>
      </c>
      <c r="AO52" s="3"/>
      <c r="AP52" s="4">
        <v>45591</v>
      </c>
      <c r="AQ52" s="4">
        <f>DATE(YEAR(AP52)+2,MONTH(AP52),DAY(AP52)-1)</f>
        <v>46320</v>
      </c>
      <c r="AR52" s="8">
        <f t="shared" ca="1" si="12"/>
        <v>186</v>
      </c>
      <c r="AS52" s="5" t="str">
        <f t="shared" ca="1" si="13"/>
        <v>VIGENTE</v>
      </c>
      <c r="AT52" s="3"/>
      <c r="AU52" s="4">
        <v>45702</v>
      </c>
      <c r="AV52" s="4">
        <f>DATE(YEAR(AU52)+2,MONTH(AU52),DAY(AU52)-1)</f>
        <v>46431</v>
      </c>
      <c r="AW52" s="8">
        <f t="shared" ca="1" si="15"/>
        <v>297</v>
      </c>
      <c r="AX52" s="5" t="str">
        <f t="shared" ca="1" si="16"/>
        <v>VIGENTE</v>
      </c>
      <c r="AY52" s="3"/>
      <c r="AZ52" s="4">
        <v>45622</v>
      </c>
      <c r="BA52" s="4">
        <f>DATE(YEAR(AZ52)+2,MONTH(AZ52),DAY(AZ52)-1)</f>
        <v>46351</v>
      </c>
      <c r="BB52" s="8">
        <f t="shared" ca="1" si="17"/>
        <v>217</v>
      </c>
      <c r="BC52" s="5" t="str">
        <f t="shared" ca="1" si="18"/>
        <v>VIGENTE</v>
      </c>
      <c r="BD52" s="3"/>
      <c r="BE52" s="4">
        <v>45826</v>
      </c>
      <c r="BF52" s="4">
        <f>DATE(YEAR(BE52)+2,MONTH(BE52),DAY(BE52))</f>
        <v>46556</v>
      </c>
      <c r="BG52" s="8">
        <f t="shared" ca="1" si="19"/>
        <v>422</v>
      </c>
      <c r="BH52" s="5" t="str">
        <f t="shared" ca="1" si="20"/>
        <v>VIGENTE</v>
      </c>
      <c r="BI52" s="3"/>
      <c r="BJ52" s="4">
        <v>45819</v>
      </c>
      <c r="BK52" s="4">
        <f>DATE(YEAR(BJ52)+2,MONTH(BJ52),DAY(BJ52))</f>
        <v>46549</v>
      </c>
      <c r="BL52" s="8">
        <f t="shared" ca="1" si="21"/>
        <v>415</v>
      </c>
      <c r="BM52" s="5" t="str">
        <f t="shared" ca="1" si="22"/>
        <v>VIGENTE</v>
      </c>
      <c r="BN52" s="3"/>
      <c r="BO52" s="4">
        <v>45604</v>
      </c>
      <c r="BP52" s="4">
        <f>DATE(YEAR(BO52)+2,MONTH(BO52),DAY(BO52)-1)</f>
        <v>46333</v>
      </c>
      <c r="BQ52" s="8">
        <f t="shared" ca="1" si="23"/>
        <v>199</v>
      </c>
      <c r="BR52" s="5" t="str">
        <f t="shared" ca="1" si="24"/>
        <v>VIGENTE</v>
      </c>
      <c r="BS52" s="2"/>
      <c r="BT52" s="4">
        <v>45736</v>
      </c>
      <c r="BU52" s="4">
        <f>DATE(YEAR(BT52)+2,MONTH(BT52),DAY(BT52)-1)</f>
        <v>46465</v>
      </c>
      <c r="BV52" s="8">
        <f t="shared" ca="1" si="25"/>
        <v>331</v>
      </c>
      <c r="BW52" s="5" t="str">
        <f t="shared" ca="1" si="26"/>
        <v>VIGENTE</v>
      </c>
      <c r="BX52" s="3"/>
      <c r="BY52" s="4">
        <v>45730</v>
      </c>
      <c r="BZ52" s="4">
        <f>DATE(YEAR(BY52)+2,MONTH(BY52),DAY(BY52)-1)</f>
        <v>46459</v>
      </c>
      <c r="CA52" s="8">
        <f t="shared" ca="1" si="27"/>
        <v>325</v>
      </c>
      <c r="CB52" s="5" t="str">
        <f t="shared" ca="1" si="28"/>
        <v>VIGENTE</v>
      </c>
      <c r="CC52" s="6" t="s">
        <v>68</v>
      </c>
      <c r="CD52" s="4">
        <v>45832</v>
      </c>
      <c r="CE52" s="4">
        <f t="shared" si="29"/>
        <v>47293</v>
      </c>
      <c r="CF52" s="8">
        <f t="shared" ca="1" si="30"/>
        <v>1159</v>
      </c>
      <c r="CG52" s="5" t="str">
        <f t="shared" ca="1" si="31"/>
        <v>VIGENTE</v>
      </c>
      <c r="CH52" s="4"/>
      <c r="CI52" s="4">
        <v>45801</v>
      </c>
      <c r="CJ52" s="4">
        <f t="shared" si="230"/>
        <v>46530</v>
      </c>
      <c r="CK52" s="8">
        <f t="shared" ca="1" si="32"/>
        <v>396</v>
      </c>
      <c r="CL52" s="5" t="str">
        <f t="shared" ca="1" si="33"/>
        <v>VIGENTE</v>
      </c>
      <c r="CM52" s="3"/>
      <c r="CN52" s="4">
        <v>45769</v>
      </c>
      <c r="CO52" s="4">
        <f>DATE(YEAR(CN52)+2,MONTH(CN52),DAY(CN52))</f>
        <v>46499</v>
      </c>
      <c r="CP52" s="8">
        <f t="shared" ca="1" si="34"/>
        <v>365</v>
      </c>
      <c r="CQ52" s="5" t="str">
        <f t="shared" ca="1" si="35"/>
        <v>VIGENTE</v>
      </c>
      <c r="CR52" s="3"/>
      <c r="CS52" s="4">
        <v>45624</v>
      </c>
      <c r="CT52" s="4">
        <f>DATE(YEAR(CS52)+2,MONTH(CS52),DAY(CS52)-1)</f>
        <v>46353</v>
      </c>
      <c r="CU52" s="8">
        <f t="shared" ca="1" si="36"/>
        <v>219</v>
      </c>
      <c r="CV52" s="5" t="str">
        <f t="shared" ca="1" si="37"/>
        <v>VIGENTE</v>
      </c>
      <c r="CW52" s="3"/>
      <c r="CX52" s="4">
        <v>45681</v>
      </c>
      <c r="CY52" s="4">
        <f>DATE(YEAR(CX52)+2,MONTH(CX52),DAY(CX52)-1)</f>
        <v>46410</v>
      </c>
      <c r="CZ52" s="8">
        <f t="shared" ca="1" si="38"/>
        <v>276</v>
      </c>
      <c r="DA52" s="5" t="str">
        <f t="shared" ca="1" si="39"/>
        <v>VIGENTE</v>
      </c>
      <c r="DB52" s="3"/>
      <c r="DC52" s="4">
        <v>45723</v>
      </c>
      <c r="DD52" s="4">
        <f t="shared" si="231"/>
        <v>46452</v>
      </c>
      <c r="DE52" s="8">
        <f t="shared" ca="1" si="40"/>
        <v>318</v>
      </c>
      <c r="DF52" s="5" t="str">
        <f t="shared" ca="1" si="41"/>
        <v>VIGENTE</v>
      </c>
      <c r="DG52" s="3"/>
      <c r="DH52" s="4">
        <v>45779</v>
      </c>
      <c r="DI52" s="4">
        <f t="shared" si="229"/>
        <v>46509</v>
      </c>
      <c r="DJ52" s="8">
        <f t="shared" ca="1" si="43"/>
        <v>375</v>
      </c>
      <c r="DK52" s="5" t="str">
        <f t="shared" ca="1" si="44"/>
        <v>VIGENTE</v>
      </c>
      <c r="DL52" s="3"/>
      <c r="DM52" s="4">
        <v>45590</v>
      </c>
      <c r="DN52" s="4">
        <f>DATE(YEAR(DM52)+2,MONTH(DM52),DAY(DM52)-1)</f>
        <v>46319</v>
      </c>
      <c r="DO52" s="8">
        <f t="shared" ca="1" si="46"/>
        <v>185</v>
      </c>
      <c r="DP52" s="5" t="str">
        <f t="shared" ca="1" si="47"/>
        <v>VIGENTE</v>
      </c>
      <c r="DQ52" s="3"/>
      <c r="DR52" s="4">
        <v>45608</v>
      </c>
      <c r="DS52" s="4">
        <f>DATE(YEAR(DR52)+2,MONTH(DR52),DAY(DR52)-1)</f>
        <v>46337</v>
      </c>
      <c r="DT52" s="8">
        <f t="shared" ca="1" si="48"/>
        <v>203</v>
      </c>
      <c r="DU52" s="5" t="str">
        <f t="shared" ca="1" si="49"/>
        <v>VIGENTE</v>
      </c>
      <c r="DV52" s="3"/>
      <c r="DW52" s="4">
        <v>45663</v>
      </c>
      <c r="DX52" s="4">
        <f>DATE(YEAR(DW52)+2,MONTH(DW52),DAY(DW52)-1)</f>
        <v>46392</v>
      </c>
      <c r="DY52" s="8">
        <f t="shared" ca="1" si="50"/>
        <v>258</v>
      </c>
      <c r="DZ52" s="5" t="str">
        <f t="shared" ca="1" si="51"/>
        <v>VIGENTE</v>
      </c>
      <c r="EA52" s="3"/>
      <c r="EB52" s="4">
        <v>45829</v>
      </c>
      <c r="EC52" s="4">
        <f>DATE(YEAR(EB52)+2,MONTH(EB52),DAY(EB52))</f>
        <v>46559</v>
      </c>
      <c r="ED52" s="8">
        <f t="shared" ca="1" si="52"/>
        <v>425</v>
      </c>
      <c r="EE52" s="5" t="str">
        <f t="shared" ca="1" si="53"/>
        <v>VIGENTE</v>
      </c>
      <c r="EF52" s="3"/>
      <c r="EG52" s="3">
        <v>46085</v>
      </c>
      <c r="EH52" s="4">
        <f t="shared" si="137"/>
        <v>46450</v>
      </c>
      <c r="EI52" s="8">
        <f t="shared" ca="1" si="54"/>
        <v>316</v>
      </c>
      <c r="EJ52" s="5" t="str">
        <f t="shared" ca="1" si="55"/>
        <v>VIGENTE</v>
      </c>
      <c r="EK52" s="3"/>
      <c r="EL52" s="4">
        <v>45671</v>
      </c>
      <c r="EM52" s="4">
        <f>DATE(YEAR(EL52)+2,MONTH(EL52),DAY(EL52)-1)</f>
        <v>46400</v>
      </c>
      <c r="EN52" s="8">
        <f t="shared" ca="1" si="56"/>
        <v>266</v>
      </c>
      <c r="EO52" s="5" t="str">
        <f t="shared" ca="1" si="57"/>
        <v>VIGENTE</v>
      </c>
      <c r="EP52" s="3"/>
      <c r="EQ52" s="4">
        <v>45824</v>
      </c>
      <c r="ER52" s="4">
        <f>DATE(YEAR(EQ52)+2,MONTH(EQ52),DAY(EQ52))</f>
        <v>46554</v>
      </c>
      <c r="ES52" s="8">
        <f t="shared" ca="1" si="58"/>
        <v>420</v>
      </c>
      <c r="ET52" s="5" t="str">
        <f t="shared" ca="1" si="59"/>
        <v>VIGENTE</v>
      </c>
      <c r="EU52" s="3"/>
      <c r="EV52" s="4">
        <v>45610</v>
      </c>
      <c r="EW52" s="4">
        <f>DATE(YEAR(EV52)+2,MONTH(EV52),DAY(EV52)-1)</f>
        <v>46339</v>
      </c>
      <c r="EX52" s="8">
        <f t="shared" ca="1" si="60"/>
        <v>205</v>
      </c>
      <c r="EY52" s="5" t="str">
        <f t="shared" ca="1" si="61"/>
        <v>VIGENTE</v>
      </c>
      <c r="EZ52" s="3"/>
      <c r="FA52" s="4">
        <v>45611</v>
      </c>
      <c r="FB52" s="4">
        <f>DATE(YEAR(FA52)+2,MONTH(FA52),DAY(FA52)-1)</f>
        <v>46340</v>
      </c>
      <c r="FC52" s="8">
        <f t="shared" ca="1" si="62"/>
        <v>206</v>
      </c>
      <c r="FD52" s="5" t="str">
        <f t="shared" ca="1" si="63"/>
        <v>VIGENTE</v>
      </c>
      <c r="FE52" s="3"/>
      <c r="FF52" s="4">
        <v>45668</v>
      </c>
      <c r="FG52" s="4">
        <f>DATE(YEAR(FF52)+2,MONTH(FF52),DAY(FF52)-1)</f>
        <v>46397</v>
      </c>
      <c r="FH52" s="8">
        <f t="shared" ca="1" si="64"/>
        <v>263</v>
      </c>
      <c r="FI52" s="5" t="str">
        <f t="shared" ca="1" si="65"/>
        <v>VIGENTE</v>
      </c>
      <c r="FJ52" s="3"/>
      <c r="FK52" s="4">
        <v>45738</v>
      </c>
      <c r="FL52" s="4">
        <f>DATE(YEAR(FK52)+2,MONTH(FK52),DAY(FK52)-1)</f>
        <v>46467</v>
      </c>
      <c r="FM52" s="8">
        <f t="shared" ca="1" si="67"/>
        <v>333</v>
      </c>
      <c r="FN52" s="5" t="str">
        <f t="shared" ca="1" si="68"/>
        <v>VIGENTE</v>
      </c>
      <c r="FO52" s="3"/>
      <c r="FP52" s="4">
        <v>45664</v>
      </c>
      <c r="FQ52" s="4">
        <f>DATE(YEAR(FP52)+2,MONTH(FP52),DAY(FP52)-1)</f>
        <v>46393</v>
      </c>
      <c r="FR52" s="8">
        <f t="shared" ca="1" si="69"/>
        <v>259</v>
      </c>
      <c r="FS52" s="5" t="str">
        <f t="shared" ca="1" si="70"/>
        <v>VIGENTE</v>
      </c>
      <c r="FT52" s="3"/>
      <c r="FU52" s="4">
        <v>45574</v>
      </c>
      <c r="FV52" s="4">
        <f>DATE(YEAR(FU52)+2,MONTH(FU52),DAY(FU52)-1)</f>
        <v>46303</v>
      </c>
      <c r="FW52" s="8">
        <f t="shared" ca="1" si="71"/>
        <v>169</v>
      </c>
      <c r="FX52" s="5" t="str">
        <f t="shared" ca="1" si="72"/>
        <v>VIGENTE</v>
      </c>
      <c r="FY52" s="3"/>
      <c r="FZ52" s="4">
        <v>45667</v>
      </c>
      <c r="GA52" s="4">
        <f>DATE(YEAR(FZ52)+2,MONTH(FZ52),DAY(FZ52)-1)</f>
        <v>46396</v>
      </c>
      <c r="GB52" s="8">
        <f t="shared" ca="1" si="73"/>
        <v>262</v>
      </c>
      <c r="GC52" s="5" t="str">
        <f t="shared" ca="1" si="74"/>
        <v>VIGENTE</v>
      </c>
      <c r="GD52" s="3"/>
      <c r="GE52" s="4">
        <v>45579</v>
      </c>
      <c r="GF52" s="4">
        <f>DATE(YEAR(GE52)+2,MONTH(GE52),DAY(GE52)-1)</f>
        <v>46308</v>
      </c>
      <c r="GG52" s="8">
        <f t="shared" ca="1" si="75"/>
        <v>174</v>
      </c>
      <c r="GH52" s="5" t="str">
        <f t="shared" ca="1" si="76"/>
        <v>VIGENTE</v>
      </c>
      <c r="GI52" s="3"/>
      <c r="GJ52" s="4">
        <v>45687</v>
      </c>
      <c r="GK52" s="4">
        <f>DATE(YEAR(GJ52)+2,MONTH(GJ52),DAY(GJ52)-1)</f>
        <v>46416</v>
      </c>
      <c r="GL52" s="8">
        <f t="shared" ca="1" si="77"/>
        <v>282</v>
      </c>
      <c r="GM52" s="5" t="str">
        <f t="shared" ca="1" si="78"/>
        <v>VIGENTE</v>
      </c>
      <c r="GN52" s="4"/>
      <c r="GO52" s="4">
        <v>45136</v>
      </c>
      <c r="GP52" s="4">
        <f t="shared" si="79"/>
        <v>46963</v>
      </c>
      <c r="GQ52" s="8">
        <f t="shared" ca="1" si="181"/>
        <v>829</v>
      </c>
      <c r="GR52" s="5" t="str">
        <f t="shared" ca="1" si="81"/>
        <v>VIGENTE</v>
      </c>
      <c r="GS52" s="3"/>
      <c r="GT52" s="4">
        <v>45010</v>
      </c>
      <c r="GU52" s="4">
        <f t="shared" si="82"/>
        <v>46837</v>
      </c>
      <c r="GV52" s="8">
        <f t="shared" ca="1" si="83"/>
        <v>703</v>
      </c>
      <c r="GW52" s="5" t="str">
        <f t="shared" ca="1" si="84"/>
        <v>VIGENTE</v>
      </c>
      <c r="GX52" s="2"/>
      <c r="GY52" s="4">
        <v>45016</v>
      </c>
      <c r="GZ52" s="4">
        <f t="shared" si="85"/>
        <v>46843</v>
      </c>
      <c r="HA52" s="8">
        <f t="shared" ca="1" si="86"/>
        <v>709</v>
      </c>
      <c r="HB52" s="5" t="str">
        <f t="shared" ca="1" si="87"/>
        <v>VIGENTE</v>
      </c>
      <c r="HC52" s="6"/>
      <c r="HD52" s="6"/>
      <c r="HE52" s="4"/>
      <c r="HF52" s="8"/>
      <c r="HG52" s="5" t="str">
        <f t="shared" si="228"/>
        <v>NO APLICA</v>
      </c>
      <c r="HH52" s="2"/>
      <c r="HI52" s="6"/>
      <c r="HJ52" s="4"/>
      <c r="HK52" s="8"/>
      <c r="HL52" s="5" t="str">
        <f t="shared" si="232"/>
        <v>NO APLICA</v>
      </c>
      <c r="HM52" s="2"/>
      <c r="HN52" s="2"/>
      <c r="HO52" s="4"/>
      <c r="HP52" s="2"/>
      <c r="HQ52" s="5" t="str">
        <f t="shared" si="92"/>
        <v>NO APLICA</v>
      </c>
      <c r="HR52" s="2"/>
      <c r="HS52" s="6"/>
      <c r="HT52" s="4"/>
      <c r="HU52" s="8"/>
      <c r="HV52" s="5" t="str">
        <f t="shared" si="93"/>
        <v>NO APLICA</v>
      </c>
      <c r="HW52" s="2"/>
      <c r="HX52" s="6"/>
      <c r="HY52" s="4"/>
      <c r="HZ52" s="8"/>
      <c r="IA52" s="5" t="str">
        <f t="shared" si="94"/>
        <v>NO APLICA</v>
      </c>
      <c r="IB52" s="2"/>
      <c r="IC52" s="6"/>
      <c r="ID52" s="4"/>
      <c r="IE52" s="8"/>
      <c r="IF52" s="5" t="str">
        <f t="shared" si="95"/>
        <v>NO APLICA</v>
      </c>
      <c r="IG52" s="6"/>
      <c r="IH52" s="6"/>
      <c r="II52" s="4"/>
      <c r="IJ52" s="8"/>
      <c r="IK52" s="5" t="str">
        <f t="shared" si="96"/>
        <v>NO APLICA</v>
      </c>
      <c r="IL52" s="2"/>
      <c r="IM52" s="6"/>
      <c r="IN52" s="4"/>
      <c r="IO52" s="8"/>
      <c r="IP52" s="5" t="str">
        <f t="shared" si="97"/>
        <v>NO APLICA</v>
      </c>
      <c r="IQ52" s="2"/>
      <c r="IR52" s="6"/>
      <c r="IS52" s="4"/>
      <c r="IT52" s="8"/>
      <c r="IU52" s="5" t="str">
        <f t="shared" si="98"/>
        <v>NO APLICA</v>
      </c>
      <c r="IV52" s="2"/>
      <c r="IW52" s="6"/>
      <c r="IX52" s="4"/>
      <c r="IY52" s="8"/>
      <c r="IZ52" s="5" t="str">
        <f t="shared" si="99"/>
        <v>NO APLICA</v>
      </c>
      <c r="JA52" s="3"/>
      <c r="JB52" s="3"/>
      <c r="JC52" s="4"/>
      <c r="JD52" s="8"/>
      <c r="JE52" s="5" t="str">
        <f t="shared" si="100"/>
        <v>NO APLICA</v>
      </c>
      <c r="JF52" s="6"/>
      <c r="JG52" s="6"/>
      <c r="JH52" s="6"/>
      <c r="JI52" s="6"/>
      <c r="JJ52" s="5" t="str">
        <f t="shared" si="101"/>
        <v>NO APLICA</v>
      </c>
      <c r="JK52" s="6"/>
      <c r="JL52" s="6"/>
      <c r="JM52" s="6"/>
      <c r="JN52" s="6"/>
      <c r="JO52" s="5" t="str">
        <f t="shared" si="102"/>
        <v>NO APLICA</v>
      </c>
      <c r="JP52" s="6"/>
      <c r="JQ52" s="6"/>
      <c r="JR52" s="6"/>
      <c r="JS52" s="6"/>
      <c r="JT52" s="5" t="str">
        <f t="shared" si="103"/>
        <v>NO APLICA</v>
      </c>
      <c r="JU52" s="5"/>
      <c r="JV52" s="5"/>
      <c r="JW52" s="5"/>
      <c r="JX52" s="5"/>
      <c r="JY52" s="5" t="str">
        <f t="shared" si="104"/>
        <v>NO APLICA</v>
      </c>
      <c r="JZ52" s="5"/>
      <c r="KA52" s="2"/>
      <c r="KB52" s="4"/>
      <c r="KC52" s="8"/>
      <c r="KD52" s="5" t="str">
        <f t="shared" si="105"/>
        <v>NO APLICA</v>
      </c>
      <c r="KE52" s="5"/>
      <c r="KF52" s="2"/>
      <c r="KG52" s="4"/>
      <c r="KH52" s="8"/>
      <c r="KI52" s="5" t="str">
        <f t="shared" si="141"/>
        <v>NO APLICA</v>
      </c>
      <c r="KJ52" s="5"/>
      <c r="KK52" s="2"/>
      <c r="KL52" s="4"/>
      <c r="KM52" s="8"/>
      <c r="KN52" s="5" t="str">
        <f t="shared" si="106"/>
        <v>NO APLICA</v>
      </c>
      <c r="KO52" s="5"/>
      <c r="KP52" s="2"/>
      <c r="KQ52" s="4"/>
      <c r="KR52" s="8"/>
      <c r="KS52" s="5" t="str">
        <f t="shared" si="142"/>
        <v>NO APLICA</v>
      </c>
      <c r="KT52" s="2"/>
      <c r="KU52" s="6"/>
      <c r="KV52" s="4"/>
      <c r="KW52" s="8"/>
      <c r="KX52" s="5" t="str">
        <f t="shared" si="156"/>
        <v>NO APLICA</v>
      </c>
      <c r="KY52" s="5"/>
      <c r="KZ52" s="6"/>
      <c r="LA52" s="4"/>
      <c r="LB52" s="8"/>
      <c r="LC52" s="5" t="str">
        <f t="shared" si="143"/>
        <v>NO APLICA</v>
      </c>
      <c r="LD52" s="6"/>
      <c r="LE52" s="6"/>
      <c r="LF52" s="4"/>
      <c r="LG52" s="8"/>
      <c r="LH52" s="5" t="str">
        <f t="shared" si="107"/>
        <v>NO APLICA</v>
      </c>
      <c r="LI52" s="5"/>
      <c r="LJ52" s="5"/>
      <c r="LK52" s="4"/>
      <c r="LL52" s="8"/>
      <c r="LM52" s="5" t="str">
        <f t="shared" si="157"/>
        <v>NO APLICA</v>
      </c>
      <c r="LN52" s="2"/>
      <c r="LO52" s="6"/>
      <c r="LP52" s="4"/>
      <c r="LQ52" s="8"/>
      <c r="LR52" s="5" t="str">
        <f t="shared" si="144"/>
        <v>NO APLICA</v>
      </c>
      <c r="LS52" s="6"/>
      <c r="LT52" s="6"/>
      <c r="LU52" s="4"/>
      <c r="LV52" s="8"/>
      <c r="LW52" s="5" t="str">
        <f t="shared" si="145"/>
        <v>NO APLICA</v>
      </c>
      <c r="LX52" s="6"/>
      <c r="LY52" s="6"/>
      <c r="LZ52" s="4"/>
      <c r="MA52" s="8"/>
      <c r="MB52" s="5" t="str">
        <f t="shared" si="146"/>
        <v>NO APLICA</v>
      </c>
      <c r="MC52" s="2"/>
      <c r="MD52" s="2"/>
      <c r="ME52" s="4"/>
      <c r="MF52" s="8"/>
      <c r="MG52" s="5" t="str">
        <f t="shared" si="108"/>
        <v>NO APLICA</v>
      </c>
      <c r="MH52" s="2"/>
      <c r="MI52" s="2"/>
      <c r="MJ52" s="4"/>
      <c r="MK52" s="8"/>
      <c r="ML52" s="5" t="str">
        <f t="shared" si="109"/>
        <v>NO APLICA</v>
      </c>
      <c r="MM52" s="5"/>
      <c r="MN52" s="2"/>
      <c r="MO52" s="4"/>
      <c r="MP52" s="8"/>
      <c r="MQ52" s="5" t="str">
        <f t="shared" si="110"/>
        <v>NO APLICA</v>
      </c>
      <c r="MR52" s="5"/>
      <c r="MS52" s="2"/>
      <c r="MT52" s="4"/>
      <c r="MU52" s="2"/>
      <c r="MV52" s="5" t="str">
        <f t="shared" si="111"/>
        <v>NO APLICA</v>
      </c>
      <c r="MW52" s="2"/>
      <c r="MX52" s="6"/>
      <c r="MY52" s="4"/>
      <c r="MZ52" s="8"/>
      <c r="NA52" s="5" t="str">
        <f t="shared" si="112"/>
        <v>NO APLICA</v>
      </c>
      <c r="NB52" s="2"/>
      <c r="NC52" s="6"/>
      <c r="ND52" s="4"/>
      <c r="NE52" s="8"/>
      <c r="NF52" s="5" t="str">
        <f t="shared" si="113"/>
        <v>NO APLICA</v>
      </c>
      <c r="NG52" s="2"/>
      <c r="NH52" s="6"/>
      <c r="NI52" s="4"/>
      <c r="NJ52" s="8"/>
      <c r="NK52" s="5" t="str">
        <f t="shared" si="114"/>
        <v>NO APLICA</v>
      </c>
      <c r="NL52" s="2"/>
      <c r="NM52" s="2"/>
      <c r="NN52" s="4"/>
      <c r="NO52" s="8"/>
      <c r="NP52" s="5" t="str">
        <f t="shared" si="115"/>
        <v>NO APLICA</v>
      </c>
      <c r="NQ52" s="2"/>
      <c r="NR52" s="2"/>
      <c r="NS52" s="4"/>
      <c r="NT52" s="2"/>
      <c r="NU52" s="5" t="str">
        <f t="shared" si="116"/>
        <v>NO APLICA</v>
      </c>
      <c r="NV52" s="6"/>
      <c r="NW52" s="6"/>
      <c r="NX52" s="4"/>
      <c r="NY52" s="8"/>
      <c r="NZ52" s="5" t="str">
        <f t="shared" si="117"/>
        <v>NO APLICA</v>
      </c>
      <c r="OA52" s="6"/>
      <c r="OB52" s="6"/>
      <c r="OC52" s="6"/>
      <c r="OD52" s="6"/>
      <c r="OE52" s="5" t="str">
        <f t="shared" si="118"/>
        <v>NO APLICA</v>
      </c>
      <c r="OF52" s="2"/>
      <c r="OG52" s="2"/>
      <c r="OH52" s="4"/>
      <c r="OI52" s="8"/>
      <c r="OJ52" s="5" t="str">
        <f t="shared" si="119"/>
        <v>NO APLICA</v>
      </c>
      <c r="OK52" s="6"/>
      <c r="OL52" s="6"/>
      <c r="OM52" s="6"/>
      <c r="ON52" s="6"/>
      <c r="OO52" s="5" t="str">
        <f t="shared" si="120"/>
        <v>NO APLICA</v>
      </c>
      <c r="OP52" s="6"/>
      <c r="OQ52" s="6"/>
      <c r="OR52" s="6"/>
      <c r="OS52" s="6"/>
      <c r="OT52" s="5" t="str">
        <f t="shared" si="121"/>
        <v>NO APLICA</v>
      </c>
      <c r="OU52" s="6"/>
      <c r="OV52" s="6"/>
      <c r="OW52" s="6"/>
      <c r="OX52" s="6"/>
      <c r="OY52" s="5" t="str">
        <f t="shared" si="122"/>
        <v>NO APLICA</v>
      </c>
      <c r="OZ52" s="6"/>
      <c r="PA52" s="6"/>
      <c r="PB52" s="6"/>
      <c r="PC52" s="6"/>
      <c r="PD52" s="5" t="str">
        <f t="shared" si="123"/>
        <v>NO APLICA</v>
      </c>
      <c r="PE52" s="6"/>
      <c r="PF52" s="6"/>
      <c r="PG52" s="6"/>
      <c r="PH52" s="6"/>
      <c r="PI52" s="5" t="str">
        <f t="shared" si="124"/>
        <v>NO APLICA</v>
      </c>
      <c r="PJ52" s="5"/>
      <c r="PK52" s="6"/>
      <c r="PL52" s="4"/>
      <c r="PM52" s="8"/>
      <c r="PN52" s="5" t="str">
        <f t="shared" si="125"/>
        <v>NO APLICA</v>
      </c>
      <c r="PO52" s="6"/>
      <c r="PP52" s="6"/>
      <c r="PQ52" s="6"/>
      <c r="PR52" s="6"/>
      <c r="PS52" s="5" t="str">
        <f t="shared" si="126"/>
        <v>NO APLICA</v>
      </c>
      <c r="PT52" s="5"/>
      <c r="PU52" s="6"/>
      <c r="PV52" s="6"/>
      <c r="PW52" s="6"/>
      <c r="PX52" s="5" t="str">
        <f t="shared" si="127"/>
        <v>NO APLICA</v>
      </c>
    </row>
    <row r="53" spans="1:440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656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226</v>
      </c>
      <c r="V53" s="4">
        <v>45426</v>
      </c>
      <c r="W53" s="4">
        <f t="shared" si="2"/>
        <v>47252</v>
      </c>
      <c r="X53" s="8">
        <f t="shared" ca="1" si="3"/>
        <v>1118</v>
      </c>
      <c r="Y53" s="5" t="str">
        <f t="shared" ca="1" si="4"/>
        <v>VIGENTE</v>
      </c>
      <c r="Z53" s="2"/>
      <c r="AA53" s="6"/>
      <c r="AB53" s="4"/>
      <c r="AC53" s="8"/>
      <c r="AD53" s="5" t="str">
        <f t="shared" si="7"/>
        <v>NO APLICA</v>
      </c>
      <c r="AE53" s="3"/>
      <c r="AF53" s="4">
        <v>45902</v>
      </c>
      <c r="AG53" s="4">
        <f>DATE(YEAR(AF53)+2,MONTH(AF53),DAY(AF53))</f>
        <v>46632</v>
      </c>
      <c r="AH53" s="8">
        <f t="shared" ca="1" si="8"/>
        <v>498</v>
      </c>
      <c r="AI53" s="5" t="str">
        <f t="shared" ca="1" si="224"/>
        <v>VIGENTE</v>
      </c>
      <c r="AJ53" s="3"/>
      <c r="AK53" s="4">
        <v>45937</v>
      </c>
      <c r="AL53" s="4">
        <f>DATE(YEAR(AK53)+2,MONTH(AK53),DAY(AK53))</f>
        <v>46667</v>
      </c>
      <c r="AM53" s="8">
        <f t="shared" ca="1" si="10"/>
        <v>533</v>
      </c>
      <c r="AN53" s="5" t="str">
        <f t="shared" ca="1" si="11"/>
        <v>VIGENTE</v>
      </c>
      <c r="AO53" s="3"/>
      <c r="AP53" s="4">
        <v>45904</v>
      </c>
      <c r="AQ53" s="4">
        <f>DATE(YEAR(AP53)+2,MONTH(AP53),DAY(AP53))</f>
        <v>46634</v>
      </c>
      <c r="AR53" s="8">
        <f t="shared" ca="1" si="12"/>
        <v>500</v>
      </c>
      <c r="AS53" s="5" t="str">
        <f t="shared" ca="1" si="13"/>
        <v>VIGENTE</v>
      </c>
      <c r="AT53" s="3"/>
      <c r="AU53" s="4">
        <v>45975</v>
      </c>
      <c r="AV53" s="4">
        <f>DATE(YEAR(AU53)+2,MONTH(AU53),DAY(AU53))</f>
        <v>46705</v>
      </c>
      <c r="AW53" s="8">
        <f t="shared" ca="1" si="15"/>
        <v>571</v>
      </c>
      <c r="AX53" s="5" t="str">
        <f t="shared" ca="1" si="16"/>
        <v>VIGENTE</v>
      </c>
      <c r="AY53" s="3"/>
      <c r="AZ53" s="4">
        <v>45742</v>
      </c>
      <c r="BA53" s="4">
        <f>DATE(YEAR(AZ53)+2,MONTH(AZ53),DAY(AZ53)-1)</f>
        <v>46471</v>
      </c>
      <c r="BB53" s="8">
        <f t="shared" ca="1" si="17"/>
        <v>337</v>
      </c>
      <c r="BC53" s="5" t="str">
        <f t="shared" ca="1" si="18"/>
        <v>VIGENTE</v>
      </c>
      <c r="BD53" s="3"/>
      <c r="BE53" s="4">
        <v>45698</v>
      </c>
      <c r="BF53" s="4">
        <f>DATE(YEAR(BE53)+2,MONTH(BE53),DAY(BE53)-1)</f>
        <v>46427</v>
      </c>
      <c r="BG53" s="8">
        <f t="shared" ca="1" si="19"/>
        <v>293</v>
      </c>
      <c r="BH53" s="5" t="str">
        <f t="shared" ca="1" si="20"/>
        <v>VIGENTE</v>
      </c>
      <c r="BI53" s="3"/>
      <c r="BJ53" s="4">
        <v>45570</v>
      </c>
      <c r="BK53" s="4">
        <f>DATE(YEAR(BJ53)+2,MONTH(BJ53),DAY(BJ53)-1)</f>
        <v>46299</v>
      </c>
      <c r="BL53" s="8">
        <f t="shared" ca="1" si="21"/>
        <v>165</v>
      </c>
      <c r="BM53" s="5" t="str">
        <f t="shared" ca="1" si="22"/>
        <v>VIGENTE</v>
      </c>
      <c r="BN53" s="3"/>
      <c r="BO53" s="4">
        <v>45621</v>
      </c>
      <c r="BP53" s="4">
        <f>DATE(YEAR(BO53)+2,MONTH(BO53),DAY(BO53)-1)</f>
        <v>46350</v>
      </c>
      <c r="BQ53" s="8">
        <f t="shared" ca="1" si="23"/>
        <v>216</v>
      </c>
      <c r="BR53" s="5" t="str">
        <f t="shared" ca="1" si="24"/>
        <v>VIGENTE</v>
      </c>
      <c r="BS53" s="3"/>
      <c r="BT53" s="4">
        <v>45572</v>
      </c>
      <c r="BU53" s="4">
        <f>DATE(YEAR(BT53)+2,MONTH(BT53),DAY(BT53)-1)</f>
        <v>46301</v>
      </c>
      <c r="BV53" s="8">
        <f t="shared" ca="1" si="25"/>
        <v>167</v>
      </c>
      <c r="BW53" s="5" t="str">
        <f t="shared" ca="1" si="26"/>
        <v>VIGENTE</v>
      </c>
      <c r="BX53" s="3"/>
      <c r="BY53" s="4">
        <v>45944</v>
      </c>
      <c r="BZ53" s="4">
        <f>DATE(YEAR(BY53)+2,MONTH(BY53),DAY(BY53))</f>
        <v>46674</v>
      </c>
      <c r="CA53" s="8">
        <f t="shared" ca="1" si="27"/>
        <v>540</v>
      </c>
      <c r="CB53" s="5" t="str">
        <f t="shared" ca="1" si="28"/>
        <v>VIGENTE</v>
      </c>
      <c r="CC53" s="6" t="s">
        <v>73</v>
      </c>
      <c r="CD53" s="4">
        <v>45616</v>
      </c>
      <c r="CE53" s="4">
        <f t="shared" si="29"/>
        <v>47077</v>
      </c>
      <c r="CF53" s="8">
        <f t="shared" ca="1" si="30"/>
        <v>943</v>
      </c>
      <c r="CG53" s="5" t="str">
        <f t="shared" ca="1" si="31"/>
        <v>VIGENTE</v>
      </c>
      <c r="CH53" s="4"/>
      <c r="CI53" s="4">
        <v>45688</v>
      </c>
      <c r="CJ53" s="4">
        <f t="shared" si="230"/>
        <v>46417</v>
      </c>
      <c r="CK53" s="8">
        <f t="shared" ca="1" si="32"/>
        <v>283</v>
      </c>
      <c r="CL53" s="5" t="str">
        <f t="shared" ca="1" si="33"/>
        <v>VIGENTE</v>
      </c>
      <c r="CM53" s="3"/>
      <c r="CN53" s="4">
        <v>45684</v>
      </c>
      <c r="CO53" s="4">
        <f>DATE(YEAR(CN53)+2,MONTH(CN53),DAY(CN53)-1)</f>
        <v>46413</v>
      </c>
      <c r="CP53" s="8">
        <f t="shared" ca="1" si="34"/>
        <v>279</v>
      </c>
      <c r="CQ53" s="5" t="str">
        <f t="shared" ca="1" si="35"/>
        <v>VIGENTE</v>
      </c>
      <c r="CR53" s="3"/>
      <c r="CS53" s="4">
        <v>45965</v>
      </c>
      <c r="CT53" s="4">
        <f>DATE(YEAR(CS53)+2,MONTH(CS53),DAY(CS53))</f>
        <v>46695</v>
      </c>
      <c r="CU53" s="8">
        <f t="shared" ca="1" si="36"/>
        <v>561</v>
      </c>
      <c r="CV53" s="5" t="str">
        <f t="shared" ca="1" si="37"/>
        <v>VIGENTE</v>
      </c>
      <c r="CW53" s="3"/>
      <c r="CX53" s="4">
        <v>46000</v>
      </c>
      <c r="CY53" s="4">
        <f>DATE(YEAR(CX53)+2,MONTH(CX53),DAY(CX53))</f>
        <v>46730</v>
      </c>
      <c r="CZ53" s="8">
        <f t="shared" ca="1" si="38"/>
        <v>596</v>
      </c>
      <c r="DA53" s="5" t="str">
        <f t="shared" ca="1" si="39"/>
        <v>VIGENTE</v>
      </c>
      <c r="DB53" s="3"/>
      <c r="DC53" s="4">
        <v>45689</v>
      </c>
      <c r="DD53" s="4">
        <f t="shared" si="231"/>
        <v>46418</v>
      </c>
      <c r="DE53" s="8">
        <f t="shared" ca="1" si="40"/>
        <v>284</v>
      </c>
      <c r="DF53" s="5" t="str">
        <f t="shared" ca="1" si="41"/>
        <v>VIGENTE</v>
      </c>
      <c r="DG53" s="3"/>
      <c r="DH53" s="4">
        <v>45899</v>
      </c>
      <c r="DI53" s="4">
        <f t="shared" si="229"/>
        <v>46629</v>
      </c>
      <c r="DJ53" s="8">
        <f t="shared" ca="1" si="43"/>
        <v>495</v>
      </c>
      <c r="DK53" s="5" t="str">
        <f t="shared" ca="1" si="44"/>
        <v>VIGENTE</v>
      </c>
      <c r="DL53" s="3"/>
      <c r="DM53" s="4">
        <v>46088</v>
      </c>
      <c r="DN53" s="4">
        <f>DATE(YEAR(DM53)+2,MONTH(DM53),DAY(DM53))</f>
        <v>46819</v>
      </c>
      <c r="DO53" s="8">
        <f t="shared" ca="1" si="46"/>
        <v>685</v>
      </c>
      <c r="DP53" s="5" t="str">
        <f t="shared" ca="1" si="47"/>
        <v>VIGENTE</v>
      </c>
      <c r="DQ53" s="3"/>
      <c r="DR53" s="4">
        <v>45685</v>
      </c>
      <c r="DS53" s="4">
        <f>DATE(YEAR(DR53)+2,MONTH(DR53),DAY(DR53)-1)</f>
        <v>46414</v>
      </c>
      <c r="DT53" s="8">
        <f t="shared" ca="1" si="48"/>
        <v>280</v>
      </c>
      <c r="DU53" s="5" t="str">
        <f t="shared" ca="1" si="49"/>
        <v>VIGENTE</v>
      </c>
      <c r="DV53" s="3"/>
      <c r="DW53" s="4">
        <v>45682</v>
      </c>
      <c r="DX53" s="4">
        <f>DATE(YEAR(DW53)+2,MONTH(DW53),DAY(DW53)-1)</f>
        <v>46411</v>
      </c>
      <c r="DY53" s="8">
        <f t="shared" ca="1" si="50"/>
        <v>277</v>
      </c>
      <c r="DZ53" s="5" t="str">
        <f t="shared" ca="1" si="51"/>
        <v>VIGENTE</v>
      </c>
      <c r="EA53" s="3"/>
      <c r="EB53" s="4">
        <v>45674</v>
      </c>
      <c r="EC53" s="4">
        <f>DATE(YEAR(EB53)+2,MONTH(EB53),DAY(EB53)-1)</f>
        <v>46403</v>
      </c>
      <c r="ED53" s="8">
        <f t="shared" ca="1" si="52"/>
        <v>269</v>
      </c>
      <c r="EE53" s="5" t="str">
        <f t="shared" ca="1" si="53"/>
        <v>VIGENTE</v>
      </c>
      <c r="EF53" s="3"/>
      <c r="EG53" s="3">
        <v>46107</v>
      </c>
      <c r="EH53" s="4">
        <f t="shared" si="137"/>
        <v>46472</v>
      </c>
      <c r="EI53" s="8">
        <f t="shared" ca="1" si="54"/>
        <v>338</v>
      </c>
      <c r="EJ53" s="5" t="str">
        <f t="shared" ca="1" si="55"/>
        <v>VIGENTE</v>
      </c>
      <c r="EK53" s="3"/>
      <c r="EL53" s="4">
        <v>45705</v>
      </c>
      <c r="EM53" s="4">
        <f>DATE(YEAR(EL53)+2,MONTH(EL53),DAY(EL53)-1)</f>
        <v>46434</v>
      </c>
      <c r="EN53" s="8">
        <f t="shared" ca="1" si="56"/>
        <v>300</v>
      </c>
      <c r="EO53" s="5" t="str">
        <f t="shared" ca="1" si="57"/>
        <v>VIGENTE</v>
      </c>
      <c r="EP53" s="3"/>
      <c r="EQ53" s="4">
        <v>45677</v>
      </c>
      <c r="ER53" s="4">
        <f>DATE(YEAR(EQ53)+2,MONTH(EQ53),DAY(EQ53)-1)</f>
        <v>46406</v>
      </c>
      <c r="ES53" s="8">
        <f t="shared" ca="1" si="58"/>
        <v>272</v>
      </c>
      <c r="ET53" s="5" t="str">
        <f t="shared" ca="1" si="59"/>
        <v>VIGENTE</v>
      </c>
      <c r="EU53" s="3"/>
      <c r="EV53" s="4">
        <v>46010</v>
      </c>
      <c r="EW53" s="4">
        <f>DATE(YEAR(EV53)+2,MONTH(EV53),DAY(EV53))</f>
        <v>46740</v>
      </c>
      <c r="EX53" s="8">
        <f t="shared" ca="1" si="60"/>
        <v>606</v>
      </c>
      <c r="EY53" s="5" t="str">
        <f t="shared" ca="1" si="61"/>
        <v>VIGENTE</v>
      </c>
      <c r="EZ53" s="3"/>
      <c r="FA53" s="4">
        <v>45931</v>
      </c>
      <c r="FB53" s="4">
        <f>DATE(YEAR(FA53)+2,MONTH(FA53),DAY(FA53))</f>
        <v>46661</v>
      </c>
      <c r="FC53" s="8">
        <f t="shared" ca="1" si="62"/>
        <v>527</v>
      </c>
      <c r="FD53" s="5" t="str">
        <f t="shared" ca="1" si="63"/>
        <v>VIGENTE</v>
      </c>
      <c r="FE53" s="3"/>
      <c r="FF53" s="4">
        <v>45919</v>
      </c>
      <c r="FG53" s="4">
        <f>DATE(YEAR(FF53)+2,MONTH(FF53),DAY(FF53))</f>
        <v>46649</v>
      </c>
      <c r="FH53" s="8">
        <f t="shared" ca="1" si="64"/>
        <v>515</v>
      </c>
      <c r="FI53" s="5" t="str">
        <f t="shared" ca="1" si="65"/>
        <v>VIGENTE</v>
      </c>
      <c r="FJ53" s="3"/>
      <c r="FK53" s="4">
        <v>45576</v>
      </c>
      <c r="FL53" s="4">
        <f>DATE(YEAR(FK53)+2,MONTH(FK53),DAY(FK53)-1)</f>
        <v>46305</v>
      </c>
      <c r="FM53" s="8">
        <f t="shared" ca="1" si="67"/>
        <v>171</v>
      </c>
      <c r="FN53" s="5" t="str">
        <f t="shared" ca="1" si="68"/>
        <v>VIGENTE</v>
      </c>
      <c r="FO53" s="3"/>
      <c r="FP53" s="4">
        <v>45747</v>
      </c>
      <c r="FQ53" s="4">
        <f>DATE(YEAR(FP53)+2,MONTH(FP53),DAY(FP53)-1)</f>
        <v>46476</v>
      </c>
      <c r="FR53" s="8">
        <f t="shared" ca="1" si="69"/>
        <v>342</v>
      </c>
      <c r="FS53" s="5" t="str">
        <f t="shared" ca="1" si="70"/>
        <v>VIGENTE</v>
      </c>
      <c r="FT53" s="3"/>
      <c r="FU53" s="4">
        <v>45941</v>
      </c>
      <c r="FV53" s="4">
        <f>DATE(YEAR(FU53)+2,MONTH(FU53),DAY(FU53))</f>
        <v>46671</v>
      </c>
      <c r="FW53" s="8">
        <f t="shared" ca="1" si="71"/>
        <v>537</v>
      </c>
      <c r="FX53" s="5" t="str">
        <f t="shared" ca="1" si="72"/>
        <v>VIGENTE</v>
      </c>
      <c r="FY53" s="3"/>
      <c r="FZ53" s="4">
        <v>45667</v>
      </c>
      <c r="GA53" s="4">
        <f>DATE(YEAR(FZ53)+2,MONTH(FZ53),DAY(FZ53)-1)</f>
        <v>46396</v>
      </c>
      <c r="GB53" s="8">
        <f t="shared" ca="1" si="73"/>
        <v>262</v>
      </c>
      <c r="GC53" s="5" t="str">
        <f t="shared" ca="1" si="74"/>
        <v>VIGENTE</v>
      </c>
      <c r="GD53" s="3"/>
      <c r="GE53" s="4">
        <v>45731</v>
      </c>
      <c r="GF53" s="4">
        <f>DATE(YEAR(GE53)+2,MONTH(GE53),DAY(GE53)-1)</f>
        <v>46460</v>
      </c>
      <c r="GG53" s="8">
        <f t="shared" ca="1" si="75"/>
        <v>326</v>
      </c>
      <c r="GH53" s="5" t="str">
        <f t="shared" ca="1" si="76"/>
        <v>VIGENTE</v>
      </c>
      <c r="GI53" s="3"/>
      <c r="GJ53" s="4">
        <v>45687</v>
      </c>
      <c r="GK53" s="4">
        <f>DATE(YEAR(GJ53)+2,MONTH(GJ53),DAY(GJ53)-1)</f>
        <v>46416</v>
      </c>
      <c r="GL53" s="8">
        <f t="shared" ca="1" si="77"/>
        <v>282</v>
      </c>
      <c r="GM53" s="5" t="str">
        <f t="shared" ca="1" si="78"/>
        <v>VIGENTE</v>
      </c>
      <c r="GN53" s="4"/>
      <c r="GO53" s="4">
        <v>45072</v>
      </c>
      <c r="GP53" s="4">
        <f t="shared" si="79"/>
        <v>46899</v>
      </c>
      <c r="GQ53" s="8">
        <f t="shared" ca="1" si="181"/>
        <v>765</v>
      </c>
      <c r="GR53" s="5" t="str">
        <f t="shared" ca="1" si="81"/>
        <v>VIGENTE</v>
      </c>
      <c r="GS53" s="3"/>
      <c r="GT53" s="4">
        <v>45006</v>
      </c>
      <c r="GU53" s="4">
        <f t="shared" si="82"/>
        <v>46833</v>
      </c>
      <c r="GV53" s="8">
        <f t="shared" ca="1" si="83"/>
        <v>699</v>
      </c>
      <c r="GW53" s="5" t="str">
        <f t="shared" ca="1" si="84"/>
        <v>VIGENTE</v>
      </c>
      <c r="GX53" s="2"/>
      <c r="GY53" s="4">
        <v>45003</v>
      </c>
      <c r="GZ53" s="4">
        <f t="shared" si="85"/>
        <v>46830</v>
      </c>
      <c r="HA53" s="8">
        <f t="shared" ca="1" si="86"/>
        <v>696</v>
      </c>
      <c r="HB53" s="5" t="str">
        <f t="shared" ca="1" si="87"/>
        <v>VIGENTE</v>
      </c>
      <c r="HC53" s="6"/>
      <c r="HD53" s="6"/>
      <c r="HE53" s="4"/>
      <c r="HF53" s="8"/>
      <c r="HG53" s="5" t="str">
        <f t="shared" si="228"/>
        <v>NO APLICA</v>
      </c>
      <c r="HH53" s="2"/>
      <c r="HI53" s="6"/>
      <c r="HJ53" s="4"/>
      <c r="HK53" s="8"/>
      <c r="HL53" s="5" t="str">
        <f t="shared" si="232"/>
        <v>NO APLICA</v>
      </c>
      <c r="HM53" s="2"/>
      <c r="HN53" s="2"/>
      <c r="HO53" s="4"/>
      <c r="HP53" s="2"/>
      <c r="HQ53" s="5" t="str">
        <f t="shared" si="92"/>
        <v>NO APLICA</v>
      </c>
      <c r="HR53" s="2"/>
      <c r="HS53" s="6"/>
      <c r="HT53" s="4"/>
      <c r="HU53" s="8"/>
      <c r="HV53" s="5" t="str">
        <f t="shared" si="93"/>
        <v>NO APLICA</v>
      </c>
      <c r="HW53" s="2"/>
      <c r="HX53" s="6"/>
      <c r="HY53" s="4"/>
      <c r="HZ53" s="8"/>
      <c r="IA53" s="5" t="str">
        <f t="shared" si="94"/>
        <v>NO APLICA</v>
      </c>
      <c r="IB53" s="2"/>
      <c r="IC53" s="6"/>
      <c r="ID53" s="4"/>
      <c r="IE53" s="8"/>
      <c r="IF53" s="5" t="str">
        <f t="shared" si="95"/>
        <v>NO APLICA</v>
      </c>
      <c r="IG53" s="6"/>
      <c r="IH53" s="6"/>
      <c r="II53" s="4"/>
      <c r="IJ53" s="8"/>
      <c r="IK53" s="5" t="str">
        <f t="shared" si="96"/>
        <v>NO APLICA</v>
      </c>
      <c r="IL53" s="2"/>
      <c r="IM53" s="6"/>
      <c r="IN53" s="4"/>
      <c r="IO53" s="8"/>
      <c r="IP53" s="5" t="str">
        <f t="shared" si="97"/>
        <v>NO APLICA</v>
      </c>
      <c r="IQ53" s="2"/>
      <c r="IR53" s="6"/>
      <c r="IS53" s="4"/>
      <c r="IT53" s="8"/>
      <c r="IU53" s="5" t="str">
        <f t="shared" si="98"/>
        <v>NO APLICA</v>
      </c>
      <c r="IV53" s="2"/>
      <c r="IW53" s="6"/>
      <c r="IX53" s="4"/>
      <c r="IY53" s="8"/>
      <c r="IZ53" s="5" t="str">
        <f t="shared" si="99"/>
        <v>NO APLICA</v>
      </c>
      <c r="JA53" s="3"/>
      <c r="JB53" s="3"/>
      <c r="JC53" s="4"/>
      <c r="JD53" s="8"/>
      <c r="JE53" s="5" t="str">
        <f t="shared" si="100"/>
        <v>NO APLICA</v>
      </c>
      <c r="JF53" s="6"/>
      <c r="JG53" s="6"/>
      <c r="JH53" s="6"/>
      <c r="JI53" s="6"/>
      <c r="JJ53" s="5" t="str">
        <f t="shared" si="101"/>
        <v>NO APLICA</v>
      </c>
      <c r="JK53" s="6"/>
      <c r="JL53" s="6"/>
      <c r="JM53" s="6"/>
      <c r="JN53" s="6"/>
      <c r="JO53" s="5" t="str">
        <f t="shared" si="102"/>
        <v>NO APLICA</v>
      </c>
      <c r="JP53" s="6"/>
      <c r="JQ53" s="6"/>
      <c r="JR53" s="6"/>
      <c r="JS53" s="6"/>
      <c r="JT53" s="5" t="str">
        <f t="shared" si="103"/>
        <v>NO APLICA</v>
      </c>
      <c r="JU53" s="5"/>
      <c r="JV53" s="3"/>
      <c r="JW53" s="4"/>
      <c r="JX53" s="8"/>
      <c r="JY53" s="5" t="str">
        <f t="shared" si="104"/>
        <v>NO APLICA</v>
      </c>
      <c r="JZ53" s="5"/>
      <c r="KA53" s="2"/>
      <c r="KB53" s="4"/>
      <c r="KC53" s="8"/>
      <c r="KD53" s="5" t="str">
        <f t="shared" si="105"/>
        <v>NO APLICA</v>
      </c>
      <c r="KE53" s="5"/>
      <c r="KF53" s="2"/>
      <c r="KG53" s="4"/>
      <c r="KH53" s="8"/>
      <c r="KI53" s="5" t="str">
        <f t="shared" si="141"/>
        <v>NO APLICA</v>
      </c>
      <c r="KJ53" s="5"/>
      <c r="KK53" s="2"/>
      <c r="KL53" s="4"/>
      <c r="KM53" s="8"/>
      <c r="KN53" s="5" t="str">
        <f t="shared" si="106"/>
        <v>NO APLICA</v>
      </c>
      <c r="KO53" s="5"/>
      <c r="KP53" s="2"/>
      <c r="KQ53" s="4"/>
      <c r="KR53" s="8"/>
      <c r="KS53" s="5" t="str">
        <f t="shared" si="142"/>
        <v>NO APLICA</v>
      </c>
      <c r="KT53" s="2"/>
      <c r="KU53" s="6"/>
      <c r="KV53" s="4"/>
      <c r="KW53" s="8"/>
      <c r="KX53" s="5" t="str">
        <f t="shared" si="156"/>
        <v>NO APLICA</v>
      </c>
      <c r="KY53" s="5"/>
      <c r="KZ53" s="6"/>
      <c r="LA53" s="4"/>
      <c r="LB53" s="8"/>
      <c r="LC53" s="5" t="str">
        <f t="shared" si="143"/>
        <v>NO APLICA</v>
      </c>
      <c r="LD53" s="6"/>
      <c r="LE53" s="6"/>
      <c r="LF53" s="4"/>
      <c r="LG53" s="8"/>
      <c r="LH53" s="5" t="str">
        <f t="shared" si="107"/>
        <v>NO APLICA</v>
      </c>
      <c r="LI53" s="5"/>
      <c r="LJ53" s="5"/>
      <c r="LK53" s="5"/>
      <c r="LL53" s="5"/>
      <c r="LM53" s="5" t="str">
        <f t="shared" si="157"/>
        <v>NO APLICA</v>
      </c>
      <c r="LN53" s="2"/>
      <c r="LO53" s="6"/>
      <c r="LP53" s="4"/>
      <c r="LQ53" s="8"/>
      <c r="LR53" s="5" t="str">
        <f t="shared" si="144"/>
        <v>NO APLICA</v>
      </c>
      <c r="LS53" s="6"/>
      <c r="LT53" s="6"/>
      <c r="LU53" s="4"/>
      <c r="LV53" s="8"/>
      <c r="LW53" s="5" t="str">
        <f t="shared" si="145"/>
        <v>NO APLICA</v>
      </c>
      <c r="LX53" s="6"/>
      <c r="LY53" s="6"/>
      <c r="LZ53" s="4"/>
      <c r="MA53" s="8"/>
      <c r="MB53" s="5" t="str">
        <f t="shared" si="146"/>
        <v>NO APLICA</v>
      </c>
      <c r="MC53" s="2"/>
      <c r="MD53" s="2"/>
      <c r="ME53" s="4"/>
      <c r="MF53" s="8"/>
      <c r="MG53" s="5" t="str">
        <f t="shared" si="108"/>
        <v>NO APLICA</v>
      </c>
      <c r="MH53" s="2"/>
      <c r="MI53" s="2"/>
      <c r="MJ53" s="4"/>
      <c r="MK53" s="8"/>
      <c r="ML53" s="5" t="str">
        <f t="shared" si="109"/>
        <v>NO APLICA</v>
      </c>
      <c r="MM53" s="5"/>
      <c r="MN53" s="2"/>
      <c r="MO53" s="4"/>
      <c r="MP53" s="8"/>
      <c r="MQ53" s="5" t="str">
        <f t="shared" si="110"/>
        <v>NO APLICA</v>
      </c>
      <c r="MR53" s="5"/>
      <c r="MS53" s="2"/>
      <c r="MT53" s="4"/>
      <c r="MU53" s="2"/>
      <c r="MV53" s="5" t="str">
        <f t="shared" si="111"/>
        <v>NO APLICA</v>
      </c>
      <c r="MW53" s="2"/>
      <c r="MX53" s="6"/>
      <c r="MY53" s="4"/>
      <c r="MZ53" s="8"/>
      <c r="NA53" s="5" t="str">
        <f t="shared" si="112"/>
        <v>NO APLICA</v>
      </c>
      <c r="NB53" s="2"/>
      <c r="NC53" s="6"/>
      <c r="ND53" s="4"/>
      <c r="NE53" s="8"/>
      <c r="NF53" s="5" t="str">
        <f t="shared" si="113"/>
        <v>NO APLICA</v>
      </c>
      <c r="NG53" s="2"/>
      <c r="NH53" s="6"/>
      <c r="NI53" s="4"/>
      <c r="NJ53" s="8"/>
      <c r="NK53" s="5" t="str">
        <f t="shared" si="114"/>
        <v>NO APLICA</v>
      </c>
      <c r="NL53" s="2"/>
      <c r="NM53" s="2"/>
      <c r="NN53" s="4"/>
      <c r="NO53" s="2"/>
      <c r="NP53" s="5" t="str">
        <f t="shared" si="115"/>
        <v>NO APLICA</v>
      </c>
      <c r="NQ53" s="2"/>
      <c r="NR53" s="2"/>
      <c r="NS53" s="2"/>
      <c r="NT53" s="2"/>
      <c r="NU53" s="5" t="str">
        <f t="shared" si="116"/>
        <v>NO APLICA</v>
      </c>
      <c r="NV53" s="6"/>
      <c r="NW53" s="6"/>
      <c r="NX53" s="4"/>
      <c r="NY53" s="8"/>
      <c r="NZ53" s="5" t="str">
        <f t="shared" si="117"/>
        <v>NO APLICA</v>
      </c>
      <c r="OA53" s="6"/>
      <c r="OB53" s="6"/>
      <c r="OC53" s="6"/>
      <c r="OD53" s="6"/>
      <c r="OE53" s="5" t="str">
        <f t="shared" si="118"/>
        <v>NO APLICA</v>
      </c>
      <c r="OF53" s="6"/>
      <c r="OG53" s="6"/>
      <c r="OH53" s="4"/>
      <c r="OI53" s="8"/>
      <c r="OJ53" s="5" t="str">
        <f t="shared" si="119"/>
        <v>NO APLICA</v>
      </c>
      <c r="OK53" s="6"/>
      <c r="OL53" s="6"/>
      <c r="OM53" s="6"/>
      <c r="ON53" s="6"/>
      <c r="OO53" s="5" t="str">
        <f t="shared" si="120"/>
        <v>NO APLICA</v>
      </c>
      <c r="OP53" s="6"/>
      <c r="OQ53" s="6"/>
      <c r="OR53" s="6"/>
      <c r="OS53" s="6"/>
      <c r="OT53" s="5" t="str">
        <f t="shared" si="121"/>
        <v>NO APLICA</v>
      </c>
      <c r="OU53" s="6"/>
      <c r="OV53" s="6"/>
      <c r="OW53" s="6"/>
      <c r="OX53" s="6"/>
      <c r="OY53" s="5" t="str">
        <f t="shared" si="122"/>
        <v>NO APLICA</v>
      </c>
      <c r="OZ53" s="6"/>
      <c r="PA53" s="6"/>
      <c r="PB53" s="6"/>
      <c r="PC53" s="6"/>
      <c r="PD53" s="5" t="str">
        <f t="shared" si="123"/>
        <v>NO APLICA</v>
      </c>
      <c r="PE53" s="6"/>
      <c r="PF53" s="6"/>
      <c r="PG53" s="6"/>
      <c r="PH53" s="6"/>
      <c r="PI53" s="5" t="str">
        <f t="shared" si="124"/>
        <v>NO APLICA</v>
      </c>
      <c r="PJ53" s="5"/>
      <c r="PK53" s="6"/>
      <c r="PL53" s="4"/>
      <c r="PM53" s="8"/>
      <c r="PN53" s="5" t="str">
        <f t="shared" si="125"/>
        <v>NO APLICA</v>
      </c>
      <c r="PO53" s="6"/>
      <c r="PP53" s="6"/>
      <c r="PQ53" s="6"/>
      <c r="PR53" s="6"/>
      <c r="PS53" s="5" t="str">
        <f t="shared" si="126"/>
        <v>NO APLICA</v>
      </c>
      <c r="PT53" s="5"/>
      <c r="PU53" s="6"/>
      <c r="PV53" s="6"/>
      <c r="PW53" s="6"/>
      <c r="PX53" s="5" t="str">
        <f t="shared" si="127"/>
        <v>NO APLICA</v>
      </c>
    </row>
    <row r="54" spans="1:440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228</v>
      </c>
      <c r="V54" s="4">
        <v>45854</v>
      </c>
      <c r="W54" s="4">
        <f t="shared" si="2"/>
        <v>47680</v>
      </c>
      <c r="X54" s="8">
        <f t="shared" ca="1" si="3"/>
        <v>1546</v>
      </c>
      <c r="Y54" s="5" t="str">
        <f t="shared" ca="1" si="4"/>
        <v>VIGENTE</v>
      </c>
      <c r="Z54" s="2" t="s">
        <v>229</v>
      </c>
      <c r="AA54" s="4">
        <v>44824</v>
      </c>
      <c r="AB54" s="4">
        <f>DATE(YEAR(AA54)+5,MONTH(AA54),DAY(AA54))</f>
        <v>46650</v>
      </c>
      <c r="AC54" s="8">
        <f ca="1">AB54-TODAY()</f>
        <v>516</v>
      </c>
      <c r="AD54" s="5" t="str">
        <f t="shared" ca="1" si="7"/>
        <v>VIGENTE</v>
      </c>
      <c r="AE54" s="3"/>
      <c r="AF54" s="4">
        <v>45589</v>
      </c>
      <c r="AG54" s="4">
        <f t="shared" ref="AG54:AG59" si="233">DATE(YEAR(AF54)+2,MONTH(AF54),DAY(AF54)-1)</f>
        <v>46318</v>
      </c>
      <c r="AH54" s="8">
        <f t="shared" ca="1" si="8"/>
        <v>184</v>
      </c>
      <c r="AI54" s="5" t="str">
        <f t="shared" ca="1" si="224"/>
        <v>VIGENTE</v>
      </c>
      <c r="AJ54" s="3"/>
      <c r="AK54" s="4">
        <v>45959</v>
      </c>
      <c r="AL54" s="4">
        <f>DATE(YEAR(AK54)+2,MONTH(AK54),DAY(AK54))</f>
        <v>46689</v>
      </c>
      <c r="AM54" s="8">
        <f t="shared" ca="1" si="10"/>
        <v>555</v>
      </c>
      <c r="AN54" s="5" t="str">
        <f t="shared" ca="1" si="11"/>
        <v>VIGENTE</v>
      </c>
      <c r="AO54" s="3"/>
      <c r="AP54" s="4">
        <v>45904</v>
      </c>
      <c r="AQ54" s="4">
        <f>DATE(YEAR(AP54)+2,MONTH(AP54),DAY(AP54))</f>
        <v>46634</v>
      </c>
      <c r="AR54" s="8">
        <f t="shared" ca="1" si="12"/>
        <v>500</v>
      </c>
      <c r="AS54" s="5" t="str">
        <f t="shared" ca="1" si="13"/>
        <v>VIGENTE</v>
      </c>
      <c r="AT54" s="3"/>
      <c r="AU54" s="4">
        <v>45952</v>
      </c>
      <c r="AV54" s="4">
        <f>DATE(YEAR(AU54)+2,MONTH(AU54),DAY(AU54))</f>
        <v>46682</v>
      </c>
      <c r="AW54" s="8">
        <f t="shared" ca="1" si="15"/>
        <v>548</v>
      </c>
      <c r="AX54" s="5" t="str">
        <f t="shared" ca="1" si="16"/>
        <v>VIGENTE</v>
      </c>
      <c r="AY54" s="3"/>
      <c r="AZ54" s="4">
        <v>46041</v>
      </c>
      <c r="BA54" s="4">
        <f>DATE(YEAR(AZ54)+2,MONTH(AZ54),DAY(AZ54))</f>
        <v>46771</v>
      </c>
      <c r="BB54" s="8">
        <f t="shared" ca="1" si="17"/>
        <v>637</v>
      </c>
      <c r="BC54" s="5" t="str">
        <f t="shared" ca="1" si="18"/>
        <v>VIGENTE</v>
      </c>
      <c r="BD54" s="3"/>
      <c r="BE54" s="4">
        <v>45457</v>
      </c>
      <c r="BF54" s="4">
        <f>DATE(YEAR(BE54)+2,MONTH(BE54),DAY(BE54)-1)</f>
        <v>46186</v>
      </c>
      <c r="BG54" s="8">
        <f t="shared" ca="1" si="19"/>
        <v>52</v>
      </c>
      <c r="BH54" s="5" t="str">
        <f t="shared" ca="1" si="20"/>
        <v>POR VENCER</v>
      </c>
      <c r="BI54" s="3"/>
      <c r="BJ54" s="4">
        <v>46035</v>
      </c>
      <c r="BK54" s="4">
        <f t="shared" ref="BK54:BK60" si="234">DATE(YEAR(BJ54)+2,MONTH(BJ54),DAY(BJ54))</f>
        <v>46765</v>
      </c>
      <c r="BL54" s="8">
        <f t="shared" ca="1" si="21"/>
        <v>631</v>
      </c>
      <c r="BM54" s="5" t="str">
        <f t="shared" ca="1" si="22"/>
        <v>VIGENTE</v>
      </c>
      <c r="BN54" s="3"/>
      <c r="BO54" s="4">
        <v>45981</v>
      </c>
      <c r="BP54" s="4">
        <f>DATE(YEAR(BO54)+2,MONTH(BO54),DAY(BO54))</f>
        <v>46711</v>
      </c>
      <c r="BQ54" s="8">
        <f t="shared" ca="1" si="23"/>
        <v>577</v>
      </c>
      <c r="BR54" s="5" t="str">
        <f t="shared" ca="1" si="24"/>
        <v>VIGENTE</v>
      </c>
      <c r="BS54" s="3"/>
      <c r="BT54" s="4">
        <v>45449</v>
      </c>
      <c r="BU54" s="4">
        <f>DATE(YEAR(BT54)+2,MONTH(BT54),DAY(BT54)-1)</f>
        <v>46178</v>
      </c>
      <c r="BV54" s="8">
        <f t="shared" ca="1" si="25"/>
        <v>44</v>
      </c>
      <c r="BW54" s="5" t="str">
        <f t="shared" ca="1" si="26"/>
        <v>POR VENCER</v>
      </c>
      <c r="BX54" s="3"/>
      <c r="BY54" s="4">
        <v>45954</v>
      </c>
      <c r="BZ54" s="4">
        <f>DATE(YEAR(BY54)+2,MONTH(BY54),DAY(BY54))</f>
        <v>46684</v>
      </c>
      <c r="CA54" s="8">
        <f t="shared" ca="1" si="27"/>
        <v>550</v>
      </c>
      <c r="CB54" s="5" t="str">
        <f t="shared" ca="1" si="28"/>
        <v>VIGENTE</v>
      </c>
      <c r="CC54" s="6" t="s">
        <v>73</v>
      </c>
      <c r="CD54" s="4">
        <v>45211</v>
      </c>
      <c r="CE54" s="4">
        <f t="shared" si="29"/>
        <v>46672</v>
      </c>
      <c r="CF54" s="8">
        <f t="shared" ca="1" si="30"/>
        <v>538</v>
      </c>
      <c r="CG54" s="5" t="str">
        <f t="shared" ca="1" si="31"/>
        <v>VIGENTE</v>
      </c>
      <c r="CH54" s="4"/>
      <c r="CI54" s="4">
        <v>45895</v>
      </c>
      <c r="CJ54" s="4">
        <f>DATE(YEAR(CI54)+2,MONTH(CI54),DAY(CI54))</f>
        <v>46625</v>
      </c>
      <c r="CK54" s="8">
        <f t="shared" ca="1" si="32"/>
        <v>491</v>
      </c>
      <c r="CL54" s="5" t="str">
        <f t="shared" ca="1" si="33"/>
        <v>VIGENTE</v>
      </c>
      <c r="CM54" s="3"/>
      <c r="CN54" s="4">
        <v>45898</v>
      </c>
      <c r="CO54" s="4">
        <f>DATE(YEAR(CN54)+2,MONTH(CN54),DAY(CN54))</f>
        <v>46628</v>
      </c>
      <c r="CP54" s="8">
        <f t="shared" ca="1" si="34"/>
        <v>494</v>
      </c>
      <c r="CQ54" s="5" t="str">
        <f t="shared" ca="1" si="35"/>
        <v>VIGENTE</v>
      </c>
      <c r="CR54" s="3"/>
      <c r="CS54" s="4">
        <v>45639</v>
      </c>
      <c r="CT54" s="4">
        <f>DATE(YEAR(CS54)+2,MONTH(CS54),DAY(CS54)-1)</f>
        <v>46368</v>
      </c>
      <c r="CU54" s="8">
        <f t="shared" ca="1" si="36"/>
        <v>234</v>
      </c>
      <c r="CV54" s="5" t="str">
        <f t="shared" ca="1" si="37"/>
        <v>VIGENTE</v>
      </c>
      <c r="CW54" s="3"/>
      <c r="CX54" s="4">
        <v>45646</v>
      </c>
      <c r="CY54" s="4">
        <f>DATE(YEAR(CX54)+2,MONTH(CX54),DAY(CX54)-1)</f>
        <v>46375</v>
      </c>
      <c r="CZ54" s="8">
        <f t="shared" ca="1" si="38"/>
        <v>241</v>
      </c>
      <c r="DA54" s="5" t="str">
        <f t="shared" ca="1" si="39"/>
        <v>VIGENTE</v>
      </c>
      <c r="DB54" s="3"/>
      <c r="DC54" s="4">
        <v>45689</v>
      </c>
      <c r="DD54" s="4">
        <f t="shared" si="231"/>
        <v>46418</v>
      </c>
      <c r="DE54" s="8">
        <f t="shared" ca="1" si="40"/>
        <v>284</v>
      </c>
      <c r="DF54" s="5" t="str">
        <f t="shared" ca="1" si="41"/>
        <v>VIGENTE</v>
      </c>
      <c r="DG54" s="3"/>
      <c r="DH54" s="4">
        <v>45975</v>
      </c>
      <c r="DI54" s="4">
        <f t="shared" si="229"/>
        <v>46705</v>
      </c>
      <c r="DJ54" s="8">
        <f t="shared" ca="1" si="43"/>
        <v>571</v>
      </c>
      <c r="DK54" s="5" t="str">
        <f t="shared" ca="1" si="44"/>
        <v>VIGENTE</v>
      </c>
      <c r="DL54" s="3"/>
      <c r="DM54" s="4">
        <v>45731</v>
      </c>
      <c r="DN54" s="4">
        <f>DATE(YEAR(DM54)+2,MONTH(DM54),DAY(DM54)-1)</f>
        <v>46460</v>
      </c>
      <c r="DO54" s="8">
        <f t="shared" ca="1" si="46"/>
        <v>326</v>
      </c>
      <c r="DP54" s="5" t="str">
        <f t="shared" ca="1" si="47"/>
        <v>VIGENTE</v>
      </c>
      <c r="DQ54" s="3"/>
      <c r="DR54" s="4">
        <v>46053</v>
      </c>
      <c r="DS54" s="4">
        <f>DATE(YEAR(DR54)+2,MONTH(DR54),DAY(DR54))</f>
        <v>46783</v>
      </c>
      <c r="DT54" s="8">
        <f t="shared" ca="1" si="48"/>
        <v>649</v>
      </c>
      <c r="DU54" s="5" t="str">
        <f t="shared" ca="1" si="49"/>
        <v>VIGENTE</v>
      </c>
      <c r="DV54" s="3"/>
      <c r="DW54" s="4">
        <v>46032</v>
      </c>
      <c r="DX54" s="4">
        <f>DATE(YEAR(DW54)+2,MONTH(DW54),DAY(DW54))</f>
        <v>46762</v>
      </c>
      <c r="DY54" s="8">
        <f t="shared" ca="1" si="50"/>
        <v>628</v>
      </c>
      <c r="DZ54" s="5" t="str">
        <f t="shared" ca="1" si="51"/>
        <v>VIGENTE</v>
      </c>
      <c r="EA54" s="3"/>
      <c r="EB54" s="4">
        <v>45994</v>
      </c>
      <c r="EC54" s="4">
        <f>DATE(YEAR(EB54)+2,MONTH(EB54),DAY(EB54))</f>
        <v>46724</v>
      </c>
      <c r="ED54" s="8">
        <f t="shared" ca="1" si="52"/>
        <v>590</v>
      </c>
      <c r="EE54" s="5" t="str">
        <f t="shared" ca="1" si="53"/>
        <v>VIGENTE</v>
      </c>
      <c r="EF54" s="3"/>
      <c r="EG54" s="4">
        <v>45948</v>
      </c>
      <c r="EH54" s="4">
        <f t="shared" si="137"/>
        <v>46313</v>
      </c>
      <c r="EI54" s="8">
        <f t="shared" ca="1" si="54"/>
        <v>179</v>
      </c>
      <c r="EJ54" s="5" t="str">
        <f t="shared" ca="1" si="55"/>
        <v>VIGENTE</v>
      </c>
      <c r="EK54" s="3"/>
      <c r="EL54" s="4">
        <v>45940</v>
      </c>
      <c r="EM54" s="4">
        <f>DATE(YEAR(EL54)+2,MONTH(EL54),DAY(EL54))</f>
        <v>46670</v>
      </c>
      <c r="EN54" s="8">
        <f t="shared" ca="1" si="56"/>
        <v>536</v>
      </c>
      <c r="EO54" s="5" t="str">
        <f t="shared" ca="1" si="57"/>
        <v>VIGENTE</v>
      </c>
      <c r="EP54" s="3"/>
      <c r="EQ54" s="4">
        <v>46042</v>
      </c>
      <c r="ER54" s="4">
        <f>DATE(YEAR(EQ54)+2,MONTH(EQ54),DAY(EQ54))</f>
        <v>46772</v>
      </c>
      <c r="ES54" s="8">
        <f t="shared" ca="1" si="58"/>
        <v>638</v>
      </c>
      <c r="ET54" s="5" t="str">
        <f t="shared" ca="1" si="59"/>
        <v>VIGENTE</v>
      </c>
      <c r="EU54" s="3"/>
      <c r="EV54" s="4">
        <v>45953</v>
      </c>
      <c r="EW54" s="4">
        <f>DATE(YEAR(EV54)+2,MONTH(EV54),DAY(EV54))</f>
        <v>46683</v>
      </c>
      <c r="EX54" s="8">
        <f t="shared" ca="1" si="60"/>
        <v>549</v>
      </c>
      <c r="EY54" s="5" t="str">
        <f t="shared" ca="1" si="61"/>
        <v>VIGENTE</v>
      </c>
      <c r="EZ54" s="3"/>
      <c r="FA54" s="4">
        <v>45951</v>
      </c>
      <c r="FB54" s="4">
        <f>DATE(YEAR(FA54)+2,MONTH(FA54),DAY(FA54))</f>
        <v>46681</v>
      </c>
      <c r="FC54" s="8">
        <f t="shared" ca="1" si="62"/>
        <v>547</v>
      </c>
      <c r="FD54" s="5" t="str">
        <f t="shared" ca="1" si="63"/>
        <v>VIGENTE</v>
      </c>
      <c r="FE54" s="3"/>
      <c r="FF54" s="4">
        <v>45962</v>
      </c>
      <c r="FG54" s="4">
        <f>DATE(YEAR(FF54)+2,MONTH(FF54),DAY(FF54))</f>
        <v>46692</v>
      </c>
      <c r="FH54" s="8">
        <f t="shared" ca="1" si="64"/>
        <v>558</v>
      </c>
      <c r="FI54" s="5" t="str">
        <f t="shared" ca="1" si="65"/>
        <v>VIGENTE</v>
      </c>
      <c r="FJ54" s="3"/>
      <c r="FK54" s="4">
        <v>45933</v>
      </c>
      <c r="FL54" s="4">
        <f>DATE(YEAR(FK54)+2,MONTH(FK54),DAY(FK54))</f>
        <v>46663</v>
      </c>
      <c r="FM54" s="8">
        <f t="shared" ca="1" si="67"/>
        <v>529</v>
      </c>
      <c r="FN54" s="5" t="str">
        <f t="shared" ca="1" si="68"/>
        <v>VIGENTE</v>
      </c>
      <c r="FO54" s="3"/>
      <c r="FP54" s="4">
        <v>45957</v>
      </c>
      <c r="FQ54" s="4">
        <f>DATE(YEAR(FP54)+2,MONTH(FP54),DAY(FP54))</f>
        <v>46687</v>
      </c>
      <c r="FR54" s="8">
        <f t="shared" ca="1" si="69"/>
        <v>553</v>
      </c>
      <c r="FS54" s="5" t="str">
        <f t="shared" ca="1" si="70"/>
        <v>VIGENTE</v>
      </c>
      <c r="FT54" s="3"/>
      <c r="FU54" s="4">
        <v>45581</v>
      </c>
      <c r="FV54" s="4">
        <f>DATE(YEAR(FU54)+2,MONTH(FU54),DAY(FU54)-1)</f>
        <v>46310</v>
      </c>
      <c r="FW54" s="8">
        <f t="shared" ca="1" si="71"/>
        <v>176</v>
      </c>
      <c r="FX54" s="5" t="str">
        <f t="shared" ca="1" si="72"/>
        <v>VIGENTE</v>
      </c>
      <c r="FY54" s="3"/>
      <c r="FZ54" s="4">
        <v>46030</v>
      </c>
      <c r="GA54" s="4">
        <f>DATE(YEAR(FZ54)+2,MONTH(FZ54),DAY(FZ54))</f>
        <v>46760</v>
      </c>
      <c r="GB54" s="8">
        <f t="shared" ca="1" si="73"/>
        <v>626</v>
      </c>
      <c r="GC54" s="5" t="str">
        <f t="shared" ca="1" si="74"/>
        <v>VIGENTE</v>
      </c>
      <c r="GD54" s="3"/>
      <c r="GE54" s="4">
        <v>45960</v>
      </c>
      <c r="GF54" s="4">
        <f>DATE(YEAR(GE54)+2,MONTH(GE54),DAY(GE54))</f>
        <v>46690</v>
      </c>
      <c r="GG54" s="8">
        <f t="shared" ca="1" si="75"/>
        <v>556</v>
      </c>
      <c r="GH54" s="5" t="str">
        <f t="shared" ca="1" si="76"/>
        <v>VIGENTE</v>
      </c>
      <c r="GI54" s="3"/>
      <c r="GJ54" s="4">
        <v>45945</v>
      </c>
      <c r="GK54" s="4">
        <f>DATE(YEAR(GJ54)+2,MONTH(GJ54),DAY(GJ54))</f>
        <v>46675</v>
      </c>
      <c r="GL54" s="8">
        <f t="shared" ca="1" si="77"/>
        <v>541</v>
      </c>
      <c r="GM54" s="5" t="str">
        <f t="shared" ca="1" si="78"/>
        <v>VIGENTE</v>
      </c>
      <c r="GN54" s="4"/>
      <c r="GO54" s="4">
        <v>45017</v>
      </c>
      <c r="GP54" s="4">
        <f t="shared" si="79"/>
        <v>46844</v>
      </c>
      <c r="GQ54" s="8">
        <f t="shared" ca="1" si="181"/>
        <v>710</v>
      </c>
      <c r="GR54" s="5" t="str">
        <f t="shared" ca="1" si="81"/>
        <v>VIGENTE</v>
      </c>
      <c r="GS54" s="3"/>
      <c r="GT54" s="4">
        <v>45277</v>
      </c>
      <c r="GU54" s="4">
        <f t="shared" si="82"/>
        <v>47104</v>
      </c>
      <c r="GV54" s="8">
        <f t="shared" ca="1" si="83"/>
        <v>970</v>
      </c>
      <c r="GW54" s="5" t="str">
        <f t="shared" ca="1" si="84"/>
        <v>VIGENTE</v>
      </c>
      <c r="GX54" s="3"/>
      <c r="GY54" s="4">
        <v>45119</v>
      </c>
      <c r="GZ54" s="4">
        <f t="shared" si="85"/>
        <v>46946</v>
      </c>
      <c r="HA54" s="8">
        <f t="shared" ca="1" si="86"/>
        <v>812</v>
      </c>
      <c r="HB54" s="5" t="str">
        <f t="shared" ca="1" si="87"/>
        <v>VIGENTE</v>
      </c>
      <c r="HC54" s="6"/>
      <c r="HD54" s="4">
        <v>44887</v>
      </c>
      <c r="HE54" s="4">
        <f>DATE(YEAR(HD54)+5,MONTH(HD54),DAY(HD54))</f>
        <v>46713</v>
      </c>
      <c r="HF54" s="8">
        <f ca="1">HE54-TODAY()</f>
        <v>579</v>
      </c>
      <c r="HG54" s="5" t="str">
        <f t="shared" ca="1" si="228"/>
        <v>VIGENTE</v>
      </c>
      <c r="HH54" s="2"/>
      <c r="HI54" s="6"/>
      <c r="HJ54" s="4"/>
      <c r="HK54" s="8"/>
      <c r="HL54" s="5" t="str">
        <f t="shared" si="232"/>
        <v>NO APLICA</v>
      </c>
      <c r="HM54" s="2"/>
      <c r="HN54" s="2"/>
      <c r="HO54" s="4"/>
      <c r="HP54" s="2"/>
      <c r="HQ54" s="5" t="str">
        <f t="shared" si="92"/>
        <v>NO APLICA</v>
      </c>
      <c r="HR54" s="3"/>
      <c r="HS54" s="4">
        <v>45260</v>
      </c>
      <c r="HT54" s="4">
        <f>DATE(YEAR(HS54)+5,MONTH(HS54),DAY(HS54))</f>
        <v>47087</v>
      </c>
      <c r="HU54" s="8">
        <f ca="1">HT54-TODAY()</f>
        <v>953</v>
      </c>
      <c r="HV54" s="5" t="str">
        <f t="shared" ca="1" si="93"/>
        <v>VIGENTE</v>
      </c>
      <c r="HW54" s="3"/>
      <c r="HX54" s="4">
        <v>45241</v>
      </c>
      <c r="HY54" s="4">
        <f>DATE(YEAR(HX54)+5,MONTH(HX54),DAY(HX54))</f>
        <v>47068</v>
      </c>
      <c r="HZ54" s="8">
        <f ca="1">HY54-TODAY()</f>
        <v>934</v>
      </c>
      <c r="IA54" s="5" t="str">
        <f t="shared" ca="1" si="94"/>
        <v>VIGENTE</v>
      </c>
      <c r="IB54" s="3"/>
      <c r="IC54" s="4">
        <v>45444</v>
      </c>
      <c r="ID54" s="4">
        <f>DATE(YEAR(IC54)+5,MONTH(IC54),DAY(IC54))</f>
        <v>47270</v>
      </c>
      <c r="IE54" s="8">
        <f ca="1">ID54-TODAY()</f>
        <v>1136</v>
      </c>
      <c r="IF54" s="5" t="str">
        <f t="shared" ca="1" si="95"/>
        <v>VIGENTE</v>
      </c>
      <c r="IG54" s="4"/>
      <c r="IH54" s="4">
        <v>45485</v>
      </c>
      <c r="II54" s="4">
        <f>DATE(YEAR(IH54)+5,MONTH(IH54),DAY(IH54))</f>
        <v>47311</v>
      </c>
      <c r="IJ54" s="8">
        <f ca="1">II54-TODAY()</f>
        <v>1177</v>
      </c>
      <c r="IK54" s="5" t="str">
        <f t="shared" ca="1" si="96"/>
        <v>VIGENTE</v>
      </c>
      <c r="IL54" s="3"/>
      <c r="IM54" s="4">
        <v>45433</v>
      </c>
      <c r="IN54" s="4">
        <f>DATE(YEAR(IM54)+5,MONTH(IM54),DAY(IM54))</f>
        <v>47259</v>
      </c>
      <c r="IO54" s="8">
        <f ca="1">IN54-TODAY()</f>
        <v>1125</v>
      </c>
      <c r="IP54" s="5" t="str">
        <f t="shared" ca="1" si="97"/>
        <v>VIGENTE</v>
      </c>
      <c r="IQ54" s="3"/>
      <c r="IR54" s="4">
        <v>45484</v>
      </c>
      <c r="IS54" s="4">
        <f>DATE(YEAR(IR54)+5,MONTH(IR54),DAY(IR54))</f>
        <v>47310</v>
      </c>
      <c r="IT54" s="8">
        <f ca="1">IS54-TODAY()</f>
        <v>1176</v>
      </c>
      <c r="IU54" s="5" t="str">
        <f t="shared" ca="1" si="98"/>
        <v>VIGENTE</v>
      </c>
      <c r="IV54" s="3"/>
      <c r="IW54" s="4">
        <v>45261</v>
      </c>
      <c r="IX54" s="4">
        <f>DATE(YEAR(IW54)+5,MONTH(IW54),DAY(IW54))</f>
        <v>47088</v>
      </c>
      <c r="IY54" s="8">
        <f ca="1">IX54-TODAY()</f>
        <v>954</v>
      </c>
      <c r="IZ54" s="5" t="str">
        <f t="shared" ca="1" si="99"/>
        <v>VIGENTE</v>
      </c>
      <c r="JA54" s="3"/>
      <c r="JB54" s="3"/>
      <c r="JC54" s="4"/>
      <c r="JD54" s="8"/>
      <c r="JE54" s="5" t="str">
        <f t="shared" si="100"/>
        <v>NO APLICA</v>
      </c>
      <c r="JF54" s="6"/>
      <c r="JG54" s="6"/>
      <c r="JH54" s="6"/>
      <c r="JI54" s="6"/>
      <c r="JJ54" s="5" t="str">
        <f t="shared" si="101"/>
        <v>NO APLICA</v>
      </c>
      <c r="JK54" s="6"/>
      <c r="JL54" s="6"/>
      <c r="JM54" s="6"/>
      <c r="JN54" s="6"/>
      <c r="JO54" s="5" t="str">
        <f t="shared" si="102"/>
        <v>NO APLICA</v>
      </c>
      <c r="JP54" s="6"/>
      <c r="JQ54" s="6"/>
      <c r="JR54" s="6"/>
      <c r="JS54" s="6"/>
      <c r="JT54" s="5" t="str">
        <f t="shared" si="103"/>
        <v>NO APLICA</v>
      </c>
      <c r="JU54" s="5"/>
      <c r="JV54" s="5"/>
      <c r="JW54" s="5"/>
      <c r="JX54" s="5"/>
      <c r="JY54" s="5" t="str">
        <f t="shared" si="104"/>
        <v>NO APLICA</v>
      </c>
      <c r="JZ54" s="5"/>
      <c r="KA54" s="2"/>
      <c r="KB54" s="4"/>
      <c r="KC54" s="8"/>
      <c r="KD54" s="5" t="str">
        <f t="shared" si="105"/>
        <v>NO APLICA</v>
      </c>
      <c r="KE54" s="5"/>
      <c r="KF54" s="2"/>
      <c r="KG54" s="4"/>
      <c r="KH54" s="8"/>
      <c r="KI54" s="5" t="str">
        <f t="shared" si="141"/>
        <v>NO APLICA</v>
      </c>
      <c r="KJ54" s="5"/>
      <c r="KK54" s="3">
        <v>45364</v>
      </c>
      <c r="KL54" s="4">
        <f>DATE(YEAR(KK54)+5,MONTH(KK54),DAY(KK54))</f>
        <v>47190</v>
      </c>
      <c r="KM54" s="8">
        <f ca="1">KL54-TODAY()</f>
        <v>1056</v>
      </c>
      <c r="KN54" s="5" t="str">
        <f t="shared" ca="1" si="106"/>
        <v>VIGENTE</v>
      </c>
      <c r="KO54" s="5"/>
      <c r="KP54" s="2"/>
      <c r="KQ54" s="4"/>
      <c r="KR54" s="8"/>
      <c r="KS54" s="5" t="str">
        <f t="shared" si="142"/>
        <v>NO APLICA</v>
      </c>
      <c r="KT54" s="2"/>
      <c r="KU54" s="6"/>
      <c r="KV54" s="4"/>
      <c r="KW54" s="8"/>
      <c r="KX54" s="5" t="str">
        <f t="shared" si="156"/>
        <v>NO APLICA</v>
      </c>
      <c r="KY54" s="5"/>
      <c r="KZ54" s="6"/>
      <c r="LA54" s="4"/>
      <c r="LB54" s="8"/>
      <c r="LC54" s="5" t="str">
        <f t="shared" si="143"/>
        <v>NO APLICA</v>
      </c>
      <c r="LD54" s="6"/>
      <c r="LE54" s="6"/>
      <c r="LF54" s="4"/>
      <c r="LG54" s="8"/>
      <c r="LH54" s="5" t="str">
        <f t="shared" si="107"/>
        <v>NO APLICA</v>
      </c>
      <c r="LI54" s="5"/>
      <c r="LJ54" s="5"/>
      <c r="LK54" s="5"/>
      <c r="LL54" s="5"/>
      <c r="LM54" s="5" t="str">
        <f t="shared" si="157"/>
        <v>NO APLICA</v>
      </c>
      <c r="LN54" s="2"/>
      <c r="LO54" s="6"/>
      <c r="LP54" s="4"/>
      <c r="LQ54" s="8"/>
      <c r="LR54" s="5" t="str">
        <f t="shared" si="144"/>
        <v>NO APLICA</v>
      </c>
      <c r="LS54" s="6"/>
      <c r="LT54" s="6"/>
      <c r="LU54" s="4"/>
      <c r="LV54" s="8"/>
      <c r="LW54" s="5" t="str">
        <f t="shared" si="145"/>
        <v>NO APLICA</v>
      </c>
      <c r="LX54" s="6"/>
      <c r="LY54" s="6"/>
      <c r="LZ54" s="4"/>
      <c r="MA54" s="8"/>
      <c r="MB54" s="5" t="str">
        <f t="shared" si="146"/>
        <v>NO APLICA</v>
      </c>
      <c r="MC54" s="4"/>
      <c r="MD54" s="4">
        <v>45010</v>
      </c>
      <c r="ME54" s="4">
        <f>DATE(YEAR(MD54)+5,MONTH(MD54),DAY(MD54))</f>
        <v>46837</v>
      </c>
      <c r="MF54" s="8">
        <f ca="1">ME54-TODAY()</f>
        <v>703</v>
      </c>
      <c r="MG54" s="5" t="str">
        <f t="shared" ca="1" si="108"/>
        <v>VIGENTE</v>
      </c>
      <c r="MH54" s="2"/>
      <c r="MI54" s="2"/>
      <c r="MJ54" s="4"/>
      <c r="MK54" s="8"/>
      <c r="ML54" s="5" t="str">
        <f t="shared" si="109"/>
        <v>NO APLICA</v>
      </c>
      <c r="MM54" s="5"/>
      <c r="MN54" s="2"/>
      <c r="MO54" s="4"/>
      <c r="MP54" s="8"/>
      <c r="MQ54" s="5" t="str">
        <f t="shared" si="110"/>
        <v>NO APLICA</v>
      </c>
      <c r="MR54" s="5"/>
      <c r="MS54" s="2"/>
      <c r="MT54" s="4"/>
      <c r="MU54" s="2"/>
      <c r="MV54" s="5" t="str">
        <f t="shared" si="111"/>
        <v>NO APLICA</v>
      </c>
      <c r="MW54" s="2"/>
      <c r="MX54" s="6"/>
      <c r="MY54" s="4"/>
      <c r="MZ54" s="8"/>
      <c r="NA54" s="5" t="str">
        <f t="shared" si="112"/>
        <v>NO APLICA</v>
      </c>
      <c r="NB54" s="2"/>
      <c r="NC54" s="6"/>
      <c r="ND54" s="4"/>
      <c r="NE54" s="8"/>
      <c r="NF54" s="5" t="str">
        <f t="shared" si="113"/>
        <v>NO APLICA</v>
      </c>
      <c r="NG54" s="2"/>
      <c r="NH54" s="6"/>
      <c r="NI54" s="4"/>
      <c r="NJ54" s="8"/>
      <c r="NK54" s="5" t="str">
        <f t="shared" si="114"/>
        <v>NO APLICA</v>
      </c>
      <c r="NL54" s="2"/>
      <c r="NM54" s="2"/>
      <c r="NN54" s="4"/>
      <c r="NO54" s="2"/>
      <c r="NP54" s="5" t="str">
        <f t="shared" si="115"/>
        <v>NO APLICA</v>
      </c>
      <c r="NQ54" s="2"/>
      <c r="NR54" s="2"/>
      <c r="NS54" s="4"/>
      <c r="NT54" s="2"/>
      <c r="NU54" s="5" t="str">
        <f t="shared" si="116"/>
        <v>NO APLICA</v>
      </c>
      <c r="NV54" s="6"/>
      <c r="NW54" s="6"/>
      <c r="NX54" s="4"/>
      <c r="NY54" s="8"/>
      <c r="NZ54" s="5" t="str">
        <f t="shared" si="117"/>
        <v>NO APLICA</v>
      </c>
      <c r="OA54" s="6"/>
      <c r="OB54" s="6"/>
      <c r="OC54" s="6"/>
      <c r="OD54" s="6"/>
      <c r="OE54" s="5" t="str">
        <f t="shared" si="118"/>
        <v>NO APLICA</v>
      </c>
      <c r="OF54" s="6"/>
      <c r="OG54" s="6"/>
      <c r="OH54" s="4"/>
      <c r="OI54" s="8"/>
      <c r="OJ54" s="5" t="str">
        <f t="shared" si="119"/>
        <v>NO APLICA</v>
      </c>
      <c r="OK54" s="6"/>
      <c r="OL54" s="6"/>
      <c r="OM54" s="6"/>
      <c r="ON54" s="6"/>
      <c r="OO54" s="5" t="str">
        <f t="shared" si="120"/>
        <v>NO APLICA</v>
      </c>
      <c r="OP54" s="6"/>
      <c r="OQ54" s="6"/>
      <c r="OR54" s="6"/>
      <c r="OS54" s="6"/>
      <c r="OT54" s="5" t="str">
        <f t="shared" si="121"/>
        <v>NO APLICA</v>
      </c>
      <c r="OU54" s="6"/>
      <c r="OV54" s="6"/>
      <c r="OW54" s="6"/>
      <c r="OX54" s="6"/>
      <c r="OY54" s="5" t="str">
        <f t="shared" si="122"/>
        <v>NO APLICA</v>
      </c>
      <c r="OZ54" s="6"/>
      <c r="PA54" s="6"/>
      <c r="PB54" s="6"/>
      <c r="PC54" s="6"/>
      <c r="PD54" s="5" t="str">
        <f t="shared" si="123"/>
        <v>NO APLICA</v>
      </c>
      <c r="PE54" s="6"/>
      <c r="PF54" s="6"/>
      <c r="PG54" s="6"/>
      <c r="PH54" s="6"/>
      <c r="PI54" s="5" t="str">
        <f t="shared" si="124"/>
        <v>NO APLICA</v>
      </c>
      <c r="PJ54" s="5"/>
      <c r="PK54" s="6"/>
      <c r="PL54" s="4"/>
      <c r="PM54" s="8"/>
      <c r="PN54" s="5" t="str">
        <f t="shared" si="125"/>
        <v>NO APLICA</v>
      </c>
      <c r="PO54" s="6"/>
      <c r="PP54" s="6"/>
      <c r="PQ54" s="6"/>
      <c r="PR54" s="6"/>
      <c r="PS54" s="5" t="str">
        <f t="shared" si="126"/>
        <v>NO APLICA</v>
      </c>
      <c r="PT54" s="5"/>
      <c r="PU54" s="6"/>
      <c r="PV54" s="6"/>
      <c r="PW54" s="6"/>
      <c r="PX54" s="5" t="str">
        <f t="shared" si="127"/>
        <v>NO APLICA</v>
      </c>
    </row>
    <row r="55" spans="1:440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716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231</v>
      </c>
      <c r="V55" s="4">
        <v>45041</v>
      </c>
      <c r="W55" s="4">
        <f t="shared" si="2"/>
        <v>46868</v>
      </c>
      <c r="X55" s="8">
        <f t="shared" ca="1" si="3"/>
        <v>734</v>
      </c>
      <c r="Y55" s="5" t="str">
        <f t="shared" ca="1" si="4"/>
        <v>VIGENTE</v>
      </c>
      <c r="Z55" s="2"/>
      <c r="AA55" s="6"/>
      <c r="AB55" s="4"/>
      <c r="AC55" s="8"/>
      <c r="AD55" s="5" t="str">
        <f t="shared" si="7"/>
        <v>NO APLICA</v>
      </c>
      <c r="AE55" s="3"/>
      <c r="AF55" s="4">
        <v>45680</v>
      </c>
      <c r="AG55" s="4">
        <f t="shared" si="233"/>
        <v>46409</v>
      </c>
      <c r="AH55" s="8">
        <f t="shared" ca="1" si="8"/>
        <v>275</v>
      </c>
      <c r="AI55" s="5" t="str">
        <f t="shared" ca="1" si="224"/>
        <v>VIGENTE</v>
      </c>
      <c r="AJ55" s="3"/>
      <c r="AK55" s="4">
        <v>45903</v>
      </c>
      <c r="AL55" s="4">
        <f>DATE(YEAR(AK55)+2,MONTH(AK55),DAY(AK55))</f>
        <v>46633</v>
      </c>
      <c r="AM55" s="8">
        <f t="shared" ca="1" si="10"/>
        <v>499</v>
      </c>
      <c r="AN55" s="5" t="str">
        <f t="shared" ca="1" si="11"/>
        <v>VIGENTE</v>
      </c>
      <c r="AO55" s="3"/>
      <c r="AP55" s="4">
        <v>45703</v>
      </c>
      <c r="AQ55" s="4">
        <f>DATE(YEAR(AP55)+2,MONTH(AP55),DAY(AP55)-1)</f>
        <v>46432</v>
      </c>
      <c r="AR55" s="8">
        <f t="shared" ca="1" si="12"/>
        <v>298</v>
      </c>
      <c r="AS55" s="5" t="str">
        <f t="shared" ca="1" si="13"/>
        <v>VIGENTE</v>
      </c>
      <c r="AT55" s="3"/>
      <c r="AU55" s="4">
        <v>45786</v>
      </c>
      <c r="AV55" s="4">
        <f>DATE(YEAR(AU55)+2,MONTH(AU55),DAY(AU55)-1)</f>
        <v>46515</v>
      </c>
      <c r="AW55" s="8">
        <f t="shared" ca="1" si="15"/>
        <v>381</v>
      </c>
      <c r="AX55" s="5" t="str">
        <f t="shared" ca="1" si="16"/>
        <v>VIGENTE</v>
      </c>
      <c r="AY55" s="3"/>
      <c r="AZ55" s="4">
        <v>45717</v>
      </c>
      <c r="BA55" s="4">
        <f>DATE(YEAR(AZ55)+2,MONTH(AZ55),DAY(AZ55)-1)</f>
        <v>46446</v>
      </c>
      <c r="BB55" s="8">
        <f t="shared" ca="1" si="17"/>
        <v>312</v>
      </c>
      <c r="BC55" s="5" t="str">
        <f t="shared" ca="1" si="18"/>
        <v>VIGENTE</v>
      </c>
      <c r="BD55" s="3"/>
      <c r="BE55" s="4">
        <v>45880</v>
      </c>
      <c r="BF55" s="4">
        <f>DATE(YEAR(BE55)+2,MONTH(BE55),DAY(BE55))</f>
        <v>46610</v>
      </c>
      <c r="BG55" s="8">
        <f t="shared" ca="1" si="19"/>
        <v>476</v>
      </c>
      <c r="BH55" s="5" t="str">
        <f t="shared" ca="1" si="20"/>
        <v>VIGENTE</v>
      </c>
      <c r="BI55" s="3"/>
      <c r="BJ55" s="4">
        <v>45797</v>
      </c>
      <c r="BK55" s="4">
        <f t="shared" si="234"/>
        <v>46527</v>
      </c>
      <c r="BL55" s="8">
        <f t="shared" ca="1" si="21"/>
        <v>393</v>
      </c>
      <c r="BM55" s="5" t="str">
        <f t="shared" ca="1" si="22"/>
        <v>VIGENTE</v>
      </c>
      <c r="BN55" s="3"/>
      <c r="BO55" s="4">
        <v>45701</v>
      </c>
      <c r="BP55" s="4">
        <f>DATE(YEAR(BO55)+2,MONTH(BO55),DAY(BO55)-1)</f>
        <v>46430</v>
      </c>
      <c r="BQ55" s="8">
        <f t="shared" ca="1" si="23"/>
        <v>296</v>
      </c>
      <c r="BR55" s="5" t="str">
        <f t="shared" ca="1" si="24"/>
        <v>VIGENTE</v>
      </c>
      <c r="BS55" s="3"/>
      <c r="BT55" s="4">
        <v>45853</v>
      </c>
      <c r="BU55" s="4">
        <f>DATE(YEAR(BT55)+2,MONTH(BT55),DAY(BT55))</f>
        <v>46583</v>
      </c>
      <c r="BV55" s="8">
        <f t="shared" ca="1" si="25"/>
        <v>449</v>
      </c>
      <c r="BW55" s="5" t="str">
        <f t="shared" ca="1" si="26"/>
        <v>VIGENTE</v>
      </c>
      <c r="BX55" s="2"/>
      <c r="BY55" s="4">
        <v>45944</v>
      </c>
      <c r="BZ55" s="4">
        <f>DATE(YEAR(BY55)+2,MONTH(BY55),DAY(BY55))</f>
        <v>46674</v>
      </c>
      <c r="CA55" s="8">
        <f t="shared" ca="1" si="27"/>
        <v>540</v>
      </c>
      <c r="CB55" s="5" t="str">
        <f t="shared" ca="1" si="28"/>
        <v>VIGENTE</v>
      </c>
      <c r="CC55" s="6" t="s">
        <v>68</v>
      </c>
      <c r="CD55" s="4">
        <v>45832</v>
      </c>
      <c r="CE55" s="4">
        <f t="shared" si="29"/>
        <v>47293</v>
      </c>
      <c r="CF55" s="8">
        <f t="shared" ca="1" si="30"/>
        <v>1159</v>
      </c>
      <c r="CG55" s="5" t="str">
        <f t="shared" ca="1" si="31"/>
        <v>VIGENTE</v>
      </c>
      <c r="CH55" s="4"/>
      <c r="CI55" s="4">
        <v>45777</v>
      </c>
      <c r="CJ55" s="4">
        <f>DATE(YEAR(CI55)+2,MONTH(CI55),DAY(CI55))</f>
        <v>46507</v>
      </c>
      <c r="CK55" s="8">
        <f t="shared" ca="1" si="32"/>
        <v>373</v>
      </c>
      <c r="CL55" s="5" t="str">
        <f t="shared" ca="1" si="33"/>
        <v>VIGENTE</v>
      </c>
      <c r="CM55" s="3"/>
      <c r="CN55" s="4">
        <v>45888</v>
      </c>
      <c r="CO55" s="4">
        <f>DATE(YEAR(CN55)+2,MONTH(CN55),DAY(CN55))</f>
        <v>46618</v>
      </c>
      <c r="CP55" s="8">
        <f t="shared" ca="1" si="34"/>
        <v>484</v>
      </c>
      <c r="CQ55" s="5" t="str">
        <f t="shared" ca="1" si="35"/>
        <v>VIGENTE</v>
      </c>
      <c r="CR55" s="3"/>
      <c r="CS55" s="4">
        <v>45805</v>
      </c>
      <c r="CT55" s="4">
        <f>DATE(YEAR(CS55)+2,MONTH(CS55),DAY(CS55))</f>
        <v>46535</v>
      </c>
      <c r="CU55" s="8">
        <f t="shared" ca="1" si="36"/>
        <v>401</v>
      </c>
      <c r="CV55" s="5" t="str">
        <f t="shared" ca="1" si="37"/>
        <v>VIGENTE</v>
      </c>
      <c r="CW55" s="3"/>
      <c r="CX55" s="4">
        <v>45989</v>
      </c>
      <c r="CY55" s="4">
        <f>DATE(YEAR(CX55)+2,MONTH(CX55),DAY(CX55))</f>
        <v>46719</v>
      </c>
      <c r="CZ55" s="8">
        <f t="shared" ca="1" si="38"/>
        <v>585</v>
      </c>
      <c r="DA55" s="5" t="str">
        <f t="shared" ca="1" si="39"/>
        <v>VIGENTE</v>
      </c>
      <c r="DB55" s="3"/>
      <c r="DC55" s="4">
        <v>45689</v>
      </c>
      <c r="DD55" s="4">
        <f t="shared" si="231"/>
        <v>46418</v>
      </c>
      <c r="DE55" s="8">
        <f t="shared" ca="1" si="40"/>
        <v>284</v>
      </c>
      <c r="DF55" s="5" t="str">
        <f t="shared" ca="1" si="41"/>
        <v>VIGENTE</v>
      </c>
      <c r="DG55" s="3"/>
      <c r="DH55" s="4">
        <v>45696</v>
      </c>
      <c r="DI55" s="4">
        <f>DATE(YEAR(DH55)+2,MONTH(DH55),DAY(DH55)-1)</f>
        <v>46425</v>
      </c>
      <c r="DJ55" s="8">
        <f t="shared" ca="1" si="43"/>
        <v>291</v>
      </c>
      <c r="DK55" s="5" t="str">
        <f t="shared" ca="1" si="44"/>
        <v>VIGENTE</v>
      </c>
      <c r="DL55" s="3"/>
      <c r="DM55" s="4">
        <v>46007</v>
      </c>
      <c r="DN55" s="4">
        <f>DATE(YEAR(DM55)+2,MONTH(DM55),DAY(DM55))</f>
        <v>46737</v>
      </c>
      <c r="DO55" s="8">
        <f t="shared" ca="1" si="46"/>
        <v>603</v>
      </c>
      <c r="DP55" s="5" t="str">
        <f t="shared" ca="1" si="47"/>
        <v>VIGENTE</v>
      </c>
      <c r="DQ55" s="3"/>
      <c r="DR55" s="4">
        <v>45885</v>
      </c>
      <c r="DS55" s="4">
        <f>DATE(YEAR(DR55)+2,MONTH(DR55),DAY(DR55))</f>
        <v>46615</v>
      </c>
      <c r="DT55" s="8">
        <f t="shared" ca="1" si="48"/>
        <v>481</v>
      </c>
      <c r="DU55" s="5" t="str">
        <f t="shared" ca="1" si="49"/>
        <v>VIGENTE</v>
      </c>
      <c r="DV55" s="3"/>
      <c r="DW55" s="4">
        <v>45769</v>
      </c>
      <c r="DX55" s="4">
        <f>DATE(YEAR(DW55)+2,MONTH(DW55),DAY(DW55))</f>
        <v>46499</v>
      </c>
      <c r="DY55" s="8">
        <f t="shared" ca="1" si="50"/>
        <v>365</v>
      </c>
      <c r="DZ55" s="5" t="str">
        <f t="shared" ca="1" si="51"/>
        <v>VIGENTE</v>
      </c>
      <c r="EA55" s="3"/>
      <c r="EB55" s="4">
        <v>45730</v>
      </c>
      <c r="EC55" s="4">
        <f>DATE(YEAR(EB55)+2,MONTH(EB55),DAY(EB55)-1)</f>
        <v>46459</v>
      </c>
      <c r="ED55" s="8">
        <f t="shared" ca="1" si="52"/>
        <v>325</v>
      </c>
      <c r="EE55" s="5" t="str">
        <f t="shared" ca="1" si="53"/>
        <v>VIGENTE</v>
      </c>
      <c r="EF55" s="3"/>
      <c r="EG55" s="3">
        <v>45911</v>
      </c>
      <c r="EH55" s="4">
        <f t="shared" si="137"/>
        <v>46276</v>
      </c>
      <c r="EI55" s="8">
        <f t="shared" ca="1" si="54"/>
        <v>142</v>
      </c>
      <c r="EJ55" s="5" t="str">
        <f t="shared" ca="1" si="55"/>
        <v>VIGENTE</v>
      </c>
      <c r="EK55" s="3"/>
      <c r="EL55" s="4">
        <v>45737</v>
      </c>
      <c r="EM55" s="4">
        <f>DATE(YEAR(EL55)+2,MONTH(EL55),DAY(EL55)-1)</f>
        <v>46466</v>
      </c>
      <c r="EN55" s="8">
        <f t="shared" ca="1" si="56"/>
        <v>332</v>
      </c>
      <c r="EO55" s="5" t="str">
        <f t="shared" ca="1" si="57"/>
        <v>VIGENTE</v>
      </c>
      <c r="EP55" s="2"/>
      <c r="EQ55" s="4">
        <v>45999</v>
      </c>
      <c r="ER55" s="4">
        <f>DATE(YEAR(EQ55)+2,MONTH(EQ55),DAY(EQ55))</f>
        <v>46729</v>
      </c>
      <c r="ES55" s="8">
        <f t="shared" ca="1" si="58"/>
        <v>595</v>
      </c>
      <c r="ET55" s="5" t="str">
        <f t="shared" ca="1" si="59"/>
        <v>VIGENTE</v>
      </c>
      <c r="EU55" s="3"/>
      <c r="EV55" s="4">
        <v>45794</v>
      </c>
      <c r="EW55" s="4">
        <f>DATE(YEAR(EV55)+2,MONTH(EV55),DAY(EV55))</f>
        <v>46524</v>
      </c>
      <c r="EX55" s="8">
        <f t="shared" ca="1" si="60"/>
        <v>390</v>
      </c>
      <c r="EY55" s="5" t="str">
        <f t="shared" ca="1" si="61"/>
        <v>VIGENTE</v>
      </c>
      <c r="EZ55" s="3"/>
      <c r="FA55" s="4">
        <v>45988</v>
      </c>
      <c r="FB55" s="4">
        <f>DATE(YEAR(FA55)+2,MONTH(FA55),DAY(FA55))</f>
        <v>46718</v>
      </c>
      <c r="FC55" s="8">
        <f t="shared" ca="1" si="62"/>
        <v>584</v>
      </c>
      <c r="FD55" s="5" t="str">
        <f t="shared" ca="1" si="63"/>
        <v>VIGENTE</v>
      </c>
      <c r="FE55" s="3"/>
      <c r="FF55" s="4">
        <v>45878</v>
      </c>
      <c r="FG55" s="4">
        <f>DATE(YEAR(FF55)+2,MONTH(FF55),DAY(FF55))</f>
        <v>46608</v>
      </c>
      <c r="FH55" s="8">
        <f t="shared" ca="1" si="64"/>
        <v>474</v>
      </c>
      <c r="FI55" s="5" t="str">
        <f t="shared" ca="1" si="65"/>
        <v>VIGENTE</v>
      </c>
      <c r="FJ55" s="3"/>
      <c r="FK55" s="4">
        <v>45850</v>
      </c>
      <c r="FL55" s="4">
        <f>DATE(YEAR(FK55)+2,MONTH(FK55),DAY(FK55))</f>
        <v>46580</v>
      </c>
      <c r="FM55" s="8">
        <f t="shared" ca="1" si="67"/>
        <v>446</v>
      </c>
      <c r="FN55" s="5" t="str">
        <f t="shared" ca="1" si="68"/>
        <v>VIGENTE</v>
      </c>
      <c r="FO55" s="3"/>
      <c r="FP55" s="4">
        <v>45782</v>
      </c>
      <c r="FQ55" s="4">
        <f>DATE(YEAR(FP55)+2,MONTH(FP55),DAY(FP55))</f>
        <v>46512</v>
      </c>
      <c r="FR55" s="8">
        <f t="shared" ca="1" si="69"/>
        <v>378</v>
      </c>
      <c r="FS55" s="5" t="str">
        <f t="shared" ca="1" si="70"/>
        <v>VIGENTE</v>
      </c>
      <c r="FT55" s="3"/>
      <c r="FU55" s="4">
        <v>46014</v>
      </c>
      <c r="FV55" s="4">
        <f>DATE(YEAR(FU55)+2,MONTH(FU55),DAY(FU55))</f>
        <v>46744</v>
      </c>
      <c r="FW55" s="8">
        <f t="shared" ca="1" si="71"/>
        <v>610</v>
      </c>
      <c r="FX55" s="5" t="str">
        <f t="shared" ca="1" si="72"/>
        <v>VIGENTE</v>
      </c>
      <c r="FY55" s="3"/>
      <c r="FZ55" s="4">
        <v>45925</v>
      </c>
      <c r="GA55" s="4">
        <f>DATE(YEAR(FZ55)+2,MONTH(FZ55),DAY(FZ55))</f>
        <v>46655</v>
      </c>
      <c r="GB55" s="8">
        <f t="shared" ca="1" si="73"/>
        <v>521</v>
      </c>
      <c r="GC55" s="5" t="str">
        <f t="shared" ca="1" si="74"/>
        <v>VIGENTE</v>
      </c>
      <c r="GD55" s="3"/>
      <c r="GE55" s="4">
        <v>45960</v>
      </c>
      <c r="GF55" s="4">
        <f>DATE(YEAR(GE55)+2,MONTH(GE55),DAY(GE55))</f>
        <v>46690</v>
      </c>
      <c r="GG55" s="8">
        <f t="shared" ca="1" si="75"/>
        <v>556</v>
      </c>
      <c r="GH55" s="5" t="str">
        <f t="shared" ca="1" si="76"/>
        <v>VIGENTE</v>
      </c>
      <c r="GI55" s="3"/>
      <c r="GJ55" s="4">
        <v>45848</v>
      </c>
      <c r="GK55" s="4">
        <f>DATE(YEAR(GJ55)+2,MONTH(GJ55),DAY(GJ55))</f>
        <v>46578</v>
      </c>
      <c r="GL55" s="8">
        <f t="shared" ca="1" si="77"/>
        <v>444</v>
      </c>
      <c r="GM55" s="5" t="str">
        <f t="shared" ca="1" si="78"/>
        <v>VIGENTE</v>
      </c>
      <c r="GN55" s="4"/>
      <c r="GO55" s="4">
        <v>45048</v>
      </c>
      <c r="GP55" s="4">
        <f t="shared" si="79"/>
        <v>46875</v>
      </c>
      <c r="GQ55" s="8">
        <f t="shared" ca="1" si="181"/>
        <v>741</v>
      </c>
      <c r="GR55" s="5" t="str">
        <f t="shared" ca="1" si="81"/>
        <v>VIGENTE</v>
      </c>
      <c r="GS55" s="3"/>
      <c r="GT55" s="4">
        <v>45245</v>
      </c>
      <c r="GU55" s="4">
        <f t="shared" si="82"/>
        <v>47072</v>
      </c>
      <c r="GV55" s="8">
        <f t="shared" ca="1" si="83"/>
        <v>938</v>
      </c>
      <c r="GW55" s="5" t="str">
        <f t="shared" ca="1" si="84"/>
        <v>VIGENTE</v>
      </c>
      <c r="GX55" s="2"/>
      <c r="GY55" s="4">
        <v>45160</v>
      </c>
      <c r="GZ55" s="4">
        <f t="shared" si="85"/>
        <v>46987</v>
      </c>
      <c r="HA55" s="8">
        <f t="shared" ca="1" si="86"/>
        <v>853</v>
      </c>
      <c r="HB55" s="5" t="str">
        <f t="shared" ca="1" si="87"/>
        <v>VIGENTE</v>
      </c>
      <c r="HC55" s="6"/>
      <c r="HD55" s="6"/>
      <c r="HE55" s="4"/>
      <c r="HF55" s="8"/>
      <c r="HG55" s="5" t="str">
        <f t="shared" si="228"/>
        <v>NO APLICA</v>
      </c>
      <c r="HH55" s="2"/>
      <c r="HI55" s="6"/>
      <c r="HJ55" s="4"/>
      <c r="HK55" s="8"/>
      <c r="HL55" s="5" t="str">
        <f t="shared" si="232"/>
        <v>NO APLICA</v>
      </c>
      <c r="HM55" s="2"/>
      <c r="HN55" s="2"/>
      <c r="HO55" s="4"/>
      <c r="HP55" s="2"/>
      <c r="HQ55" s="5" t="str">
        <f t="shared" si="92"/>
        <v>NO APLICA</v>
      </c>
      <c r="HR55" s="2"/>
      <c r="HS55" s="6"/>
      <c r="HT55" s="4"/>
      <c r="HU55" s="8"/>
      <c r="HV55" s="5" t="str">
        <f t="shared" si="93"/>
        <v>NO APLICA</v>
      </c>
      <c r="HW55" s="2"/>
      <c r="HX55" s="6"/>
      <c r="HY55" s="4"/>
      <c r="HZ55" s="8"/>
      <c r="IA55" s="5" t="str">
        <f t="shared" si="94"/>
        <v>NO APLICA</v>
      </c>
      <c r="IB55" s="2"/>
      <c r="IC55" s="6"/>
      <c r="ID55" s="4"/>
      <c r="IE55" s="8"/>
      <c r="IF55" s="5" t="str">
        <f t="shared" si="95"/>
        <v>NO APLICA</v>
      </c>
      <c r="IG55" s="6"/>
      <c r="IH55" s="6"/>
      <c r="II55" s="4"/>
      <c r="IJ55" s="8"/>
      <c r="IK55" s="5" t="str">
        <f t="shared" si="96"/>
        <v>NO APLICA</v>
      </c>
      <c r="IL55" s="2"/>
      <c r="IM55" s="6"/>
      <c r="IN55" s="4"/>
      <c r="IO55" s="8"/>
      <c r="IP55" s="5" t="str">
        <f t="shared" si="97"/>
        <v>NO APLICA</v>
      </c>
      <c r="IQ55" s="2"/>
      <c r="IR55" s="6"/>
      <c r="IS55" s="4"/>
      <c r="IT55" s="8"/>
      <c r="IU55" s="5" t="str">
        <f t="shared" si="98"/>
        <v>NO APLICA</v>
      </c>
      <c r="IV55" s="2"/>
      <c r="IW55" s="6"/>
      <c r="IX55" s="4"/>
      <c r="IY55" s="8"/>
      <c r="IZ55" s="5" t="str">
        <f t="shared" si="99"/>
        <v>NO APLICA</v>
      </c>
      <c r="JA55" s="3"/>
      <c r="JB55" s="3"/>
      <c r="JC55" s="4"/>
      <c r="JD55" s="8"/>
      <c r="JE55" s="5" t="str">
        <f t="shared" si="100"/>
        <v>NO APLICA</v>
      </c>
      <c r="JF55" s="6"/>
      <c r="JG55" s="6"/>
      <c r="JH55" s="6"/>
      <c r="JI55" s="6"/>
      <c r="JJ55" s="5" t="str">
        <f t="shared" si="101"/>
        <v>NO APLICA</v>
      </c>
      <c r="JK55" s="6"/>
      <c r="JL55" s="6"/>
      <c r="JM55" s="6"/>
      <c r="JN55" s="6"/>
      <c r="JO55" s="5" t="str">
        <f t="shared" si="102"/>
        <v>NO APLICA</v>
      </c>
      <c r="JP55" s="6"/>
      <c r="JQ55" s="6"/>
      <c r="JR55" s="6"/>
      <c r="JS55" s="6"/>
      <c r="JT55" s="5" t="str">
        <f t="shared" si="103"/>
        <v>NO APLICA</v>
      </c>
      <c r="JU55" s="5"/>
      <c r="JV55" s="5"/>
      <c r="JW55" s="5"/>
      <c r="JX55" s="5"/>
      <c r="JY55" s="5" t="str">
        <f t="shared" si="104"/>
        <v>NO APLICA</v>
      </c>
      <c r="JZ55" s="5"/>
      <c r="KA55" s="2"/>
      <c r="KB55" s="4"/>
      <c r="KC55" s="8"/>
      <c r="KD55" s="5" t="str">
        <f t="shared" si="105"/>
        <v>NO APLICA</v>
      </c>
      <c r="KE55" s="5"/>
      <c r="KF55" s="2"/>
      <c r="KG55" s="4"/>
      <c r="KH55" s="8"/>
      <c r="KI55" s="5" t="str">
        <f t="shared" si="141"/>
        <v>NO APLICA</v>
      </c>
      <c r="KJ55" s="5"/>
      <c r="KK55" s="2"/>
      <c r="KL55" s="4"/>
      <c r="KM55" s="8"/>
      <c r="KN55" s="5" t="str">
        <f t="shared" si="106"/>
        <v>NO APLICA</v>
      </c>
      <c r="KO55" s="5"/>
      <c r="KP55" s="2"/>
      <c r="KQ55" s="4"/>
      <c r="KR55" s="8"/>
      <c r="KS55" s="5" t="str">
        <f t="shared" si="142"/>
        <v>NO APLICA</v>
      </c>
      <c r="KT55" s="2"/>
      <c r="KU55" s="6"/>
      <c r="KV55" s="4"/>
      <c r="KW55" s="8"/>
      <c r="KX55" s="5" t="str">
        <f t="shared" si="156"/>
        <v>NO APLICA</v>
      </c>
      <c r="KY55" s="5"/>
      <c r="KZ55" s="6"/>
      <c r="LA55" s="4"/>
      <c r="LB55" s="8"/>
      <c r="LC55" s="5" t="str">
        <f t="shared" si="143"/>
        <v>NO APLICA</v>
      </c>
      <c r="LD55" s="6"/>
      <c r="LE55" s="6"/>
      <c r="LF55" s="4"/>
      <c r="LG55" s="8"/>
      <c r="LH55" s="5" t="str">
        <f t="shared" si="107"/>
        <v>NO APLICA</v>
      </c>
      <c r="LI55" s="5"/>
      <c r="LJ55" s="5"/>
      <c r="LK55" s="5"/>
      <c r="LL55" s="5"/>
      <c r="LM55" s="5" t="str">
        <f t="shared" si="157"/>
        <v>NO APLICA</v>
      </c>
      <c r="LN55" s="2"/>
      <c r="LO55" s="6"/>
      <c r="LP55" s="4"/>
      <c r="LQ55" s="8"/>
      <c r="LR55" s="5" t="str">
        <f t="shared" si="144"/>
        <v>NO APLICA</v>
      </c>
      <c r="LS55" s="6"/>
      <c r="LT55" s="6"/>
      <c r="LU55" s="4"/>
      <c r="LV55" s="8"/>
      <c r="LW55" s="5" t="str">
        <f t="shared" si="145"/>
        <v>NO APLICA</v>
      </c>
      <c r="LX55" s="6"/>
      <c r="LY55" s="6"/>
      <c r="LZ55" s="4"/>
      <c r="MA55" s="8"/>
      <c r="MB55" s="5" t="str">
        <f t="shared" si="146"/>
        <v>NO APLICA</v>
      </c>
      <c r="MC55" s="2"/>
      <c r="MD55" s="2"/>
      <c r="ME55" s="4"/>
      <c r="MF55" s="8"/>
      <c r="MG55" s="5" t="str">
        <f t="shared" si="108"/>
        <v>NO APLICA</v>
      </c>
      <c r="MH55" s="2"/>
      <c r="MI55" s="2"/>
      <c r="MJ55" s="4"/>
      <c r="MK55" s="8"/>
      <c r="ML55" s="5" t="str">
        <f t="shared" si="109"/>
        <v>NO APLICA</v>
      </c>
      <c r="MM55" s="5"/>
      <c r="MN55" s="2"/>
      <c r="MO55" s="4"/>
      <c r="MP55" s="8"/>
      <c r="MQ55" s="5" t="str">
        <f t="shared" si="110"/>
        <v>NO APLICA</v>
      </c>
      <c r="MR55" s="5"/>
      <c r="MS55" s="2"/>
      <c r="MT55" s="4"/>
      <c r="MU55" s="2"/>
      <c r="MV55" s="5" t="str">
        <f t="shared" si="111"/>
        <v>NO APLICA</v>
      </c>
      <c r="MW55" s="2"/>
      <c r="MX55" s="6"/>
      <c r="MY55" s="4"/>
      <c r="MZ55" s="8"/>
      <c r="NA55" s="5" t="str">
        <f t="shared" si="112"/>
        <v>NO APLICA</v>
      </c>
      <c r="NB55" s="2"/>
      <c r="NC55" s="6"/>
      <c r="ND55" s="4"/>
      <c r="NE55" s="8"/>
      <c r="NF55" s="5" t="str">
        <f t="shared" si="113"/>
        <v>NO APLICA</v>
      </c>
      <c r="NG55" s="2"/>
      <c r="NH55" s="6"/>
      <c r="NI55" s="4"/>
      <c r="NJ55" s="8"/>
      <c r="NK55" s="5" t="str">
        <f t="shared" si="114"/>
        <v>NO APLICA</v>
      </c>
      <c r="NL55" s="2"/>
      <c r="NM55" s="2"/>
      <c r="NN55" s="4"/>
      <c r="NO55" s="2"/>
      <c r="NP55" s="5" t="str">
        <f t="shared" si="115"/>
        <v>NO APLICA</v>
      </c>
      <c r="NQ55" s="2"/>
      <c r="NR55" s="2"/>
      <c r="NS55" s="4"/>
      <c r="NT55" s="2"/>
      <c r="NU55" s="5" t="str">
        <f t="shared" si="116"/>
        <v>NO APLICA</v>
      </c>
      <c r="NV55" s="6"/>
      <c r="NW55" s="6"/>
      <c r="NX55" s="4"/>
      <c r="NY55" s="8"/>
      <c r="NZ55" s="5" t="str">
        <f t="shared" si="117"/>
        <v>NO APLICA</v>
      </c>
      <c r="OA55" s="6"/>
      <c r="OB55" s="6"/>
      <c r="OC55" s="6"/>
      <c r="OD55" s="6"/>
      <c r="OE55" s="5" t="str">
        <f t="shared" si="118"/>
        <v>NO APLICA</v>
      </c>
      <c r="OF55" s="6"/>
      <c r="OG55" s="6"/>
      <c r="OH55" s="4"/>
      <c r="OI55" s="8"/>
      <c r="OJ55" s="5" t="str">
        <f t="shared" si="119"/>
        <v>NO APLICA</v>
      </c>
      <c r="OK55" s="6"/>
      <c r="OL55" s="6"/>
      <c r="OM55" s="6"/>
      <c r="ON55" s="6"/>
      <c r="OO55" s="5" t="str">
        <f t="shared" si="120"/>
        <v>NO APLICA</v>
      </c>
      <c r="OP55" s="6"/>
      <c r="OQ55" s="6"/>
      <c r="OR55" s="6"/>
      <c r="OS55" s="6"/>
      <c r="OT55" s="5" t="str">
        <f t="shared" si="121"/>
        <v>NO APLICA</v>
      </c>
      <c r="OU55" s="6"/>
      <c r="OV55" s="6"/>
      <c r="OW55" s="6"/>
      <c r="OX55" s="6"/>
      <c r="OY55" s="5" t="str">
        <f t="shared" si="122"/>
        <v>NO APLICA</v>
      </c>
      <c r="OZ55" s="6"/>
      <c r="PA55" s="6"/>
      <c r="PB55" s="6"/>
      <c r="PC55" s="6"/>
      <c r="PD55" s="5" t="str">
        <f t="shared" si="123"/>
        <v>NO APLICA</v>
      </c>
      <c r="PE55" s="6"/>
      <c r="PF55" s="6"/>
      <c r="PG55" s="6"/>
      <c r="PH55" s="6"/>
      <c r="PI55" s="5" t="str">
        <f t="shared" si="124"/>
        <v>NO APLICA</v>
      </c>
      <c r="PJ55" s="5"/>
      <c r="PK55" s="6"/>
      <c r="PL55" s="4"/>
      <c r="PM55" s="8"/>
      <c r="PN55" s="5" t="str">
        <f t="shared" si="125"/>
        <v>NO APLICA</v>
      </c>
      <c r="PO55" s="6"/>
      <c r="PP55" s="6"/>
      <c r="PQ55" s="6"/>
      <c r="PR55" s="6"/>
      <c r="PS55" s="5" t="str">
        <f t="shared" si="126"/>
        <v>NO APLICA</v>
      </c>
      <c r="PT55" s="5"/>
      <c r="PU55" s="6"/>
      <c r="PV55" s="6"/>
      <c r="PW55" s="6"/>
      <c r="PX55" s="5" t="str">
        <f t="shared" si="127"/>
        <v>NO APLICA</v>
      </c>
    </row>
    <row r="56" spans="1:440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199</v>
      </c>
      <c r="T56" s="5" t="str">
        <f t="shared" ca="1" si="128"/>
        <v>VIGENTE</v>
      </c>
      <c r="U56" s="2" t="s">
        <v>233</v>
      </c>
      <c r="V56" s="4">
        <v>44772</v>
      </c>
      <c r="W56" s="4">
        <f t="shared" si="2"/>
        <v>46598</v>
      </c>
      <c r="X56" s="8">
        <f t="shared" ca="1" si="3"/>
        <v>464</v>
      </c>
      <c r="Y56" s="5" t="str">
        <f t="shared" ca="1" si="4"/>
        <v>VIGENTE</v>
      </c>
      <c r="Z56" s="2" t="s">
        <v>234</v>
      </c>
      <c r="AA56" s="4">
        <v>44988</v>
      </c>
      <c r="AB56" s="4">
        <f>DATE(YEAR(AA56)+5,MONTH(AA56),DAY(AA56))</f>
        <v>46815</v>
      </c>
      <c r="AC56" s="8">
        <f ca="1">AB56-TODAY()</f>
        <v>681</v>
      </c>
      <c r="AD56" s="5" t="str">
        <f t="shared" ca="1" si="7"/>
        <v>VIGENTE</v>
      </c>
      <c r="AE56" s="3"/>
      <c r="AF56" s="4">
        <v>45589</v>
      </c>
      <c r="AG56" s="4">
        <f t="shared" si="233"/>
        <v>46318</v>
      </c>
      <c r="AH56" s="8">
        <f t="shared" ca="1" si="8"/>
        <v>184</v>
      </c>
      <c r="AI56" s="5" t="str">
        <f t="shared" ca="1" si="224"/>
        <v>VIGENTE</v>
      </c>
      <c r="AJ56" s="3"/>
      <c r="AK56" s="4">
        <v>46062</v>
      </c>
      <c r="AL56" s="4">
        <f>DATE(YEAR(AK56)+2,MONTH(AK56),DAY(AK56))</f>
        <v>46792</v>
      </c>
      <c r="AM56" s="8">
        <f t="shared" ca="1" si="10"/>
        <v>658</v>
      </c>
      <c r="AN56" s="5" t="str">
        <f t="shared" ca="1" si="11"/>
        <v>VIGENTE</v>
      </c>
      <c r="AO56" s="3"/>
      <c r="AP56" s="4">
        <v>46083</v>
      </c>
      <c r="AQ56" s="4">
        <f>DATE(YEAR(AP56)+2,MONTH(AP56),DAY(AP56))</f>
        <v>46814</v>
      </c>
      <c r="AR56" s="8">
        <f t="shared" ca="1" si="12"/>
        <v>680</v>
      </c>
      <c r="AS56" s="5" t="str">
        <f t="shared" ca="1" si="13"/>
        <v>VIGENTE</v>
      </c>
      <c r="AT56" s="3"/>
      <c r="AU56" s="4">
        <v>46070</v>
      </c>
      <c r="AV56" s="4">
        <f>DATE(YEAR(AU56)+2,MONTH(AU56),DAY(AU56))</f>
        <v>46800</v>
      </c>
      <c r="AW56" s="8">
        <f t="shared" ca="1" si="15"/>
        <v>666</v>
      </c>
      <c r="AX56" s="5" t="str">
        <f t="shared" ca="1" si="16"/>
        <v>VIGENTE</v>
      </c>
      <c r="AY56" s="3"/>
      <c r="AZ56" s="4">
        <v>45476</v>
      </c>
      <c r="BA56" s="4">
        <f>DATE(YEAR(AZ56)+2,MONTH(AZ56),DAY(AZ56)-1)</f>
        <v>46205</v>
      </c>
      <c r="BB56" s="8">
        <f t="shared" ca="1" si="17"/>
        <v>71</v>
      </c>
      <c r="BC56" s="5" t="str">
        <f t="shared" ca="1" si="18"/>
        <v>POR VENCER</v>
      </c>
      <c r="BD56" s="3"/>
      <c r="BE56" s="4">
        <v>46027</v>
      </c>
      <c r="BF56" s="4">
        <f>DATE(YEAR(BE56)+2,MONTH(BE56),DAY(BE56))</f>
        <v>46757</v>
      </c>
      <c r="BG56" s="8">
        <f t="shared" ca="1" si="19"/>
        <v>623</v>
      </c>
      <c r="BH56" s="5" t="str">
        <f t="shared" ca="1" si="20"/>
        <v>VIGENTE</v>
      </c>
      <c r="BI56" s="3"/>
      <c r="BJ56" s="4">
        <v>46051</v>
      </c>
      <c r="BK56" s="4">
        <f t="shared" si="234"/>
        <v>46781</v>
      </c>
      <c r="BL56" s="8">
        <f t="shared" ca="1" si="21"/>
        <v>647</v>
      </c>
      <c r="BM56" s="5" t="str">
        <f t="shared" ca="1" si="22"/>
        <v>VIGENTE</v>
      </c>
      <c r="BN56" s="3"/>
      <c r="BO56" s="4">
        <v>46069</v>
      </c>
      <c r="BP56" s="4">
        <f>DATE(YEAR(BO56)+2,MONTH(BO56),DAY(BO56))</f>
        <v>46799</v>
      </c>
      <c r="BQ56" s="8">
        <f t="shared" ca="1" si="23"/>
        <v>665</v>
      </c>
      <c r="BR56" s="5" t="str">
        <f t="shared" ca="1" si="24"/>
        <v>VIGENTE</v>
      </c>
      <c r="BS56" s="3"/>
      <c r="BT56" s="4">
        <v>45449</v>
      </c>
      <c r="BU56" s="4">
        <f>DATE(YEAR(BT56)+2,MONTH(BT56),DAY(BT56)-1)</f>
        <v>46178</v>
      </c>
      <c r="BV56" s="8">
        <f t="shared" ca="1" si="25"/>
        <v>44</v>
      </c>
      <c r="BW56" s="5" t="str">
        <f t="shared" ca="1" si="26"/>
        <v>POR VENCER</v>
      </c>
      <c r="BX56" s="3"/>
      <c r="BY56" s="4">
        <v>46065</v>
      </c>
      <c r="BZ56" s="4">
        <f>DATE(YEAR(BY56)+2,MONTH(BY56),DAY(BY56))</f>
        <v>46795</v>
      </c>
      <c r="CA56" s="8">
        <f t="shared" ca="1" si="27"/>
        <v>661</v>
      </c>
      <c r="CB56" s="5" t="str">
        <f t="shared" ca="1" si="28"/>
        <v>VIGENTE</v>
      </c>
      <c r="CC56" s="6" t="s">
        <v>73</v>
      </c>
      <c r="CD56" s="4">
        <v>45227</v>
      </c>
      <c r="CE56" s="4">
        <f t="shared" si="29"/>
        <v>46688</v>
      </c>
      <c r="CF56" s="8">
        <f t="shared" ca="1" si="30"/>
        <v>554</v>
      </c>
      <c r="CG56" s="5" t="str">
        <f t="shared" ca="1" si="31"/>
        <v>VIGENTE</v>
      </c>
      <c r="CH56" s="4"/>
      <c r="CI56" s="4">
        <v>46064</v>
      </c>
      <c r="CJ56" s="4">
        <f>DATE(YEAR(CI56)+2,MONTH(CI56),DAY(CI56))</f>
        <v>46794</v>
      </c>
      <c r="CK56" s="8">
        <f t="shared" ca="1" si="32"/>
        <v>660</v>
      </c>
      <c r="CL56" s="5" t="str">
        <f t="shared" ca="1" si="33"/>
        <v>VIGENTE</v>
      </c>
      <c r="CM56" s="3"/>
      <c r="CN56" s="4">
        <v>46038</v>
      </c>
      <c r="CO56" s="4">
        <f>DATE(YEAR(CN56)+2,MONTH(CN56),DAY(CN56))</f>
        <v>46768</v>
      </c>
      <c r="CP56" s="8">
        <f t="shared" ca="1" si="34"/>
        <v>634</v>
      </c>
      <c r="CQ56" s="5" t="str">
        <f t="shared" ca="1" si="35"/>
        <v>VIGENTE</v>
      </c>
      <c r="CR56" s="3"/>
      <c r="CS56" s="4">
        <v>45639</v>
      </c>
      <c r="CT56" s="4">
        <f>DATE(YEAR(CS56)+2,MONTH(CS56),DAY(CS56)-1)</f>
        <v>46368</v>
      </c>
      <c r="CU56" s="8">
        <f t="shared" ca="1" si="36"/>
        <v>234</v>
      </c>
      <c r="CV56" s="5" t="str">
        <f t="shared" ca="1" si="37"/>
        <v>VIGENTE</v>
      </c>
      <c r="CW56" s="3"/>
      <c r="CX56" s="4">
        <v>45665</v>
      </c>
      <c r="CY56" s="4">
        <f>DATE(YEAR(CX56)+2,MONTH(CX56),DAY(CX56)-1)</f>
        <v>46394</v>
      </c>
      <c r="CZ56" s="8">
        <f t="shared" ca="1" si="38"/>
        <v>260</v>
      </c>
      <c r="DA56" s="5" t="str">
        <f t="shared" ca="1" si="39"/>
        <v>VIGENTE</v>
      </c>
      <c r="DB56" s="3"/>
      <c r="DC56" s="4">
        <v>45689</v>
      </c>
      <c r="DD56" s="4">
        <f t="shared" si="231"/>
        <v>46418</v>
      </c>
      <c r="DE56" s="8">
        <f t="shared" ca="1" si="40"/>
        <v>284</v>
      </c>
      <c r="DF56" s="5" t="str">
        <f t="shared" ca="1" si="41"/>
        <v>VIGENTE</v>
      </c>
      <c r="DG56" s="3"/>
      <c r="DH56" s="4">
        <v>46029</v>
      </c>
      <c r="DI56" s="4">
        <f>DATE(YEAR(DH56)+2,MONTH(DH56),DAY(DH56))</f>
        <v>46759</v>
      </c>
      <c r="DJ56" s="8">
        <f t="shared" ca="1" si="43"/>
        <v>625</v>
      </c>
      <c r="DK56" s="5" t="str">
        <f t="shared" ca="1" si="44"/>
        <v>VIGENTE</v>
      </c>
      <c r="DL56" s="3"/>
      <c r="DM56" s="4">
        <v>45486</v>
      </c>
      <c r="DN56" s="4">
        <f>DATE(YEAR(DM56)+2,MONTH(DM56),DAY(DM56)-1)</f>
        <v>46215</v>
      </c>
      <c r="DO56" s="8">
        <f t="shared" ca="1" si="46"/>
        <v>81</v>
      </c>
      <c r="DP56" s="5" t="str">
        <f t="shared" ca="1" si="47"/>
        <v>POR VENCER</v>
      </c>
      <c r="DQ56" s="3"/>
      <c r="DR56" s="4">
        <v>46053</v>
      </c>
      <c r="DS56" s="4">
        <f>DATE(YEAR(DR56)+2,MONTH(DR56),DAY(DR56))</f>
        <v>46783</v>
      </c>
      <c r="DT56" s="8">
        <f t="shared" ca="1" si="48"/>
        <v>649</v>
      </c>
      <c r="DU56" s="5" t="str">
        <f t="shared" ca="1" si="49"/>
        <v>VIGENTE</v>
      </c>
      <c r="DV56" s="3"/>
      <c r="DW56" s="4">
        <v>46099</v>
      </c>
      <c r="DX56" s="4">
        <f>DATE(YEAR(DW56)+2,MONTH(DW56),DAY(DW56))</f>
        <v>46830</v>
      </c>
      <c r="DY56" s="8">
        <f t="shared" ca="1" si="50"/>
        <v>696</v>
      </c>
      <c r="DZ56" s="5" t="str">
        <f t="shared" ca="1" si="51"/>
        <v>VIGENTE</v>
      </c>
      <c r="EA56" s="3"/>
      <c r="EB56" s="4">
        <v>46104</v>
      </c>
      <c r="EC56" s="4">
        <f>DATE(YEAR(EB56)+2,MONTH(EB56),DAY(EB56))</f>
        <v>46835</v>
      </c>
      <c r="ED56" s="8">
        <f t="shared" ca="1" si="52"/>
        <v>701</v>
      </c>
      <c r="EE56" s="5" t="str">
        <f t="shared" ca="1" si="53"/>
        <v>VIGENTE</v>
      </c>
      <c r="EF56" s="3"/>
      <c r="EG56" s="4">
        <v>45948</v>
      </c>
      <c r="EH56" s="4">
        <f t="shared" si="137"/>
        <v>46313</v>
      </c>
      <c r="EI56" s="8">
        <f t="shared" ca="1" si="54"/>
        <v>179</v>
      </c>
      <c r="EJ56" s="5" t="str">
        <f t="shared" ca="1" si="55"/>
        <v>VIGENTE</v>
      </c>
      <c r="EK56" s="3"/>
      <c r="EL56" s="4">
        <v>46100</v>
      </c>
      <c r="EM56" s="4">
        <f>DATE(YEAR(EL56)+2,MONTH(EL56),DAY(EL56))</f>
        <v>46831</v>
      </c>
      <c r="EN56" s="8">
        <f t="shared" ca="1" si="56"/>
        <v>697</v>
      </c>
      <c r="EO56" s="5" t="str">
        <f t="shared" ca="1" si="57"/>
        <v>VIGENTE</v>
      </c>
      <c r="EP56" s="3"/>
      <c r="EQ56" s="4">
        <v>46094</v>
      </c>
      <c r="ER56" s="4">
        <f>DATE(YEAR(EQ56)+2,MONTH(EQ56),DAY(EQ56))</f>
        <v>46825</v>
      </c>
      <c r="ES56" s="8">
        <f t="shared" ca="1" si="58"/>
        <v>691</v>
      </c>
      <c r="ET56" s="5" t="str">
        <f t="shared" ca="1" si="59"/>
        <v>VIGENTE</v>
      </c>
      <c r="EU56" s="3"/>
      <c r="EV56" s="4">
        <v>46063</v>
      </c>
      <c r="EW56" s="4">
        <f>DATE(YEAR(EV56)+2,MONTH(EV56),DAY(EV56))</f>
        <v>46793</v>
      </c>
      <c r="EX56" s="8">
        <f t="shared" ca="1" si="60"/>
        <v>659</v>
      </c>
      <c r="EY56" s="5" t="str">
        <f t="shared" ca="1" si="61"/>
        <v>VIGENTE</v>
      </c>
      <c r="EZ56" s="3"/>
      <c r="FA56" s="4">
        <v>46091</v>
      </c>
      <c r="FB56" s="4">
        <f>DATE(YEAR(FA56)+2,MONTH(FA56),DAY(FA56))</f>
        <v>46822</v>
      </c>
      <c r="FC56" s="8">
        <f t="shared" ca="1" si="62"/>
        <v>688</v>
      </c>
      <c r="FD56" s="5" t="str">
        <f t="shared" ca="1" si="63"/>
        <v>VIGENTE</v>
      </c>
      <c r="FE56" s="3"/>
      <c r="FF56" s="4">
        <v>46066</v>
      </c>
      <c r="FG56" s="4">
        <f>DATE(YEAR(FF56)+2,MONTH(FF56),DAY(FF56))</f>
        <v>46796</v>
      </c>
      <c r="FH56" s="8">
        <f t="shared" ca="1" si="64"/>
        <v>662</v>
      </c>
      <c r="FI56" s="5" t="str">
        <f t="shared" ca="1" si="65"/>
        <v>VIGENTE</v>
      </c>
      <c r="FJ56" s="3"/>
      <c r="FK56" s="4">
        <v>46102</v>
      </c>
      <c r="FL56" s="4">
        <f>DATE(YEAR(FK56)+2,MONTH(FK56),DAY(FK56))</f>
        <v>46833</v>
      </c>
      <c r="FM56" s="8">
        <f t="shared" ca="1" si="67"/>
        <v>699</v>
      </c>
      <c r="FN56" s="5" t="str">
        <f t="shared" ca="1" si="68"/>
        <v>VIGENTE</v>
      </c>
      <c r="FO56" s="3"/>
      <c r="FP56" s="4">
        <v>46057</v>
      </c>
      <c r="FQ56" s="4">
        <f>DATE(YEAR(FP56)+2,MONTH(FP56),DAY(FP56))</f>
        <v>46787</v>
      </c>
      <c r="FR56" s="8">
        <f t="shared" ca="1" si="69"/>
        <v>653</v>
      </c>
      <c r="FS56" s="5" t="str">
        <f t="shared" ca="1" si="70"/>
        <v>VIGENTE</v>
      </c>
      <c r="FT56" s="3"/>
      <c r="FU56" s="4">
        <v>45581</v>
      </c>
      <c r="FV56" s="4">
        <f>DATE(YEAR(FU56)+2,MONTH(FU56),DAY(FU56)-1)</f>
        <v>46310</v>
      </c>
      <c r="FW56" s="8">
        <f t="shared" ca="1" si="71"/>
        <v>176</v>
      </c>
      <c r="FX56" s="5" t="str">
        <f t="shared" ca="1" si="72"/>
        <v>VIGENTE</v>
      </c>
      <c r="FY56" s="3"/>
      <c r="FZ56" s="4">
        <v>46030</v>
      </c>
      <c r="GA56" s="4">
        <f>DATE(YEAR(FZ56)+2,MONTH(FZ56),DAY(FZ56))</f>
        <v>46760</v>
      </c>
      <c r="GB56" s="8">
        <f t="shared" ca="1" si="73"/>
        <v>626</v>
      </c>
      <c r="GC56" s="5" t="str">
        <f t="shared" ca="1" si="74"/>
        <v>VIGENTE</v>
      </c>
      <c r="GD56" s="3"/>
      <c r="GE56" s="4">
        <v>46036</v>
      </c>
      <c r="GF56" s="4">
        <f>DATE(YEAR(GE56)+2,MONTH(GE56),DAY(GE56))</f>
        <v>46766</v>
      </c>
      <c r="GG56" s="8">
        <f t="shared" ca="1" si="75"/>
        <v>632</v>
      </c>
      <c r="GH56" s="5" t="str">
        <f t="shared" ca="1" si="76"/>
        <v>VIGENTE</v>
      </c>
      <c r="GI56" s="3"/>
      <c r="GJ56" s="4">
        <v>46071</v>
      </c>
      <c r="GK56" s="4">
        <f>DATE(YEAR(GJ56)+2,MONTH(GJ56),DAY(GJ56))</f>
        <v>46801</v>
      </c>
      <c r="GL56" s="8">
        <f t="shared" ca="1" si="77"/>
        <v>667</v>
      </c>
      <c r="GM56" s="5" t="str">
        <f t="shared" ca="1" si="78"/>
        <v>VIGENTE</v>
      </c>
      <c r="GN56" s="4"/>
      <c r="GO56" s="4">
        <v>45468</v>
      </c>
      <c r="GP56" s="4">
        <f t="shared" si="79"/>
        <v>47294</v>
      </c>
      <c r="GQ56" s="8">
        <f t="shared" ca="1" si="181"/>
        <v>1160</v>
      </c>
      <c r="GR56" s="5" t="str">
        <f t="shared" ca="1" si="81"/>
        <v>VIGENTE</v>
      </c>
      <c r="GS56" s="3"/>
      <c r="GT56" s="4">
        <v>45417</v>
      </c>
      <c r="GU56" s="4">
        <f t="shared" si="82"/>
        <v>47243</v>
      </c>
      <c r="GV56" s="8">
        <f t="shared" ca="1" si="83"/>
        <v>1109</v>
      </c>
      <c r="GW56" s="5" t="str">
        <f t="shared" ca="1" si="84"/>
        <v>VIGENTE</v>
      </c>
      <c r="GX56" s="3"/>
      <c r="GY56" s="4">
        <v>45466</v>
      </c>
      <c r="GZ56" s="4">
        <f t="shared" si="85"/>
        <v>47292</v>
      </c>
      <c r="HA56" s="8">
        <f t="shared" ca="1" si="86"/>
        <v>1158</v>
      </c>
      <c r="HB56" s="5" t="str">
        <f t="shared" ca="1" si="87"/>
        <v>VIGENTE</v>
      </c>
      <c r="HC56" s="6"/>
      <c r="HD56" s="4">
        <v>44879</v>
      </c>
      <c r="HE56" s="4">
        <f>DATE(YEAR(HD56)+5,MONTH(HD56),DAY(HD56))</f>
        <v>46705</v>
      </c>
      <c r="HF56" s="8">
        <f ca="1">HE56-TODAY()</f>
        <v>571</v>
      </c>
      <c r="HG56" s="5" t="str">
        <f t="shared" ca="1" si="228"/>
        <v>VIGENTE</v>
      </c>
      <c r="HH56" s="2"/>
      <c r="HI56" s="4">
        <v>45331</v>
      </c>
      <c r="HJ56" s="4">
        <f>DATE(YEAR(HI56)+5,MONTH(HI56),DAY(HI56))</f>
        <v>47158</v>
      </c>
      <c r="HK56" s="8">
        <f ca="1">HJ56-TODAY()</f>
        <v>1024</v>
      </c>
      <c r="HL56" s="5" t="str">
        <f t="shared" ca="1" si="232"/>
        <v>VIGENTE</v>
      </c>
      <c r="HM56" s="2"/>
      <c r="HN56" s="3">
        <v>45374</v>
      </c>
      <c r="HO56" s="4">
        <f>DATE(YEAR(HN56)+5,MONTH(HN56),DAY(HN56))</f>
        <v>47200</v>
      </c>
      <c r="HP56" s="8">
        <f ca="1">HO56-TODAY()</f>
        <v>1066</v>
      </c>
      <c r="HQ56" s="5" t="str">
        <f t="shared" ca="1" si="92"/>
        <v>VIGENTE</v>
      </c>
      <c r="HR56" s="3"/>
      <c r="HS56" s="4">
        <v>45469</v>
      </c>
      <c r="HT56" s="4">
        <f>DATE(YEAR(HS56)+5,MONTH(HS56),DAY(HS56))</f>
        <v>47295</v>
      </c>
      <c r="HU56" s="8">
        <f ca="1">HT56-TODAY()</f>
        <v>1161</v>
      </c>
      <c r="HV56" s="5" t="str">
        <f t="shared" ca="1" si="93"/>
        <v>VIGENTE</v>
      </c>
      <c r="HW56" s="3"/>
      <c r="HX56" s="4">
        <v>45492</v>
      </c>
      <c r="HY56" s="4">
        <f>DATE(YEAR(HX56)+5,MONTH(HX56),DAY(HX56))</f>
        <v>47318</v>
      </c>
      <c r="HZ56" s="8">
        <f ca="1">HY56-TODAY()</f>
        <v>1184</v>
      </c>
      <c r="IA56" s="5" t="str">
        <f t="shared" ca="1" si="94"/>
        <v>VIGENTE</v>
      </c>
      <c r="IB56" s="3"/>
      <c r="IC56" s="4">
        <v>45470</v>
      </c>
      <c r="ID56" s="4">
        <f>DATE(YEAR(IC56)+5,MONTH(IC56),DAY(IC56))</f>
        <v>47296</v>
      </c>
      <c r="IE56" s="8">
        <f ca="1">ID56-TODAY()</f>
        <v>1162</v>
      </c>
      <c r="IF56" s="5" t="str">
        <f t="shared" ca="1" si="95"/>
        <v>VIGENTE</v>
      </c>
      <c r="IG56" s="4"/>
      <c r="IH56" s="4">
        <v>45485</v>
      </c>
      <c r="II56" s="4">
        <f>DATE(YEAR(IH56)+5,MONTH(IH56),DAY(IH56))</f>
        <v>47311</v>
      </c>
      <c r="IJ56" s="8">
        <f ca="1">II56-TODAY()</f>
        <v>1177</v>
      </c>
      <c r="IK56" s="5" t="str">
        <f t="shared" ca="1" si="96"/>
        <v>VIGENTE</v>
      </c>
      <c r="IL56" s="3"/>
      <c r="IM56" s="4">
        <v>45433</v>
      </c>
      <c r="IN56" s="4">
        <f>DATE(YEAR(IM56)+5,MONTH(IM56),DAY(IM56))</f>
        <v>47259</v>
      </c>
      <c r="IO56" s="8">
        <f ca="1">IN56-TODAY()</f>
        <v>1125</v>
      </c>
      <c r="IP56" s="5" t="str">
        <f t="shared" ca="1" si="97"/>
        <v>VIGENTE</v>
      </c>
      <c r="IQ56" s="3"/>
      <c r="IR56" s="3">
        <v>45471</v>
      </c>
      <c r="IS56" s="4">
        <f>DATE(YEAR(IR56)+5,MONTH(IR56),DAY(IR56))</f>
        <v>47297</v>
      </c>
      <c r="IT56" s="8">
        <f ca="1">IS56-TODAY()</f>
        <v>1163</v>
      </c>
      <c r="IU56" s="5" t="str">
        <f t="shared" ca="1" si="98"/>
        <v>VIGENTE</v>
      </c>
      <c r="IV56" s="3"/>
      <c r="IW56" s="4">
        <v>45477</v>
      </c>
      <c r="IX56" s="4">
        <f>DATE(YEAR(IW56)+5,MONTH(IW56),DAY(IW56))</f>
        <v>47303</v>
      </c>
      <c r="IY56" s="8">
        <f ca="1">IX56-TODAY()</f>
        <v>1169</v>
      </c>
      <c r="IZ56" s="5" t="str">
        <f t="shared" ca="1" si="99"/>
        <v>VIGENTE</v>
      </c>
      <c r="JA56" s="3"/>
      <c r="JB56" s="3"/>
      <c r="JC56" s="4"/>
      <c r="JD56" s="8"/>
      <c r="JE56" s="5" t="str">
        <f t="shared" si="100"/>
        <v>NO APLICA</v>
      </c>
      <c r="JF56" s="6"/>
      <c r="JG56" s="6"/>
      <c r="JH56" s="6"/>
      <c r="JI56" s="6"/>
      <c r="JJ56" s="5" t="str">
        <f t="shared" si="101"/>
        <v>NO APLICA</v>
      </c>
      <c r="JK56" s="6"/>
      <c r="JL56" s="6"/>
      <c r="JM56" s="6"/>
      <c r="JN56" s="6"/>
      <c r="JO56" s="5" t="str">
        <f t="shared" si="102"/>
        <v>NO APLICA</v>
      </c>
      <c r="JP56" s="6"/>
      <c r="JQ56" s="6"/>
      <c r="JR56" s="6"/>
      <c r="JS56" s="6"/>
      <c r="JT56" s="5" t="str">
        <f t="shared" si="103"/>
        <v>NO APLICA</v>
      </c>
      <c r="JU56" s="5"/>
      <c r="JV56" s="5"/>
      <c r="JW56" s="5"/>
      <c r="JX56" s="5"/>
      <c r="JY56" s="5" t="str">
        <f t="shared" si="104"/>
        <v>NO APLICA</v>
      </c>
      <c r="JZ56" s="5"/>
      <c r="KA56" s="2"/>
      <c r="KB56" s="4"/>
      <c r="KC56" s="8"/>
      <c r="KD56" s="5" t="str">
        <f t="shared" si="105"/>
        <v>NO APLICA</v>
      </c>
      <c r="KE56" s="5"/>
      <c r="KF56" s="2"/>
      <c r="KG56" s="4"/>
      <c r="KH56" s="8"/>
      <c r="KI56" s="5" t="str">
        <f t="shared" si="141"/>
        <v>NO APLICA</v>
      </c>
      <c r="KJ56" s="5"/>
      <c r="KK56" s="2"/>
      <c r="KL56" s="4"/>
      <c r="KM56" s="8"/>
      <c r="KN56" s="5" t="str">
        <f t="shared" si="106"/>
        <v>NO APLICA</v>
      </c>
      <c r="KO56" s="5"/>
      <c r="KP56" s="2"/>
      <c r="KQ56" s="4"/>
      <c r="KR56" s="8"/>
      <c r="KS56" s="5" t="str">
        <f t="shared" si="142"/>
        <v>NO APLICA</v>
      </c>
      <c r="KT56" s="2"/>
      <c r="KU56" s="6"/>
      <c r="KV56" s="4"/>
      <c r="KW56" s="8"/>
      <c r="KX56" s="5" t="str">
        <f t="shared" si="156"/>
        <v>NO APLICA</v>
      </c>
      <c r="KY56" s="5"/>
      <c r="KZ56" s="6"/>
      <c r="LA56" s="4"/>
      <c r="LB56" s="8"/>
      <c r="LC56" s="5" t="str">
        <f t="shared" si="143"/>
        <v>NO APLICA</v>
      </c>
      <c r="LD56" s="6"/>
      <c r="LE56" s="6"/>
      <c r="LF56" s="4"/>
      <c r="LG56" s="8"/>
      <c r="LH56" s="5" t="str">
        <f t="shared" si="107"/>
        <v>NO APLICA</v>
      </c>
      <c r="LI56" s="5"/>
      <c r="LJ56" s="5"/>
      <c r="LK56" s="4"/>
      <c r="LL56" s="8"/>
      <c r="LM56" s="5" t="str">
        <f t="shared" si="157"/>
        <v>NO APLICA</v>
      </c>
      <c r="LN56" s="2"/>
      <c r="LO56" s="6"/>
      <c r="LP56" s="4"/>
      <c r="LQ56" s="8"/>
      <c r="LR56" s="5" t="str">
        <f t="shared" si="144"/>
        <v>NO APLICA</v>
      </c>
      <c r="LS56" s="6"/>
      <c r="LT56" s="6"/>
      <c r="LU56" s="4"/>
      <c r="LV56" s="8"/>
      <c r="LW56" s="5" t="str">
        <f t="shared" si="145"/>
        <v>NO APLICA</v>
      </c>
      <c r="LX56" s="6"/>
      <c r="LY56" s="6"/>
      <c r="LZ56" s="4"/>
      <c r="MA56" s="8"/>
      <c r="MB56" s="5" t="str">
        <f t="shared" si="146"/>
        <v>NO APLICA</v>
      </c>
      <c r="MC56" s="2"/>
      <c r="MD56" s="2"/>
      <c r="ME56" s="4"/>
      <c r="MF56" s="8"/>
      <c r="MG56" s="5" t="str">
        <f t="shared" si="108"/>
        <v>NO APLICA</v>
      </c>
      <c r="MH56" s="2"/>
      <c r="MI56" s="2"/>
      <c r="MJ56" s="4"/>
      <c r="MK56" s="8"/>
      <c r="ML56" s="5" t="str">
        <f t="shared" si="109"/>
        <v>NO APLICA</v>
      </c>
      <c r="MM56" s="5"/>
      <c r="MN56" s="2"/>
      <c r="MO56" s="4"/>
      <c r="MP56" s="8"/>
      <c r="MQ56" s="5" t="str">
        <f t="shared" si="110"/>
        <v>NO APLICA</v>
      </c>
      <c r="MR56" s="5"/>
      <c r="MS56" s="2"/>
      <c r="MT56" s="4"/>
      <c r="MU56" s="2"/>
      <c r="MV56" s="5" t="str">
        <f t="shared" si="111"/>
        <v>NO APLICA</v>
      </c>
      <c r="MW56" s="2"/>
      <c r="MX56" s="6"/>
      <c r="MY56" s="4"/>
      <c r="MZ56" s="8"/>
      <c r="NA56" s="5" t="str">
        <f t="shared" si="112"/>
        <v>NO APLICA</v>
      </c>
      <c r="NB56" s="2"/>
      <c r="NC56" s="6"/>
      <c r="ND56" s="4"/>
      <c r="NE56" s="8"/>
      <c r="NF56" s="5" t="str">
        <f t="shared" si="113"/>
        <v>NO APLICA</v>
      </c>
      <c r="NG56" s="2"/>
      <c r="NH56" s="6"/>
      <c r="NI56" s="4"/>
      <c r="NJ56" s="8"/>
      <c r="NK56" s="5" t="str">
        <f t="shared" si="114"/>
        <v>NO APLICA</v>
      </c>
      <c r="NL56" s="2"/>
      <c r="NM56" s="2"/>
      <c r="NN56" s="4"/>
      <c r="NO56" s="2"/>
      <c r="NP56" s="5" t="str">
        <f t="shared" si="115"/>
        <v>NO APLICA</v>
      </c>
      <c r="NQ56" s="2"/>
      <c r="NR56" s="2"/>
      <c r="NS56" s="4"/>
      <c r="NT56" s="2"/>
      <c r="NU56" s="5" t="str">
        <f t="shared" si="116"/>
        <v>NO APLICA</v>
      </c>
      <c r="NV56" s="6"/>
      <c r="NW56" s="6"/>
      <c r="NX56" s="4"/>
      <c r="NY56" s="8"/>
      <c r="NZ56" s="5" t="str">
        <f t="shared" si="117"/>
        <v>NO APLICA</v>
      </c>
      <c r="OA56" s="6"/>
      <c r="OB56" s="6"/>
      <c r="OC56" s="6"/>
      <c r="OD56" s="6"/>
      <c r="OE56" s="5" t="str">
        <f t="shared" si="118"/>
        <v>NO APLICA</v>
      </c>
      <c r="OF56" s="2"/>
      <c r="OG56" s="2"/>
      <c r="OH56" s="4"/>
      <c r="OI56" s="8"/>
      <c r="OJ56" s="5" t="str">
        <f t="shared" si="119"/>
        <v>NO APLICA</v>
      </c>
      <c r="OK56" s="6"/>
      <c r="OL56" s="6"/>
      <c r="OM56" s="6"/>
      <c r="ON56" s="6"/>
      <c r="OO56" s="5" t="str">
        <f t="shared" si="120"/>
        <v>NO APLICA</v>
      </c>
      <c r="OP56" s="6"/>
      <c r="OQ56" s="6"/>
      <c r="OR56" s="6"/>
      <c r="OS56" s="6"/>
      <c r="OT56" s="5" t="str">
        <f t="shared" si="121"/>
        <v>NO APLICA</v>
      </c>
      <c r="OU56" s="6"/>
      <c r="OV56" s="6"/>
      <c r="OW56" s="6"/>
      <c r="OX56" s="6"/>
      <c r="OY56" s="5" t="str">
        <f t="shared" si="122"/>
        <v>NO APLICA</v>
      </c>
      <c r="OZ56" s="6"/>
      <c r="PA56" s="6"/>
      <c r="PB56" s="6"/>
      <c r="PC56" s="6"/>
      <c r="PD56" s="5" t="str">
        <f t="shared" si="123"/>
        <v>NO APLICA</v>
      </c>
      <c r="PE56" s="6"/>
      <c r="PF56" s="6"/>
      <c r="PG56" s="6"/>
      <c r="PH56" s="6"/>
      <c r="PI56" s="5" t="str">
        <f t="shared" si="124"/>
        <v>NO APLICA</v>
      </c>
      <c r="PJ56" s="5"/>
      <c r="PK56" s="6"/>
      <c r="PL56" s="4"/>
      <c r="PM56" s="8"/>
      <c r="PN56" s="5" t="str">
        <f t="shared" si="125"/>
        <v>NO APLICA</v>
      </c>
      <c r="PO56" s="6"/>
      <c r="PP56" s="6"/>
      <c r="PQ56" s="6"/>
      <c r="PR56" s="6"/>
      <c r="PS56" s="5" t="str">
        <f t="shared" si="126"/>
        <v>NO APLICA</v>
      </c>
      <c r="PT56" s="5"/>
      <c r="PU56" s="6"/>
      <c r="PV56" s="6"/>
      <c r="PW56" s="6"/>
      <c r="PX56" s="5" t="str">
        <f t="shared" si="127"/>
        <v>NO APLICA</v>
      </c>
    </row>
    <row r="57" spans="1:440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236</v>
      </c>
      <c r="V57" s="4">
        <v>44829</v>
      </c>
      <c r="W57" s="4">
        <f t="shared" si="2"/>
        <v>46655</v>
      </c>
      <c r="X57" s="8">
        <f t="shared" ca="1" si="3"/>
        <v>521</v>
      </c>
      <c r="Y57" s="5" t="str">
        <f t="shared" ca="1" si="4"/>
        <v>VIGENTE</v>
      </c>
      <c r="Z57" s="2" t="s">
        <v>237</v>
      </c>
      <c r="AA57" s="4">
        <v>44828</v>
      </c>
      <c r="AB57" s="4">
        <f>DATE(YEAR(AA57)+5,MONTH(AA57),DAY(AA57))</f>
        <v>46654</v>
      </c>
      <c r="AC57" s="8">
        <f ca="1">AB57-TODAY()</f>
        <v>520</v>
      </c>
      <c r="AD57" s="5" t="str">
        <f t="shared" ca="1" si="7"/>
        <v>VIGENTE</v>
      </c>
      <c r="AE57" s="3"/>
      <c r="AF57" s="3">
        <v>45589</v>
      </c>
      <c r="AG57" s="4">
        <f t="shared" si="233"/>
        <v>46318</v>
      </c>
      <c r="AH57" s="8">
        <f t="shared" ca="1" si="8"/>
        <v>184</v>
      </c>
      <c r="AI57" s="5" t="str">
        <f t="shared" ca="1" si="224"/>
        <v>VIGENTE</v>
      </c>
      <c r="AJ57" s="3"/>
      <c r="AK57" s="4">
        <v>45926</v>
      </c>
      <c r="AL57" s="4">
        <f>DATE(YEAR(AK57)+2,MONTH(AK57),DAY(AK57))</f>
        <v>46656</v>
      </c>
      <c r="AM57" s="8">
        <f t="shared" ca="1" si="10"/>
        <v>522</v>
      </c>
      <c r="AN57" s="5" t="str">
        <f t="shared" ca="1" si="11"/>
        <v>VIGENTE</v>
      </c>
      <c r="AO57" s="3"/>
      <c r="AP57" s="4">
        <v>45971</v>
      </c>
      <c r="AQ57" s="4">
        <f>DATE(YEAR(AP57)+2,MONTH(AP57),DAY(AP57))</f>
        <v>46701</v>
      </c>
      <c r="AR57" s="8">
        <f t="shared" ca="1" si="12"/>
        <v>567</v>
      </c>
      <c r="AS57" s="5" t="str">
        <f t="shared" ca="1" si="13"/>
        <v>VIGENTE</v>
      </c>
      <c r="AT57" s="3"/>
      <c r="AU57" s="4">
        <v>45952</v>
      </c>
      <c r="AV57" s="4">
        <f>DATE(YEAR(AU57)+2,MONTH(AU57),DAY(AU57))</f>
        <v>46682</v>
      </c>
      <c r="AW57" s="8">
        <f t="shared" ca="1" si="15"/>
        <v>548</v>
      </c>
      <c r="AX57" s="5" t="str">
        <f t="shared" ca="1" si="16"/>
        <v>VIGENTE</v>
      </c>
      <c r="AY57" s="3"/>
      <c r="AZ57" s="4">
        <v>46041</v>
      </c>
      <c r="BA57" s="4">
        <f>DATE(YEAR(AZ57)+2,MONTH(AZ57),DAY(AZ57))</f>
        <v>46771</v>
      </c>
      <c r="BB57" s="8">
        <f t="shared" ca="1" si="17"/>
        <v>637</v>
      </c>
      <c r="BC57" s="5" t="str">
        <f t="shared" ca="1" si="18"/>
        <v>VIGENTE</v>
      </c>
      <c r="BD57" s="3"/>
      <c r="BE57" s="4">
        <v>45987</v>
      </c>
      <c r="BF57" s="4">
        <f>DATE(YEAR(BE57)+2,MONTH(BE57),DAY(BE57))</f>
        <v>46717</v>
      </c>
      <c r="BG57" s="8">
        <f t="shared" ca="1" si="19"/>
        <v>583</v>
      </c>
      <c r="BH57" s="5" t="str">
        <f t="shared" ca="1" si="20"/>
        <v>VIGENTE</v>
      </c>
      <c r="BI57" s="3"/>
      <c r="BJ57" s="4">
        <v>46035</v>
      </c>
      <c r="BK57" s="4">
        <f t="shared" si="234"/>
        <v>46765</v>
      </c>
      <c r="BL57" s="8">
        <f t="shared" ca="1" si="21"/>
        <v>631</v>
      </c>
      <c r="BM57" s="5" t="str">
        <f t="shared" ca="1" si="22"/>
        <v>VIGENTE</v>
      </c>
      <c r="BN57" s="3"/>
      <c r="BO57" s="4">
        <v>46069</v>
      </c>
      <c r="BP57" s="4">
        <f>DATE(YEAR(BO57)+2,MONTH(BO57),DAY(BO57))</f>
        <v>46799</v>
      </c>
      <c r="BQ57" s="8">
        <f t="shared" ca="1" si="23"/>
        <v>665</v>
      </c>
      <c r="BR57" s="5" t="str">
        <f t="shared" ca="1" si="24"/>
        <v>VIGENTE</v>
      </c>
      <c r="BS57" s="3"/>
      <c r="BT57" s="4">
        <v>46031</v>
      </c>
      <c r="BU57" s="4">
        <f>DATE(YEAR(BT57)+2,MONTH(BT57),DAY(BT57))</f>
        <v>46761</v>
      </c>
      <c r="BV57" s="8">
        <f t="shared" ca="1" si="25"/>
        <v>627</v>
      </c>
      <c r="BW57" s="5" t="str">
        <f t="shared" ca="1" si="26"/>
        <v>VIGENTE</v>
      </c>
      <c r="BX57" s="3"/>
      <c r="BY57" s="4">
        <v>45954</v>
      </c>
      <c r="BZ57" s="4">
        <f>DATE(YEAR(BY57)+2,MONTH(BY57),DAY(BY57))</f>
        <v>46684</v>
      </c>
      <c r="CA57" s="8">
        <f t="shared" ca="1" si="27"/>
        <v>550</v>
      </c>
      <c r="CB57" s="5" t="str">
        <f t="shared" ca="1" si="28"/>
        <v>VIGENTE</v>
      </c>
      <c r="CC57" s="6" t="s">
        <v>73</v>
      </c>
      <c r="CD57" s="4">
        <v>45247</v>
      </c>
      <c r="CE57" s="4">
        <f t="shared" si="29"/>
        <v>46708</v>
      </c>
      <c r="CF57" s="8">
        <f t="shared" ca="1" si="30"/>
        <v>574</v>
      </c>
      <c r="CG57" s="5" t="str">
        <f t="shared" ca="1" si="31"/>
        <v>VIGENTE</v>
      </c>
      <c r="CH57" s="4"/>
      <c r="CI57" s="4">
        <v>46018</v>
      </c>
      <c r="CJ57" s="4">
        <f>DATE(YEAR(CI57)+2,MONTH(CI57),DAY(CI57))</f>
        <v>46748</v>
      </c>
      <c r="CK57" s="8">
        <f t="shared" ca="1" si="32"/>
        <v>614</v>
      </c>
      <c r="CL57" s="5" t="str">
        <f t="shared" ca="1" si="33"/>
        <v>VIGENTE</v>
      </c>
      <c r="CM57" s="3"/>
      <c r="CN57" s="4">
        <v>45517</v>
      </c>
      <c r="CO57" s="4">
        <f>DATE(YEAR(CN57)+2,MONTH(CN57),DAY(CN57)-1)</f>
        <v>46246</v>
      </c>
      <c r="CP57" s="8">
        <f t="shared" ca="1" si="34"/>
        <v>112</v>
      </c>
      <c r="CQ57" s="5" t="str">
        <f t="shared" ca="1" si="35"/>
        <v>VIGENTE</v>
      </c>
      <c r="CR57" s="3"/>
      <c r="CS57" s="4">
        <v>45631</v>
      </c>
      <c r="CT57" s="4">
        <f>DATE(YEAR(CS57)+2,MONTH(CS57),DAY(CS57)-1)</f>
        <v>46360</v>
      </c>
      <c r="CU57" s="8">
        <f t="shared" ca="1" si="36"/>
        <v>226</v>
      </c>
      <c r="CV57" s="5" t="str">
        <f t="shared" ca="1" si="37"/>
        <v>VIGENTE</v>
      </c>
      <c r="CW57" s="3"/>
      <c r="CX57" s="4">
        <v>46028</v>
      </c>
      <c r="CY57" s="4">
        <f>DATE(YEAR(CX57)+2,MONTH(CX57),DAY(CX57))</f>
        <v>46758</v>
      </c>
      <c r="CZ57" s="8">
        <f t="shared" ca="1" si="38"/>
        <v>624</v>
      </c>
      <c r="DA57" s="5" t="str">
        <f t="shared" ca="1" si="39"/>
        <v>VIGENTE</v>
      </c>
      <c r="DB57" s="3"/>
      <c r="DC57" s="4">
        <v>45689</v>
      </c>
      <c r="DD57" s="4">
        <f t="shared" si="231"/>
        <v>46418</v>
      </c>
      <c r="DE57" s="8">
        <f t="shared" ca="1" si="40"/>
        <v>284</v>
      </c>
      <c r="DF57" s="5" t="str">
        <f t="shared" ca="1" si="41"/>
        <v>VIGENTE</v>
      </c>
      <c r="DG57" s="3"/>
      <c r="DH57" s="4">
        <v>46029</v>
      </c>
      <c r="DI57" s="4">
        <f>DATE(YEAR(DH57)+2,MONTH(DH57),DAY(DH57))</f>
        <v>46759</v>
      </c>
      <c r="DJ57" s="8">
        <f t="shared" ca="1" si="43"/>
        <v>625</v>
      </c>
      <c r="DK57" s="5" t="str">
        <f t="shared" ca="1" si="44"/>
        <v>VIGENTE</v>
      </c>
      <c r="DL57" s="3"/>
      <c r="DM57" s="4">
        <v>45982</v>
      </c>
      <c r="DN57" s="4">
        <f>DATE(YEAR(DM57)+2,MONTH(DM57),DAY(DM57))</f>
        <v>46712</v>
      </c>
      <c r="DO57" s="8">
        <f t="shared" ca="1" si="46"/>
        <v>578</v>
      </c>
      <c r="DP57" s="5" t="str">
        <f t="shared" ca="1" si="47"/>
        <v>VIGENTE</v>
      </c>
      <c r="DQ57" s="3"/>
      <c r="DR57" s="4">
        <v>46053</v>
      </c>
      <c r="DS57" s="4">
        <f>DATE(YEAR(DR57)+2,MONTH(DR57),DAY(DR57))</f>
        <v>46783</v>
      </c>
      <c r="DT57" s="8">
        <f t="shared" ca="1" si="48"/>
        <v>649</v>
      </c>
      <c r="DU57" s="5" t="str">
        <f t="shared" ca="1" si="49"/>
        <v>VIGENTE</v>
      </c>
      <c r="DV57" s="3"/>
      <c r="DW57" s="4">
        <v>46032</v>
      </c>
      <c r="DX57" s="4">
        <f>DATE(YEAR(DW57)+2,MONTH(DW57),DAY(DW57))</f>
        <v>46762</v>
      </c>
      <c r="DY57" s="8">
        <f t="shared" ca="1" si="50"/>
        <v>628</v>
      </c>
      <c r="DZ57" s="5" t="str">
        <f t="shared" ca="1" si="51"/>
        <v>VIGENTE</v>
      </c>
      <c r="EA57" s="3"/>
      <c r="EB57" s="4">
        <v>45768</v>
      </c>
      <c r="EC57" s="4">
        <f>DATE(YEAR(EB57)+2,MONTH(EB57),DAY(EB57))</f>
        <v>46498</v>
      </c>
      <c r="ED57" s="8">
        <f t="shared" ca="1" si="52"/>
        <v>364</v>
      </c>
      <c r="EE57" s="5" t="str">
        <f t="shared" ca="1" si="53"/>
        <v>VIGENTE</v>
      </c>
      <c r="EF57" s="3"/>
      <c r="EG57" s="4">
        <v>45808</v>
      </c>
      <c r="EH57" s="4">
        <f t="shared" si="137"/>
        <v>46173</v>
      </c>
      <c r="EI57" s="8">
        <f t="shared" ca="1" si="54"/>
        <v>39</v>
      </c>
      <c r="EJ57" s="5" t="str">
        <f t="shared" ca="1" si="55"/>
        <v>POR VENCER</v>
      </c>
      <c r="EK57" s="4"/>
      <c r="EL57" s="4">
        <v>45737</v>
      </c>
      <c r="EM57" s="4">
        <f t="shared" ref="EM57:EM62" si="235">DATE(YEAR(EL57)+2,MONTH(EL57),DAY(EL57)-1)</f>
        <v>46466</v>
      </c>
      <c r="EN57" s="8">
        <f t="shared" ca="1" si="56"/>
        <v>332</v>
      </c>
      <c r="EO57" s="5" t="str">
        <f t="shared" ca="1" si="57"/>
        <v>VIGENTE</v>
      </c>
      <c r="EP57" s="3"/>
      <c r="EQ57" s="4">
        <v>45999</v>
      </c>
      <c r="ER57" s="4">
        <f>DATE(YEAR(EQ57)+2,MONTH(EQ57),DAY(EQ57))</f>
        <v>46729</v>
      </c>
      <c r="ES57" s="8">
        <f t="shared" ca="1" si="58"/>
        <v>595</v>
      </c>
      <c r="ET57" s="5" t="str">
        <f t="shared" ca="1" si="59"/>
        <v>VIGENTE</v>
      </c>
      <c r="EU57" s="3"/>
      <c r="EV57" s="4">
        <v>45953</v>
      </c>
      <c r="EW57" s="4">
        <f>DATE(YEAR(EV57)+2,MONTH(EV57),DAY(EV57))</f>
        <v>46683</v>
      </c>
      <c r="EX57" s="8">
        <f t="shared" ca="1" si="60"/>
        <v>549</v>
      </c>
      <c r="EY57" s="5" t="str">
        <f t="shared" ca="1" si="61"/>
        <v>VIGENTE</v>
      </c>
      <c r="EZ57" s="3"/>
      <c r="FA57" s="4">
        <v>45951</v>
      </c>
      <c r="FB57" s="4">
        <f>DATE(YEAR(FA57)+2,MONTH(FA57),DAY(FA57))</f>
        <v>46681</v>
      </c>
      <c r="FC57" s="8">
        <f t="shared" ca="1" si="62"/>
        <v>547</v>
      </c>
      <c r="FD57" s="5" t="str">
        <f t="shared" ca="1" si="63"/>
        <v>VIGENTE</v>
      </c>
      <c r="FE57" s="3"/>
      <c r="FF57" s="4">
        <v>45932</v>
      </c>
      <c r="FG57" s="4">
        <f>DATE(YEAR(FF57)+2,MONTH(FF57),DAY(FF57))</f>
        <v>46662</v>
      </c>
      <c r="FH57" s="8">
        <f t="shared" ca="1" si="64"/>
        <v>528</v>
      </c>
      <c r="FI57" s="5" t="str">
        <f t="shared" ca="1" si="65"/>
        <v>VIGENTE</v>
      </c>
      <c r="FJ57" s="3"/>
      <c r="FK57" s="4">
        <v>45530</v>
      </c>
      <c r="FL57" s="4">
        <f>DATE(YEAR(FK57)+2,MONTH(FK57),DAY(FK57)-1)</f>
        <v>46259</v>
      </c>
      <c r="FM57" s="8">
        <f t="shared" ca="1" si="67"/>
        <v>125</v>
      </c>
      <c r="FN57" s="5" t="str">
        <f t="shared" ca="1" si="68"/>
        <v>VIGENTE</v>
      </c>
      <c r="FO57" s="3"/>
      <c r="FP57" s="4">
        <v>45678</v>
      </c>
      <c r="FQ57" s="4">
        <f>DATE(YEAR(FP57)+2,MONTH(FP57),DAY(FP57)-1)</f>
        <v>46407</v>
      </c>
      <c r="FR57" s="8">
        <f t="shared" ca="1" si="69"/>
        <v>273</v>
      </c>
      <c r="FS57" s="5" t="str">
        <f t="shared" ca="1" si="70"/>
        <v>VIGENTE</v>
      </c>
      <c r="FT57" s="3"/>
      <c r="FU57" s="4">
        <v>45908</v>
      </c>
      <c r="FV57" s="4">
        <f>DATE(YEAR(FU57)+2,MONTH(FU57),DAY(FU57))</f>
        <v>46638</v>
      </c>
      <c r="FW57" s="8">
        <f t="shared" ca="1" si="71"/>
        <v>504</v>
      </c>
      <c r="FX57" s="5" t="str">
        <f t="shared" ca="1" si="72"/>
        <v>VIGENTE</v>
      </c>
      <c r="FY57" s="3"/>
      <c r="FZ57" s="4">
        <v>46030</v>
      </c>
      <c r="GA57" s="4">
        <f>DATE(YEAR(FZ57)+2,MONTH(FZ57),DAY(FZ57))</f>
        <v>46760</v>
      </c>
      <c r="GB57" s="8">
        <f t="shared" ca="1" si="73"/>
        <v>626</v>
      </c>
      <c r="GC57" s="5" t="str">
        <f t="shared" ca="1" si="74"/>
        <v>VIGENTE</v>
      </c>
      <c r="GD57" s="3"/>
      <c r="GE57" s="4">
        <v>45672</v>
      </c>
      <c r="GF57" s="4">
        <f>DATE(YEAR(GE57)+2,MONTH(GE57),DAY(GE57)-1)</f>
        <v>46401</v>
      </c>
      <c r="GG57" s="8">
        <f t="shared" ca="1" si="75"/>
        <v>267</v>
      </c>
      <c r="GH57" s="5" t="str">
        <f t="shared" ca="1" si="76"/>
        <v>VIGENTE</v>
      </c>
      <c r="GI57" s="4"/>
      <c r="GJ57" s="4">
        <v>45557</v>
      </c>
      <c r="GK57" s="4">
        <f>DATE(YEAR(GJ57)+2,MONTH(GJ57),DAY(GJ57)-1)</f>
        <v>46286</v>
      </c>
      <c r="GL57" s="8">
        <f t="shared" ca="1" si="77"/>
        <v>152</v>
      </c>
      <c r="GM57" s="5" t="str">
        <f t="shared" ca="1" si="78"/>
        <v>VIGENTE</v>
      </c>
      <c r="GN57" s="4"/>
      <c r="GO57" s="4">
        <v>45283</v>
      </c>
      <c r="GP57" s="4">
        <f t="shared" si="79"/>
        <v>47110</v>
      </c>
      <c r="GQ57" s="8">
        <f t="shared" ca="1" si="181"/>
        <v>976</v>
      </c>
      <c r="GR57" s="5" t="str">
        <f t="shared" ca="1" si="81"/>
        <v>VIGENTE</v>
      </c>
      <c r="GS57" s="3"/>
      <c r="GT57" s="4">
        <v>45254</v>
      </c>
      <c r="GU57" s="4">
        <f t="shared" si="82"/>
        <v>47081</v>
      </c>
      <c r="GV57" s="8">
        <f t="shared" ca="1" si="83"/>
        <v>947</v>
      </c>
      <c r="GW57" s="5" t="str">
        <f t="shared" ca="1" si="84"/>
        <v>VIGENTE</v>
      </c>
      <c r="GX57" s="3"/>
      <c r="GY57" s="4">
        <v>45174</v>
      </c>
      <c r="GZ57" s="4">
        <f t="shared" si="85"/>
        <v>47001</v>
      </c>
      <c r="HA57" s="8">
        <f t="shared" ca="1" si="86"/>
        <v>867</v>
      </c>
      <c r="HB57" s="5" t="str">
        <f t="shared" ca="1" si="87"/>
        <v>VIGENTE</v>
      </c>
      <c r="HC57" s="6"/>
      <c r="HD57" s="4">
        <v>44883</v>
      </c>
      <c r="HE57" s="4">
        <f>DATE(YEAR(HD57)+5,MONTH(HD57),DAY(HD57))</f>
        <v>46709</v>
      </c>
      <c r="HF57" s="8">
        <f ca="1">HE57-TODAY()</f>
        <v>575</v>
      </c>
      <c r="HG57" s="5" t="str">
        <f t="shared" ca="1" si="228"/>
        <v>VIGENTE</v>
      </c>
      <c r="HH57" s="3"/>
      <c r="HI57" s="4">
        <v>45368</v>
      </c>
      <c r="HJ57" s="4">
        <f>DATE(YEAR(HI57)+5,MONTH(HI57),DAY(HI57))</f>
        <v>47194</v>
      </c>
      <c r="HK57" s="8">
        <f ca="1">HJ57-TODAY()</f>
        <v>1060</v>
      </c>
      <c r="HL57" s="5" t="str">
        <f t="shared" ca="1" si="232"/>
        <v>VIGENTE</v>
      </c>
      <c r="HM57" s="2"/>
      <c r="HN57" s="3">
        <v>45698</v>
      </c>
      <c r="HO57" s="4">
        <f>DATE(YEAR(HN57)+5,MONTH(HN57),DAY(HN57))</f>
        <v>47524</v>
      </c>
      <c r="HP57" s="8">
        <f ca="1">HO57-TODAY()</f>
        <v>1390</v>
      </c>
      <c r="HQ57" s="5" t="str">
        <f t="shared" ca="1" si="92"/>
        <v>VIGENTE</v>
      </c>
      <c r="HR57" s="3"/>
      <c r="HS57" s="4">
        <v>45469</v>
      </c>
      <c r="HT57" s="4">
        <f>DATE(YEAR(HS57)+5,MONTH(HS57),DAY(HS57))</f>
        <v>47295</v>
      </c>
      <c r="HU57" s="8">
        <f ca="1">HT57-TODAY()</f>
        <v>1161</v>
      </c>
      <c r="HV57" s="5" t="str">
        <f t="shared" ca="1" si="93"/>
        <v>VIGENTE</v>
      </c>
      <c r="HW57" s="3"/>
      <c r="HX57" s="4">
        <v>45234</v>
      </c>
      <c r="HY57" s="4">
        <f>DATE(YEAR(HX57)+5,MONTH(HX57),DAY(HX57))</f>
        <v>47061</v>
      </c>
      <c r="HZ57" s="8">
        <f ca="1">HY57-TODAY()</f>
        <v>927</v>
      </c>
      <c r="IA57" s="5" t="str">
        <f t="shared" ca="1" si="94"/>
        <v>VIGENTE</v>
      </c>
      <c r="IB57" s="3"/>
      <c r="IC57" s="4">
        <v>45236</v>
      </c>
      <c r="ID57" s="4">
        <f>DATE(YEAR(IC57)+5,MONTH(IC57),DAY(IC57))</f>
        <v>47063</v>
      </c>
      <c r="IE57" s="8">
        <f ca="1">ID57-TODAY()</f>
        <v>929</v>
      </c>
      <c r="IF57" s="5" t="str">
        <f t="shared" ca="1" si="95"/>
        <v>VIGENTE</v>
      </c>
      <c r="IG57" s="4"/>
      <c r="IH57" s="4">
        <v>45449</v>
      </c>
      <c r="II57" s="4">
        <f>DATE(YEAR(IH57)+5,MONTH(IH57),DAY(IH57))</f>
        <v>47275</v>
      </c>
      <c r="IJ57" s="8">
        <f ca="1">II57-TODAY()</f>
        <v>1141</v>
      </c>
      <c r="IK57" s="5" t="str">
        <f t="shared" ca="1" si="96"/>
        <v>VIGENTE</v>
      </c>
      <c r="IL57" s="3"/>
      <c r="IM57" s="4">
        <v>45460</v>
      </c>
      <c r="IN57" s="4">
        <f>DATE(YEAR(IM57)+5,MONTH(IM57),DAY(IM57))</f>
        <v>47286</v>
      </c>
      <c r="IO57" s="8">
        <f ca="1">IN57-TODAY()</f>
        <v>1152</v>
      </c>
      <c r="IP57" s="5" t="str">
        <f t="shared" ca="1" si="97"/>
        <v>VIGENTE</v>
      </c>
      <c r="IQ57" s="3"/>
      <c r="IR57" s="4">
        <v>45191</v>
      </c>
      <c r="IS57" s="4">
        <f>DATE(YEAR(IR57)+5,MONTH(IR57),DAY(IR57))</f>
        <v>47018</v>
      </c>
      <c r="IT57" s="8">
        <f ca="1">IS57-TODAY()</f>
        <v>884</v>
      </c>
      <c r="IU57" s="5" t="str">
        <f t="shared" ca="1" si="98"/>
        <v>VIGENTE</v>
      </c>
      <c r="IV57" s="3"/>
      <c r="IW57" s="4">
        <v>45189</v>
      </c>
      <c r="IX57" s="4">
        <f>DATE(YEAR(IW57)+5,MONTH(IW57),DAY(IW57))</f>
        <v>47016</v>
      </c>
      <c r="IY57" s="8">
        <f ca="1">IX57-TODAY()</f>
        <v>882</v>
      </c>
      <c r="IZ57" s="5" t="str">
        <f t="shared" ca="1" si="99"/>
        <v>VIGENTE</v>
      </c>
      <c r="JA57" s="3"/>
      <c r="JB57" s="3"/>
      <c r="JC57" s="4"/>
      <c r="JD57" s="8"/>
      <c r="JE57" s="5" t="str">
        <f t="shared" si="100"/>
        <v>NO APLICA</v>
      </c>
      <c r="JF57" s="6"/>
      <c r="JG57" s="6"/>
      <c r="JH57" s="6"/>
      <c r="JI57" s="6"/>
      <c r="JJ57" s="5" t="str">
        <f t="shared" si="101"/>
        <v>NO APLICA</v>
      </c>
      <c r="JK57" s="6"/>
      <c r="JL57" s="6"/>
      <c r="JM57" s="6"/>
      <c r="JN57" s="6"/>
      <c r="JO57" s="5" t="str">
        <f t="shared" si="102"/>
        <v>NO APLICA</v>
      </c>
      <c r="JP57" s="6"/>
      <c r="JQ57" s="6"/>
      <c r="JR57" s="6"/>
      <c r="JS57" s="6"/>
      <c r="JT57" s="5" t="str">
        <f t="shared" si="103"/>
        <v>NO APLICA</v>
      </c>
      <c r="JU57" s="5"/>
      <c r="JV57" s="5"/>
      <c r="JW57" s="5"/>
      <c r="JX57" s="5"/>
      <c r="JY57" s="5" t="str">
        <f t="shared" si="104"/>
        <v>NO APLICA</v>
      </c>
      <c r="JZ57" s="5"/>
      <c r="KA57" s="5"/>
      <c r="KB57" s="4"/>
      <c r="KC57" s="8"/>
      <c r="KD57" s="5" t="str">
        <f t="shared" si="105"/>
        <v>NO APLICA</v>
      </c>
      <c r="KE57" s="5"/>
      <c r="KF57" s="5"/>
      <c r="KG57" s="4"/>
      <c r="KH57" s="8"/>
      <c r="KI57" s="5" t="str">
        <f t="shared" si="141"/>
        <v>NO APLICA</v>
      </c>
      <c r="KJ57" s="5"/>
      <c r="KK57" s="5"/>
      <c r="KL57" s="4"/>
      <c r="KM57" s="8"/>
      <c r="KN57" s="5" t="str">
        <f t="shared" si="106"/>
        <v>NO APLICA</v>
      </c>
      <c r="KO57" s="5"/>
      <c r="KP57" s="3">
        <v>45346</v>
      </c>
      <c r="KQ57" s="4">
        <f>DATE(YEAR(KP57)+5,MONTH(KP57),DAY(KP57))</f>
        <v>47173</v>
      </c>
      <c r="KR57" s="8">
        <f ca="1">KQ57-TODAY()</f>
        <v>1039</v>
      </c>
      <c r="KS57" s="5" t="str">
        <f t="shared" ca="1" si="142"/>
        <v>VIGENTE</v>
      </c>
      <c r="KT57" s="2"/>
      <c r="KU57" s="6"/>
      <c r="KV57" s="4"/>
      <c r="KW57" s="8"/>
      <c r="KX57" s="5" t="str">
        <f t="shared" si="156"/>
        <v>NO APLICA</v>
      </c>
      <c r="KY57" s="5"/>
      <c r="KZ57" s="4">
        <v>44608</v>
      </c>
      <c r="LA57" s="4">
        <f>DATE(YEAR(KZ57)+5,MONTH(KZ57),DAY(KZ57))</f>
        <v>46434</v>
      </c>
      <c r="LB57" s="8">
        <f ca="1">LA57-TODAY()</f>
        <v>300</v>
      </c>
      <c r="LC57" s="5" t="str">
        <f t="shared" ca="1" si="143"/>
        <v>VIGENTE</v>
      </c>
      <c r="LD57" s="6"/>
      <c r="LE57" s="4">
        <v>45611</v>
      </c>
      <c r="LF57" s="4">
        <f>DATE(YEAR(LE57)+2,MONTH(LE57),DAY(LE57))</f>
        <v>46341</v>
      </c>
      <c r="LG57" s="8">
        <f ca="1">LF57-TODAY()</f>
        <v>207</v>
      </c>
      <c r="LH57" s="5" t="str">
        <f t="shared" ca="1" si="107"/>
        <v>VIGENTE</v>
      </c>
      <c r="LI57" s="5"/>
      <c r="LJ57" s="5"/>
      <c r="LK57" s="4"/>
      <c r="LL57" s="8"/>
      <c r="LM57" s="5" t="str">
        <f t="shared" si="157"/>
        <v>NO APLICA</v>
      </c>
      <c r="LN57" s="5"/>
      <c r="LO57" s="6"/>
      <c r="LP57" s="4"/>
      <c r="LQ57" s="8"/>
      <c r="LR57" s="5" t="str">
        <f t="shared" si="144"/>
        <v>NO APLICA</v>
      </c>
      <c r="LS57" s="4"/>
      <c r="LT57" s="4">
        <v>44986</v>
      </c>
      <c r="LU57" s="4">
        <f>DATE(YEAR(LT57)+5,MONTH(LT57),DAY(LT57))</f>
        <v>46813</v>
      </c>
      <c r="LV57" s="8">
        <f ca="1">LU57-TODAY()</f>
        <v>679</v>
      </c>
      <c r="LW57" s="5" t="str">
        <f t="shared" ca="1" si="145"/>
        <v>VIGENTE</v>
      </c>
      <c r="LX57" s="4"/>
      <c r="LY57" s="4">
        <v>44988</v>
      </c>
      <c r="LZ57" s="4">
        <f>DATE(YEAR(LY57)+5,MONTH(LY57),DAY(LY57))</f>
        <v>46815</v>
      </c>
      <c r="MA57" s="8">
        <f ca="1">LZ57-TODAY()</f>
        <v>681</v>
      </c>
      <c r="MB57" s="5" t="str">
        <f t="shared" ca="1" si="146"/>
        <v>VIGENTE</v>
      </c>
      <c r="MC57" s="5"/>
      <c r="MD57" s="5"/>
      <c r="ME57" s="4"/>
      <c r="MF57" s="8"/>
      <c r="MG57" s="5" t="str">
        <f t="shared" si="108"/>
        <v>NO APLICA</v>
      </c>
      <c r="MH57" s="5"/>
      <c r="MI57" s="5"/>
      <c r="MJ57" s="4"/>
      <c r="MK57" s="8"/>
      <c r="ML57" s="5" t="str">
        <f t="shared" si="109"/>
        <v>NO APLICA</v>
      </c>
      <c r="MM57" s="5"/>
      <c r="MN57" s="5"/>
      <c r="MO57" s="4"/>
      <c r="MP57" s="8"/>
      <c r="MQ57" s="5" t="str">
        <f t="shared" si="110"/>
        <v>NO APLICA</v>
      </c>
      <c r="MR57" s="5"/>
      <c r="MS57" s="5"/>
      <c r="MT57" s="4"/>
      <c r="MU57" s="5"/>
      <c r="MV57" s="5" t="str">
        <f t="shared" si="111"/>
        <v>NO APLICA</v>
      </c>
      <c r="MW57" s="5"/>
      <c r="MX57" s="6"/>
      <c r="MY57" s="4"/>
      <c r="MZ57" s="8"/>
      <c r="NA57" s="5" t="str">
        <f t="shared" si="112"/>
        <v>NO APLICA</v>
      </c>
      <c r="NB57" s="5"/>
      <c r="NC57" s="6"/>
      <c r="ND57" s="4"/>
      <c r="NE57" s="8"/>
      <c r="NF57" s="5" t="str">
        <f t="shared" si="113"/>
        <v>NO APLICA</v>
      </c>
      <c r="NG57" s="5"/>
      <c r="NH57" s="6"/>
      <c r="NI57" s="4"/>
      <c r="NJ57" s="8"/>
      <c r="NK57" s="5" t="str">
        <f t="shared" si="114"/>
        <v>NO APLICA</v>
      </c>
      <c r="NL57" s="5"/>
      <c r="NM57" s="5"/>
      <c r="NN57" s="4"/>
      <c r="NO57" s="8"/>
      <c r="NP57" s="5" t="str">
        <f t="shared" si="115"/>
        <v>NO APLICA</v>
      </c>
      <c r="NQ57" s="5"/>
      <c r="NR57" s="5"/>
      <c r="NS57" s="5"/>
      <c r="NT57" s="5"/>
      <c r="NU57" s="5" t="str">
        <f t="shared" si="116"/>
        <v>NO APLICA</v>
      </c>
      <c r="NV57" s="6"/>
      <c r="NW57" s="6"/>
      <c r="NX57" s="4"/>
      <c r="NY57" s="8"/>
      <c r="NZ57" s="5" t="str">
        <f t="shared" si="117"/>
        <v>NO APLICA</v>
      </c>
      <c r="OA57" s="6"/>
      <c r="OB57" s="6"/>
      <c r="OC57" s="6"/>
      <c r="OD57" s="6"/>
      <c r="OE57" s="5" t="str">
        <f t="shared" si="118"/>
        <v>NO APLICA</v>
      </c>
      <c r="OF57" s="5"/>
      <c r="OG57" s="5"/>
      <c r="OH57" s="4"/>
      <c r="OI57" s="8"/>
      <c r="OJ57" s="5" t="str">
        <f t="shared" si="119"/>
        <v>NO APLICA</v>
      </c>
      <c r="OK57" s="6"/>
      <c r="OL57" s="6"/>
      <c r="OM57" s="6"/>
      <c r="ON57" s="6"/>
      <c r="OO57" s="5" t="str">
        <f t="shared" si="120"/>
        <v>NO APLICA</v>
      </c>
      <c r="OP57" s="6"/>
      <c r="OQ57" s="6"/>
      <c r="OR57" s="6"/>
      <c r="OS57" s="6"/>
      <c r="OT57" s="5" t="str">
        <f t="shared" si="121"/>
        <v>NO APLICA</v>
      </c>
      <c r="OU57" s="6"/>
      <c r="OV57" s="6"/>
      <c r="OW57" s="6"/>
      <c r="OX57" s="6"/>
      <c r="OY57" s="5" t="str">
        <f t="shared" si="122"/>
        <v>NO APLICA</v>
      </c>
      <c r="OZ57" s="6"/>
      <c r="PA57" s="6"/>
      <c r="PB57" s="6"/>
      <c r="PC57" s="6"/>
      <c r="PD57" s="5" t="str">
        <f t="shared" si="123"/>
        <v>NO APLICA</v>
      </c>
      <c r="PE57" s="6"/>
      <c r="PF57" s="6"/>
      <c r="PG57" s="6"/>
      <c r="PH57" s="6"/>
      <c r="PI57" s="5" t="str">
        <f t="shared" si="124"/>
        <v>NO APLICA</v>
      </c>
      <c r="PJ57" s="5"/>
      <c r="PK57" s="6"/>
      <c r="PL57" s="4"/>
      <c r="PM57" s="8"/>
      <c r="PN57" s="5" t="str">
        <f t="shared" si="125"/>
        <v>NO APLICA</v>
      </c>
      <c r="PO57" s="6"/>
      <c r="PP57" s="6"/>
      <c r="PQ57" s="6"/>
      <c r="PR57" s="6"/>
      <c r="PS57" s="5" t="str">
        <f t="shared" si="126"/>
        <v>NO APLICA</v>
      </c>
      <c r="PT57" s="5"/>
      <c r="PU57" s="6"/>
      <c r="PV57" s="6"/>
      <c r="PW57" s="6"/>
      <c r="PX57" s="5" t="str">
        <f t="shared" si="127"/>
        <v>NO APLICA</v>
      </c>
    </row>
    <row r="58" spans="1:440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239</v>
      </c>
      <c r="V58" s="4">
        <v>45958</v>
      </c>
      <c r="W58" s="4">
        <f t="shared" si="2"/>
        <v>47784</v>
      </c>
      <c r="X58" s="8">
        <f t="shared" ca="1" si="3"/>
        <v>1650</v>
      </c>
      <c r="Y58" s="5" t="str">
        <f t="shared" ca="1" si="4"/>
        <v>VIGENTE</v>
      </c>
      <c r="Z58" s="22" t="s">
        <v>240</v>
      </c>
      <c r="AA58" s="4">
        <v>44826</v>
      </c>
      <c r="AB58" s="4">
        <f>DATE(YEAR(AA58)+5,MONTH(AA58),DAY(AA58))</f>
        <v>46652</v>
      </c>
      <c r="AC58" s="8">
        <f ca="1">AB58-TODAY()</f>
        <v>518</v>
      </c>
      <c r="AD58" s="5" t="str">
        <f t="shared" ca="1" si="7"/>
        <v>VIGENTE</v>
      </c>
      <c r="AE58" s="3"/>
      <c r="AF58" s="3">
        <v>45609</v>
      </c>
      <c r="AG58" s="4">
        <f t="shared" si="233"/>
        <v>46338</v>
      </c>
      <c r="AH58" s="8">
        <f t="shared" ca="1" si="8"/>
        <v>204</v>
      </c>
      <c r="AI58" s="5" t="str">
        <f t="shared" ca="1" si="224"/>
        <v>VIGENTE</v>
      </c>
      <c r="AJ58" s="3"/>
      <c r="AK58" s="4">
        <v>45710</v>
      </c>
      <c r="AL58" s="4">
        <f>DATE(YEAR(AK58)+2,MONTH(AK58),DAY(AK58)-1)</f>
        <v>46439</v>
      </c>
      <c r="AM58" s="8">
        <f t="shared" ca="1" si="10"/>
        <v>305</v>
      </c>
      <c r="AN58" s="5" t="str">
        <f t="shared" ca="1" si="11"/>
        <v>VIGENTE</v>
      </c>
      <c r="AO58" s="3"/>
      <c r="AP58" s="4">
        <v>45591</v>
      </c>
      <c r="AQ58" s="4">
        <f>DATE(YEAR(AP58)+2,MONTH(AP58),DAY(AP58)-1)</f>
        <v>46320</v>
      </c>
      <c r="AR58" s="8">
        <f t="shared" ca="1" si="12"/>
        <v>186</v>
      </c>
      <c r="AS58" s="5" t="str">
        <f t="shared" ca="1" si="13"/>
        <v>VIGENTE</v>
      </c>
      <c r="AT58" s="3"/>
      <c r="AU58" s="4">
        <v>45644</v>
      </c>
      <c r="AV58" s="4">
        <f>DATE(YEAR(AU58)+2,MONTH(AU58),DAY(AU58)-1)</f>
        <v>46373</v>
      </c>
      <c r="AW58" s="8">
        <f t="shared" ca="1" si="15"/>
        <v>239</v>
      </c>
      <c r="AX58" s="5" t="str">
        <f t="shared" ca="1" si="16"/>
        <v>VIGENTE</v>
      </c>
      <c r="AY58" s="3"/>
      <c r="AZ58" s="4">
        <v>45717</v>
      </c>
      <c r="BA58" s="4">
        <f>DATE(YEAR(AZ58)+2,MONTH(AZ58),DAY(AZ58)-1)</f>
        <v>46446</v>
      </c>
      <c r="BB58" s="8">
        <f t="shared" ca="1" si="17"/>
        <v>312</v>
      </c>
      <c r="BC58" s="5" t="str">
        <f t="shared" ca="1" si="18"/>
        <v>VIGENTE</v>
      </c>
      <c r="BD58" s="3"/>
      <c r="BE58" s="4">
        <v>45673</v>
      </c>
      <c r="BF58" s="4">
        <f>DATE(YEAR(BE58)+2,MONTH(BE58),DAY(BE58)-1)</f>
        <v>46402</v>
      </c>
      <c r="BG58" s="8">
        <f t="shared" ca="1" si="19"/>
        <v>268</v>
      </c>
      <c r="BH58" s="5" t="str">
        <f t="shared" ca="1" si="20"/>
        <v>VIGENTE</v>
      </c>
      <c r="BI58" s="3"/>
      <c r="BJ58" s="4">
        <v>46017</v>
      </c>
      <c r="BK58" s="4">
        <f t="shared" si="234"/>
        <v>46747</v>
      </c>
      <c r="BL58" s="8">
        <f t="shared" ca="1" si="21"/>
        <v>613</v>
      </c>
      <c r="BM58" s="5" t="str">
        <f t="shared" ca="1" si="22"/>
        <v>VIGENTE</v>
      </c>
      <c r="BN58" s="3"/>
      <c r="BO58" s="4">
        <v>45604</v>
      </c>
      <c r="BP58" s="4">
        <f>DATE(YEAR(BO58)+2,MONTH(BO58),DAY(BO58)-1)</f>
        <v>46333</v>
      </c>
      <c r="BQ58" s="8">
        <f t="shared" ca="1" si="23"/>
        <v>199</v>
      </c>
      <c r="BR58" s="5" t="str">
        <f t="shared" ca="1" si="24"/>
        <v>VIGENTE</v>
      </c>
      <c r="BS58" s="4"/>
      <c r="BT58" s="4">
        <v>45736</v>
      </c>
      <c r="BU58" s="4">
        <f>DATE(YEAR(BT58)+2,MONTH(BT58),DAY(BT58)-1)</f>
        <v>46465</v>
      </c>
      <c r="BV58" s="8">
        <f t="shared" ca="1" si="25"/>
        <v>331</v>
      </c>
      <c r="BW58" s="5" t="str">
        <f t="shared" ca="1" si="26"/>
        <v>VIGENTE</v>
      </c>
      <c r="BX58" s="3"/>
      <c r="BY58" s="4">
        <v>45600</v>
      </c>
      <c r="BZ58" s="4">
        <f>DATE(YEAR(BY58)+2,MONTH(BY58),DAY(BY58)-1)</f>
        <v>46329</v>
      </c>
      <c r="CA58" s="8">
        <f t="shared" ca="1" si="27"/>
        <v>195</v>
      </c>
      <c r="CB58" s="5" t="str">
        <f t="shared" ca="1" si="28"/>
        <v>VIGENTE</v>
      </c>
      <c r="CC58" s="6" t="s">
        <v>73</v>
      </c>
      <c r="CD58" s="4">
        <v>45282</v>
      </c>
      <c r="CE58" s="4">
        <f t="shared" si="29"/>
        <v>46743</v>
      </c>
      <c r="CF58" s="8">
        <f t="shared" ca="1" si="30"/>
        <v>609</v>
      </c>
      <c r="CG58" s="5" t="str">
        <f t="shared" ca="1" si="31"/>
        <v>VIGENTE</v>
      </c>
      <c r="CH58" s="4"/>
      <c r="CI58" s="4">
        <v>45741</v>
      </c>
      <c r="CJ58" s="4">
        <f>DATE(YEAR(CI58)+2,MONTH(CI58),DAY(CI58)-1)</f>
        <v>46470</v>
      </c>
      <c r="CK58" s="8">
        <f t="shared" ca="1" si="32"/>
        <v>336</v>
      </c>
      <c r="CL58" s="5" t="str">
        <f t="shared" ca="1" si="33"/>
        <v>VIGENTE</v>
      </c>
      <c r="CM58" s="4"/>
      <c r="CN58" s="4">
        <v>45726</v>
      </c>
      <c r="CO58" s="4">
        <f>DATE(YEAR(CN58)+2,MONTH(CN58),DAY(CN58)-1)</f>
        <v>46455</v>
      </c>
      <c r="CP58" s="8">
        <f t="shared" ca="1" si="34"/>
        <v>321</v>
      </c>
      <c r="CQ58" s="5" t="str">
        <f t="shared" ca="1" si="35"/>
        <v>VIGENTE</v>
      </c>
      <c r="CR58" s="3"/>
      <c r="CS58" s="4">
        <v>45639</v>
      </c>
      <c r="CT58" s="4">
        <f>DATE(YEAR(CS58)+2,MONTH(CS58),DAY(CS58)-1)</f>
        <v>46368</v>
      </c>
      <c r="CU58" s="8">
        <f t="shared" ca="1" si="36"/>
        <v>234</v>
      </c>
      <c r="CV58" s="5" t="str">
        <f t="shared" ca="1" si="37"/>
        <v>VIGENTE</v>
      </c>
      <c r="CW58" s="3"/>
      <c r="CX58" s="4">
        <v>45665</v>
      </c>
      <c r="CY58" s="4">
        <f>DATE(YEAR(CX58)+2,MONTH(CX58),DAY(CX58)-1)</f>
        <v>46394</v>
      </c>
      <c r="CZ58" s="8">
        <f t="shared" ca="1" si="38"/>
        <v>260</v>
      </c>
      <c r="DA58" s="5" t="str">
        <f t="shared" ca="1" si="39"/>
        <v>VIGENTE</v>
      </c>
      <c r="DB58" s="3"/>
      <c r="DC58" s="4">
        <v>45689</v>
      </c>
      <c r="DD58" s="4">
        <f t="shared" si="231"/>
        <v>46418</v>
      </c>
      <c r="DE58" s="8">
        <f t="shared" ca="1" si="40"/>
        <v>284</v>
      </c>
      <c r="DF58" s="5" t="str">
        <f t="shared" ca="1" si="41"/>
        <v>VIGENTE</v>
      </c>
      <c r="DG58" s="3"/>
      <c r="DH58" s="4">
        <v>45696</v>
      </c>
      <c r="DI58" s="4">
        <f>DATE(YEAR(DH58)+2,MONTH(DH58),DAY(DH58)-1)</f>
        <v>46425</v>
      </c>
      <c r="DJ58" s="8">
        <f t="shared" ca="1" si="43"/>
        <v>291</v>
      </c>
      <c r="DK58" s="5" t="str">
        <f t="shared" ca="1" si="44"/>
        <v>VIGENTE</v>
      </c>
      <c r="DL58" s="3"/>
      <c r="DM58" s="4">
        <v>45982</v>
      </c>
      <c r="DN58" s="4">
        <f>DATE(YEAR(DM58)+2,MONTH(DM58),DAY(DM58))</f>
        <v>46712</v>
      </c>
      <c r="DO58" s="8">
        <f t="shared" ca="1" si="46"/>
        <v>578</v>
      </c>
      <c r="DP58" s="5" t="str">
        <f t="shared" ca="1" si="47"/>
        <v>VIGENTE</v>
      </c>
      <c r="DQ58" s="3"/>
      <c r="DR58" s="4">
        <v>45685</v>
      </c>
      <c r="DS58" s="4">
        <f>DATE(YEAR(DR58)+2,MONTH(DR58),DAY(DR58)-1)</f>
        <v>46414</v>
      </c>
      <c r="DT58" s="8">
        <f t="shared" ca="1" si="48"/>
        <v>280</v>
      </c>
      <c r="DU58" s="5" t="str">
        <f t="shared" ca="1" si="49"/>
        <v>VIGENTE</v>
      </c>
      <c r="DV58" s="3"/>
      <c r="DW58" s="4">
        <v>45663</v>
      </c>
      <c r="DX58" s="4">
        <f>DATE(YEAR(DW58)+2,MONTH(DW58),DAY(DW58)-1)</f>
        <v>46392</v>
      </c>
      <c r="DY58" s="8">
        <f t="shared" ca="1" si="50"/>
        <v>258</v>
      </c>
      <c r="DZ58" s="5" t="str">
        <f t="shared" ca="1" si="51"/>
        <v>VIGENTE</v>
      </c>
      <c r="EA58" s="3"/>
      <c r="EB58" s="4">
        <v>45674</v>
      </c>
      <c r="EC58" s="4">
        <f>DATE(YEAR(EB58)+2,MONTH(EB58),DAY(EB58)-1)</f>
        <v>46403</v>
      </c>
      <c r="ED58" s="8">
        <f t="shared" ca="1" si="52"/>
        <v>269</v>
      </c>
      <c r="EE58" s="5" t="str">
        <f t="shared" ca="1" si="53"/>
        <v>VIGENTE</v>
      </c>
      <c r="EF58" s="3"/>
      <c r="EG58" s="3">
        <v>46085</v>
      </c>
      <c r="EH58" s="4">
        <f t="shared" si="137"/>
        <v>46450</v>
      </c>
      <c r="EI58" s="8">
        <f t="shared" ca="1" si="54"/>
        <v>316</v>
      </c>
      <c r="EJ58" s="5" t="str">
        <f t="shared" ca="1" si="55"/>
        <v>VIGENTE</v>
      </c>
      <c r="EK58" s="3"/>
      <c r="EL58" s="4">
        <v>45737</v>
      </c>
      <c r="EM58" s="4">
        <f t="shared" si="235"/>
        <v>46466</v>
      </c>
      <c r="EN58" s="8">
        <f t="shared" ca="1" si="56"/>
        <v>332</v>
      </c>
      <c r="EO58" s="5" t="str">
        <f t="shared" ca="1" si="57"/>
        <v>VIGENTE</v>
      </c>
      <c r="EP58" s="3"/>
      <c r="EQ58" s="4">
        <v>45677</v>
      </c>
      <c r="ER58" s="4">
        <f>DATE(YEAR(EQ58)+2,MONTH(EQ58),DAY(EQ58)-1)</f>
        <v>46406</v>
      </c>
      <c r="ES58" s="8">
        <f t="shared" ca="1" si="58"/>
        <v>272</v>
      </c>
      <c r="ET58" s="5" t="str">
        <f t="shared" ca="1" si="59"/>
        <v>VIGENTE</v>
      </c>
      <c r="EU58" s="3"/>
      <c r="EV58" s="4">
        <v>45694</v>
      </c>
      <c r="EW58" s="4">
        <f>DATE(YEAR(EV58)+2,MONTH(EV58),DAY(EV58)-1)</f>
        <v>46423</v>
      </c>
      <c r="EX58" s="8">
        <f t="shared" ca="1" si="60"/>
        <v>289</v>
      </c>
      <c r="EY58" s="5" t="str">
        <f t="shared" ca="1" si="61"/>
        <v>VIGENTE</v>
      </c>
      <c r="EZ58" s="3"/>
      <c r="FA58" s="4">
        <v>45666</v>
      </c>
      <c r="FB58" s="4">
        <f>DATE(YEAR(FA58)+2,MONTH(FA58),DAY(FA58)-1)</f>
        <v>46395</v>
      </c>
      <c r="FC58" s="8">
        <f t="shared" ca="1" si="62"/>
        <v>261</v>
      </c>
      <c r="FD58" s="5" t="str">
        <f t="shared" ca="1" si="63"/>
        <v>VIGENTE</v>
      </c>
      <c r="FE58" s="3"/>
      <c r="FF58" s="4">
        <v>45668</v>
      </c>
      <c r="FG58" s="4">
        <f>DATE(YEAR(FF58)+2,MONTH(FF58),DAY(FF58)-1)</f>
        <v>46397</v>
      </c>
      <c r="FH58" s="8">
        <f t="shared" ca="1" si="64"/>
        <v>263</v>
      </c>
      <c r="FI58" s="5" t="str">
        <f t="shared" ca="1" si="65"/>
        <v>VIGENTE</v>
      </c>
      <c r="FJ58" s="3"/>
      <c r="FK58" s="4">
        <v>45670</v>
      </c>
      <c r="FL58" s="4">
        <f>DATE(YEAR(FK58)+2,MONTH(FK58),DAY(FK58)-1)</f>
        <v>46399</v>
      </c>
      <c r="FM58" s="8">
        <f t="shared" ca="1" si="67"/>
        <v>265</v>
      </c>
      <c r="FN58" s="5" t="str">
        <f t="shared" ca="1" si="68"/>
        <v>VIGENTE</v>
      </c>
      <c r="FO58" s="3"/>
      <c r="FP58" s="4">
        <v>45664</v>
      </c>
      <c r="FQ58" s="4">
        <f>DATE(YEAR(FP58)+2,MONTH(FP58),DAY(FP58)-1)</f>
        <v>46393</v>
      </c>
      <c r="FR58" s="8">
        <f t="shared" ca="1" si="69"/>
        <v>259</v>
      </c>
      <c r="FS58" s="5" t="str">
        <f t="shared" ca="1" si="70"/>
        <v>VIGENTE</v>
      </c>
      <c r="FT58" s="3"/>
      <c r="FU58" s="4">
        <v>45574</v>
      </c>
      <c r="FV58" s="4">
        <f>DATE(YEAR(FU58)+2,MONTH(FU58),DAY(FU58)-1)</f>
        <v>46303</v>
      </c>
      <c r="FW58" s="8">
        <f t="shared" ca="1" si="71"/>
        <v>169</v>
      </c>
      <c r="FX58" s="5" t="str">
        <f t="shared" ca="1" si="72"/>
        <v>VIGENTE</v>
      </c>
      <c r="FY58" s="3"/>
      <c r="FZ58" s="4">
        <v>45667</v>
      </c>
      <c r="GA58" s="4">
        <f>DATE(YEAR(FZ58)+2,MONTH(FZ58),DAY(FZ58)-1)</f>
        <v>46396</v>
      </c>
      <c r="GB58" s="8">
        <f t="shared" ca="1" si="73"/>
        <v>262</v>
      </c>
      <c r="GC58" s="5" t="str">
        <f t="shared" ca="1" si="74"/>
        <v>VIGENTE</v>
      </c>
      <c r="GD58" s="3"/>
      <c r="GE58" s="4">
        <v>45672</v>
      </c>
      <c r="GF58" s="4">
        <f>DATE(YEAR(GE58)+2,MONTH(GE58),DAY(GE58)-1)</f>
        <v>46401</v>
      </c>
      <c r="GG58" s="8">
        <f t="shared" ca="1" si="75"/>
        <v>267</v>
      </c>
      <c r="GH58" s="5" t="str">
        <f t="shared" ca="1" si="76"/>
        <v>VIGENTE</v>
      </c>
      <c r="GI58" s="3"/>
      <c r="GJ58" s="4">
        <v>45687</v>
      </c>
      <c r="GK58" s="4">
        <f>DATE(YEAR(GJ58)+2,MONTH(GJ58),DAY(GJ58)-1)</f>
        <v>46416</v>
      </c>
      <c r="GL58" s="8">
        <f t="shared" ca="1" si="77"/>
        <v>282</v>
      </c>
      <c r="GM58" s="5" t="str">
        <f t="shared" ca="1" si="78"/>
        <v>VIGENTE</v>
      </c>
      <c r="GN58" s="4"/>
      <c r="GO58" s="4">
        <v>45265</v>
      </c>
      <c r="GP58" s="4">
        <f t="shared" si="79"/>
        <v>47092</v>
      </c>
      <c r="GQ58" s="8">
        <f t="shared" ca="1" si="181"/>
        <v>958</v>
      </c>
      <c r="GR58" s="5" t="str">
        <f t="shared" ca="1" si="81"/>
        <v>VIGENTE</v>
      </c>
      <c r="GS58" s="3"/>
      <c r="GT58" s="4">
        <v>45200</v>
      </c>
      <c r="GU58" s="4">
        <f t="shared" si="82"/>
        <v>47027</v>
      </c>
      <c r="GV58" s="8">
        <f t="shared" ca="1" si="83"/>
        <v>893</v>
      </c>
      <c r="GW58" s="5" t="str">
        <f t="shared" ca="1" si="84"/>
        <v>VIGENTE</v>
      </c>
      <c r="GX58" s="3"/>
      <c r="GY58" s="4">
        <v>45268</v>
      </c>
      <c r="GZ58" s="4">
        <f t="shared" si="85"/>
        <v>47095</v>
      </c>
      <c r="HA58" s="8">
        <f t="shared" ca="1" si="86"/>
        <v>961</v>
      </c>
      <c r="HB58" s="5" t="str">
        <f t="shared" ca="1" si="87"/>
        <v>VIGENTE</v>
      </c>
      <c r="HC58" s="6"/>
      <c r="HD58" s="4">
        <v>44900</v>
      </c>
      <c r="HE58" s="4">
        <f>DATE(YEAR(HD58)+5,MONTH(HD58),DAY(HD58))</f>
        <v>46726</v>
      </c>
      <c r="HF58" s="8">
        <f ca="1">HE58-TODAY()</f>
        <v>592</v>
      </c>
      <c r="HG58" s="5" t="str">
        <f t="shared" ca="1" si="228"/>
        <v>VIGENTE</v>
      </c>
      <c r="HH58" s="2"/>
      <c r="HI58" s="4">
        <v>45341</v>
      </c>
      <c r="HJ58" s="4">
        <f>DATE(YEAR(HI58)+5,MONTH(HI58),DAY(HI58))</f>
        <v>47168</v>
      </c>
      <c r="HK58" s="8">
        <f ca="1">HJ58-TODAY()</f>
        <v>1034</v>
      </c>
      <c r="HL58" s="5" t="str">
        <f t="shared" ca="1" si="232"/>
        <v>VIGENTE</v>
      </c>
      <c r="HM58" s="2"/>
      <c r="HN58" s="3">
        <v>45386</v>
      </c>
      <c r="HO58" s="4">
        <f>DATE(YEAR(HN58)+5,MONTH(HN58),DAY(HN58))</f>
        <v>47212</v>
      </c>
      <c r="HP58" s="8">
        <f ca="1">HO58-TODAY()</f>
        <v>1078</v>
      </c>
      <c r="HQ58" s="5" t="str">
        <f t="shared" ca="1" si="92"/>
        <v>VIGENTE</v>
      </c>
      <c r="HR58" s="3"/>
      <c r="HS58" s="4">
        <v>45469</v>
      </c>
      <c r="HT58" s="4">
        <f>DATE(YEAR(HS58)+5,MONTH(HS58),DAY(HS58))</f>
        <v>47295</v>
      </c>
      <c r="HU58" s="8">
        <f ca="1">HT58-TODAY()</f>
        <v>1161</v>
      </c>
      <c r="HV58" s="5" t="str">
        <f t="shared" ca="1" si="93"/>
        <v>VIGENTE</v>
      </c>
      <c r="HW58" s="3"/>
      <c r="HX58" s="4">
        <v>45492</v>
      </c>
      <c r="HY58" s="4">
        <f>DATE(YEAR(HX58)+5,MONTH(HX58),DAY(HX58))</f>
        <v>47318</v>
      </c>
      <c r="HZ58" s="8">
        <f ca="1">HY58-TODAY()</f>
        <v>1184</v>
      </c>
      <c r="IA58" s="5" t="str">
        <f t="shared" ca="1" si="94"/>
        <v>VIGENTE</v>
      </c>
      <c r="IB58" s="3"/>
      <c r="IC58" s="4">
        <v>45192</v>
      </c>
      <c r="ID58" s="4">
        <f>DATE(YEAR(IC58)+5,MONTH(IC58),DAY(IC58))</f>
        <v>47019</v>
      </c>
      <c r="IE58" s="8">
        <f ca="1">ID58-TODAY()</f>
        <v>885</v>
      </c>
      <c r="IF58" s="5" t="str">
        <f t="shared" ca="1" si="95"/>
        <v>VIGENTE</v>
      </c>
      <c r="IG58" s="4"/>
      <c r="IH58" s="4">
        <v>45262</v>
      </c>
      <c r="II58" s="4">
        <f>DATE(YEAR(IH58)+5,MONTH(IH58),DAY(IH58))</f>
        <v>47089</v>
      </c>
      <c r="IJ58" s="8">
        <f ca="1">II58-TODAY()</f>
        <v>955</v>
      </c>
      <c r="IK58" s="5" t="str">
        <f t="shared" ca="1" si="96"/>
        <v>VIGENTE</v>
      </c>
      <c r="IL58" s="3"/>
      <c r="IM58" s="4">
        <v>45259</v>
      </c>
      <c r="IN58" s="4">
        <f>DATE(YEAR(IM58)+5,MONTH(IM58),DAY(IM58))</f>
        <v>47086</v>
      </c>
      <c r="IO58" s="8">
        <f ca="1">IN58-TODAY()</f>
        <v>952</v>
      </c>
      <c r="IP58" s="5" t="str">
        <f t="shared" ca="1" si="97"/>
        <v>VIGENTE</v>
      </c>
      <c r="IQ58" s="3"/>
      <c r="IR58" s="4">
        <v>45199</v>
      </c>
      <c r="IS58" s="4">
        <f>DATE(YEAR(IR58)+5,MONTH(IR58),DAY(IR58))</f>
        <v>47026</v>
      </c>
      <c r="IT58" s="8">
        <f ca="1">IS58-TODAY()</f>
        <v>892</v>
      </c>
      <c r="IU58" s="5" t="str">
        <f t="shared" ca="1" si="98"/>
        <v>VIGENTE</v>
      </c>
      <c r="IV58" s="3"/>
      <c r="IW58" s="4">
        <v>45491</v>
      </c>
      <c r="IX58" s="4">
        <f>DATE(YEAR(IW58)+5,MONTH(IW58),DAY(IW58))</f>
        <v>47317</v>
      </c>
      <c r="IY58" s="8">
        <f ca="1">IX58-TODAY()</f>
        <v>1183</v>
      </c>
      <c r="IZ58" s="5" t="str">
        <f t="shared" ca="1" si="99"/>
        <v>VIGENTE</v>
      </c>
      <c r="JA58" s="3"/>
      <c r="JB58" s="3"/>
      <c r="JC58" s="4"/>
      <c r="JD58" s="8"/>
      <c r="JE58" s="5" t="str">
        <f t="shared" si="100"/>
        <v>NO APLICA</v>
      </c>
      <c r="JF58" s="6"/>
      <c r="JG58" s="6"/>
      <c r="JH58" s="6"/>
      <c r="JI58" s="6"/>
      <c r="JJ58" s="5" t="str">
        <f t="shared" si="101"/>
        <v>NO APLICA</v>
      </c>
      <c r="JK58" s="6"/>
      <c r="JL58" s="6"/>
      <c r="JM58" s="6"/>
      <c r="JN58" s="6"/>
      <c r="JO58" s="5" t="str">
        <f t="shared" si="102"/>
        <v>NO APLICA</v>
      </c>
      <c r="JP58" s="6"/>
      <c r="JQ58" s="6"/>
      <c r="JR58" s="6"/>
      <c r="JS58" s="6"/>
      <c r="JT58" s="5" t="str">
        <f t="shared" si="103"/>
        <v>NO APLICA</v>
      </c>
      <c r="JU58" s="5"/>
      <c r="JV58" s="5"/>
      <c r="JW58" s="5"/>
      <c r="JX58" s="5"/>
      <c r="JY58" s="5" t="str">
        <f t="shared" si="104"/>
        <v>NO APLICA</v>
      </c>
      <c r="JZ58" s="5"/>
      <c r="KA58" s="3">
        <v>45362</v>
      </c>
      <c r="KB58" s="4">
        <f>DATE(YEAR(KA58)+5,MONTH(KA58),DAY(KA58))</f>
        <v>47188</v>
      </c>
      <c r="KC58" s="8">
        <f ca="1">KB58-TODAY()</f>
        <v>1054</v>
      </c>
      <c r="KD58" s="5" t="str">
        <f t="shared" ca="1" si="105"/>
        <v>VIGENTE</v>
      </c>
      <c r="KE58" s="5"/>
      <c r="KF58" s="2"/>
      <c r="KG58" s="4"/>
      <c r="KH58" s="8"/>
      <c r="KI58" s="5" t="str">
        <f t="shared" si="141"/>
        <v>NO APLICA</v>
      </c>
      <c r="KJ58" s="5"/>
      <c r="KK58" s="2"/>
      <c r="KL58" s="4"/>
      <c r="KM58" s="8"/>
      <c r="KN58" s="5" t="str">
        <f t="shared" si="106"/>
        <v>NO APLICA</v>
      </c>
      <c r="KO58" s="5"/>
      <c r="KP58" s="2"/>
      <c r="KQ58" s="4"/>
      <c r="KR58" s="8"/>
      <c r="KS58" s="5" t="str">
        <f t="shared" si="142"/>
        <v>NO APLICA</v>
      </c>
      <c r="KT58" s="2"/>
      <c r="KU58" s="6"/>
      <c r="KV58" s="4"/>
      <c r="KW58" s="8"/>
      <c r="KX58" s="5" t="str">
        <f t="shared" si="156"/>
        <v>NO APLICA</v>
      </c>
      <c r="KY58" s="5"/>
      <c r="KZ58" s="6"/>
      <c r="LA58" s="4"/>
      <c r="LB58" s="8"/>
      <c r="LC58" s="5" t="str">
        <f t="shared" si="143"/>
        <v>NO APLICA</v>
      </c>
      <c r="LD58" s="6"/>
      <c r="LE58" s="6"/>
      <c r="LF58" s="4"/>
      <c r="LG58" s="8"/>
      <c r="LH58" s="5" t="str">
        <f t="shared" si="107"/>
        <v>NO APLICA</v>
      </c>
      <c r="LI58" s="5"/>
      <c r="LJ58" s="5"/>
      <c r="LK58" s="4"/>
      <c r="LL58" s="8"/>
      <c r="LM58" s="5" t="str">
        <f t="shared" si="157"/>
        <v>NO APLICA</v>
      </c>
      <c r="LN58" s="2"/>
      <c r="LO58" s="6"/>
      <c r="LP58" s="4"/>
      <c r="LQ58" s="8"/>
      <c r="LR58" s="5" t="str">
        <f t="shared" si="144"/>
        <v>NO APLICA</v>
      </c>
      <c r="LS58" s="4"/>
      <c r="LT58" s="4">
        <v>44986</v>
      </c>
      <c r="LU58" s="4">
        <f>DATE(YEAR(LT58)+5,MONTH(LT58),DAY(LT58))</f>
        <v>46813</v>
      </c>
      <c r="LV58" s="8">
        <f ca="1">LU58-TODAY()</f>
        <v>679</v>
      </c>
      <c r="LW58" s="5" t="str">
        <f t="shared" ca="1" si="145"/>
        <v>VIGENTE</v>
      </c>
      <c r="LX58" s="4"/>
      <c r="LY58" s="4">
        <v>44988</v>
      </c>
      <c r="LZ58" s="4">
        <f>DATE(YEAR(LY58)+5,MONTH(LY58),DAY(LY58))</f>
        <v>46815</v>
      </c>
      <c r="MA58" s="8">
        <f ca="1">LZ58-TODAY()</f>
        <v>681</v>
      </c>
      <c r="MB58" s="5" t="str">
        <f t="shared" ca="1" si="146"/>
        <v>VIGENTE</v>
      </c>
      <c r="MC58" s="2"/>
      <c r="MD58" s="2"/>
      <c r="ME58" s="4"/>
      <c r="MF58" s="8"/>
      <c r="MG58" s="5" t="str">
        <f t="shared" si="108"/>
        <v>NO APLICA</v>
      </c>
      <c r="MH58" s="2"/>
      <c r="MI58" s="2"/>
      <c r="MJ58" s="4"/>
      <c r="MK58" s="8"/>
      <c r="ML58" s="5" t="str">
        <f t="shared" si="109"/>
        <v>NO APLICA</v>
      </c>
      <c r="MM58" s="5"/>
      <c r="MN58" s="2"/>
      <c r="MO58" s="4"/>
      <c r="MP58" s="8"/>
      <c r="MQ58" s="5" t="str">
        <f t="shared" si="110"/>
        <v>NO APLICA</v>
      </c>
      <c r="MR58" s="5"/>
      <c r="MS58" s="2"/>
      <c r="MT58" s="4"/>
      <c r="MU58" s="2"/>
      <c r="MV58" s="5" t="str">
        <f t="shared" si="111"/>
        <v>NO APLICA</v>
      </c>
      <c r="MW58" s="2"/>
      <c r="MX58" s="6"/>
      <c r="MY58" s="4"/>
      <c r="MZ58" s="8"/>
      <c r="NA58" s="5" t="str">
        <f t="shared" si="112"/>
        <v>NO APLICA</v>
      </c>
      <c r="NB58" s="2"/>
      <c r="NC58" s="6"/>
      <c r="ND58" s="4"/>
      <c r="NE58" s="8"/>
      <c r="NF58" s="5" t="str">
        <f t="shared" si="113"/>
        <v>NO APLICA</v>
      </c>
      <c r="NG58" s="2"/>
      <c r="NH58" s="6"/>
      <c r="NI58" s="4"/>
      <c r="NJ58" s="8"/>
      <c r="NK58" s="5" t="str">
        <f t="shared" si="114"/>
        <v>NO APLICA</v>
      </c>
      <c r="NL58" s="2"/>
      <c r="NM58" s="2"/>
      <c r="NN58" s="4"/>
      <c r="NO58" s="2"/>
      <c r="NP58" s="5" t="str">
        <f t="shared" si="115"/>
        <v>NO APLICA</v>
      </c>
      <c r="NQ58" s="4"/>
      <c r="NR58" s="4">
        <v>45103</v>
      </c>
      <c r="NS58" s="4">
        <f>DATE(YEAR(NR58)+5,MONTH(NR58),DAY(NR58))</f>
        <v>46930</v>
      </c>
      <c r="NT58" s="8">
        <f ca="1">NS58-TODAY()</f>
        <v>796</v>
      </c>
      <c r="NU58" s="5" t="str">
        <f t="shared" ca="1" si="116"/>
        <v>VIGENTE</v>
      </c>
      <c r="NV58" s="6"/>
      <c r="NW58" s="6"/>
      <c r="NX58" s="4"/>
      <c r="NY58" s="8"/>
      <c r="NZ58" s="5" t="str">
        <f t="shared" si="117"/>
        <v>NO APLICA</v>
      </c>
      <c r="OA58" s="6"/>
      <c r="OB58" s="6"/>
      <c r="OC58" s="6"/>
      <c r="OD58" s="6"/>
      <c r="OE58" s="5" t="str">
        <f t="shared" si="118"/>
        <v>NO APLICA</v>
      </c>
      <c r="OF58" s="2"/>
      <c r="OG58" s="2"/>
      <c r="OH58" s="4"/>
      <c r="OI58" s="8"/>
      <c r="OJ58" s="5" t="str">
        <f t="shared" si="119"/>
        <v>NO APLICA</v>
      </c>
      <c r="OK58" s="6"/>
      <c r="OL58" s="6"/>
      <c r="OM58" s="6"/>
      <c r="ON58" s="6"/>
      <c r="OO58" s="5" t="str">
        <f t="shared" si="120"/>
        <v>NO APLICA</v>
      </c>
      <c r="OP58" s="6"/>
      <c r="OQ58" s="6"/>
      <c r="OR58" s="6"/>
      <c r="OS58" s="6"/>
      <c r="OT58" s="5" t="str">
        <f t="shared" si="121"/>
        <v>NO APLICA</v>
      </c>
      <c r="OU58" s="6"/>
      <c r="OV58" s="6"/>
      <c r="OW58" s="6"/>
      <c r="OX58" s="6"/>
      <c r="OY58" s="5" t="str">
        <f t="shared" si="122"/>
        <v>NO APLICA</v>
      </c>
      <c r="OZ58" s="6"/>
      <c r="PA58" s="6"/>
      <c r="PB58" s="6"/>
      <c r="PC58" s="6"/>
      <c r="PD58" s="5" t="str">
        <f t="shared" si="123"/>
        <v>NO APLICA</v>
      </c>
      <c r="PE58" s="6"/>
      <c r="PF58" s="6"/>
      <c r="PG58" s="6"/>
      <c r="PH58" s="6"/>
      <c r="PI58" s="5" t="str">
        <f t="shared" si="124"/>
        <v>NO APLICA</v>
      </c>
      <c r="PJ58" s="5"/>
      <c r="PK58" s="6"/>
      <c r="PL58" s="4"/>
      <c r="PM58" s="8"/>
      <c r="PN58" s="5" t="str">
        <f t="shared" si="125"/>
        <v>NO APLICA</v>
      </c>
      <c r="PO58" s="6"/>
      <c r="PP58" s="6"/>
      <c r="PQ58" s="6"/>
      <c r="PR58" s="6"/>
      <c r="PS58" s="5" t="str">
        <f t="shared" si="126"/>
        <v>NO APLICA</v>
      </c>
      <c r="PT58" s="5"/>
      <c r="PU58" s="6"/>
      <c r="PV58" s="6"/>
      <c r="PW58" s="6"/>
      <c r="PX58" s="5" t="str">
        <f t="shared" si="127"/>
        <v>NO APLICA</v>
      </c>
    </row>
    <row r="59" spans="1:440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241</v>
      </c>
      <c r="V59" s="4">
        <v>44838</v>
      </c>
      <c r="W59" s="4">
        <f t="shared" si="2"/>
        <v>46664</v>
      </c>
      <c r="X59" s="8">
        <f t="shared" ca="1" si="3"/>
        <v>530</v>
      </c>
      <c r="Y59" s="5" t="str">
        <f t="shared" ca="1" si="4"/>
        <v>VIGENTE</v>
      </c>
      <c r="Z59" s="2" t="s">
        <v>242</v>
      </c>
      <c r="AA59" s="4">
        <v>44826</v>
      </c>
      <c r="AB59" s="4">
        <f>DATE(YEAR(AA59)+5,MONTH(AA59),DAY(AA59))</f>
        <v>46652</v>
      </c>
      <c r="AC59" s="8">
        <f ca="1">AB59-TODAY()</f>
        <v>518</v>
      </c>
      <c r="AD59" s="5" t="str">
        <f t="shared" ca="1" si="7"/>
        <v>VIGENTE</v>
      </c>
      <c r="AE59" s="3"/>
      <c r="AF59" s="3">
        <v>45594</v>
      </c>
      <c r="AG59" s="4">
        <f t="shared" si="233"/>
        <v>46323</v>
      </c>
      <c r="AH59" s="8">
        <f t="shared" ca="1" si="8"/>
        <v>189</v>
      </c>
      <c r="AI59" s="5" t="str">
        <f t="shared" ca="1" si="224"/>
        <v>VIGENTE</v>
      </c>
      <c r="AJ59" s="3"/>
      <c r="AK59" s="4">
        <v>45980</v>
      </c>
      <c r="AL59" s="4">
        <f>DATE(YEAR(AK59)+2,MONTH(AK59),DAY(AK59))</f>
        <v>46710</v>
      </c>
      <c r="AM59" s="8">
        <f t="shared" ca="1" si="10"/>
        <v>576</v>
      </c>
      <c r="AN59" s="5" t="str">
        <f t="shared" ca="1" si="11"/>
        <v>VIGENTE</v>
      </c>
      <c r="AO59" s="3"/>
      <c r="AP59" s="4">
        <v>45703</v>
      </c>
      <c r="AQ59" s="4">
        <f>DATE(YEAR(AP59)+2,MONTH(AP59),DAY(AP59)-1)</f>
        <v>46432</v>
      </c>
      <c r="AR59" s="8">
        <f t="shared" ca="1" si="12"/>
        <v>298</v>
      </c>
      <c r="AS59" s="5" t="str">
        <f t="shared" ca="1" si="13"/>
        <v>VIGENTE</v>
      </c>
      <c r="AT59" s="3"/>
      <c r="AU59" s="4">
        <v>45972</v>
      </c>
      <c r="AV59" s="4">
        <f t="shared" ref="AV59:AV72" si="236">DATE(YEAR(AU59)+2,MONTH(AU59),DAY(AU59))</f>
        <v>46702</v>
      </c>
      <c r="AW59" s="8">
        <f t="shared" ca="1" si="15"/>
        <v>568</v>
      </c>
      <c r="AX59" s="5" t="str">
        <f t="shared" ca="1" si="16"/>
        <v>VIGENTE</v>
      </c>
      <c r="AY59" s="3"/>
      <c r="AZ59" s="4">
        <v>46041</v>
      </c>
      <c r="BA59" s="4">
        <f>DATE(YEAR(AZ59)+2,MONTH(AZ59),DAY(AZ59))</f>
        <v>46771</v>
      </c>
      <c r="BB59" s="8">
        <f t="shared" ca="1" si="17"/>
        <v>637</v>
      </c>
      <c r="BC59" s="5" t="str">
        <f t="shared" ca="1" si="18"/>
        <v>VIGENTE</v>
      </c>
      <c r="BD59" s="3"/>
      <c r="BE59" s="4">
        <v>46027</v>
      </c>
      <c r="BF59" s="4">
        <f t="shared" ref="BF59:BF64" si="237">DATE(YEAR(BE59)+2,MONTH(BE59),DAY(BE59))</f>
        <v>46757</v>
      </c>
      <c r="BG59" s="8">
        <f t="shared" ca="1" si="19"/>
        <v>623</v>
      </c>
      <c r="BH59" s="5" t="str">
        <f t="shared" ca="1" si="20"/>
        <v>VIGENTE</v>
      </c>
      <c r="BI59" s="3"/>
      <c r="BJ59" s="4">
        <v>46051</v>
      </c>
      <c r="BK59" s="4">
        <f t="shared" si="234"/>
        <v>46781</v>
      </c>
      <c r="BL59" s="8">
        <f t="shared" ca="1" si="21"/>
        <v>647</v>
      </c>
      <c r="BM59" s="5" t="str">
        <f t="shared" ca="1" si="22"/>
        <v>VIGENTE</v>
      </c>
      <c r="BN59" s="3"/>
      <c r="BO59" s="4">
        <v>46069</v>
      </c>
      <c r="BP59" s="4">
        <f>DATE(YEAR(BO59)+2,MONTH(BO59),DAY(BO59))</f>
        <v>46799</v>
      </c>
      <c r="BQ59" s="8">
        <f t="shared" ca="1" si="23"/>
        <v>665</v>
      </c>
      <c r="BR59" s="5" t="str">
        <f t="shared" ca="1" si="24"/>
        <v>VIGENTE</v>
      </c>
      <c r="BS59" s="3"/>
      <c r="BT59" s="4">
        <v>46031</v>
      </c>
      <c r="BU59" s="4">
        <f>DATE(YEAR(BT59)+2,MONTH(BT59),DAY(BT59))</f>
        <v>46761</v>
      </c>
      <c r="BV59" s="8">
        <f t="shared" ca="1" si="25"/>
        <v>627</v>
      </c>
      <c r="BW59" s="5" t="str">
        <f t="shared" ca="1" si="26"/>
        <v>VIGENTE</v>
      </c>
      <c r="BX59" s="3"/>
      <c r="BY59" s="4">
        <v>45944</v>
      </c>
      <c r="BZ59" s="4">
        <f>DATE(YEAR(BY59)+2,MONTH(BY59),DAY(BY59))</f>
        <v>46674</v>
      </c>
      <c r="CA59" s="8">
        <f t="shared" ca="1" si="27"/>
        <v>540</v>
      </c>
      <c r="CB59" s="5" t="str">
        <f t="shared" ca="1" si="28"/>
        <v>VIGENTE</v>
      </c>
      <c r="CC59" s="6" t="s">
        <v>73</v>
      </c>
      <c r="CD59" s="4">
        <v>45227</v>
      </c>
      <c r="CE59" s="4">
        <f t="shared" si="29"/>
        <v>46688</v>
      </c>
      <c r="CF59" s="8">
        <f t="shared" ca="1" si="30"/>
        <v>554</v>
      </c>
      <c r="CG59" s="5" t="str">
        <f t="shared" ca="1" si="31"/>
        <v>VIGENTE</v>
      </c>
      <c r="CH59" s="4"/>
      <c r="CI59" s="4">
        <v>45511</v>
      </c>
      <c r="CJ59" s="4">
        <f>DATE(YEAR(CI59)+2,MONTH(CI59),DAY(CI59)-1)</f>
        <v>46240</v>
      </c>
      <c r="CK59" s="8">
        <f t="shared" ca="1" si="32"/>
        <v>106</v>
      </c>
      <c r="CL59" s="5" t="str">
        <f t="shared" ca="1" si="33"/>
        <v>VIGENTE</v>
      </c>
      <c r="CM59" s="3"/>
      <c r="CN59" s="4">
        <v>45726</v>
      </c>
      <c r="CO59" s="4">
        <f>DATE(YEAR(CN59)+2,MONTH(CN59),DAY(CN59)-1)</f>
        <v>46455</v>
      </c>
      <c r="CP59" s="8">
        <f t="shared" ca="1" si="34"/>
        <v>321</v>
      </c>
      <c r="CQ59" s="5" t="str">
        <f t="shared" ca="1" si="35"/>
        <v>VIGENTE</v>
      </c>
      <c r="CR59" s="3"/>
      <c r="CS59" s="4">
        <v>45631</v>
      </c>
      <c r="CT59" s="4">
        <f>DATE(YEAR(CS59)+2,MONTH(CS59),DAY(CS59)-1)</f>
        <v>46360</v>
      </c>
      <c r="CU59" s="8">
        <f t="shared" ca="1" si="36"/>
        <v>226</v>
      </c>
      <c r="CV59" s="5" t="str">
        <f t="shared" ca="1" si="37"/>
        <v>VIGENTE</v>
      </c>
      <c r="CW59" s="3"/>
      <c r="CX59" s="4">
        <v>45661</v>
      </c>
      <c r="CY59" s="4">
        <f>DATE(YEAR(CX59)+2,MONTH(CX59),DAY(CX59)-1)</f>
        <v>46390</v>
      </c>
      <c r="CZ59" s="8">
        <f t="shared" ca="1" si="38"/>
        <v>256</v>
      </c>
      <c r="DA59" s="5" t="str">
        <f t="shared" ca="1" si="39"/>
        <v>VIGENTE</v>
      </c>
      <c r="DB59" s="3"/>
      <c r="DC59" s="4">
        <v>45535</v>
      </c>
      <c r="DD59" s="4">
        <f t="shared" si="231"/>
        <v>46264</v>
      </c>
      <c r="DE59" s="8">
        <f t="shared" ca="1" si="40"/>
        <v>130</v>
      </c>
      <c r="DF59" s="5" t="str">
        <f t="shared" ca="1" si="41"/>
        <v>VIGENTE</v>
      </c>
      <c r="DG59" s="3"/>
      <c r="DH59" s="4">
        <v>45696</v>
      </c>
      <c r="DI59" s="4">
        <f>DATE(YEAR(DH59)+2,MONTH(DH59),DAY(DH59)-1)</f>
        <v>46425</v>
      </c>
      <c r="DJ59" s="8">
        <f t="shared" ca="1" si="43"/>
        <v>291</v>
      </c>
      <c r="DK59" s="5" t="str">
        <f t="shared" ca="1" si="44"/>
        <v>VIGENTE</v>
      </c>
      <c r="DL59" s="3"/>
      <c r="DM59" s="4">
        <v>45473</v>
      </c>
      <c r="DN59" s="4">
        <f>DATE(YEAR(DM59)+2,MONTH(DM59),DAY(DM59)-1)</f>
        <v>46202</v>
      </c>
      <c r="DO59" s="8">
        <f t="shared" ca="1" si="46"/>
        <v>68</v>
      </c>
      <c r="DP59" s="5" t="str">
        <f t="shared" ca="1" si="47"/>
        <v>POR VENCER</v>
      </c>
      <c r="DQ59" s="3"/>
      <c r="DR59" s="4">
        <v>46053</v>
      </c>
      <c r="DS59" s="4">
        <f>DATE(YEAR(DR59)+2,MONTH(DR59),DAY(DR59))</f>
        <v>46783</v>
      </c>
      <c r="DT59" s="8">
        <f t="shared" ca="1" si="48"/>
        <v>649</v>
      </c>
      <c r="DU59" s="5" t="str">
        <f t="shared" ca="1" si="49"/>
        <v>VIGENTE</v>
      </c>
      <c r="DV59" s="3"/>
      <c r="DW59" s="4">
        <v>45751</v>
      </c>
      <c r="DX59" s="4">
        <f>DATE(YEAR(DW59)+2,MONTH(DW59),DAY(DW59)-1)</f>
        <v>46480</v>
      </c>
      <c r="DY59" s="8">
        <f t="shared" ca="1" si="50"/>
        <v>346</v>
      </c>
      <c r="DZ59" s="5" t="str">
        <f t="shared" ca="1" si="51"/>
        <v>VIGENTE</v>
      </c>
      <c r="EA59" s="3"/>
      <c r="EB59" s="4">
        <v>45674</v>
      </c>
      <c r="EC59" s="4">
        <f>DATE(YEAR(EB59)+2,MONTH(EB59),DAY(EB59)-1)</f>
        <v>46403</v>
      </c>
      <c r="ED59" s="8">
        <f t="shared" ca="1" si="52"/>
        <v>269</v>
      </c>
      <c r="EE59" s="5" t="str">
        <f t="shared" ca="1" si="53"/>
        <v>VIGENTE</v>
      </c>
      <c r="EF59" s="3"/>
      <c r="EG59" s="4">
        <v>45808</v>
      </c>
      <c r="EH59" s="4">
        <f t="shared" si="137"/>
        <v>46173</v>
      </c>
      <c r="EI59" s="8">
        <f t="shared" ca="1" si="54"/>
        <v>39</v>
      </c>
      <c r="EJ59" s="5" t="str">
        <f t="shared" ca="1" si="55"/>
        <v>POR VENCER</v>
      </c>
      <c r="EK59" s="3"/>
      <c r="EL59" s="4">
        <v>45671</v>
      </c>
      <c r="EM59" s="4">
        <f t="shared" si="235"/>
        <v>46400</v>
      </c>
      <c r="EN59" s="8">
        <f t="shared" ca="1" si="56"/>
        <v>266</v>
      </c>
      <c r="EO59" s="5" t="str">
        <f t="shared" ca="1" si="57"/>
        <v>VIGENTE</v>
      </c>
      <c r="EP59" s="3"/>
      <c r="EQ59" s="4">
        <v>46094</v>
      </c>
      <c r="ER59" s="4">
        <f>DATE(YEAR(EQ59)+2,MONTH(EQ59),DAY(EQ59))</f>
        <v>46825</v>
      </c>
      <c r="ES59" s="8">
        <f t="shared" ca="1" si="58"/>
        <v>691</v>
      </c>
      <c r="ET59" s="5" t="str">
        <f t="shared" ca="1" si="59"/>
        <v>VIGENTE</v>
      </c>
      <c r="EU59" s="3"/>
      <c r="EV59" s="4">
        <v>45953</v>
      </c>
      <c r="EW59" s="4">
        <f t="shared" ref="EW59:EW71" si="238">DATE(YEAR(EV59)+2,MONTH(EV59),DAY(EV59))</f>
        <v>46683</v>
      </c>
      <c r="EX59" s="8">
        <f t="shared" ca="1" si="60"/>
        <v>549</v>
      </c>
      <c r="EY59" s="5" t="str">
        <f t="shared" ca="1" si="61"/>
        <v>VIGENTE</v>
      </c>
      <c r="EZ59" s="3"/>
      <c r="FA59" s="4">
        <v>45951</v>
      </c>
      <c r="FB59" s="4">
        <f t="shared" ref="FB59:FB71" si="239">DATE(YEAR(FA59)+2,MONTH(FA59),DAY(FA59))</f>
        <v>46681</v>
      </c>
      <c r="FC59" s="8">
        <f t="shared" ca="1" si="62"/>
        <v>547</v>
      </c>
      <c r="FD59" s="5" t="str">
        <f t="shared" ca="1" si="63"/>
        <v>VIGENTE</v>
      </c>
      <c r="FE59" s="3"/>
      <c r="FF59" s="4">
        <v>45992</v>
      </c>
      <c r="FG59" s="4">
        <f t="shared" ref="FG59:FG72" si="240">DATE(YEAR(FF59)+2,MONTH(FF59),DAY(FF59))</f>
        <v>46722</v>
      </c>
      <c r="FH59" s="8">
        <f t="shared" ca="1" si="64"/>
        <v>588</v>
      </c>
      <c r="FI59" s="5" t="str">
        <f t="shared" ca="1" si="65"/>
        <v>VIGENTE</v>
      </c>
      <c r="FJ59" s="3"/>
      <c r="FK59" s="4">
        <v>45670</v>
      </c>
      <c r="FL59" s="4">
        <f>DATE(YEAR(FK59)+2,MONTH(FK59),DAY(FK59)-1)</f>
        <v>46399</v>
      </c>
      <c r="FM59" s="8">
        <f t="shared" ca="1" si="67"/>
        <v>265</v>
      </c>
      <c r="FN59" s="5" t="str">
        <f t="shared" ca="1" si="68"/>
        <v>VIGENTE</v>
      </c>
      <c r="FO59" s="3"/>
      <c r="FP59" s="4">
        <v>45678</v>
      </c>
      <c r="FQ59" s="4">
        <f>DATE(YEAR(FP59)+2,MONTH(FP59),DAY(FP59)-1)</f>
        <v>46407</v>
      </c>
      <c r="FR59" s="8">
        <f t="shared" ca="1" si="69"/>
        <v>273</v>
      </c>
      <c r="FS59" s="5" t="str">
        <f t="shared" ca="1" si="70"/>
        <v>VIGENTE</v>
      </c>
      <c r="FT59" s="3"/>
      <c r="FU59" s="4">
        <v>45581</v>
      </c>
      <c r="FV59" s="4">
        <f>DATE(YEAR(FU59)+2,MONTH(FU59),DAY(FU59)-1)</f>
        <v>46310</v>
      </c>
      <c r="FW59" s="8">
        <f t="shared" ca="1" si="71"/>
        <v>176</v>
      </c>
      <c r="FX59" s="5" t="str">
        <f t="shared" ca="1" si="72"/>
        <v>VIGENTE</v>
      </c>
      <c r="FY59" s="3"/>
      <c r="FZ59" s="4">
        <v>46030</v>
      </c>
      <c r="GA59" s="4">
        <f>DATE(YEAR(FZ59)+2,MONTH(FZ59),DAY(FZ59))</f>
        <v>46760</v>
      </c>
      <c r="GB59" s="8">
        <f t="shared" ca="1" si="73"/>
        <v>626</v>
      </c>
      <c r="GC59" s="5" t="str">
        <f t="shared" ca="1" si="74"/>
        <v>VIGENTE</v>
      </c>
      <c r="GD59" s="3"/>
      <c r="GE59" s="4">
        <v>45672</v>
      </c>
      <c r="GF59" s="4">
        <f>DATE(YEAR(GE59)+2,MONTH(GE59),DAY(GE59)-1)</f>
        <v>46401</v>
      </c>
      <c r="GG59" s="8">
        <f t="shared" ca="1" si="75"/>
        <v>267</v>
      </c>
      <c r="GH59" s="5" t="str">
        <f t="shared" ca="1" si="76"/>
        <v>VIGENTE</v>
      </c>
      <c r="GI59" s="4"/>
      <c r="GJ59" s="4">
        <v>45945</v>
      </c>
      <c r="GK59" s="4">
        <f>DATE(YEAR(GJ59)+2,MONTH(GJ59),DAY(GJ59))</f>
        <v>46675</v>
      </c>
      <c r="GL59" s="8">
        <f t="shared" ca="1" si="77"/>
        <v>541</v>
      </c>
      <c r="GM59" s="5" t="str">
        <f t="shared" ca="1" si="78"/>
        <v>VIGENTE</v>
      </c>
      <c r="GN59" s="4"/>
      <c r="GO59" s="4">
        <v>45441</v>
      </c>
      <c r="GP59" s="4">
        <f t="shared" si="79"/>
        <v>47267</v>
      </c>
      <c r="GQ59" s="8">
        <f t="shared" ca="1" si="181"/>
        <v>1133</v>
      </c>
      <c r="GR59" s="5" t="str">
        <f t="shared" ca="1" si="81"/>
        <v>VIGENTE</v>
      </c>
      <c r="GS59" s="3"/>
      <c r="GT59" s="4">
        <v>45464</v>
      </c>
      <c r="GU59" s="4">
        <f t="shared" si="82"/>
        <v>47290</v>
      </c>
      <c r="GV59" s="8">
        <f t="shared" ca="1" si="83"/>
        <v>1156</v>
      </c>
      <c r="GW59" s="5" t="str">
        <f t="shared" ca="1" si="84"/>
        <v>VIGENTE</v>
      </c>
      <c r="GX59" s="3"/>
      <c r="GY59" s="4">
        <v>45466</v>
      </c>
      <c r="GZ59" s="4">
        <f t="shared" si="85"/>
        <v>47292</v>
      </c>
      <c r="HA59" s="8">
        <f t="shared" ca="1" si="86"/>
        <v>1158</v>
      </c>
      <c r="HB59" s="5" t="str">
        <f t="shared" ca="1" si="87"/>
        <v>VIGENTE</v>
      </c>
      <c r="HC59" s="6"/>
      <c r="HD59" s="4">
        <v>44921</v>
      </c>
      <c r="HE59" s="4">
        <f>DATE(YEAR(HD59)+5,MONTH(HD59),DAY(HD59))</f>
        <v>46747</v>
      </c>
      <c r="HF59" s="8">
        <f ca="1">HE59-TODAY()</f>
        <v>613</v>
      </c>
      <c r="HG59" s="5" t="str">
        <f t="shared" ca="1" si="228"/>
        <v>VIGENTE</v>
      </c>
      <c r="HH59" s="2"/>
      <c r="HI59" s="6"/>
      <c r="HJ59" s="4"/>
      <c r="HK59" s="8"/>
      <c r="HL59" s="5" t="str">
        <f t="shared" si="232"/>
        <v>NO APLICA</v>
      </c>
      <c r="HM59" s="2"/>
      <c r="HN59" s="5"/>
      <c r="HO59" s="4"/>
      <c r="HP59" s="5"/>
      <c r="HQ59" s="5" t="str">
        <f t="shared" si="92"/>
        <v>NO APLICA</v>
      </c>
      <c r="HR59" s="3"/>
      <c r="HS59" s="4">
        <v>45208</v>
      </c>
      <c r="HT59" s="4">
        <f>DATE(YEAR(HS59)+5,MONTH(HS59),DAY(HS59))</f>
        <v>47035</v>
      </c>
      <c r="HU59" s="8">
        <f ca="1">HT59-TODAY()</f>
        <v>901</v>
      </c>
      <c r="HV59" s="5" t="str">
        <f t="shared" ca="1" si="93"/>
        <v>VIGENTE</v>
      </c>
      <c r="HW59" s="3"/>
      <c r="HX59" s="4">
        <v>45194</v>
      </c>
      <c r="HY59" s="4">
        <f>DATE(YEAR(HX59)+5,MONTH(HX59),DAY(HX59))</f>
        <v>47021</v>
      </c>
      <c r="HZ59" s="8">
        <f ca="1">HY59-TODAY()</f>
        <v>887</v>
      </c>
      <c r="IA59" s="5" t="str">
        <f t="shared" ca="1" si="94"/>
        <v>VIGENTE</v>
      </c>
      <c r="IB59" s="4"/>
      <c r="IC59" s="4">
        <v>45192</v>
      </c>
      <c r="ID59" s="4">
        <f>DATE(YEAR(IC59)+5,MONTH(IC59),DAY(IC59))</f>
        <v>47019</v>
      </c>
      <c r="IE59" s="8">
        <f ca="1">ID59-TODAY()</f>
        <v>885</v>
      </c>
      <c r="IF59" s="5" t="str">
        <f t="shared" ca="1" si="95"/>
        <v>VIGENTE</v>
      </c>
      <c r="IG59" s="4"/>
      <c r="IH59" s="4">
        <v>45266</v>
      </c>
      <c r="II59" s="4">
        <f>DATE(YEAR(IH59)+5,MONTH(IH59),DAY(IH59))</f>
        <v>47093</v>
      </c>
      <c r="IJ59" s="8">
        <f ca="1">II59-TODAY()</f>
        <v>959</v>
      </c>
      <c r="IK59" s="5" t="str">
        <f t="shared" ca="1" si="96"/>
        <v>VIGENTE</v>
      </c>
      <c r="IL59" s="3"/>
      <c r="IM59" s="4">
        <v>45196</v>
      </c>
      <c r="IN59" s="4">
        <f>DATE(YEAR(IM59)+5,MONTH(IM59),DAY(IM59))</f>
        <v>47023</v>
      </c>
      <c r="IO59" s="8">
        <f ca="1">IN59-TODAY()</f>
        <v>889</v>
      </c>
      <c r="IP59" s="5" t="str">
        <f t="shared" ca="1" si="97"/>
        <v>VIGENTE</v>
      </c>
      <c r="IQ59" s="3"/>
      <c r="IR59" s="4">
        <v>45191</v>
      </c>
      <c r="IS59" s="4">
        <f>DATE(YEAR(IR59)+5,MONTH(IR59),DAY(IR59))</f>
        <v>47018</v>
      </c>
      <c r="IT59" s="8">
        <f ca="1">IS59-TODAY()</f>
        <v>884</v>
      </c>
      <c r="IU59" s="5" t="str">
        <f t="shared" ca="1" si="98"/>
        <v>VIGENTE</v>
      </c>
      <c r="IV59" s="3"/>
      <c r="IW59" s="4">
        <v>45251</v>
      </c>
      <c r="IX59" s="4">
        <f>DATE(YEAR(IW59)+5,MONTH(IW59),DAY(IW59))</f>
        <v>47078</v>
      </c>
      <c r="IY59" s="8">
        <f ca="1">IX59-TODAY()</f>
        <v>944</v>
      </c>
      <c r="IZ59" s="5" t="str">
        <f t="shared" ca="1" si="99"/>
        <v>VIGENTE</v>
      </c>
      <c r="JA59" s="3"/>
      <c r="JB59" s="3"/>
      <c r="JC59" s="4"/>
      <c r="JD59" s="8"/>
      <c r="JE59" s="5" t="str">
        <f t="shared" si="100"/>
        <v>NO APLICA</v>
      </c>
      <c r="JF59" s="6"/>
      <c r="JG59" s="6"/>
      <c r="JH59" s="6"/>
      <c r="JI59" s="6"/>
      <c r="JJ59" s="5" t="str">
        <f t="shared" si="101"/>
        <v>NO APLICA</v>
      </c>
      <c r="JK59" s="6"/>
      <c r="JL59" s="6"/>
      <c r="JM59" s="6"/>
      <c r="JN59" s="6"/>
      <c r="JO59" s="5" t="str">
        <f t="shared" si="102"/>
        <v>NO APLICA</v>
      </c>
      <c r="JP59" s="6"/>
      <c r="JQ59" s="6"/>
      <c r="JR59" s="6"/>
      <c r="JS59" s="6"/>
      <c r="JT59" s="5" t="str">
        <f t="shared" si="103"/>
        <v>NO APLICA</v>
      </c>
      <c r="JU59" s="5"/>
      <c r="JV59" s="5"/>
      <c r="JW59" s="5"/>
      <c r="JX59" s="5"/>
      <c r="JY59" s="5" t="str">
        <f t="shared" si="104"/>
        <v>NO APLICA</v>
      </c>
      <c r="JZ59" s="5"/>
      <c r="KA59" s="5"/>
      <c r="KB59" s="4"/>
      <c r="KC59" s="8"/>
      <c r="KD59" s="5" t="str">
        <f t="shared" si="105"/>
        <v>NO APLICA</v>
      </c>
      <c r="KE59" s="5"/>
      <c r="KF59" s="5"/>
      <c r="KG59" s="4"/>
      <c r="KH59" s="8"/>
      <c r="KI59" s="5" t="str">
        <f t="shared" si="141"/>
        <v>NO APLICA</v>
      </c>
      <c r="KJ59" s="5"/>
      <c r="KK59" s="5"/>
      <c r="KL59" s="4"/>
      <c r="KM59" s="8"/>
      <c r="KN59" s="5" t="str">
        <f t="shared" si="106"/>
        <v>NO APLICA</v>
      </c>
      <c r="KO59" s="5"/>
      <c r="KP59" s="3">
        <v>45346</v>
      </c>
      <c r="KQ59" s="4">
        <f>DATE(YEAR(KP59)+5,MONTH(KP59),DAY(KP59))</f>
        <v>47173</v>
      </c>
      <c r="KR59" s="8">
        <f ca="1">KQ59-TODAY()</f>
        <v>1039</v>
      </c>
      <c r="KS59" s="5" t="str">
        <f t="shared" ca="1" si="142"/>
        <v>VIGENTE</v>
      </c>
      <c r="KT59" s="2"/>
      <c r="KU59" s="6"/>
      <c r="KV59" s="4"/>
      <c r="KW59" s="8"/>
      <c r="KX59" s="5" t="str">
        <f t="shared" si="156"/>
        <v>NO APLICA</v>
      </c>
      <c r="KY59" s="5"/>
      <c r="KZ59" s="6"/>
      <c r="LA59" s="4"/>
      <c r="LB59" s="8"/>
      <c r="LC59" s="5" t="str">
        <f t="shared" si="143"/>
        <v>NO APLICA</v>
      </c>
      <c r="LD59" s="4"/>
      <c r="LE59" s="4"/>
      <c r="LF59" s="4"/>
      <c r="LG59" s="8"/>
      <c r="LH59" s="5" t="str">
        <f t="shared" si="107"/>
        <v>NO APLICA</v>
      </c>
      <c r="LI59" s="5"/>
      <c r="LJ59" s="5"/>
      <c r="LK59" s="4"/>
      <c r="LL59" s="8"/>
      <c r="LM59" s="5" t="str">
        <f t="shared" si="157"/>
        <v>NO APLICA</v>
      </c>
      <c r="LN59" s="5"/>
      <c r="LO59" s="6"/>
      <c r="LP59" s="4"/>
      <c r="LQ59" s="8"/>
      <c r="LR59" s="5" t="str">
        <f t="shared" si="144"/>
        <v>NO APLICA</v>
      </c>
      <c r="LS59" s="6"/>
      <c r="LT59" s="6"/>
      <c r="LU59" s="4"/>
      <c r="LV59" s="8"/>
      <c r="LW59" s="5" t="str">
        <f t="shared" si="145"/>
        <v>NO APLICA</v>
      </c>
      <c r="LX59" s="6"/>
      <c r="LY59" s="6"/>
      <c r="LZ59" s="4"/>
      <c r="MA59" s="8"/>
      <c r="MB59" s="5" t="str">
        <f t="shared" si="146"/>
        <v>NO APLICA</v>
      </c>
      <c r="MC59" s="5"/>
      <c r="MD59" s="5"/>
      <c r="ME59" s="4"/>
      <c r="MF59" s="8"/>
      <c r="MG59" s="5" t="str">
        <f t="shared" si="108"/>
        <v>NO APLICA</v>
      </c>
      <c r="MH59" s="5"/>
      <c r="MI59" s="5"/>
      <c r="MJ59" s="4"/>
      <c r="MK59" s="8"/>
      <c r="ML59" s="5" t="str">
        <f t="shared" si="109"/>
        <v>NO APLICA</v>
      </c>
      <c r="MM59" s="5"/>
      <c r="MN59" s="3">
        <v>45154</v>
      </c>
      <c r="MO59" s="4">
        <f>DATE(YEAR(MN59)+5,MONTH(MN59),DAY(MN59))</f>
        <v>46981</v>
      </c>
      <c r="MP59" s="8">
        <f ca="1">MO59-TODAY()</f>
        <v>847</v>
      </c>
      <c r="MQ59" s="5" t="str">
        <f t="shared" ca="1" si="110"/>
        <v>VIGENTE</v>
      </c>
      <c r="MR59" s="5"/>
      <c r="MS59" s="3">
        <v>45155</v>
      </c>
      <c r="MT59" s="4">
        <f>DATE(YEAR(MS59)+5,MONTH(MS59),DAY(MS59))</f>
        <v>46982</v>
      </c>
      <c r="MU59" s="8">
        <f ca="1">MT59-TODAY()</f>
        <v>848</v>
      </c>
      <c r="MV59" s="5" t="str">
        <f t="shared" ca="1" si="111"/>
        <v>VIGENTE</v>
      </c>
      <c r="MW59" s="5"/>
      <c r="MX59" s="6"/>
      <c r="MY59" s="4"/>
      <c r="MZ59" s="8"/>
      <c r="NA59" s="5" t="str">
        <f t="shared" si="112"/>
        <v>NO APLICA</v>
      </c>
      <c r="NB59" s="5"/>
      <c r="NC59" s="6"/>
      <c r="ND59" s="4"/>
      <c r="NE59" s="8"/>
      <c r="NF59" s="5" t="str">
        <f t="shared" si="113"/>
        <v>NO APLICA</v>
      </c>
      <c r="NG59" s="5"/>
      <c r="NH59" s="6"/>
      <c r="NI59" s="4"/>
      <c r="NJ59" s="8"/>
      <c r="NK59" s="5" t="str">
        <f t="shared" si="114"/>
        <v>NO APLICA</v>
      </c>
      <c r="NL59" s="5"/>
      <c r="NM59" s="5"/>
      <c r="NN59" s="4"/>
      <c r="NO59" s="8"/>
      <c r="NP59" s="5" t="str">
        <f t="shared" si="115"/>
        <v>NO APLICA</v>
      </c>
      <c r="NQ59" s="5"/>
      <c r="NR59" s="5"/>
      <c r="NS59" s="5"/>
      <c r="NT59" s="5"/>
      <c r="NU59" s="5" t="str">
        <f t="shared" si="116"/>
        <v>NO APLICA</v>
      </c>
      <c r="NV59" s="6"/>
      <c r="NW59" s="6"/>
      <c r="NX59" s="4"/>
      <c r="NY59" s="8"/>
      <c r="NZ59" s="5" t="str">
        <f t="shared" si="117"/>
        <v>NO APLICA</v>
      </c>
      <c r="OA59" s="6"/>
      <c r="OB59" s="6"/>
      <c r="OC59" s="6"/>
      <c r="OD59" s="6"/>
      <c r="OE59" s="5" t="str">
        <f t="shared" si="118"/>
        <v>NO APLICA</v>
      </c>
      <c r="OF59" s="5"/>
      <c r="OG59" s="5"/>
      <c r="OH59" s="4"/>
      <c r="OI59" s="8"/>
      <c r="OJ59" s="5" t="str">
        <f t="shared" si="119"/>
        <v>NO APLICA</v>
      </c>
      <c r="OK59" s="6"/>
      <c r="OL59" s="6"/>
      <c r="OM59" s="6"/>
      <c r="ON59" s="6"/>
      <c r="OO59" s="5" t="str">
        <f t="shared" si="120"/>
        <v>NO APLICA</v>
      </c>
      <c r="OP59" s="6"/>
      <c r="OQ59" s="6"/>
      <c r="OR59" s="6"/>
      <c r="OS59" s="6"/>
      <c r="OT59" s="5" t="str">
        <f t="shared" si="121"/>
        <v>NO APLICA</v>
      </c>
      <c r="OU59" s="6"/>
      <c r="OV59" s="6"/>
      <c r="OW59" s="6"/>
      <c r="OX59" s="6"/>
      <c r="OY59" s="5" t="str">
        <f t="shared" si="122"/>
        <v>NO APLICA</v>
      </c>
      <c r="OZ59" s="6"/>
      <c r="PA59" s="6"/>
      <c r="PB59" s="6"/>
      <c r="PC59" s="6"/>
      <c r="PD59" s="5" t="str">
        <f t="shared" si="123"/>
        <v>NO APLICA</v>
      </c>
      <c r="PE59" s="6"/>
      <c r="PF59" s="6"/>
      <c r="PG59" s="6"/>
      <c r="PH59" s="6"/>
      <c r="PI59" s="5" t="str">
        <f t="shared" si="124"/>
        <v>NO APLICA</v>
      </c>
      <c r="PJ59" s="5"/>
      <c r="PK59" s="6"/>
      <c r="PL59" s="4"/>
      <c r="PM59" s="8"/>
      <c r="PN59" s="5" t="str">
        <f t="shared" si="125"/>
        <v>NO APLICA</v>
      </c>
      <c r="PO59" s="6"/>
      <c r="PP59" s="6"/>
      <c r="PQ59" s="6"/>
      <c r="PR59" s="6"/>
      <c r="PS59" s="5" t="str">
        <f t="shared" si="126"/>
        <v>NO APLICA</v>
      </c>
      <c r="PT59" s="5"/>
      <c r="PU59" s="6"/>
      <c r="PV59" s="6"/>
      <c r="PW59" s="6"/>
      <c r="PX59" s="5" t="str">
        <f t="shared" si="127"/>
        <v>NO APLICA</v>
      </c>
    </row>
    <row r="60" spans="1:440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2" t="s">
        <v>243</v>
      </c>
      <c r="V60" s="4">
        <v>45545</v>
      </c>
      <c r="W60" s="4">
        <f t="shared" si="2"/>
        <v>47371</v>
      </c>
      <c r="X60" s="8">
        <f t="shared" ca="1" si="3"/>
        <v>1237</v>
      </c>
      <c r="Y60" s="5" t="str">
        <f t="shared" ca="1" si="4"/>
        <v>VIGENTE</v>
      </c>
      <c r="Z60" s="2" t="s">
        <v>244</v>
      </c>
      <c r="AA60" s="4">
        <v>45152</v>
      </c>
      <c r="AB60" s="4">
        <f>DATE(YEAR(AA60)+5,MONTH(AA60),DAY(AA60))</f>
        <v>46979</v>
      </c>
      <c r="AC60" s="8">
        <f ca="1">AB60-TODAY()</f>
        <v>845</v>
      </c>
      <c r="AD60" s="5" t="str">
        <f t="shared" ca="1" si="7"/>
        <v>VIGENTE</v>
      </c>
      <c r="AE60" s="3"/>
      <c r="AF60" s="4">
        <v>45902</v>
      </c>
      <c r="AG60" s="4">
        <f>DATE(YEAR(AF60)+2,MONTH(AF60),DAY(AF60))</f>
        <v>46632</v>
      </c>
      <c r="AH60" s="8">
        <f t="shared" ca="1" si="8"/>
        <v>498</v>
      </c>
      <c r="AI60" s="5" t="str">
        <f t="shared" ca="1" si="224"/>
        <v>VIGENTE</v>
      </c>
      <c r="AJ60" s="3"/>
      <c r="AK60" s="4">
        <v>45959</v>
      </c>
      <c r="AL60" s="4">
        <f>DATE(YEAR(AK60)+2,MONTH(AK60),DAY(AK60))</f>
        <v>46689</v>
      </c>
      <c r="AM60" s="8">
        <f t="shared" ca="1" si="10"/>
        <v>555</v>
      </c>
      <c r="AN60" s="5" t="str">
        <f t="shared" ca="1" si="11"/>
        <v>VIGENTE</v>
      </c>
      <c r="AO60" s="3"/>
      <c r="AP60" s="4">
        <v>45967</v>
      </c>
      <c r="AQ60" s="4">
        <f t="shared" ref="AQ60:AQ72" si="241">DATE(YEAR(AP60)+2,MONTH(AP60),DAY(AP60))</f>
        <v>46697</v>
      </c>
      <c r="AR60" s="8">
        <f t="shared" ca="1" si="12"/>
        <v>563</v>
      </c>
      <c r="AS60" s="5" t="str">
        <f t="shared" ca="1" si="13"/>
        <v>VIGENTE</v>
      </c>
      <c r="AT60" s="3"/>
      <c r="AU60" s="4">
        <v>45952</v>
      </c>
      <c r="AV60" s="4">
        <f t="shared" si="236"/>
        <v>46682</v>
      </c>
      <c r="AW60" s="8">
        <f t="shared" ca="1" si="15"/>
        <v>548</v>
      </c>
      <c r="AX60" s="5" t="str">
        <f t="shared" ca="1" si="16"/>
        <v>VIGENTE</v>
      </c>
      <c r="AY60" s="3"/>
      <c r="AZ60" s="4">
        <v>45708</v>
      </c>
      <c r="BA60" s="4">
        <f>DATE(YEAR(AZ60)+2,MONTH(AZ60),DAY(AZ60)-1)</f>
        <v>46437</v>
      </c>
      <c r="BB60" s="8">
        <f t="shared" ca="1" si="17"/>
        <v>303</v>
      </c>
      <c r="BC60" s="5" t="str">
        <f t="shared" ca="1" si="18"/>
        <v>VIGENTE</v>
      </c>
      <c r="BD60" s="3"/>
      <c r="BE60" s="4">
        <v>45987</v>
      </c>
      <c r="BF60" s="4">
        <f t="shared" si="237"/>
        <v>46717</v>
      </c>
      <c r="BG60" s="8">
        <f t="shared" ca="1" si="19"/>
        <v>583</v>
      </c>
      <c r="BH60" s="5" t="str">
        <f t="shared" ca="1" si="20"/>
        <v>VIGENTE</v>
      </c>
      <c r="BI60" s="3"/>
      <c r="BJ60" s="4">
        <v>46035</v>
      </c>
      <c r="BK60" s="4">
        <f t="shared" si="234"/>
        <v>46765</v>
      </c>
      <c r="BL60" s="8">
        <f t="shared" ca="1" si="21"/>
        <v>631</v>
      </c>
      <c r="BM60" s="5" t="str">
        <f t="shared" ca="1" si="22"/>
        <v>VIGENTE</v>
      </c>
      <c r="BN60" s="3"/>
      <c r="BO60" s="4">
        <v>46069</v>
      </c>
      <c r="BP60" s="4">
        <f>DATE(YEAR(BO60)+2,MONTH(BO60),DAY(BO60))</f>
        <v>46799</v>
      </c>
      <c r="BQ60" s="8">
        <f t="shared" ca="1" si="23"/>
        <v>665</v>
      </c>
      <c r="BR60" s="5" t="str">
        <f t="shared" ca="1" si="24"/>
        <v>VIGENTE</v>
      </c>
      <c r="BS60" s="3"/>
      <c r="BT60" s="4">
        <v>45695</v>
      </c>
      <c r="BU60" s="4">
        <f>DATE(YEAR(BT60)+2,MONTH(BT60),DAY(BT60)-1)</f>
        <v>46424</v>
      </c>
      <c r="BV60" s="8">
        <f t="shared" ca="1" si="25"/>
        <v>290</v>
      </c>
      <c r="BW60" s="5" t="str">
        <f t="shared" ca="1" si="26"/>
        <v>VIGENTE</v>
      </c>
      <c r="BX60" s="3"/>
      <c r="BY60" s="4">
        <v>45944</v>
      </c>
      <c r="BZ60" s="4">
        <f>DATE(YEAR(BY60)+2,MONTH(BY60),DAY(BY60))</f>
        <v>46674</v>
      </c>
      <c r="CA60" s="8">
        <f t="shared" ca="1" si="27"/>
        <v>540</v>
      </c>
      <c r="CB60" s="5" t="str">
        <f t="shared" ca="1" si="28"/>
        <v>VIGENTE</v>
      </c>
      <c r="CC60" s="6" t="s">
        <v>73</v>
      </c>
      <c r="CD60" s="4">
        <v>45533</v>
      </c>
      <c r="CE60" s="4">
        <f t="shared" si="29"/>
        <v>46994</v>
      </c>
      <c r="CF60" s="8">
        <f t="shared" ca="1" si="30"/>
        <v>860</v>
      </c>
      <c r="CG60" s="5" t="str">
        <f t="shared" ca="1" si="31"/>
        <v>VIGENTE</v>
      </c>
      <c r="CH60" s="4"/>
      <c r="CI60" s="4">
        <v>45688</v>
      </c>
      <c r="CJ60" s="4">
        <f>DATE(YEAR(CI60)+2,MONTH(CI60),DAY(CI60)-1)</f>
        <v>46417</v>
      </c>
      <c r="CK60" s="8">
        <f t="shared" ca="1" si="32"/>
        <v>283</v>
      </c>
      <c r="CL60" s="5" t="str">
        <f t="shared" ca="1" si="33"/>
        <v>VIGENTE</v>
      </c>
      <c r="CM60" s="2"/>
      <c r="CN60" s="4">
        <v>45769</v>
      </c>
      <c r="CO60" s="4">
        <f>DATE(YEAR(CN60)+2,MONTH(CN60),DAY(CN60))</f>
        <v>46499</v>
      </c>
      <c r="CP60" s="8">
        <f t="shared" ca="1" si="34"/>
        <v>365</v>
      </c>
      <c r="CQ60" s="5" t="str">
        <f t="shared" ca="1" si="35"/>
        <v>VIGENTE</v>
      </c>
      <c r="CR60" s="3"/>
      <c r="CS60" s="4">
        <v>45939</v>
      </c>
      <c r="CT60" s="4">
        <f>DATE(YEAR(CS60)+2,MONTH(CS60),DAY(CS60))</f>
        <v>46669</v>
      </c>
      <c r="CU60" s="8">
        <f t="shared" ca="1" si="36"/>
        <v>535</v>
      </c>
      <c r="CV60" s="5" t="str">
        <f t="shared" ca="1" si="37"/>
        <v>VIGENTE</v>
      </c>
      <c r="CW60" s="3"/>
      <c r="CX60" s="4">
        <v>45924</v>
      </c>
      <c r="CY60" s="4">
        <f>DATE(YEAR(CX60)+2,MONTH(CX60),DAY(CX60))</f>
        <v>46654</v>
      </c>
      <c r="CZ60" s="8">
        <f t="shared" ca="1" si="38"/>
        <v>520</v>
      </c>
      <c r="DA60" s="5" t="str">
        <f t="shared" ca="1" si="39"/>
        <v>VIGENTE</v>
      </c>
      <c r="DB60" s="3"/>
      <c r="DC60" s="4">
        <v>45689</v>
      </c>
      <c r="DD60" s="4">
        <f t="shared" si="231"/>
        <v>46418</v>
      </c>
      <c r="DE60" s="8">
        <f t="shared" ca="1" si="40"/>
        <v>284</v>
      </c>
      <c r="DF60" s="5" t="str">
        <f t="shared" ca="1" si="41"/>
        <v>VIGENTE</v>
      </c>
      <c r="DG60" s="3"/>
      <c r="DH60" s="4">
        <v>45955</v>
      </c>
      <c r="DI60" s="4">
        <f>DATE(YEAR(DH60)+2,MONTH(DH60),DAY(DH60))</f>
        <v>46685</v>
      </c>
      <c r="DJ60" s="8">
        <f t="shared" ca="1" si="43"/>
        <v>551</v>
      </c>
      <c r="DK60" s="5" t="str">
        <f t="shared" ca="1" si="44"/>
        <v>VIGENTE</v>
      </c>
      <c r="DL60" s="3"/>
      <c r="DM60" s="4">
        <v>46007</v>
      </c>
      <c r="DN60" s="4">
        <f>DATE(YEAR(DM60)+2,MONTH(DM60),DAY(DM60))</f>
        <v>46737</v>
      </c>
      <c r="DO60" s="8">
        <f t="shared" ca="1" si="46"/>
        <v>603</v>
      </c>
      <c r="DP60" s="5" t="str">
        <f t="shared" ca="1" si="47"/>
        <v>VIGENTE</v>
      </c>
      <c r="DQ60" s="3"/>
      <c r="DR60" s="4">
        <v>45685</v>
      </c>
      <c r="DS60" s="4">
        <f>DATE(YEAR(DR60)+2,MONTH(DR60),DAY(DR60)-1)</f>
        <v>46414</v>
      </c>
      <c r="DT60" s="8">
        <f t="shared" ca="1" si="48"/>
        <v>280</v>
      </c>
      <c r="DU60" s="5" t="str">
        <f t="shared" ca="1" si="49"/>
        <v>VIGENTE</v>
      </c>
      <c r="DV60" s="3"/>
      <c r="DW60" s="4">
        <v>45663</v>
      </c>
      <c r="DX60" s="4">
        <f>DATE(YEAR(DW60)+2,MONTH(DW60),DAY(DW60)-1)</f>
        <v>46392</v>
      </c>
      <c r="DY60" s="8">
        <f t="shared" ca="1" si="50"/>
        <v>258</v>
      </c>
      <c r="DZ60" s="5" t="str">
        <f t="shared" ca="1" si="51"/>
        <v>VIGENTE</v>
      </c>
      <c r="EA60" s="3"/>
      <c r="EB60" s="4">
        <v>45602</v>
      </c>
      <c r="EC60" s="4">
        <f>DATE(YEAR(EB60)+2,MONTH(EB60),DAY(EB60)-1)</f>
        <v>46331</v>
      </c>
      <c r="ED60" s="8">
        <f t="shared" ca="1" si="52"/>
        <v>197</v>
      </c>
      <c r="EE60" s="5" t="str">
        <f t="shared" ca="1" si="53"/>
        <v>VIGENTE</v>
      </c>
      <c r="EF60" s="3"/>
      <c r="EG60" s="3">
        <v>46085</v>
      </c>
      <c r="EH60" s="4">
        <f t="shared" si="137"/>
        <v>46450</v>
      </c>
      <c r="EI60" s="8">
        <f t="shared" ca="1" si="54"/>
        <v>316</v>
      </c>
      <c r="EJ60" s="5" t="str">
        <f t="shared" ca="1" si="55"/>
        <v>VIGENTE</v>
      </c>
      <c r="EK60" s="3"/>
      <c r="EL60" s="3">
        <v>45596</v>
      </c>
      <c r="EM60" s="4">
        <f t="shared" si="235"/>
        <v>46325</v>
      </c>
      <c r="EN60" s="8">
        <f t="shared" ca="1" si="56"/>
        <v>191</v>
      </c>
      <c r="EO60" s="5" t="str">
        <f t="shared" ca="1" si="57"/>
        <v>VIGENTE</v>
      </c>
      <c r="EP60" s="3"/>
      <c r="EQ60" s="4">
        <v>45677</v>
      </c>
      <c r="ER60" s="4">
        <f>DATE(YEAR(EQ60)+2,MONTH(EQ60),DAY(EQ60)-1)</f>
        <v>46406</v>
      </c>
      <c r="ES60" s="8">
        <f t="shared" ca="1" si="58"/>
        <v>272</v>
      </c>
      <c r="ET60" s="5" t="str">
        <f t="shared" ca="1" si="59"/>
        <v>VIGENTE</v>
      </c>
      <c r="EU60" s="3"/>
      <c r="EV60" s="4">
        <v>45953</v>
      </c>
      <c r="EW60" s="4">
        <f t="shared" si="238"/>
        <v>46683</v>
      </c>
      <c r="EX60" s="8">
        <f t="shared" ca="1" si="60"/>
        <v>549</v>
      </c>
      <c r="EY60" s="5" t="str">
        <f t="shared" ca="1" si="61"/>
        <v>VIGENTE</v>
      </c>
      <c r="EZ60" s="3"/>
      <c r="FA60" s="4">
        <v>45951</v>
      </c>
      <c r="FB60" s="4">
        <f t="shared" si="239"/>
        <v>46681</v>
      </c>
      <c r="FC60" s="8">
        <f t="shared" ca="1" si="62"/>
        <v>547</v>
      </c>
      <c r="FD60" s="5" t="str">
        <f t="shared" ca="1" si="63"/>
        <v>VIGENTE</v>
      </c>
      <c r="FE60" s="3"/>
      <c r="FF60" s="4">
        <v>45919</v>
      </c>
      <c r="FG60" s="4">
        <f t="shared" si="240"/>
        <v>46649</v>
      </c>
      <c r="FH60" s="8">
        <f t="shared" ca="1" si="64"/>
        <v>515</v>
      </c>
      <c r="FI60" s="5" t="str">
        <f t="shared" ca="1" si="65"/>
        <v>VIGENTE</v>
      </c>
      <c r="FJ60" s="3"/>
      <c r="FK60" s="4">
        <v>45670</v>
      </c>
      <c r="FL60" s="4">
        <f>DATE(YEAR(FK60)+2,MONTH(FK60),DAY(FK60)-1)</f>
        <v>46399</v>
      </c>
      <c r="FM60" s="8">
        <f t="shared" ca="1" si="67"/>
        <v>265</v>
      </c>
      <c r="FN60" s="5" t="str">
        <f t="shared" ca="1" si="68"/>
        <v>VIGENTE</v>
      </c>
      <c r="FO60" s="3"/>
      <c r="FP60" s="4">
        <v>45586</v>
      </c>
      <c r="FQ60" s="4">
        <f>DATE(YEAR(FP60)+2,MONTH(FP60),DAY(FP60)-1)</f>
        <v>46315</v>
      </c>
      <c r="FR60" s="8">
        <f t="shared" ca="1" si="69"/>
        <v>181</v>
      </c>
      <c r="FS60" s="5" t="str">
        <f t="shared" ca="1" si="70"/>
        <v>VIGENTE</v>
      </c>
      <c r="FT60" s="3"/>
      <c r="FU60" s="4">
        <v>45941</v>
      </c>
      <c r="FV60" s="4">
        <f>DATE(YEAR(FU60)+2,MONTH(FU60),DAY(FU60))</f>
        <v>46671</v>
      </c>
      <c r="FW60" s="8">
        <f t="shared" ca="1" si="71"/>
        <v>537</v>
      </c>
      <c r="FX60" s="5" t="str">
        <f t="shared" ca="1" si="72"/>
        <v>VIGENTE</v>
      </c>
      <c r="FY60" s="3"/>
      <c r="FZ60" s="4">
        <v>45667</v>
      </c>
      <c r="GA60" s="4">
        <f>DATE(YEAR(FZ60)+2,MONTH(FZ60),DAY(FZ60)-1)</f>
        <v>46396</v>
      </c>
      <c r="GB60" s="8">
        <f t="shared" ca="1" si="73"/>
        <v>262</v>
      </c>
      <c r="GC60" s="5" t="str">
        <f t="shared" ca="1" si="74"/>
        <v>VIGENTE</v>
      </c>
      <c r="GD60" s="3"/>
      <c r="GE60" s="4">
        <v>45579</v>
      </c>
      <c r="GF60" s="4">
        <f>DATE(YEAR(GE60)+2,MONTH(GE60),DAY(GE60)-1)</f>
        <v>46308</v>
      </c>
      <c r="GG60" s="8">
        <f t="shared" ca="1" si="75"/>
        <v>174</v>
      </c>
      <c r="GH60" s="5" t="str">
        <f t="shared" ca="1" si="76"/>
        <v>VIGENTE</v>
      </c>
      <c r="GI60" s="3"/>
      <c r="GJ60" s="4">
        <v>45945</v>
      </c>
      <c r="GK60" s="4">
        <f>DATE(YEAR(GJ60)+2,MONTH(GJ60),DAY(GJ60))</f>
        <v>46675</v>
      </c>
      <c r="GL60" s="8">
        <f t="shared" ca="1" si="77"/>
        <v>541</v>
      </c>
      <c r="GM60" s="5" t="str">
        <f t="shared" ca="1" si="78"/>
        <v>VIGENTE</v>
      </c>
      <c r="GN60" s="4"/>
      <c r="GO60" s="4">
        <v>44952</v>
      </c>
      <c r="GP60" s="4">
        <f t="shared" si="79"/>
        <v>46778</v>
      </c>
      <c r="GQ60" s="8">
        <f t="shared" ca="1" si="181"/>
        <v>644</v>
      </c>
      <c r="GR60" s="5" t="str">
        <f t="shared" ca="1" si="81"/>
        <v>VIGENTE</v>
      </c>
      <c r="GS60" s="3"/>
      <c r="GT60" s="4">
        <v>45067</v>
      </c>
      <c r="GU60" s="4">
        <f t="shared" si="82"/>
        <v>46894</v>
      </c>
      <c r="GV60" s="8">
        <f t="shared" ca="1" si="83"/>
        <v>760</v>
      </c>
      <c r="GW60" s="5" t="str">
        <f t="shared" ca="1" si="84"/>
        <v>VIGENTE</v>
      </c>
      <c r="GX60" s="3"/>
      <c r="GY60" s="4">
        <v>45294</v>
      </c>
      <c r="GZ60" s="4">
        <f t="shared" si="85"/>
        <v>47121</v>
      </c>
      <c r="HA60" s="8">
        <f t="shared" ca="1" si="86"/>
        <v>987</v>
      </c>
      <c r="HB60" s="5" t="str">
        <f t="shared" ca="1" si="87"/>
        <v>VIGENTE</v>
      </c>
      <c r="HC60" s="6"/>
      <c r="HD60" s="4">
        <v>45094</v>
      </c>
      <c r="HE60" s="4">
        <f>DATE(YEAR(HD60)+5,MONTH(HD60),DAY(HD60))</f>
        <v>46921</v>
      </c>
      <c r="HF60" s="8">
        <f ca="1">HE60-TODAY()</f>
        <v>787</v>
      </c>
      <c r="HG60" s="5" t="str">
        <f t="shared" ca="1" si="228"/>
        <v>VIGENTE</v>
      </c>
      <c r="HH60" s="3"/>
      <c r="HI60" s="4">
        <v>45414</v>
      </c>
      <c r="HJ60" s="4">
        <f>DATE(YEAR(HI60)+5,MONTH(HI60),DAY(HI60))</f>
        <v>47240</v>
      </c>
      <c r="HK60" s="8">
        <f ca="1">HJ60-TODAY()</f>
        <v>1106</v>
      </c>
      <c r="HL60" s="5" t="str">
        <f t="shared" ca="1" si="232"/>
        <v>VIGENTE</v>
      </c>
      <c r="HM60" s="2"/>
      <c r="HN60" s="2"/>
      <c r="HO60" s="4"/>
      <c r="HP60" s="2"/>
      <c r="HQ60" s="5" t="str">
        <f t="shared" si="92"/>
        <v>NO APLICA</v>
      </c>
      <c r="HR60" s="2"/>
      <c r="HS60" s="6"/>
      <c r="HT60" s="4"/>
      <c r="HU60" s="8"/>
      <c r="HV60" s="5" t="str">
        <f t="shared" si="93"/>
        <v>NO APLICA</v>
      </c>
      <c r="HW60" s="2"/>
      <c r="HX60" s="6"/>
      <c r="HY60" s="4"/>
      <c r="HZ60" s="8"/>
      <c r="IA60" s="5" t="str">
        <f t="shared" si="94"/>
        <v>NO APLICA</v>
      </c>
      <c r="IB60" s="2"/>
      <c r="IC60" s="6"/>
      <c r="ID60" s="4"/>
      <c r="IE60" s="8"/>
      <c r="IF60" s="5" t="str">
        <f t="shared" si="95"/>
        <v>NO APLICA</v>
      </c>
      <c r="IG60" s="6"/>
      <c r="IH60" s="6"/>
      <c r="II60" s="4"/>
      <c r="IJ60" s="8"/>
      <c r="IK60" s="5" t="str">
        <f t="shared" si="96"/>
        <v>NO APLICA</v>
      </c>
      <c r="IL60" s="2"/>
      <c r="IM60" s="6"/>
      <c r="IN60" s="4"/>
      <c r="IO60" s="8"/>
      <c r="IP60" s="5" t="str">
        <f t="shared" si="97"/>
        <v>NO APLICA</v>
      </c>
      <c r="IQ60" s="2"/>
      <c r="IR60" s="6"/>
      <c r="IS60" s="4"/>
      <c r="IT60" s="8"/>
      <c r="IU60" s="5" t="str">
        <f t="shared" si="98"/>
        <v>NO APLICA</v>
      </c>
      <c r="IV60" s="2"/>
      <c r="IW60" s="6"/>
      <c r="IX60" s="4"/>
      <c r="IY60" s="8"/>
      <c r="IZ60" s="5" t="str">
        <f t="shared" si="99"/>
        <v>NO APLICA</v>
      </c>
      <c r="JA60" s="3"/>
      <c r="JB60" s="3"/>
      <c r="JC60" s="4"/>
      <c r="JD60" s="8"/>
      <c r="JE60" s="5" t="str">
        <f t="shared" si="100"/>
        <v>NO APLICA</v>
      </c>
      <c r="JF60" s="6"/>
      <c r="JG60" s="6"/>
      <c r="JH60" s="6"/>
      <c r="JI60" s="6"/>
      <c r="JJ60" s="5" t="str">
        <f t="shared" si="101"/>
        <v>NO APLICA</v>
      </c>
      <c r="JK60" s="6"/>
      <c r="JL60" s="6"/>
      <c r="JM60" s="6"/>
      <c r="JN60" s="6"/>
      <c r="JO60" s="5" t="str">
        <f t="shared" si="102"/>
        <v>NO APLICA</v>
      </c>
      <c r="JP60" s="6"/>
      <c r="JQ60" s="6"/>
      <c r="JR60" s="6"/>
      <c r="JS60" s="6"/>
      <c r="JT60" s="5" t="str">
        <f t="shared" si="103"/>
        <v>NO APLICA</v>
      </c>
      <c r="JU60" s="5"/>
      <c r="JV60" s="5"/>
      <c r="JW60" s="5"/>
      <c r="JX60" s="5"/>
      <c r="JY60" s="5" t="str">
        <f t="shared" si="104"/>
        <v>NO APLICA</v>
      </c>
      <c r="JZ60" s="5"/>
      <c r="KA60" s="2"/>
      <c r="KB60" s="4"/>
      <c r="KC60" s="8"/>
      <c r="KD60" s="5" t="str">
        <f t="shared" si="105"/>
        <v>NO APLICA</v>
      </c>
      <c r="KE60" s="5"/>
      <c r="KF60" s="3">
        <v>45328</v>
      </c>
      <c r="KG60" s="4">
        <f>DATE(YEAR(KF60)+5,MONTH(KF60),DAY(KF60)-1)</f>
        <v>47154</v>
      </c>
      <c r="KH60" s="8">
        <f ca="1">KG60-TODAY()</f>
        <v>1020</v>
      </c>
      <c r="KI60" s="5" t="str">
        <f t="shared" ca="1" si="141"/>
        <v>VIGENTE</v>
      </c>
      <c r="KJ60" s="5"/>
      <c r="KK60" s="3">
        <v>45364</v>
      </c>
      <c r="KL60" s="4">
        <f>DATE(YEAR(KK60)+5,MONTH(KK60),DAY(KK60))</f>
        <v>47190</v>
      </c>
      <c r="KM60" s="8">
        <f ca="1">KL60-TODAY()</f>
        <v>1056</v>
      </c>
      <c r="KN60" s="5" t="str">
        <f t="shared" ca="1" si="106"/>
        <v>VIGENTE</v>
      </c>
      <c r="KO60" s="5"/>
      <c r="KP60" s="2"/>
      <c r="KQ60" s="4"/>
      <c r="KR60" s="8"/>
      <c r="KS60" s="5" t="str">
        <f t="shared" si="142"/>
        <v>NO APLICA</v>
      </c>
      <c r="KT60" s="3"/>
      <c r="KU60" s="4">
        <v>44649</v>
      </c>
      <c r="KV60" s="4">
        <f>DATE(YEAR(KU60)+5,MONTH(KU60),DAY(KU60))</f>
        <v>46475</v>
      </c>
      <c r="KW60" s="8">
        <f ca="1">KV60-TODAY()</f>
        <v>341</v>
      </c>
      <c r="KX60" s="5" t="str">
        <f t="shared" ca="1" si="156"/>
        <v>VIGENTE</v>
      </c>
      <c r="KY60" s="5"/>
      <c r="KZ60" s="4">
        <v>44607</v>
      </c>
      <c r="LA60" s="4">
        <f>DATE(YEAR(KZ60)+5,MONTH(KZ60),DAY(KZ60))</f>
        <v>46433</v>
      </c>
      <c r="LB60" s="8">
        <f ca="1">LA60-TODAY()</f>
        <v>299</v>
      </c>
      <c r="LC60" s="5" t="str">
        <f t="shared" ca="1" si="143"/>
        <v>VIGENTE</v>
      </c>
      <c r="LD60" s="6"/>
      <c r="LE60" s="6"/>
      <c r="LF60" s="4"/>
      <c r="LG60" s="8"/>
      <c r="LH60" s="5" t="str">
        <f t="shared" si="107"/>
        <v>NO APLICA</v>
      </c>
      <c r="LI60" s="5"/>
      <c r="LJ60" s="21">
        <v>44086</v>
      </c>
      <c r="LK60" s="4">
        <f>DATE(YEAR(LJ60)+5,MONTH(LJ60),DAY(LJ60))</f>
        <v>45912</v>
      </c>
      <c r="LL60" s="8">
        <f ca="1">LK60-TODAY()</f>
        <v>-222</v>
      </c>
      <c r="LM60" s="5" t="str">
        <f t="shared" ca="1" si="157"/>
        <v>VENCIDA</v>
      </c>
      <c r="LN60" s="2"/>
      <c r="LO60" s="6"/>
      <c r="LP60" s="4"/>
      <c r="LQ60" s="8"/>
      <c r="LR60" s="5" t="str">
        <f t="shared" si="144"/>
        <v>NO APLICA</v>
      </c>
      <c r="LS60" s="6"/>
      <c r="LT60" s="6"/>
      <c r="LU60" s="4"/>
      <c r="LV60" s="8"/>
      <c r="LW60" s="5" t="str">
        <f t="shared" si="145"/>
        <v>NO APLICA</v>
      </c>
      <c r="LX60" s="6"/>
      <c r="LY60" s="6"/>
      <c r="LZ60" s="4"/>
      <c r="MA60" s="8"/>
      <c r="MB60" s="5" t="str">
        <f t="shared" si="146"/>
        <v>NO APLICA</v>
      </c>
      <c r="MC60" s="4"/>
      <c r="MD60" s="4">
        <v>45010</v>
      </c>
      <c r="ME60" s="4">
        <f>DATE(YEAR(MD60)+5,MONTH(MD60),DAY(MD60))</f>
        <v>46837</v>
      </c>
      <c r="MF60" s="8">
        <f ca="1">ME60-TODAY()</f>
        <v>703</v>
      </c>
      <c r="MG60" s="5" t="str">
        <f t="shared" ca="1" si="108"/>
        <v>VIGENTE</v>
      </c>
      <c r="MH60" s="2"/>
      <c r="MI60" s="2"/>
      <c r="MJ60" s="4"/>
      <c r="MK60" s="8"/>
      <c r="ML60" s="5" t="str">
        <f t="shared" si="109"/>
        <v>NO APLICA</v>
      </c>
      <c r="MM60" s="5"/>
      <c r="MN60" s="2"/>
      <c r="MO60" s="4"/>
      <c r="MP60" s="8"/>
      <c r="MQ60" s="5" t="str">
        <f t="shared" si="110"/>
        <v>NO APLICA</v>
      </c>
      <c r="MR60" s="5"/>
      <c r="MS60" s="2"/>
      <c r="MT60" s="4"/>
      <c r="MU60" s="2"/>
      <c r="MV60" s="5" t="str">
        <f t="shared" si="111"/>
        <v>NO APLICA</v>
      </c>
      <c r="MW60" s="2"/>
      <c r="MX60" s="6"/>
      <c r="MY60" s="4"/>
      <c r="MZ60" s="8"/>
      <c r="NA60" s="5" t="str">
        <f t="shared" si="112"/>
        <v>NO APLICA</v>
      </c>
      <c r="NB60" s="2"/>
      <c r="NC60" s="6"/>
      <c r="ND60" s="4"/>
      <c r="NE60" s="8"/>
      <c r="NF60" s="5" t="str">
        <f t="shared" si="113"/>
        <v>NO APLICA</v>
      </c>
      <c r="NG60" s="2"/>
      <c r="NH60" s="4">
        <v>44751</v>
      </c>
      <c r="NI60" s="4">
        <f>DATE(YEAR(NH60)+5,MONTH(NH60),DAY(NH60))</f>
        <v>46577</v>
      </c>
      <c r="NJ60" s="8">
        <f ca="1">NI60-TODAY()</f>
        <v>443</v>
      </c>
      <c r="NK60" s="5" t="str">
        <f t="shared" ca="1" si="114"/>
        <v>VIGENTE</v>
      </c>
      <c r="NL60" s="3"/>
      <c r="NM60" s="4">
        <v>45001</v>
      </c>
      <c r="NN60" s="4">
        <f>DATE(YEAR(NM60)+5,MONTH(NM60),DAY(NM60))</f>
        <v>46828</v>
      </c>
      <c r="NO60" s="8">
        <f ca="1">NN60-TODAY()</f>
        <v>694</v>
      </c>
      <c r="NP60" s="5" t="str">
        <f t="shared" ca="1" si="115"/>
        <v>VIGENTE</v>
      </c>
      <c r="NQ60" s="2"/>
      <c r="NR60" s="2"/>
      <c r="NS60" s="4"/>
      <c r="NT60" s="2"/>
      <c r="NU60" s="5" t="str">
        <f t="shared" si="116"/>
        <v>NO APLICA</v>
      </c>
      <c r="NV60" s="6"/>
      <c r="NW60" s="6"/>
      <c r="NX60" s="4"/>
      <c r="NY60" s="8"/>
      <c r="NZ60" s="5" t="str">
        <f t="shared" si="117"/>
        <v>NO APLICA</v>
      </c>
      <c r="OA60" s="6"/>
      <c r="OB60" s="6"/>
      <c r="OC60" s="6"/>
      <c r="OD60" s="6"/>
      <c r="OE60" s="5" t="str">
        <f t="shared" si="118"/>
        <v>NO APLICA</v>
      </c>
      <c r="OF60" s="2"/>
      <c r="OG60" s="2"/>
      <c r="OH60" s="4"/>
      <c r="OI60" s="8"/>
      <c r="OJ60" s="5" t="str">
        <f t="shared" si="119"/>
        <v>NO APLICA</v>
      </c>
      <c r="OK60" s="6"/>
      <c r="OL60" s="6"/>
      <c r="OM60" s="6"/>
      <c r="ON60" s="6"/>
      <c r="OO60" s="5" t="str">
        <f t="shared" si="120"/>
        <v>NO APLICA</v>
      </c>
      <c r="OP60" s="6"/>
      <c r="OQ60" s="6"/>
      <c r="OR60" s="6"/>
      <c r="OS60" s="6"/>
      <c r="OT60" s="5" t="str">
        <f t="shared" si="121"/>
        <v>NO APLICA</v>
      </c>
      <c r="OU60" s="6"/>
      <c r="OV60" s="6"/>
      <c r="OW60" s="6"/>
      <c r="OX60" s="6"/>
      <c r="OY60" s="5" t="str">
        <f t="shared" si="122"/>
        <v>NO APLICA</v>
      </c>
      <c r="OZ60" s="6"/>
      <c r="PA60" s="6"/>
      <c r="PB60" s="6"/>
      <c r="PC60" s="6"/>
      <c r="PD60" s="5" t="str">
        <f t="shared" si="123"/>
        <v>NO APLICA</v>
      </c>
      <c r="PE60" s="6"/>
      <c r="PF60" s="6"/>
      <c r="PG60" s="6"/>
      <c r="PH60" s="6"/>
      <c r="PI60" s="5" t="str">
        <f t="shared" si="124"/>
        <v>NO APLICA</v>
      </c>
      <c r="PJ60" s="5"/>
      <c r="PK60" s="6"/>
      <c r="PL60" s="4"/>
      <c r="PM60" s="8"/>
      <c r="PN60" s="5" t="str">
        <f t="shared" si="125"/>
        <v>NO APLICA</v>
      </c>
      <c r="PO60" s="6"/>
      <c r="PP60" s="6"/>
      <c r="PQ60" s="6"/>
      <c r="PR60" s="6"/>
      <c r="PS60" s="5" t="str">
        <f t="shared" si="126"/>
        <v>NO APLICA</v>
      </c>
      <c r="PT60" s="5"/>
      <c r="PU60" s="6"/>
      <c r="PV60" s="6"/>
      <c r="PW60" s="6"/>
      <c r="PX60" s="5" t="str">
        <f t="shared" si="127"/>
        <v>NO APLICA</v>
      </c>
    </row>
    <row r="61" spans="1:440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656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246</v>
      </c>
      <c r="V61" s="4">
        <v>45735</v>
      </c>
      <c r="W61" s="4">
        <f t="shared" si="2"/>
        <v>47561</v>
      </c>
      <c r="X61" s="8">
        <f t="shared" ca="1" si="3"/>
        <v>1427</v>
      </c>
      <c r="Y61" s="5" t="str">
        <f t="shared" ca="1" si="4"/>
        <v>VIGENTE</v>
      </c>
      <c r="Z61" s="2"/>
      <c r="AA61" s="6"/>
      <c r="AB61" s="4"/>
      <c r="AC61" s="8"/>
      <c r="AD61" s="5" t="str">
        <f t="shared" si="7"/>
        <v>NO APLICA</v>
      </c>
      <c r="AE61" s="3"/>
      <c r="AF61" s="4">
        <v>45936</v>
      </c>
      <c r="AG61" s="4">
        <f>DATE(YEAR(AF61)+2,MONTH(AF61),DAY(AF61))</f>
        <v>46666</v>
      </c>
      <c r="AH61" s="8">
        <f t="shared" ca="1" si="8"/>
        <v>532</v>
      </c>
      <c r="AI61" s="5" t="str">
        <f t="shared" ca="1" si="224"/>
        <v>VIGENTE</v>
      </c>
      <c r="AJ61" s="3"/>
      <c r="AK61" s="4">
        <v>45838</v>
      </c>
      <c r="AL61" s="4">
        <f>DATE(YEAR(AK61)+2,MONTH(AK61),DAY(AK61))</f>
        <v>46568</v>
      </c>
      <c r="AM61" s="8">
        <f t="shared" ca="1" si="10"/>
        <v>434</v>
      </c>
      <c r="AN61" s="5" t="str">
        <f t="shared" ca="1" si="11"/>
        <v>VIGENTE</v>
      </c>
      <c r="AO61" s="3"/>
      <c r="AP61" s="4">
        <v>45904</v>
      </c>
      <c r="AQ61" s="4">
        <f t="shared" si="241"/>
        <v>46634</v>
      </c>
      <c r="AR61" s="8">
        <f t="shared" ca="1" si="12"/>
        <v>500</v>
      </c>
      <c r="AS61" s="5" t="str">
        <f t="shared" ca="1" si="13"/>
        <v>VIGENTE</v>
      </c>
      <c r="AT61" s="3"/>
      <c r="AU61" s="4">
        <v>45927</v>
      </c>
      <c r="AV61" s="4">
        <f t="shared" si="236"/>
        <v>46657</v>
      </c>
      <c r="AW61" s="8">
        <f t="shared" ca="1" si="15"/>
        <v>523</v>
      </c>
      <c r="AX61" s="5" t="str">
        <f t="shared" ca="1" si="16"/>
        <v>VIGENTE</v>
      </c>
      <c r="AY61" s="3"/>
      <c r="AZ61" s="4">
        <v>46041</v>
      </c>
      <c r="BA61" s="4">
        <f>DATE(YEAR(AZ61)+2,MONTH(AZ61),DAY(AZ61))</f>
        <v>46771</v>
      </c>
      <c r="BB61" s="8">
        <f t="shared" ca="1" si="17"/>
        <v>637</v>
      </c>
      <c r="BC61" s="5" t="str">
        <f t="shared" ca="1" si="18"/>
        <v>VIGENTE</v>
      </c>
      <c r="BD61" s="3"/>
      <c r="BE61" s="4">
        <v>46067</v>
      </c>
      <c r="BF61" s="4">
        <f t="shared" si="237"/>
        <v>46797</v>
      </c>
      <c r="BG61" s="8">
        <f t="shared" ca="1" si="19"/>
        <v>663</v>
      </c>
      <c r="BH61" s="5" t="str">
        <f t="shared" ca="1" si="20"/>
        <v>VIGENTE</v>
      </c>
      <c r="BI61" s="3"/>
      <c r="BJ61" s="4">
        <v>45570</v>
      </c>
      <c r="BK61" s="4">
        <f>DATE(YEAR(BJ61)+2,MONTH(BJ61),DAY(BJ61)-1)</f>
        <v>46299</v>
      </c>
      <c r="BL61" s="8">
        <f t="shared" ca="1" si="21"/>
        <v>165</v>
      </c>
      <c r="BM61" s="5" t="str">
        <f t="shared" ca="1" si="22"/>
        <v>VIGENTE</v>
      </c>
      <c r="BN61" s="3"/>
      <c r="BO61" s="4">
        <v>45772</v>
      </c>
      <c r="BP61" s="4">
        <f>DATE(YEAR(BO61)+2,MONTH(BO61),DAY(BO61))</f>
        <v>46502</v>
      </c>
      <c r="BQ61" s="8">
        <f t="shared" ca="1" si="23"/>
        <v>368</v>
      </c>
      <c r="BR61" s="5" t="str">
        <f t="shared" ca="1" si="24"/>
        <v>VIGENTE</v>
      </c>
      <c r="BS61" s="3"/>
      <c r="BT61" s="4">
        <v>45950</v>
      </c>
      <c r="BU61" s="4">
        <f>DATE(YEAR(BT61)+2,MONTH(BT61),DAY(BT61))</f>
        <v>46680</v>
      </c>
      <c r="BV61" s="8">
        <f t="shared" ca="1" si="25"/>
        <v>546</v>
      </c>
      <c r="BW61" s="5" t="str">
        <f t="shared" ca="1" si="26"/>
        <v>VIGENTE</v>
      </c>
      <c r="BX61" s="3"/>
      <c r="BY61" s="4">
        <v>45944</v>
      </c>
      <c r="BZ61" s="4">
        <f>DATE(YEAR(BY61)+2,MONTH(BY61),DAY(BY61))</f>
        <v>46674</v>
      </c>
      <c r="CA61" s="8">
        <f t="shared" ca="1" si="27"/>
        <v>540</v>
      </c>
      <c r="CB61" s="5" t="str">
        <f t="shared" ca="1" si="28"/>
        <v>VIGENTE</v>
      </c>
      <c r="CC61" s="6" t="s">
        <v>73</v>
      </c>
      <c r="CD61" s="4">
        <v>45529</v>
      </c>
      <c r="CE61" s="4">
        <f t="shared" si="29"/>
        <v>46990</v>
      </c>
      <c r="CF61" s="8">
        <f t="shared" ca="1" si="30"/>
        <v>856</v>
      </c>
      <c r="CG61" s="5" t="str">
        <f t="shared" ca="1" si="31"/>
        <v>VIGENTE</v>
      </c>
      <c r="CH61" s="4"/>
      <c r="CI61" s="4">
        <v>45688</v>
      </c>
      <c r="CJ61" s="4">
        <f>DATE(YEAR(CI61)+2,MONTH(CI61),DAY(CI61)-1)</f>
        <v>46417</v>
      </c>
      <c r="CK61" s="8">
        <f t="shared" ca="1" si="32"/>
        <v>283</v>
      </c>
      <c r="CL61" s="5" t="str">
        <f t="shared" ca="1" si="33"/>
        <v>VIGENTE</v>
      </c>
      <c r="CM61" s="3"/>
      <c r="CN61" s="4">
        <v>45684</v>
      </c>
      <c r="CO61" s="4">
        <f>DATE(YEAR(CN61)+2,MONTH(CN61),DAY(CN61)-1)</f>
        <v>46413</v>
      </c>
      <c r="CP61" s="8">
        <f t="shared" ca="1" si="34"/>
        <v>279</v>
      </c>
      <c r="CQ61" s="5" t="str">
        <f t="shared" ca="1" si="35"/>
        <v>VIGENTE</v>
      </c>
      <c r="CR61" s="3"/>
      <c r="CS61" s="4">
        <v>46069</v>
      </c>
      <c r="CT61" s="4">
        <f>DATE(YEAR(CS61)+2,MONTH(CS61),DAY(CS61))</f>
        <v>46799</v>
      </c>
      <c r="CU61" s="8">
        <f t="shared" ca="1" si="36"/>
        <v>665</v>
      </c>
      <c r="CV61" s="5" t="str">
        <f t="shared" ca="1" si="37"/>
        <v>VIGENTE</v>
      </c>
      <c r="CW61" s="3"/>
      <c r="CX61" s="4">
        <v>46028</v>
      </c>
      <c r="CY61" s="4">
        <f>DATE(YEAR(CX61)+2,MONTH(CX61),DAY(CX61))</f>
        <v>46758</v>
      </c>
      <c r="CZ61" s="8">
        <f t="shared" ca="1" si="38"/>
        <v>624</v>
      </c>
      <c r="DA61" s="5" t="str">
        <f t="shared" ca="1" si="39"/>
        <v>VIGENTE</v>
      </c>
      <c r="DB61" s="3"/>
      <c r="DC61" s="4">
        <v>45607</v>
      </c>
      <c r="DD61" s="4">
        <f t="shared" si="231"/>
        <v>46336</v>
      </c>
      <c r="DE61" s="8">
        <f t="shared" ca="1" si="40"/>
        <v>202</v>
      </c>
      <c r="DF61" s="5" t="str">
        <f t="shared" ca="1" si="41"/>
        <v>VIGENTE</v>
      </c>
      <c r="DG61" s="3"/>
      <c r="DH61" s="4">
        <v>45834</v>
      </c>
      <c r="DI61" s="4">
        <f>DATE(YEAR(DH61)+2,MONTH(DH61),DAY(DH61))</f>
        <v>46564</v>
      </c>
      <c r="DJ61" s="8">
        <f t="shared" ca="1" si="43"/>
        <v>430</v>
      </c>
      <c r="DK61" s="5" t="str">
        <f t="shared" ca="1" si="44"/>
        <v>VIGENTE</v>
      </c>
      <c r="DL61" s="3"/>
      <c r="DM61" s="4">
        <v>45982</v>
      </c>
      <c r="DN61" s="4">
        <f>DATE(YEAR(DM61)+2,MONTH(DM61),DAY(DM61))</f>
        <v>46712</v>
      </c>
      <c r="DO61" s="8">
        <f t="shared" ca="1" si="46"/>
        <v>578</v>
      </c>
      <c r="DP61" s="5" t="str">
        <f t="shared" ca="1" si="47"/>
        <v>VIGENTE</v>
      </c>
      <c r="DQ61" s="3"/>
      <c r="DR61" s="4">
        <v>46072</v>
      </c>
      <c r="DS61" s="4">
        <f>DATE(YEAR(DR61)+2,MONTH(DR61),DAY(DR61))</f>
        <v>46802</v>
      </c>
      <c r="DT61" s="8">
        <f t="shared" ca="1" si="48"/>
        <v>668</v>
      </c>
      <c r="DU61" s="5" t="str">
        <f t="shared" ca="1" si="49"/>
        <v>VIGENTE</v>
      </c>
      <c r="DV61" s="3"/>
      <c r="DW61" s="4">
        <v>45612</v>
      </c>
      <c r="DX61" s="4">
        <f>DATE(YEAR(DW61)+2,MONTH(DW61),DAY(DW61)-1)</f>
        <v>46341</v>
      </c>
      <c r="DY61" s="8">
        <f t="shared" ca="1" si="50"/>
        <v>207</v>
      </c>
      <c r="DZ61" s="5" t="str">
        <f t="shared" ca="1" si="51"/>
        <v>VIGENTE</v>
      </c>
      <c r="EA61" s="3"/>
      <c r="EB61" s="4">
        <v>45730</v>
      </c>
      <c r="EC61" s="4">
        <f>DATE(YEAR(EB61)+2,MONTH(EB61),DAY(EB61)-1)</f>
        <v>46459</v>
      </c>
      <c r="ED61" s="8">
        <f t="shared" ca="1" si="52"/>
        <v>325</v>
      </c>
      <c r="EE61" s="5" t="str">
        <f t="shared" ca="1" si="53"/>
        <v>VIGENTE</v>
      </c>
      <c r="EF61" s="3"/>
      <c r="EG61" s="3">
        <v>46085</v>
      </c>
      <c r="EH61" s="4">
        <f t="shared" si="137"/>
        <v>46450</v>
      </c>
      <c r="EI61" s="8">
        <f t="shared" ca="1" si="54"/>
        <v>316</v>
      </c>
      <c r="EJ61" s="5" t="str">
        <f t="shared" ca="1" si="55"/>
        <v>VIGENTE</v>
      </c>
      <c r="EK61" s="3"/>
      <c r="EL61" s="3">
        <v>45596</v>
      </c>
      <c r="EM61" s="4">
        <f t="shared" si="235"/>
        <v>46325</v>
      </c>
      <c r="EN61" s="8">
        <f t="shared" ca="1" si="56"/>
        <v>191</v>
      </c>
      <c r="EO61" s="5" t="str">
        <f t="shared" ca="1" si="57"/>
        <v>VIGENTE</v>
      </c>
      <c r="EP61" s="3"/>
      <c r="EQ61" s="4">
        <v>45999</v>
      </c>
      <c r="ER61" s="4">
        <f>DATE(YEAR(EQ61)+2,MONTH(EQ61),DAY(EQ61))</f>
        <v>46729</v>
      </c>
      <c r="ES61" s="8">
        <f t="shared" ca="1" si="58"/>
        <v>595</v>
      </c>
      <c r="ET61" s="5" t="str">
        <f t="shared" ca="1" si="59"/>
        <v>VIGENTE</v>
      </c>
      <c r="EU61" s="3"/>
      <c r="EV61" s="4">
        <v>45917</v>
      </c>
      <c r="EW61" s="4">
        <f t="shared" si="238"/>
        <v>46647</v>
      </c>
      <c r="EX61" s="8">
        <f t="shared" ca="1" si="60"/>
        <v>513</v>
      </c>
      <c r="EY61" s="5" t="str">
        <f t="shared" ca="1" si="61"/>
        <v>VIGENTE</v>
      </c>
      <c r="EZ61" s="3"/>
      <c r="FA61" s="4">
        <v>45931</v>
      </c>
      <c r="FB61" s="4">
        <f t="shared" si="239"/>
        <v>46661</v>
      </c>
      <c r="FC61" s="8">
        <f t="shared" ca="1" si="62"/>
        <v>527</v>
      </c>
      <c r="FD61" s="5" t="str">
        <f t="shared" ca="1" si="63"/>
        <v>VIGENTE</v>
      </c>
      <c r="FE61" s="3"/>
      <c r="FF61" s="4">
        <v>45932</v>
      </c>
      <c r="FG61" s="4">
        <f t="shared" si="240"/>
        <v>46662</v>
      </c>
      <c r="FH61" s="8">
        <f t="shared" ca="1" si="64"/>
        <v>528</v>
      </c>
      <c r="FI61" s="5" t="str">
        <f t="shared" ca="1" si="65"/>
        <v>VIGENTE</v>
      </c>
      <c r="FJ61" s="3"/>
      <c r="FK61" s="4">
        <v>45479</v>
      </c>
      <c r="FL61" s="4">
        <f>DATE(YEAR(FK61)+2,MONTH(FK61),DAY(FK61)-1)</f>
        <v>46208</v>
      </c>
      <c r="FM61" s="8">
        <f t="shared" ca="1" si="67"/>
        <v>74</v>
      </c>
      <c r="FN61" s="5" t="str">
        <f t="shared" ca="1" si="68"/>
        <v>POR VENCER</v>
      </c>
      <c r="FO61" s="3"/>
      <c r="FP61" s="4">
        <v>45664</v>
      </c>
      <c r="FQ61" s="4">
        <f>DATE(YEAR(FP61)+2,MONTH(FP61),DAY(FP61)-1)</f>
        <v>46393</v>
      </c>
      <c r="FR61" s="8">
        <f t="shared" ca="1" si="69"/>
        <v>259</v>
      </c>
      <c r="FS61" s="5" t="str">
        <f t="shared" ca="1" si="70"/>
        <v>VIGENTE</v>
      </c>
      <c r="FT61" s="3"/>
      <c r="FU61" s="4">
        <v>45941</v>
      </c>
      <c r="FV61" s="4">
        <f>DATE(YEAR(FU61)+2,MONTH(FU61),DAY(FU61))</f>
        <v>46671</v>
      </c>
      <c r="FW61" s="8">
        <f t="shared" ca="1" si="71"/>
        <v>537</v>
      </c>
      <c r="FX61" s="5" t="str">
        <f t="shared" ca="1" si="72"/>
        <v>VIGENTE</v>
      </c>
      <c r="FY61" s="3"/>
      <c r="FZ61" s="4">
        <v>45595</v>
      </c>
      <c r="GA61" s="4">
        <f>DATE(YEAR(FZ61)+2,MONTH(FZ61),DAY(FZ61)-1)</f>
        <v>46324</v>
      </c>
      <c r="GB61" s="8">
        <f t="shared" ca="1" si="73"/>
        <v>190</v>
      </c>
      <c r="GC61" s="5" t="str">
        <f t="shared" ca="1" si="74"/>
        <v>VIGENTE</v>
      </c>
      <c r="GD61" s="3"/>
      <c r="GE61" s="4">
        <v>45579</v>
      </c>
      <c r="GF61" s="4">
        <f>DATE(YEAR(GE61)+2,MONTH(GE61),DAY(GE61)-1)</f>
        <v>46308</v>
      </c>
      <c r="GG61" s="8">
        <f t="shared" ca="1" si="75"/>
        <v>174</v>
      </c>
      <c r="GH61" s="5" t="str">
        <f t="shared" ca="1" si="76"/>
        <v>VIGENTE</v>
      </c>
      <c r="GI61" s="3"/>
      <c r="GJ61" s="4">
        <v>45567</v>
      </c>
      <c r="GK61" s="4">
        <f>DATE(YEAR(GJ61)+2,MONTH(GJ61),DAY(GJ61)-1)</f>
        <v>46296</v>
      </c>
      <c r="GL61" s="8">
        <f t="shared" ca="1" si="77"/>
        <v>162</v>
      </c>
      <c r="GM61" s="5" t="str">
        <f t="shared" ca="1" si="78"/>
        <v>VIGENTE</v>
      </c>
      <c r="GN61" s="4"/>
      <c r="GO61" s="4">
        <v>44966</v>
      </c>
      <c r="GP61" s="4">
        <f t="shared" si="79"/>
        <v>46792</v>
      </c>
      <c r="GQ61" s="8">
        <f t="shared" ca="1" si="181"/>
        <v>658</v>
      </c>
      <c r="GR61" s="5" t="str">
        <f t="shared" ca="1" si="81"/>
        <v>VIGENTE</v>
      </c>
      <c r="GS61" s="3"/>
      <c r="GT61" s="4">
        <v>44952</v>
      </c>
      <c r="GU61" s="4">
        <f t="shared" si="82"/>
        <v>46778</v>
      </c>
      <c r="GV61" s="8">
        <f t="shared" ca="1" si="83"/>
        <v>644</v>
      </c>
      <c r="GW61" s="5" t="str">
        <f t="shared" ca="1" si="84"/>
        <v>VIGENTE</v>
      </c>
      <c r="GX61" s="2"/>
      <c r="GY61" s="4">
        <v>44919</v>
      </c>
      <c r="GZ61" s="4">
        <f t="shared" si="85"/>
        <v>46745</v>
      </c>
      <c r="HA61" s="8">
        <f t="shared" ca="1" si="86"/>
        <v>611</v>
      </c>
      <c r="HB61" s="5" t="str">
        <f t="shared" ca="1" si="87"/>
        <v>VIGENTE</v>
      </c>
      <c r="HC61" s="6"/>
      <c r="HD61" s="6"/>
      <c r="HE61" s="4"/>
      <c r="HF61" s="8"/>
      <c r="HG61" s="5" t="str">
        <f t="shared" si="228"/>
        <v>NO APLICA</v>
      </c>
      <c r="HH61" s="2"/>
      <c r="HI61" s="6"/>
      <c r="HJ61" s="4"/>
      <c r="HK61" s="8"/>
      <c r="HL61" s="5" t="str">
        <f t="shared" si="232"/>
        <v>NO APLICA</v>
      </c>
      <c r="HM61" s="2"/>
      <c r="HN61" s="2"/>
      <c r="HO61" s="4"/>
      <c r="HP61" s="2"/>
      <c r="HQ61" s="5" t="str">
        <f t="shared" si="92"/>
        <v>NO APLICA</v>
      </c>
      <c r="HR61" s="2"/>
      <c r="HS61" s="6"/>
      <c r="HT61" s="4"/>
      <c r="HU61" s="8"/>
      <c r="HV61" s="5" t="str">
        <f t="shared" si="93"/>
        <v>NO APLICA</v>
      </c>
      <c r="HW61" s="2"/>
      <c r="HX61" s="6"/>
      <c r="HY61" s="4"/>
      <c r="HZ61" s="8"/>
      <c r="IA61" s="5" t="str">
        <f t="shared" si="94"/>
        <v>NO APLICA</v>
      </c>
      <c r="IB61" s="2"/>
      <c r="IC61" s="6"/>
      <c r="ID61" s="4"/>
      <c r="IE61" s="8"/>
      <c r="IF61" s="5" t="str">
        <f t="shared" si="95"/>
        <v>NO APLICA</v>
      </c>
      <c r="IG61" s="6"/>
      <c r="IH61" s="6"/>
      <c r="II61" s="4"/>
      <c r="IJ61" s="8"/>
      <c r="IK61" s="5" t="str">
        <f t="shared" si="96"/>
        <v>NO APLICA</v>
      </c>
      <c r="IL61" s="2"/>
      <c r="IM61" s="6"/>
      <c r="IN61" s="4"/>
      <c r="IO61" s="8"/>
      <c r="IP61" s="5" t="str">
        <f t="shared" si="97"/>
        <v>NO APLICA</v>
      </c>
      <c r="IQ61" s="2"/>
      <c r="IR61" s="6"/>
      <c r="IS61" s="4"/>
      <c r="IT61" s="8"/>
      <c r="IU61" s="5" t="str">
        <f t="shared" si="98"/>
        <v>NO APLICA</v>
      </c>
      <c r="IV61" s="2"/>
      <c r="IW61" s="6"/>
      <c r="IX61" s="4"/>
      <c r="IY61" s="8"/>
      <c r="IZ61" s="5" t="str">
        <f t="shared" si="99"/>
        <v>NO APLICA</v>
      </c>
      <c r="JA61" s="3"/>
      <c r="JB61" s="3"/>
      <c r="JC61" s="4"/>
      <c r="JD61" s="8"/>
      <c r="JE61" s="5" t="str">
        <f t="shared" si="100"/>
        <v>NO APLICA</v>
      </c>
      <c r="JF61" s="6"/>
      <c r="JG61" s="6"/>
      <c r="JH61" s="6"/>
      <c r="JI61" s="6"/>
      <c r="JJ61" s="5" t="str">
        <f t="shared" si="101"/>
        <v>NO APLICA</v>
      </c>
      <c r="JK61" s="6"/>
      <c r="JL61" s="6"/>
      <c r="JM61" s="6"/>
      <c r="JN61" s="6"/>
      <c r="JO61" s="5" t="str">
        <f t="shared" si="102"/>
        <v>NO APLICA</v>
      </c>
      <c r="JP61" s="6"/>
      <c r="JQ61" s="6"/>
      <c r="JR61" s="6"/>
      <c r="JS61" s="6"/>
      <c r="JT61" s="5" t="str">
        <f t="shared" si="103"/>
        <v>NO APLICA</v>
      </c>
      <c r="JU61" s="5"/>
      <c r="JV61" s="3"/>
      <c r="JW61" s="4"/>
      <c r="JX61" s="8"/>
      <c r="JY61" s="5" t="str">
        <f t="shared" si="104"/>
        <v>NO APLICA</v>
      </c>
      <c r="JZ61" s="5"/>
      <c r="KA61" s="2"/>
      <c r="KB61" s="4"/>
      <c r="KC61" s="8"/>
      <c r="KD61" s="5" t="str">
        <f t="shared" si="105"/>
        <v>NO APLICA</v>
      </c>
      <c r="KE61" s="5"/>
      <c r="KF61" s="2"/>
      <c r="KG61" s="4"/>
      <c r="KH61" s="8"/>
      <c r="KI61" s="5" t="str">
        <f t="shared" si="141"/>
        <v>NO APLICA</v>
      </c>
      <c r="KJ61" s="5"/>
      <c r="KK61" s="2"/>
      <c r="KL61" s="4"/>
      <c r="KM61" s="8"/>
      <c r="KN61" s="5" t="str">
        <f t="shared" si="106"/>
        <v>NO APLICA</v>
      </c>
      <c r="KO61" s="5"/>
      <c r="KP61" s="2"/>
      <c r="KQ61" s="4"/>
      <c r="KR61" s="8"/>
      <c r="KS61" s="5" t="str">
        <f t="shared" si="142"/>
        <v>NO APLICA</v>
      </c>
      <c r="KT61" s="2"/>
      <c r="KU61" s="6"/>
      <c r="KV61" s="4"/>
      <c r="KW61" s="8"/>
      <c r="KX61" s="5" t="str">
        <f t="shared" si="156"/>
        <v>NO APLICA</v>
      </c>
      <c r="KY61" s="5"/>
      <c r="KZ61" s="6"/>
      <c r="LA61" s="4"/>
      <c r="LB61" s="8"/>
      <c r="LC61" s="5" t="str">
        <f t="shared" si="143"/>
        <v>NO APLICA</v>
      </c>
      <c r="LD61" s="6"/>
      <c r="LE61" s="6"/>
      <c r="LF61" s="4"/>
      <c r="LG61" s="8"/>
      <c r="LH61" s="5" t="str">
        <f t="shared" si="107"/>
        <v>NO APLICA</v>
      </c>
      <c r="LI61" s="5"/>
      <c r="LJ61" s="5"/>
      <c r="LK61" s="4"/>
      <c r="LL61" s="8"/>
      <c r="LM61" s="5" t="str">
        <f t="shared" si="157"/>
        <v>NO APLICA</v>
      </c>
      <c r="LN61" s="2"/>
      <c r="LO61" s="6"/>
      <c r="LP61" s="4"/>
      <c r="LQ61" s="8"/>
      <c r="LR61" s="5" t="str">
        <f t="shared" si="144"/>
        <v>NO APLICA</v>
      </c>
      <c r="LS61" s="6"/>
      <c r="LT61" s="6"/>
      <c r="LU61" s="4"/>
      <c r="LV61" s="8"/>
      <c r="LW61" s="5" t="str">
        <f t="shared" si="145"/>
        <v>NO APLICA</v>
      </c>
      <c r="LX61" s="6"/>
      <c r="LY61" s="6"/>
      <c r="LZ61" s="4"/>
      <c r="MA61" s="8"/>
      <c r="MB61" s="5" t="str">
        <f t="shared" si="146"/>
        <v>NO APLICA</v>
      </c>
      <c r="MC61" s="2"/>
      <c r="MD61" s="2"/>
      <c r="ME61" s="4"/>
      <c r="MF61" s="8"/>
      <c r="MG61" s="5" t="str">
        <f t="shared" si="108"/>
        <v>NO APLICA</v>
      </c>
      <c r="MH61" s="2"/>
      <c r="MI61" s="2"/>
      <c r="MJ61" s="4"/>
      <c r="MK61" s="8"/>
      <c r="ML61" s="5" t="str">
        <f t="shared" si="109"/>
        <v>NO APLICA</v>
      </c>
      <c r="MM61" s="5"/>
      <c r="MN61" s="2"/>
      <c r="MO61" s="4"/>
      <c r="MP61" s="8"/>
      <c r="MQ61" s="5" t="str">
        <f t="shared" si="110"/>
        <v>NO APLICA</v>
      </c>
      <c r="MR61" s="5"/>
      <c r="MS61" s="2"/>
      <c r="MT61" s="4"/>
      <c r="MU61" s="2"/>
      <c r="MV61" s="5" t="str">
        <f t="shared" si="111"/>
        <v>NO APLICA</v>
      </c>
      <c r="MW61" s="2"/>
      <c r="MX61" s="6"/>
      <c r="MY61" s="4"/>
      <c r="MZ61" s="8"/>
      <c r="NA61" s="5" t="str">
        <f t="shared" si="112"/>
        <v>NO APLICA</v>
      </c>
      <c r="NB61" s="2"/>
      <c r="NC61" s="6"/>
      <c r="ND61" s="4"/>
      <c r="NE61" s="8"/>
      <c r="NF61" s="5" t="str">
        <f t="shared" si="113"/>
        <v>NO APLICA</v>
      </c>
      <c r="NG61" s="2"/>
      <c r="NH61" s="6"/>
      <c r="NI61" s="4"/>
      <c r="NJ61" s="8"/>
      <c r="NK61" s="5" t="str">
        <f t="shared" si="114"/>
        <v>NO APLICA</v>
      </c>
      <c r="NL61" s="2"/>
      <c r="NM61" s="2"/>
      <c r="NN61" s="4"/>
      <c r="NO61" s="8"/>
      <c r="NP61" s="5" t="str">
        <f t="shared" si="115"/>
        <v>NO APLICA</v>
      </c>
      <c r="NQ61" s="2"/>
      <c r="NR61" s="2"/>
      <c r="NS61" s="4"/>
      <c r="NT61" s="2"/>
      <c r="NU61" s="5" t="str">
        <f t="shared" si="116"/>
        <v>NO APLICA</v>
      </c>
      <c r="NV61" s="6"/>
      <c r="NW61" s="6"/>
      <c r="NX61" s="4"/>
      <c r="NY61" s="8"/>
      <c r="NZ61" s="5" t="str">
        <f t="shared" si="117"/>
        <v>NO APLICA</v>
      </c>
      <c r="OA61" s="6"/>
      <c r="OB61" s="6"/>
      <c r="OC61" s="6"/>
      <c r="OD61" s="6"/>
      <c r="OE61" s="5" t="str">
        <f t="shared" si="118"/>
        <v>NO APLICA</v>
      </c>
      <c r="OF61" s="6"/>
      <c r="OG61" s="6"/>
      <c r="OH61" s="4"/>
      <c r="OI61" s="8"/>
      <c r="OJ61" s="5" t="str">
        <f t="shared" si="119"/>
        <v>NO APLICA</v>
      </c>
      <c r="OK61" s="6"/>
      <c r="OL61" s="6"/>
      <c r="OM61" s="6"/>
      <c r="ON61" s="6"/>
      <c r="OO61" s="5" t="str">
        <f t="shared" si="120"/>
        <v>NO APLICA</v>
      </c>
      <c r="OP61" s="6"/>
      <c r="OQ61" s="6"/>
      <c r="OR61" s="6"/>
      <c r="OS61" s="6"/>
      <c r="OT61" s="5" t="str">
        <f t="shared" si="121"/>
        <v>NO APLICA</v>
      </c>
      <c r="OU61" s="6"/>
      <c r="OV61" s="6"/>
      <c r="OW61" s="6"/>
      <c r="OX61" s="6"/>
      <c r="OY61" s="5" t="str">
        <f t="shared" si="122"/>
        <v>NO APLICA</v>
      </c>
      <c r="OZ61" s="6"/>
      <c r="PA61" s="6"/>
      <c r="PB61" s="6"/>
      <c r="PC61" s="6"/>
      <c r="PD61" s="5" t="str">
        <f t="shared" si="123"/>
        <v>NO APLICA</v>
      </c>
      <c r="PE61" s="6"/>
      <c r="PF61" s="6"/>
      <c r="PG61" s="6"/>
      <c r="PH61" s="6"/>
      <c r="PI61" s="5" t="str">
        <f t="shared" si="124"/>
        <v>NO APLICA</v>
      </c>
      <c r="PJ61" s="5"/>
      <c r="PK61" s="6"/>
      <c r="PL61" s="4"/>
      <c r="PM61" s="8"/>
      <c r="PN61" s="5" t="str">
        <f t="shared" si="125"/>
        <v>NO APLICA</v>
      </c>
      <c r="PO61" s="6"/>
      <c r="PP61" s="6"/>
      <c r="PQ61" s="6"/>
      <c r="PR61" s="6"/>
      <c r="PS61" s="5" t="str">
        <f t="shared" si="126"/>
        <v>NO APLICA</v>
      </c>
      <c r="PT61" s="5"/>
      <c r="PU61" s="6"/>
      <c r="PV61" s="6"/>
      <c r="PW61" s="6"/>
      <c r="PX61" s="5" t="str">
        <f t="shared" si="127"/>
        <v>NO APLICA</v>
      </c>
    </row>
    <row r="62" spans="1:440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199</v>
      </c>
      <c r="T62" s="5" t="str">
        <f t="shared" ca="1" si="128"/>
        <v>VIGENTE</v>
      </c>
      <c r="U62" s="2" t="s">
        <v>248</v>
      </c>
      <c r="V62" s="4">
        <v>44772</v>
      </c>
      <c r="W62" s="4">
        <f t="shared" si="2"/>
        <v>46598</v>
      </c>
      <c r="X62" s="8">
        <f t="shared" ca="1" si="3"/>
        <v>464</v>
      </c>
      <c r="Y62" s="5" t="str">
        <f t="shared" ca="1" si="4"/>
        <v>VIGENTE</v>
      </c>
      <c r="Z62" s="2" t="s">
        <v>249</v>
      </c>
      <c r="AA62" s="4">
        <v>45464</v>
      </c>
      <c r="AB62" s="4">
        <f>DATE(YEAR(AA62)+5,MONTH(AA62),DAY(AA62))</f>
        <v>47290</v>
      </c>
      <c r="AC62" s="8">
        <f ca="1">AB62-TODAY()</f>
        <v>1156</v>
      </c>
      <c r="AD62" s="5" t="str">
        <f t="shared" ca="1" si="7"/>
        <v>VIGENTE</v>
      </c>
      <c r="AE62" s="3"/>
      <c r="AF62" s="4">
        <v>45780</v>
      </c>
      <c r="AG62" s="4">
        <f>DATE(YEAR(AF62)+2,MONTH(AF62),DAY(AF62))</f>
        <v>46510</v>
      </c>
      <c r="AH62" s="8">
        <f t="shared" ca="1" si="8"/>
        <v>376</v>
      </c>
      <c r="AI62" s="5" t="str">
        <f t="shared" ca="1" si="224"/>
        <v>VIGENTE</v>
      </c>
      <c r="AJ62" s="3"/>
      <c r="AK62" s="4">
        <v>45748</v>
      </c>
      <c r="AL62" s="4">
        <f>DATE(YEAR(AK62)+2,MONTH(AK62),DAY(AK62)-1)</f>
        <v>46477</v>
      </c>
      <c r="AM62" s="8">
        <f t="shared" ca="1" si="10"/>
        <v>343</v>
      </c>
      <c r="AN62" s="5" t="str">
        <f t="shared" ca="1" si="11"/>
        <v>VIGENTE</v>
      </c>
      <c r="AO62" s="3"/>
      <c r="AP62" s="4">
        <v>45820</v>
      </c>
      <c r="AQ62" s="4">
        <f t="shared" si="241"/>
        <v>46550</v>
      </c>
      <c r="AR62" s="8">
        <f t="shared" ca="1" si="12"/>
        <v>416</v>
      </c>
      <c r="AS62" s="5" t="str">
        <f t="shared" ca="1" si="13"/>
        <v>VIGENTE</v>
      </c>
      <c r="AT62" s="3"/>
      <c r="AU62" s="4">
        <v>45765</v>
      </c>
      <c r="AV62" s="4">
        <f t="shared" si="236"/>
        <v>46495</v>
      </c>
      <c r="AW62" s="8">
        <f t="shared" ca="1" si="15"/>
        <v>361</v>
      </c>
      <c r="AX62" s="5" t="str">
        <f t="shared" ca="1" si="16"/>
        <v>VIGENTE</v>
      </c>
      <c r="AY62" s="3"/>
      <c r="AZ62" s="4">
        <v>45717</v>
      </c>
      <c r="BA62" s="4">
        <f>DATE(YEAR(AZ62)+2,MONTH(AZ62),DAY(AZ62)-1)</f>
        <v>46446</v>
      </c>
      <c r="BB62" s="8">
        <f t="shared" ca="1" si="17"/>
        <v>312</v>
      </c>
      <c r="BC62" s="5" t="str">
        <f t="shared" ca="1" si="18"/>
        <v>VIGENTE</v>
      </c>
      <c r="BD62" s="3"/>
      <c r="BE62" s="4">
        <v>45842</v>
      </c>
      <c r="BF62" s="4">
        <f t="shared" si="237"/>
        <v>46572</v>
      </c>
      <c r="BG62" s="8">
        <f t="shared" ca="1" si="19"/>
        <v>438</v>
      </c>
      <c r="BH62" s="5" t="str">
        <f t="shared" ca="1" si="20"/>
        <v>VIGENTE</v>
      </c>
      <c r="BI62" s="3"/>
      <c r="BJ62" s="4">
        <v>45797</v>
      </c>
      <c r="BK62" s="4">
        <f>DATE(YEAR(BJ62)+2,MONTH(BJ62),DAY(BJ62))</f>
        <v>46527</v>
      </c>
      <c r="BL62" s="8">
        <f t="shared" ca="1" si="21"/>
        <v>393</v>
      </c>
      <c r="BM62" s="5" t="str">
        <f t="shared" ca="1" si="22"/>
        <v>VIGENTE</v>
      </c>
      <c r="BN62" s="3"/>
      <c r="BO62" s="4">
        <v>45841</v>
      </c>
      <c r="BP62" s="4">
        <f>DATE(YEAR(BO62)+2,MONTH(BO62),DAY(BO62))</f>
        <v>46571</v>
      </c>
      <c r="BQ62" s="8">
        <f t="shared" ca="1" si="23"/>
        <v>437</v>
      </c>
      <c r="BR62" s="5" t="str">
        <f t="shared" ca="1" si="24"/>
        <v>VIGENTE</v>
      </c>
      <c r="BS62" s="3"/>
      <c r="BT62" s="4">
        <v>45853</v>
      </c>
      <c r="BU62" s="4">
        <f>DATE(YEAR(BT62)+2,MONTH(BT62),DAY(BT62))</f>
        <v>46583</v>
      </c>
      <c r="BV62" s="8">
        <f t="shared" ca="1" si="25"/>
        <v>449</v>
      </c>
      <c r="BW62" s="5" t="str">
        <f t="shared" ca="1" si="26"/>
        <v>VIGENTE</v>
      </c>
      <c r="BX62" s="3"/>
      <c r="BY62" s="4">
        <v>45730</v>
      </c>
      <c r="BZ62" s="4">
        <f>DATE(YEAR(BY62)+2,MONTH(BY62),DAY(BY62)-1)</f>
        <v>46459</v>
      </c>
      <c r="CA62" s="8">
        <f t="shared" ca="1" si="27"/>
        <v>325</v>
      </c>
      <c r="CB62" s="5" t="str">
        <f t="shared" ca="1" si="28"/>
        <v>VIGENTE</v>
      </c>
      <c r="CC62" s="6" t="s">
        <v>73</v>
      </c>
      <c r="CD62" s="4">
        <v>45301</v>
      </c>
      <c r="CE62" s="4">
        <f t="shared" si="29"/>
        <v>46762</v>
      </c>
      <c r="CF62" s="8">
        <f t="shared" ca="1" si="30"/>
        <v>628</v>
      </c>
      <c r="CG62" s="5" t="str">
        <f t="shared" ca="1" si="31"/>
        <v>VIGENTE</v>
      </c>
      <c r="CH62" s="4"/>
      <c r="CI62" s="4">
        <v>45801</v>
      </c>
      <c r="CJ62" s="4">
        <f>DATE(YEAR(CI62)+2,MONTH(CI62),DAY(CI62)-1)</f>
        <v>46530</v>
      </c>
      <c r="CK62" s="8">
        <f t="shared" ca="1" si="32"/>
        <v>396</v>
      </c>
      <c r="CL62" s="5" t="str">
        <f t="shared" ca="1" si="33"/>
        <v>VIGENTE</v>
      </c>
      <c r="CM62" s="2"/>
      <c r="CN62" s="4">
        <v>45769</v>
      </c>
      <c r="CO62" s="4">
        <f>DATE(YEAR(CN62)+2,MONTH(CN62),DAY(CN62))</f>
        <v>46499</v>
      </c>
      <c r="CP62" s="8">
        <f t="shared" ca="1" si="34"/>
        <v>365</v>
      </c>
      <c r="CQ62" s="5" t="str">
        <f t="shared" ca="1" si="35"/>
        <v>VIGENTE</v>
      </c>
      <c r="CR62" s="3"/>
      <c r="CS62" s="4">
        <v>45805</v>
      </c>
      <c r="CT62" s="4">
        <f>DATE(YEAR(CS62)+2,MONTH(CS62),DAY(CS62))</f>
        <v>46535</v>
      </c>
      <c r="CU62" s="8">
        <f t="shared" ca="1" si="36"/>
        <v>401</v>
      </c>
      <c r="CV62" s="5" t="str">
        <f t="shared" ca="1" si="37"/>
        <v>VIGENTE</v>
      </c>
      <c r="CW62" s="3"/>
      <c r="CX62" s="4">
        <v>45744</v>
      </c>
      <c r="CY62" s="4">
        <f>DATE(YEAR(CX62)+2,MONTH(CX62),DAY(CX62)-1)</f>
        <v>46473</v>
      </c>
      <c r="CZ62" s="8">
        <f t="shared" ca="1" si="38"/>
        <v>339</v>
      </c>
      <c r="DA62" s="5" t="str">
        <f t="shared" ca="1" si="39"/>
        <v>VIGENTE</v>
      </c>
      <c r="DB62" s="3"/>
      <c r="DC62" s="4">
        <v>45761</v>
      </c>
      <c r="DD62" s="4">
        <f>DATE(YEAR(DC62)+2,MONTH(DC62),DAY(DC62))</f>
        <v>46491</v>
      </c>
      <c r="DE62" s="8">
        <f t="shared" ca="1" si="40"/>
        <v>357</v>
      </c>
      <c r="DF62" s="5" t="str">
        <f t="shared" ca="1" si="41"/>
        <v>VIGENTE</v>
      </c>
      <c r="DG62" s="2"/>
      <c r="DH62" s="4">
        <v>45734</v>
      </c>
      <c r="DI62" s="4">
        <f>DATE(YEAR(DH62)+2,MONTH(DH62),DAY(DH62)-1)</f>
        <v>46463</v>
      </c>
      <c r="DJ62" s="8">
        <f t="shared" ca="1" si="43"/>
        <v>329</v>
      </c>
      <c r="DK62" s="5" t="str">
        <f t="shared" ca="1" si="44"/>
        <v>VIGENTE</v>
      </c>
      <c r="DL62" s="3"/>
      <c r="DM62" s="4">
        <v>45857</v>
      </c>
      <c r="DN62" s="4">
        <f>DATE(YEAR(DM62)+2,MONTH(DM62),DAY(DM62))</f>
        <v>46587</v>
      </c>
      <c r="DO62" s="8">
        <f t="shared" ca="1" si="46"/>
        <v>453</v>
      </c>
      <c r="DP62" s="5" t="str">
        <f t="shared" ca="1" si="47"/>
        <v>VIGENTE</v>
      </c>
      <c r="DQ62" s="2"/>
      <c r="DR62" s="4">
        <v>45770</v>
      </c>
      <c r="DS62" s="4">
        <f>DATE(YEAR(DR62)+2,MONTH(DR62),DAY(DR62))</f>
        <v>46500</v>
      </c>
      <c r="DT62" s="8">
        <f t="shared" ca="1" si="48"/>
        <v>366</v>
      </c>
      <c r="DU62" s="5" t="str">
        <f t="shared" ca="1" si="49"/>
        <v>VIGENTE</v>
      </c>
      <c r="DV62" s="3"/>
      <c r="DW62" s="4">
        <v>45847</v>
      </c>
      <c r="DX62" s="4">
        <f>DATE(YEAR(DW62)+2,MONTH(DW62),DAY(DW62))</f>
        <v>46577</v>
      </c>
      <c r="DY62" s="8">
        <f t="shared" ca="1" si="50"/>
        <v>443</v>
      </c>
      <c r="DZ62" s="5" t="str">
        <f t="shared" ca="1" si="51"/>
        <v>VIGENTE</v>
      </c>
      <c r="EA62" s="3"/>
      <c r="EB62" s="4">
        <v>45787</v>
      </c>
      <c r="EC62" s="4">
        <f>DATE(YEAR(EB62)+2,MONTH(EB62),DAY(EB62))</f>
        <v>46517</v>
      </c>
      <c r="ED62" s="8">
        <f t="shared" ca="1" si="52"/>
        <v>383</v>
      </c>
      <c r="EE62" s="5" t="str">
        <f t="shared" ca="1" si="53"/>
        <v>VIGENTE</v>
      </c>
      <c r="EF62" s="3"/>
      <c r="EG62" s="4">
        <v>45808</v>
      </c>
      <c r="EH62" s="4">
        <f t="shared" si="137"/>
        <v>46173</v>
      </c>
      <c r="EI62" s="8">
        <f t="shared" ca="1" si="54"/>
        <v>39</v>
      </c>
      <c r="EJ62" s="5" t="str">
        <f t="shared" ca="1" si="55"/>
        <v>POR VENCER</v>
      </c>
      <c r="EK62" s="3"/>
      <c r="EL62" s="4">
        <v>45737</v>
      </c>
      <c r="EM62" s="4">
        <f t="shared" si="235"/>
        <v>46466</v>
      </c>
      <c r="EN62" s="8">
        <f t="shared" ca="1" si="56"/>
        <v>332</v>
      </c>
      <c r="EO62" s="5" t="str">
        <f t="shared" ca="1" si="57"/>
        <v>VIGENTE</v>
      </c>
      <c r="EP62" s="3"/>
      <c r="EQ62" s="4">
        <v>45796</v>
      </c>
      <c r="ER62" s="4">
        <f>DATE(YEAR(EQ62)+2,MONTH(EQ62),DAY(EQ62))</f>
        <v>46526</v>
      </c>
      <c r="ES62" s="8">
        <f t="shared" ca="1" si="58"/>
        <v>392</v>
      </c>
      <c r="ET62" s="5" t="str">
        <f t="shared" ca="1" si="59"/>
        <v>VIGENTE</v>
      </c>
      <c r="EU62" s="3"/>
      <c r="EV62" s="4">
        <v>45794</v>
      </c>
      <c r="EW62" s="4">
        <f t="shared" si="238"/>
        <v>46524</v>
      </c>
      <c r="EX62" s="8">
        <f t="shared" ca="1" si="60"/>
        <v>390</v>
      </c>
      <c r="EY62" s="5" t="str">
        <f t="shared" ca="1" si="61"/>
        <v>VIGENTE</v>
      </c>
      <c r="EZ62" s="3"/>
      <c r="FA62" s="4">
        <v>45783</v>
      </c>
      <c r="FB62" s="4">
        <f t="shared" si="239"/>
        <v>46513</v>
      </c>
      <c r="FC62" s="8">
        <f t="shared" ca="1" si="62"/>
        <v>379</v>
      </c>
      <c r="FD62" s="5" t="str">
        <f t="shared" ca="1" si="63"/>
        <v>VIGENTE</v>
      </c>
      <c r="FE62" s="2"/>
      <c r="FF62" s="4">
        <v>45756</v>
      </c>
      <c r="FG62" s="4">
        <f t="shared" si="240"/>
        <v>46486</v>
      </c>
      <c r="FH62" s="8">
        <f t="shared" ca="1" si="64"/>
        <v>352</v>
      </c>
      <c r="FI62" s="5" t="str">
        <f t="shared" ca="1" si="65"/>
        <v>VIGENTE</v>
      </c>
      <c r="FJ62" s="3"/>
      <c r="FK62" s="4">
        <v>45850</v>
      </c>
      <c r="FL62" s="4">
        <f>DATE(YEAR(FK62)+2,MONTH(FK62),DAY(FK62))</f>
        <v>46580</v>
      </c>
      <c r="FM62" s="8">
        <f t="shared" ca="1" si="67"/>
        <v>446</v>
      </c>
      <c r="FN62" s="5" t="str">
        <f t="shared" ca="1" si="68"/>
        <v>VIGENTE</v>
      </c>
      <c r="FO62" s="3"/>
      <c r="FP62" s="4">
        <v>45782</v>
      </c>
      <c r="FQ62" s="4">
        <f>DATE(YEAR(FP62)+2,MONTH(FP62),DAY(FP62))</f>
        <v>46512</v>
      </c>
      <c r="FR62" s="8">
        <f t="shared" ca="1" si="69"/>
        <v>378</v>
      </c>
      <c r="FS62" s="5" t="str">
        <f t="shared" ca="1" si="70"/>
        <v>VIGENTE</v>
      </c>
      <c r="FT62" s="3"/>
      <c r="FU62" s="4">
        <v>45758</v>
      </c>
      <c r="FV62" s="4">
        <f>DATE(YEAR(FU62)+2,MONTH(FU62),DAY(FU62)-1)</f>
        <v>46487</v>
      </c>
      <c r="FW62" s="8">
        <f t="shared" ca="1" si="71"/>
        <v>353</v>
      </c>
      <c r="FX62" s="5" t="str">
        <f t="shared" ca="1" si="72"/>
        <v>VIGENTE</v>
      </c>
      <c r="FY62" s="3"/>
      <c r="FZ62" s="4">
        <v>45821</v>
      </c>
      <c r="GA62" s="4">
        <f>DATE(YEAR(FZ62)+2,MONTH(FZ62),DAY(FZ62))</f>
        <v>46551</v>
      </c>
      <c r="GB62" s="8">
        <f t="shared" ca="1" si="73"/>
        <v>417</v>
      </c>
      <c r="GC62" s="5" t="str">
        <f t="shared" ca="1" si="74"/>
        <v>VIGENTE</v>
      </c>
      <c r="GD62" s="3"/>
      <c r="GE62" s="4">
        <v>45814</v>
      </c>
      <c r="GF62" s="4">
        <f>DATE(YEAR(GE62)+2,MONTH(GE62),DAY(GE62))</f>
        <v>46544</v>
      </c>
      <c r="GG62" s="8">
        <f t="shared" ca="1" si="75"/>
        <v>410</v>
      </c>
      <c r="GH62" s="5" t="str">
        <f t="shared" ca="1" si="76"/>
        <v>VIGENTE</v>
      </c>
      <c r="GI62" s="3"/>
      <c r="GJ62" s="4">
        <v>45764</v>
      </c>
      <c r="GK62" s="4">
        <f t="shared" ref="GK62:GK67" si="242">DATE(YEAR(GJ62)+2,MONTH(GJ62),DAY(GJ62))</f>
        <v>46494</v>
      </c>
      <c r="GL62" s="8">
        <f t="shared" ca="1" si="77"/>
        <v>360</v>
      </c>
      <c r="GM62" s="5" t="str">
        <f t="shared" ca="1" si="78"/>
        <v>VIGENTE</v>
      </c>
      <c r="GN62" s="4"/>
      <c r="GO62" s="4">
        <v>45181</v>
      </c>
      <c r="GP62" s="4">
        <f t="shared" si="79"/>
        <v>47008</v>
      </c>
      <c r="GQ62" s="8">
        <f t="shared" ca="1" si="181"/>
        <v>874</v>
      </c>
      <c r="GR62" s="5" t="str">
        <f t="shared" ca="1" si="81"/>
        <v>VIGENTE</v>
      </c>
      <c r="GS62" s="3"/>
      <c r="GT62" s="4">
        <v>45138</v>
      </c>
      <c r="GU62" s="4">
        <f t="shared" si="82"/>
        <v>46965</v>
      </c>
      <c r="GV62" s="8">
        <f t="shared" ca="1" si="83"/>
        <v>831</v>
      </c>
      <c r="GW62" s="5" t="str">
        <f t="shared" ca="1" si="84"/>
        <v>VIGENTE</v>
      </c>
      <c r="GX62" s="2"/>
      <c r="GY62" s="4">
        <v>45182</v>
      </c>
      <c r="GZ62" s="4">
        <f t="shared" si="85"/>
        <v>47009</v>
      </c>
      <c r="HA62" s="8">
        <f t="shared" ca="1" si="86"/>
        <v>875</v>
      </c>
      <c r="HB62" s="5" t="str">
        <f t="shared" ca="1" si="87"/>
        <v>VIGENTE</v>
      </c>
      <c r="HC62" s="6"/>
      <c r="HD62" s="4">
        <v>45121</v>
      </c>
      <c r="HE62" s="4">
        <f>DATE(YEAR(HD62)+5,MONTH(HD62),DAY(HD62))</f>
        <v>46948</v>
      </c>
      <c r="HF62" s="8">
        <f ca="1">HE62-TODAY()</f>
        <v>814</v>
      </c>
      <c r="HG62" s="5" t="str">
        <f t="shared" ca="1" si="228"/>
        <v>VIGENTE</v>
      </c>
      <c r="HH62" s="2"/>
      <c r="HI62" s="6"/>
      <c r="HJ62" s="4"/>
      <c r="HK62" s="8"/>
      <c r="HL62" s="5" t="str">
        <f t="shared" si="232"/>
        <v>NO APLICA</v>
      </c>
      <c r="HM62" s="2"/>
      <c r="HN62" s="2"/>
      <c r="HO62" s="4"/>
      <c r="HP62" s="2"/>
      <c r="HQ62" s="5" t="str">
        <f t="shared" si="92"/>
        <v>NO APLICA</v>
      </c>
      <c r="HR62" s="2"/>
      <c r="HS62" s="6"/>
      <c r="HT62" s="4"/>
      <c r="HU62" s="8"/>
      <c r="HV62" s="5" t="str">
        <f t="shared" si="93"/>
        <v>NO APLICA</v>
      </c>
      <c r="HW62" s="2"/>
      <c r="HX62" s="4">
        <v>45282</v>
      </c>
      <c r="HY62" s="4">
        <f>DATE(YEAR(HX62)+5,MONTH(HX62),DAY(HX62))</f>
        <v>47109</v>
      </c>
      <c r="HZ62" s="8">
        <f ca="1">HY62-TODAY()</f>
        <v>975</v>
      </c>
      <c r="IA62" s="5" t="str">
        <f t="shared" ca="1" si="94"/>
        <v>VIGENTE</v>
      </c>
      <c r="IB62" s="2"/>
      <c r="IC62" s="4">
        <v>45264</v>
      </c>
      <c r="ID62" s="4">
        <f>DATE(YEAR(IC62)+5,MONTH(IC62),DAY(IC62))</f>
        <v>47091</v>
      </c>
      <c r="IE62" s="8">
        <f ca="1">ID62-TODAY()</f>
        <v>957</v>
      </c>
      <c r="IF62" s="5" t="str">
        <f t="shared" ca="1" si="95"/>
        <v>VIGENTE</v>
      </c>
      <c r="IG62" s="6"/>
      <c r="IH62" s="6"/>
      <c r="II62" s="4"/>
      <c r="IJ62" s="8"/>
      <c r="IK62" s="5" t="str">
        <f t="shared" si="96"/>
        <v>NO APLICA</v>
      </c>
      <c r="IL62" s="2"/>
      <c r="IM62" s="4">
        <v>45354</v>
      </c>
      <c r="IN62" s="4">
        <f>DATE(YEAR(IM62)+5,MONTH(IM62),DAY(IM62))</f>
        <v>47180</v>
      </c>
      <c r="IO62" s="8">
        <f ca="1">IN62-TODAY()</f>
        <v>1046</v>
      </c>
      <c r="IP62" s="5" t="str">
        <f t="shared" ca="1" si="97"/>
        <v>VIGENTE</v>
      </c>
      <c r="IQ62" s="2"/>
      <c r="IR62" s="4">
        <v>45350</v>
      </c>
      <c r="IS62" s="4">
        <f>DATE(YEAR(IR62)+5,MONTH(IR62),DAY(IR62))</f>
        <v>47177</v>
      </c>
      <c r="IT62" s="8">
        <f ca="1">IS62-TODAY()</f>
        <v>1043</v>
      </c>
      <c r="IU62" s="5" t="str">
        <f t="shared" ca="1" si="98"/>
        <v>VIGENTE</v>
      </c>
      <c r="IV62" s="2"/>
      <c r="IW62" s="4">
        <v>45261</v>
      </c>
      <c r="IX62" s="4">
        <f>DATE(YEAR(IW62)+5,MONTH(IW62),DAY(IW62))</f>
        <v>47088</v>
      </c>
      <c r="IY62" s="8">
        <f ca="1">IX62-TODAY()</f>
        <v>954</v>
      </c>
      <c r="IZ62" s="5" t="str">
        <f t="shared" ca="1" si="99"/>
        <v>VIGENTE</v>
      </c>
      <c r="JA62" s="3"/>
      <c r="JB62" s="3"/>
      <c r="JC62" s="4"/>
      <c r="JD62" s="8"/>
      <c r="JE62" s="5" t="str">
        <f t="shared" si="100"/>
        <v>NO APLICA</v>
      </c>
      <c r="JF62" s="6"/>
      <c r="JG62" s="6"/>
      <c r="JH62" s="6"/>
      <c r="JI62" s="6"/>
      <c r="JJ62" s="5" t="str">
        <f t="shared" si="101"/>
        <v>NO APLICA</v>
      </c>
      <c r="JK62" s="6"/>
      <c r="JL62" s="6"/>
      <c r="JM62" s="6"/>
      <c r="JN62" s="6"/>
      <c r="JO62" s="5" t="str">
        <f t="shared" si="102"/>
        <v>NO APLICA</v>
      </c>
      <c r="JP62" s="6"/>
      <c r="JQ62" s="6"/>
      <c r="JR62" s="6"/>
      <c r="JS62" s="6"/>
      <c r="JT62" s="5" t="str">
        <f t="shared" si="103"/>
        <v>NO APLICA</v>
      </c>
      <c r="JU62" s="5"/>
      <c r="JV62" s="5"/>
      <c r="JW62" s="5"/>
      <c r="JX62" s="5"/>
      <c r="JY62" s="5" t="str">
        <f t="shared" si="104"/>
        <v>NO APLICA</v>
      </c>
      <c r="JZ62" s="5"/>
      <c r="KA62" s="2"/>
      <c r="KB62" s="4"/>
      <c r="KC62" s="8"/>
      <c r="KD62" s="5" t="str">
        <f t="shared" si="105"/>
        <v>NO APLICA</v>
      </c>
      <c r="KE62" s="5"/>
      <c r="KF62" s="2"/>
      <c r="KG62" s="4"/>
      <c r="KH62" s="8"/>
      <c r="KI62" s="5" t="str">
        <f t="shared" si="141"/>
        <v>NO APLICA</v>
      </c>
      <c r="KJ62" s="5"/>
      <c r="KK62" s="3">
        <v>45364</v>
      </c>
      <c r="KL62" s="4">
        <f>DATE(YEAR(KK62)+5,MONTH(KK62),DAY(KK62))</f>
        <v>47190</v>
      </c>
      <c r="KM62" s="8">
        <f ca="1">KL62-TODAY()</f>
        <v>1056</v>
      </c>
      <c r="KN62" s="5" t="str">
        <f t="shared" ca="1" si="106"/>
        <v>VIGENTE</v>
      </c>
      <c r="KO62" s="5"/>
      <c r="KP62" s="2"/>
      <c r="KQ62" s="4"/>
      <c r="KR62" s="8"/>
      <c r="KS62" s="5" t="str">
        <f t="shared" si="142"/>
        <v>NO APLICA</v>
      </c>
      <c r="KT62" s="2"/>
      <c r="KU62" s="6"/>
      <c r="KV62" s="4"/>
      <c r="KW62" s="8"/>
      <c r="KX62" s="5" t="str">
        <f t="shared" si="156"/>
        <v>NO APLICA</v>
      </c>
      <c r="KY62" s="5"/>
      <c r="KZ62" s="6"/>
      <c r="LA62" s="4"/>
      <c r="LB62" s="8"/>
      <c r="LC62" s="5" t="str">
        <f t="shared" si="143"/>
        <v>NO APLICA</v>
      </c>
      <c r="LD62" s="6"/>
      <c r="LE62" s="6"/>
      <c r="LF62" s="4"/>
      <c r="LG62" s="8"/>
      <c r="LH62" s="5" t="str">
        <f t="shared" si="107"/>
        <v>NO APLICA</v>
      </c>
      <c r="LI62" s="5"/>
      <c r="LJ62" s="5"/>
      <c r="LK62" s="4"/>
      <c r="LL62" s="8"/>
      <c r="LM62" s="5" t="str">
        <f t="shared" si="157"/>
        <v>NO APLICA</v>
      </c>
      <c r="LN62" s="2"/>
      <c r="LO62" s="6"/>
      <c r="LP62" s="4"/>
      <c r="LQ62" s="8"/>
      <c r="LR62" s="5" t="str">
        <f t="shared" si="144"/>
        <v>NO APLICA</v>
      </c>
      <c r="LS62" s="6"/>
      <c r="LT62" s="6"/>
      <c r="LU62" s="4"/>
      <c r="LV62" s="8"/>
      <c r="LW62" s="5" t="str">
        <f t="shared" si="145"/>
        <v>NO APLICA</v>
      </c>
      <c r="LX62" s="6"/>
      <c r="LY62" s="6"/>
      <c r="LZ62" s="4"/>
      <c r="MA62" s="8"/>
      <c r="MB62" s="5" t="str">
        <f t="shared" si="146"/>
        <v>NO APLICA</v>
      </c>
      <c r="MC62" s="2"/>
      <c r="MD62" s="2"/>
      <c r="ME62" s="4"/>
      <c r="MF62" s="8"/>
      <c r="MG62" s="5" t="str">
        <f t="shared" si="108"/>
        <v>NO APLICA</v>
      </c>
      <c r="MH62" s="2"/>
      <c r="MI62" s="2"/>
      <c r="MJ62" s="4"/>
      <c r="MK62" s="8"/>
      <c r="ML62" s="5" t="str">
        <f t="shared" si="109"/>
        <v>NO APLICA</v>
      </c>
      <c r="MM62" s="5"/>
      <c r="MN62" s="2"/>
      <c r="MO62" s="4"/>
      <c r="MP62" s="8"/>
      <c r="MQ62" s="5" t="str">
        <f t="shared" si="110"/>
        <v>NO APLICA</v>
      </c>
      <c r="MR62" s="5"/>
      <c r="MS62" s="2"/>
      <c r="MT62" s="4"/>
      <c r="MU62" s="2"/>
      <c r="MV62" s="5" t="str">
        <f t="shared" si="111"/>
        <v>NO APLICA</v>
      </c>
      <c r="MW62" s="2"/>
      <c r="MX62" s="6"/>
      <c r="MY62" s="4"/>
      <c r="MZ62" s="8"/>
      <c r="NA62" s="5" t="str">
        <f t="shared" si="112"/>
        <v>NO APLICA</v>
      </c>
      <c r="NB62" s="2"/>
      <c r="NC62" s="6"/>
      <c r="ND62" s="4"/>
      <c r="NE62" s="8"/>
      <c r="NF62" s="5" t="str">
        <f t="shared" si="113"/>
        <v>NO APLICA</v>
      </c>
      <c r="NG62" s="2"/>
      <c r="NH62" s="6"/>
      <c r="NI62" s="4"/>
      <c r="NJ62" s="8"/>
      <c r="NK62" s="5" t="str">
        <f t="shared" si="114"/>
        <v>NO APLICA</v>
      </c>
      <c r="NL62" s="2"/>
      <c r="NM62" s="2"/>
      <c r="NN62" s="4"/>
      <c r="NO62" s="8"/>
      <c r="NP62" s="5" t="str">
        <f t="shared" si="115"/>
        <v>NO APLICA</v>
      </c>
      <c r="NQ62" s="2"/>
      <c r="NR62" s="2"/>
      <c r="NS62" s="4"/>
      <c r="NT62" s="2"/>
      <c r="NU62" s="5" t="str">
        <f t="shared" si="116"/>
        <v>NO APLICA</v>
      </c>
      <c r="NV62" s="6"/>
      <c r="NW62" s="6"/>
      <c r="NX62" s="4"/>
      <c r="NY62" s="8"/>
      <c r="NZ62" s="5" t="str">
        <f t="shared" si="117"/>
        <v>NO APLICA</v>
      </c>
      <c r="OA62" s="6"/>
      <c r="OB62" s="6"/>
      <c r="OC62" s="6"/>
      <c r="OD62" s="6"/>
      <c r="OE62" s="5" t="str">
        <f t="shared" si="118"/>
        <v>NO APLICA</v>
      </c>
      <c r="OF62" s="2"/>
      <c r="OG62" s="2"/>
      <c r="OH62" s="4"/>
      <c r="OI62" s="8"/>
      <c r="OJ62" s="5" t="str">
        <f t="shared" si="119"/>
        <v>NO APLICA</v>
      </c>
      <c r="OK62" s="6"/>
      <c r="OL62" s="6"/>
      <c r="OM62" s="6"/>
      <c r="ON62" s="6"/>
      <c r="OO62" s="5" t="str">
        <f t="shared" si="120"/>
        <v>NO APLICA</v>
      </c>
      <c r="OP62" s="6"/>
      <c r="OQ62" s="6"/>
      <c r="OR62" s="6"/>
      <c r="OS62" s="6"/>
      <c r="OT62" s="5" t="str">
        <f t="shared" si="121"/>
        <v>NO APLICA</v>
      </c>
      <c r="OU62" s="6"/>
      <c r="OV62" s="6"/>
      <c r="OW62" s="6"/>
      <c r="OX62" s="6"/>
      <c r="OY62" s="5" t="str">
        <f t="shared" si="122"/>
        <v>NO APLICA</v>
      </c>
      <c r="OZ62" s="6"/>
      <c r="PA62" s="6"/>
      <c r="PB62" s="6"/>
      <c r="PC62" s="6"/>
      <c r="PD62" s="5" t="str">
        <f t="shared" si="123"/>
        <v>NO APLICA</v>
      </c>
      <c r="PE62" s="6"/>
      <c r="PF62" s="6"/>
      <c r="PG62" s="6"/>
      <c r="PH62" s="6"/>
      <c r="PI62" s="5" t="str">
        <f t="shared" si="124"/>
        <v>NO APLICA</v>
      </c>
      <c r="PJ62" s="5"/>
      <c r="PK62" s="6"/>
      <c r="PL62" s="4"/>
      <c r="PM62" s="8"/>
      <c r="PN62" s="5" t="str">
        <f t="shared" si="125"/>
        <v>NO APLICA</v>
      </c>
      <c r="PO62" s="6"/>
      <c r="PP62" s="6"/>
      <c r="PQ62" s="6"/>
      <c r="PR62" s="6"/>
      <c r="PS62" s="5" t="str">
        <f t="shared" si="126"/>
        <v>NO APLICA</v>
      </c>
      <c r="PT62" s="5"/>
      <c r="PU62" s="6"/>
      <c r="PV62" s="6"/>
      <c r="PW62" s="6"/>
      <c r="PX62" s="5" t="str">
        <f t="shared" si="127"/>
        <v>NO APLICA</v>
      </c>
    </row>
    <row r="63" spans="1:440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251</v>
      </c>
      <c r="V63" s="4">
        <v>44838</v>
      </c>
      <c r="W63" s="4">
        <f t="shared" si="2"/>
        <v>46664</v>
      </c>
      <c r="X63" s="8">
        <f t="shared" ca="1" si="3"/>
        <v>530</v>
      </c>
      <c r="Y63" s="5" t="str">
        <f t="shared" ca="1" si="4"/>
        <v>VIGENTE</v>
      </c>
      <c r="Z63" s="2" t="s">
        <v>252</v>
      </c>
      <c r="AA63" s="4">
        <v>44826</v>
      </c>
      <c r="AB63" s="4">
        <f>DATE(YEAR(AA63)+5,MONTH(AA63),DAY(AA63))</f>
        <v>46652</v>
      </c>
      <c r="AC63" s="8">
        <f ca="1">AB63-TODAY()</f>
        <v>518</v>
      </c>
      <c r="AD63" s="5" t="str">
        <f t="shared" ca="1" si="7"/>
        <v>VIGENTE</v>
      </c>
      <c r="AE63" s="3"/>
      <c r="AF63" s="3">
        <v>45589</v>
      </c>
      <c r="AG63" s="4">
        <f>DATE(YEAR(AF63)+2,MONTH(AF63),DAY(AF63)-1)</f>
        <v>46318</v>
      </c>
      <c r="AH63" s="8">
        <f t="shared" ca="1" si="8"/>
        <v>184</v>
      </c>
      <c r="AI63" s="5" t="str">
        <f t="shared" ca="1" si="224"/>
        <v>VIGENTE</v>
      </c>
      <c r="AJ63" s="3"/>
      <c r="AK63" s="4">
        <v>45903</v>
      </c>
      <c r="AL63" s="4">
        <f>DATE(YEAR(AK63)+2,MONTH(AK63),DAY(AK63))</f>
        <v>46633</v>
      </c>
      <c r="AM63" s="8">
        <f t="shared" ca="1" si="10"/>
        <v>499</v>
      </c>
      <c r="AN63" s="5" t="str">
        <f t="shared" ca="1" si="11"/>
        <v>VIGENTE</v>
      </c>
      <c r="AO63" s="3"/>
      <c r="AP63" s="4">
        <v>45971</v>
      </c>
      <c r="AQ63" s="4">
        <f t="shared" si="241"/>
        <v>46701</v>
      </c>
      <c r="AR63" s="8">
        <f t="shared" ca="1" si="12"/>
        <v>567</v>
      </c>
      <c r="AS63" s="5" t="str">
        <f t="shared" ca="1" si="13"/>
        <v>VIGENTE</v>
      </c>
      <c r="AT63" s="3"/>
      <c r="AU63" s="4">
        <v>45952</v>
      </c>
      <c r="AV63" s="4">
        <f t="shared" si="236"/>
        <v>46682</v>
      </c>
      <c r="AW63" s="8">
        <f t="shared" ca="1" si="15"/>
        <v>548</v>
      </c>
      <c r="AX63" s="5" t="str">
        <f t="shared" ca="1" si="16"/>
        <v>VIGENTE</v>
      </c>
      <c r="AY63" s="3"/>
      <c r="AZ63" s="4">
        <v>46071</v>
      </c>
      <c r="BA63" s="4">
        <f>DATE(YEAR(AZ63)+2,MONTH(AZ63),DAY(AZ63))</f>
        <v>46801</v>
      </c>
      <c r="BB63" s="8">
        <f t="shared" ca="1" si="17"/>
        <v>667</v>
      </c>
      <c r="BC63" s="5" t="str">
        <f t="shared" ca="1" si="18"/>
        <v>VIGENTE</v>
      </c>
      <c r="BD63" s="3"/>
      <c r="BE63" s="4">
        <v>46027</v>
      </c>
      <c r="BF63" s="4">
        <f t="shared" si="237"/>
        <v>46757</v>
      </c>
      <c r="BG63" s="8">
        <f t="shared" ca="1" si="19"/>
        <v>623</v>
      </c>
      <c r="BH63" s="5" t="str">
        <f t="shared" ca="1" si="20"/>
        <v>VIGENTE</v>
      </c>
      <c r="BI63" s="3"/>
      <c r="BJ63" s="4">
        <v>46035</v>
      </c>
      <c r="BK63" s="4">
        <f>DATE(YEAR(BJ63)+2,MONTH(BJ63),DAY(BJ63))</f>
        <v>46765</v>
      </c>
      <c r="BL63" s="8">
        <f t="shared" ca="1" si="21"/>
        <v>631</v>
      </c>
      <c r="BM63" s="5" t="str">
        <f t="shared" ca="1" si="22"/>
        <v>VIGENTE</v>
      </c>
      <c r="BN63" s="3"/>
      <c r="BO63" s="4">
        <v>46069</v>
      </c>
      <c r="BP63" s="4">
        <f>DATE(YEAR(BO63)+2,MONTH(BO63),DAY(BO63))</f>
        <v>46799</v>
      </c>
      <c r="BQ63" s="8">
        <f t="shared" ca="1" si="23"/>
        <v>665</v>
      </c>
      <c r="BR63" s="5" t="str">
        <f t="shared" ca="1" si="24"/>
        <v>VIGENTE</v>
      </c>
      <c r="BS63" s="3"/>
      <c r="BT63" s="4">
        <v>46031</v>
      </c>
      <c r="BU63" s="4">
        <f>DATE(YEAR(BT63)+2,MONTH(BT63),DAY(BT63))</f>
        <v>46761</v>
      </c>
      <c r="BV63" s="8">
        <f t="shared" ca="1" si="25"/>
        <v>627</v>
      </c>
      <c r="BW63" s="5" t="str">
        <f t="shared" ca="1" si="26"/>
        <v>VIGENTE</v>
      </c>
      <c r="BX63" s="3"/>
      <c r="BY63" s="4">
        <v>45944</v>
      </c>
      <c r="BZ63" s="4">
        <f t="shared" ref="BZ63:BZ71" si="243">DATE(YEAR(BY63)+2,MONTH(BY63),DAY(BY63))</f>
        <v>46674</v>
      </c>
      <c r="CA63" s="8">
        <f t="shared" ca="1" si="27"/>
        <v>540</v>
      </c>
      <c r="CB63" s="5" t="str">
        <f t="shared" ca="1" si="28"/>
        <v>VIGENTE</v>
      </c>
      <c r="CC63" s="6" t="s">
        <v>73</v>
      </c>
      <c r="CD63" s="4">
        <v>45211</v>
      </c>
      <c r="CE63" s="4">
        <f t="shared" si="29"/>
        <v>46672</v>
      </c>
      <c r="CF63" s="8">
        <f t="shared" ca="1" si="30"/>
        <v>538</v>
      </c>
      <c r="CG63" s="5" t="str">
        <f t="shared" ca="1" si="31"/>
        <v>VIGENTE</v>
      </c>
      <c r="CH63" s="4"/>
      <c r="CI63" s="4">
        <v>45929</v>
      </c>
      <c r="CJ63" s="4">
        <f>DATE(YEAR(CI63)+2,MONTH(CI63),DAY(CI63))</f>
        <v>46659</v>
      </c>
      <c r="CK63" s="8">
        <f t="shared" ca="1" si="32"/>
        <v>525</v>
      </c>
      <c r="CL63" s="5" t="str">
        <f t="shared" ca="1" si="33"/>
        <v>VIGENTE</v>
      </c>
      <c r="CM63" s="3"/>
      <c r="CN63" s="4">
        <v>45888</v>
      </c>
      <c r="CO63" s="4">
        <f>DATE(YEAR(CN63)+2,MONTH(CN63),DAY(CN63))</f>
        <v>46618</v>
      </c>
      <c r="CP63" s="8">
        <f t="shared" ca="1" si="34"/>
        <v>484</v>
      </c>
      <c r="CQ63" s="5" t="str">
        <f t="shared" ca="1" si="35"/>
        <v>VIGENTE</v>
      </c>
      <c r="CR63" s="3"/>
      <c r="CS63" s="4">
        <v>45631</v>
      </c>
      <c r="CT63" s="4">
        <f>DATE(YEAR(CS63)+2,MONTH(CS63),DAY(CS63)-1)</f>
        <v>46360</v>
      </c>
      <c r="CU63" s="8">
        <f t="shared" ca="1" si="36"/>
        <v>226</v>
      </c>
      <c r="CV63" s="5" t="str">
        <f t="shared" ca="1" si="37"/>
        <v>VIGENTE</v>
      </c>
      <c r="CW63" s="3"/>
      <c r="CX63" s="4">
        <v>45665</v>
      </c>
      <c r="CY63" s="4">
        <f>DATE(YEAR(CX63)+2,MONTH(CX63),DAY(CX63)-1)</f>
        <v>46394</v>
      </c>
      <c r="CZ63" s="8">
        <f t="shared" ca="1" si="38"/>
        <v>260</v>
      </c>
      <c r="DA63" s="5" t="str">
        <f t="shared" ca="1" si="39"/>
        <v>VIGENTE</v>
      </c>
      <c r="DB63" s="3"/>
      <c r="DC63" s="4">
        <v>45689</v>
      </c>
      <c r="DD63" s="4">
        <f>DATE(YEAR(DC63)+2,MONTH(DC63),DAY(DC63)-1)</f>
        <v>46418</v>
      </c>
      <c r="DE63" s="8">
        <f t="shared" ca="1" si="40"/>
        <v>284</v>
      </c>
      <c r="DF63" s="5" t="str">
        <f t="shared" ca="1" si="41"/>
        <v>VIGENTE</v>
      </c>
      <c r="DG63" s="3"/>
      <c r="DH63" s="4">
        <v>45955</v>
      </c>
      <c r="DI63" s="4">
        <f>DATE(YEAR(DH63)+2,MONTH(DH63),DAY(DH63))</f>
        <v>46685</v>
      </c>
      <c r="DJ63" s="8">
        <f t="shared" ca="1" si="43"/>
        <v>551</v>
      </c>
      <c r="DK63" s="5" t="str">
        <f t="shared" ca="1" si="44"/>
        <v>VIGENTE</v>
      </c>
      <c r="DL63" s="3"/>
      <c r="DM63" s="4">
        <v>46046</v>
      </c>
      <c r="DN63" s="4">
        <f>DATE(YEAR(DM63)+2,MONTH(DM63),DAY(DM63))</f>
        <v>46776</v>
      </c>
      <c r="DO63" s="8">
        <f t="shared" ca="1" si="46"/>
        <v>642</v>
      </c>
      <c r="DP63" s="5" t="str">
        <f t="shared" ca="1" si="47"/>
        <v>VIGENTE</v>
      </c>
      <c r="DQ63" s="3"/>
      <c r="DR63" s="4">
        <v>46053</v>
      </c>
      <c r="DS63" s="4">
        <f>DATE(YEAR(DR63)+2,MONTH(DR63),DAY(DR63))</f>
        <v>46783</v>
      </c>
      <c r="DT63" s="8">
        <f t="shared" ca="1" si="48"/>
        <v>649</v>
      </c>
      <c r="DU63" s="5" t="str">
        <f t="shared" ca="1" si="49"/>
        <v>VIGENTE</v>
      </c>
      <c r="DV63" s="3"/>
      <c r="DW63" s="4">
        <v>45866</v>
      </c>
      <c r="DX63" s="4">
        <f>DATE(YEAR(DW63)+2,MONTH(DW63),DAY(DW63))</f>
        <v>46596</v>
      </c>
      <c r="DY63" s="8">
        <f t="shared" ca="1" si="50"/>
        <v>462</v>
      </c>
      <c r="DZ63" s="5" t="str">
        <f t="shared" ca="1" si="51"/>
        <v>VIGENTE</v>
      </c>
      <c r="EA63" s="3"/>
      <c r="EB63" s="4">
        <v>45913</v>
      </c>
      <c r="EC63" s="4">
        <f>DATE(YEAR(EB63)+2,MONTH(EB63),DAY(EB63))</f>
        <v>46643</v>
      </c>
      <c r="ED63" s="8">
        <f t="shared" ca="1" si="52"/>
        <v>509</v>
      </c>
      <c r="EE63" s="5" t="str">
        <f t="shared" ca="1" si="53"/>
        <v>VIGENTE</v>
      </c>
      <c r="EF63" s="3"/>
      <c r="EG63" s="3">
        <v>46085</v>
      </c>
      <c r="EH63" s="4">
        <f t="shared" si="137"/>
        <v>46450</v>
      </c>
      <c r="EI63" s="8">
        <f t="shared" ca="1" si="54"/>
        <v>316</v>
      </c>
      <c r="EJ63" s="5" t="str">
        <f t="shared" ca="1" si="55"/>
        <v>VIGENTE</v>
      </c>
      <c r="EK63" s="3"/>
      <c r="EL63" s="4">
        <v>45940</v>
      </c>
      <c r="EM63" s="4">
        <f>DATE(YEAR(EL63)+2,MONTH(EL63),DAY(EL63))</f>
        <v>46670</v>
      </c>
      <c r="EN63" s="8">
        <f t="shared" ca="1" si="56"/>
        <v>536</v>
      </c>
      <c r="EO63" s="5" t="str">
        <f t="shared" ca="1" si="57"/>
        <v>VIGENTE</v>
      </c>
      <c r="EP63" s="3"/>
      <c r="EQ63" s="4">
        <v>45999</v>
      </c>
      <c r="ER63" s="4">
        <f>DATE(YEAR(EQ63)+2,MONTH(EQ63),DAY(EQ63))</f>
        <v>46729</v>
      </c>
      <c r="ES63" s="8">
        <f t="shared" ca="1" si="58"/>
        <v>595</v>
      </c>
      <c r="ET63" s="5" t="str">
        <f t="shared" ca="1" si="59"/>
        <v>VIGENTE</v>
      </c>
      <c r="EU63" s="3"/>
      <c r="EV63" s="4">
        <v>45953</v>
      </c>
      <c r="EW63" s="4">
        <f t="shared" si="238"/>
        <v>46683</v>
      </c>
      <c r="EX63" s="8">
        <f t="shared" ca="1" si="60"/>
        <v>549</v>
      </c>
      <c r="EY63" s="5" t="str">
        <f t="shared" ca="1" si="61"/>
        <v>VIGENTE</v>
      </c>
      <c r="EZ63" s="3"/>
      <c r="FA63" s="4">
        <v>45951</v>
      </c>
      <c r="FB63" s="4">
        <f t="shared" si="239"/>
        <v>46681</v>
      </c>
      <c r="FC63" s="8">
        <f t="shared" ca="1" si="62"/>
        <v>547</v>
      </c>
      <c r="FD63" s="5" t="str">
        <f t="shared" ca="1" si="63"/>
        <v>VIGENTE</v>
      </c>
      <c r="FE63" s="3"/>
      <c r="FF63" s="4">
        <v>45969</v>
      </c>
      <c r="FG63" s="4">
        <f t="shared" si="240"/>
        <v>46699</v>
      </c>
      <c r="FH63" s="8">
        <f t="shared" ca="1" si="64"/>
        <v>565</v>
      </c>
      <c r="FI63" s="5" t="str">
        <f t="shared" ca="1" si="65"/>
        <v>VIGENTE</v>
      </c>
      <c r="FJ63" s="3"/>
      <c r="FK63" s="4">
        <v>45933</v>
      </c>
      <c r="FL63" s="4">
        <f>DATE(YEAR(FK63)+2,MONTH(FK63),DAY(FK63))</f>
        <v>46663</v>
      </c>
      <c r="FM63" s="8">
        <f t="shared" ca="1" si="67"/>
        <v>529</v>
      </c>
      <c r="FN63" s="5" t="str">
        <f t="shared" ca="1" si="68"/>
        <v>VIGENTE</v>
      </c>
      <c r="FO63" s="3"/>
      <c r="FP63" s="4">
        <v>45957</v>
      </c>
      <c r="FQ63" s="4">
        <f>DATE(YEAR(FP63)+2,MONTH(FP63),DAY(FP63))</f>
        <v>46687</v>
      </c>
      <c r="FR63" s="8">
        <f t="shared" ca="1" si="69"/>
        <v>553</v>
      </c>
      <c r="FS63" s="5" t="str">
        <f t="shared" ca="1" si="70"/>
        <v>VIGENTE</v>
      </c>
      <c r="FT63" s="3"/>
      <c r="FU63" s="4">
        <v>45993</v>
      </c>
      <c r="FV63" s="4">
        <f>DATE(YEAR(FU63)+2,MONTH(FU63),DAY(FU63))</f>
        <v>46723</v>
      </c>
      <c r="FW63" s="8">
        <f t="shared" ca="1" si="71"/>
        <v>589</v>
      </c>
      <c r="FX63" s="5" t="str">
        <f t="shared" ca="1" si="72"/>
        <v>VIGENTE</v>
      </c>
      <c r="FY63" s="3"/>
      <c r="FZ63" s="4">
        <v>46030</v>
      </c>
      <c r="GA63" s="4">
        <f>DATE(YEAR(FZ63)+2,MONTH(FZ63),DAY(FZ63))</f>
        <v>46760</v>
      </c>
      <c r="GB63" s="8">
        <f t="shared" ca="1" si="73"/>
        <v>626</v>
      </c>
      <c r="GC63" s="5" t="str">
        <f t="shared" ca="1" si="74"/>
        <v>VIGENTE</v>
      </c>
      <c r="GD63" s="3"/>
      <c r="GE63" s="4">
        <v>45912</v>
      </c>
      <c r="GF63" s="4">
        <f>DATE(YEAR(GE63)+2,MONTH(GE63),DAY(GE63))</f>
        <v>46642</v>
      </c>
      <c r="GG63" s="8">
        <f t="shared" ca="1" si="75"/>
        <v>508</v>
      </c>
      <c r="GH63" s="5" t="str">
        <f t="shared" ca="1" si="76"/>
        <v>VIGENTE</v>
      </c>
      <c r="GI63" s="3"/>
      <c r="GJ63" s="4">
        <v>45923</v>
      </c>
      <c r="GK63" s="4">
        <f t="shared" si="242"/>
        <v>46653</v>
      </c>
      <c r="GL63" s="8">
        <f t="shared" ca="1" si="77"/>
        <v>519</v>
      </c>
      <c r="GM63" s="5" t="str">
        <f t="shared" ca="1" si="78"/>
        <v>VIGENTE</v>
      </c>
      <c r="GN63" s="4"/>
      <c r="GO63" s="4">
        <v>45224</v>
      </c>
      <c r="GP63" s="4">
        <f t="shared" si="79"/>
        <v>47051</v>
      </c>
      <c r="GQ63" s="8">
        <f t="shared" ca="1" si="181"/>
        <v>917</v>
      </c>
      <c r="GR63" s="5" t="str">
        <f t="shared" ca="1" si="81"/>
        <v>VIGENTE</v>
      </c>
      <c r="GS63" s="3"/>
      <c r="GT63" s="4">
        <v>45245</v>
      </c>
      <c r="GU63" s="4">
        <f t="shared" si="82"/>
        <v>47072</v>
      </c>
      <c r="GV63" s="8">
        <f t="shared" ca="1" si="83"/>
        <v>938</v>
      </c>
      <c r="GW63" s="5" t="str">
        <f t="shared" ca="1" si="84"/>
        <v>VIGENTE</v>
      </c>
      <c r="GX63" s="3"/>
      <c r="GY63" s="4">
        <v>45268</v>
      </c>
      <c r="GZ63" s="4">
        <f t="shared" si="85"/>
        <v>47095</v>
      </c>
      <c r="HA63" s="8">
        <f t="shared" ca="1" si="86"/>
        <v>961</v>
      </c>
      <c r="HB63" s="5" t="str">
        <f t="shared" ca="1" si="87"/>
        <v>VIGENTE</v>
      </c>
      <c r="HC63" s="6"/>
      <c r="HD63" s="4">
        <v>44865</v>
      </c>
      <c r="HE63" s="4">
        <f>DATE(YEAR(HD63)+5,MONTH(HD63),DAY(HD63))</f>
        <v>46691</v>
      </c>
      <c r="HF63" s="8">
        <f ca="1">HE63-TODAY()</f>
        <v>557</v>
      </c>
      <c r="HG63" s="5" t="str">
        <f t="shared" ca="1" si="228"/>
        <v>VIGENTE</v>
      </c>
      <c r="HH63" s="3"/>
      <c r="HI63" s="4">
        <v>45368</v>
      </c>
      <c r="HJ63" s="4">
        <f>DATE(YEAR(HI63)+5,MONTH(HI63),DAY(HI63))</f>
        <v>47194</v>
      </c>
      <c r="HK63" s="8">
        <f ca="1">HJ63-TODAY()</f>
        <v>1060</v>
      </c>
      <c r="HL63" s="5" t="str">
        <f t="shared" ca="1" si="232"/>
        <v>VIGENTE</v>
      </c>
      <c r="HM63" s="3"/>
      <c r="HN63" s="3">
        <v>45698</v>
      </c>
      <c r="HO63" s="4">
        <f>DATE(YEAR(HN63)+5,MONTH(HN63),DAY(HN63))</f>
        <v>47524</v>
      </c>
      <c r="HP63" s="8">
        <f ca="1">HO63-TODAY()</f>
        <v>1390</v>
      </c>
      <c r="HQ63" s="5" t="str">
        <f t="shared" ca="1" si="92"/>
        <v>VIGENTE</v>
      </c>
      <c r="HR63" s="3"/>
      <c r="HS63" s="4">
        <v>45300</v>
      </c>
      <c r="HT63" s="4">
        <f>DATE(YEAR(HS63)+5,MONTH(HS63),DAY(HS63))</f>
        <v>47127</v>
      </c>
      <c r="HU63" s="8">
        <f ca="1">HT63-TODAY()</f>
        <v>993</v>
      </c>
      <c r="HV63" s="5" t="str">
        <f t="shared" ca="1" si="93"/>
        <v>VIGENTE</v>
      </c>
      <c r="HW63" s="3"/>
      <c r="HX63" s="4">
        <v>45475</v>
      </c>
      <c r="HY63" s="4">
        <f>DATE(YEAR(HX63)+5,MONTH(HX63),DAY(HX63))</f>
        <v>47301</v>
      </c>
      <c r="HZ63" s="8">
        <f ca="1">HY63-TODAY()</f>
        <v>1167</v>
      </c>
      <c r="IA63" s="5" t="str">
        <f t="shared" ca="1" si="94"/>
        <v>VIGENTE</v>
      </c>
      <c r="IB63" s="3"/>
      <c r="IC63" s="4">
        <v>45444</v>
      </c>
      <c r="ID63" s="4">
        <f>DATE(YEAR(IC63)+5,MONTH(IC63),DAY(IC63))</f>
        <v>47270</v>
      </c>
      <c r="IE63" s="8">
        <f ca="1">ID63-TODAY()</f>
        <v>1136</v>
      </c>
      <c r="IF63" s="5" t="str">
        <f t="shared" ca="1" si="95"/>
        <v>VIGENTE</v>
      </c>
      <c r="IG63" s="4"/>
      <c r="IH63" s="4">
        <v>45452</v>
      </c>
      <c r="II63" s="4">
        <f>DATE(YEAR(IH63)+5,MONTH(IH63),DAY(IH63))</f>
        <v>47278</v>
      </c>
      <c r="IJ63" s="8">
        <f ca="1">II63-TODAY()</f>
        <v>1144</v>
      </c>
      <c r="IK63" s="5" t="str">
        <f t="shared" ca="1" si="96"/>
        <v>VIGENTE</v>
      </c>
      <c r="IL63" s="3"/>
      <c r="IM63" s="4">
        <v>45453</v>
      </c>
      <c r="IN63" s="4">
        <f>DATE(YEAR(IM63)+5,MONTH(IM63),DAY(IM63))</f>
        <v>47279</v>
      </c>
      <c r="IO63" s="8">
        <f ca="1">IN63-TODAY()</f>
        <v>1145</v>
      </c>
      <c r="IP63" s="5" t="str">
        <f t="shared" ca="1" si="97"/>
        <v>VIGENTE</v>
      </c>
      <c r="IQ63" s="3"/>
      <c r="IR63" s="4">
        <v>45435</v>
      </c>
      <c r="IS63" s="4">
        <f>DATE(YEAR(IR63)+5,MONTH(IR63),DAY(IR63))</f>
        <v>47261</v>
      </c>
      <c r="IT63" s="8">
        <f ca="1">IS63-TODAY()</f>
        <v>1127</v>
      </c>
      <c r="IU63" s="5" t="str">
        <f t="shared" ca="1" si="98"/>
        <v>VIGENTE</v>
      </c>
      <c r="IV63" s="3"/>
      <c r="IW63" s="4">
        <v>45461</v>
      </c>
      <c r="IX63" s="4">
        <f>DATE(YEAR(IW63)+5,MONTH(IW63),DAY(IW63))</f>
        <v>47287</v>
      </c>
      <c r="IY63" s="8">
        <f ca="1">IX63-TODAY()</f>
        <v>1153</v>
      </c>
      <c r="IZ63" s="5" t="str">
        <f t="shared" ca="1" si="99"/>
        <v>VIGENTE</v>
      </c>
      <c r="JA63" s="3"/>
      <c r="JB63" s="3"/>
      <c r="JC63" s="4"/>
      <c r="JD63" s="8"/>
      <c r="JE63" s="5" t="str">
        <f t="shared" si="100"/>
        <v>NO APLICA</v>
      </c>
      <c r="JF63" s="6"/>
      <c r="JG63" s="6"/>
      <c r="JH63" s="6"/>
      <c r="JI63" s="6"/>
      <c r="JJ63" s="5" t="str">
        <f t="shared" si="101"/>
        <v>NO APLICA</v>
      </c>
      <c r="JK63" s="6"/>
      <c r="JL63" s="6"/>
      <c r="JM63" s="6"/>
      <c r="JN63" s="6"/>
      <c r="JO63" s="5" t="str">
        <f t="shared" si="102"/>
        <v>NO APLICA</v>
      </c>
      <c r="JP63" s="6"/>
      <c r="JQ63" s="6"/>
      <c r="JR63" s="6"/>
      <c r="JS63" s="6"/>
      <c r="JT63" s="5" t="str">
        <f t="shared" si="103"/>
        <v>NO APLICA</v>
      </c>
      <c r="JU63" s="5"/>
      <c r="JV63" s="5"/>
      <c r="JW63" s="5"/>
      <c r="JX63" s="5"/>
      <c r="JY63" s="5" t="str">
        <f t="shared" si="104"/>
        <v>NO APLICA</v>
      </c>
      <c r="JZ63" s="5"/>
      <c r="KA63" s="2"/>
      <c r="KB63" s="4"/>
      <c r="KC63" s="8"/>
      <c r="KD63" s="5" t="str">
        <f t="shared" si="105"/>
        <v>NO APLICA</v>
      </c>
      <c r="KE63" s="5"/>
      <c r="KF63" s="3">
        <v>45328</v>
      </c>
      <c r="KG63" s="4">
        <f>DATE(YEAR(KF63)+5,MONTH(KF63),DAY(KF63)-1)</f>
        <v>47154</v>
      </c>
      <c r="KH63" s="8">
        <f ca="1">KG63-TODAY()</f>
        <v>1020</v>
      </c>
      <c r="KI63" s="5" t="str">
        <f t="shared" ca="1" si="141"/>
        <v>VIGENTE</v>
      </c>
      <c r="KJ63" s="5"/>
      <c r="KK63" s="2"/>
      <c r="KL63" s="4"/>
      <c r="KM63" s="8"/>
      <c r="KN63" s="5" t="str">
        <f t="shared" si="106"/>
        <v>NO APLICA</v>
      </c>
      <c r="KO63" s="5"/>
      <c r="KP63" s="2"/>
      <c r="KQ63" s="4"/>
      <c r="KR63" s="8"/>
      <c r="KS63" s="5" t="str">
        <f t="shared" si="142"/>
        <v>NO APLICA</v>
      </c>
      <c r="KT63" s="3"/>
      <c r="KU63" s="4">
        <v>44649</v>
      </c>
      <c r="KV63" s="4">
        <f>DATE(YEAR(KU63)+5,MONTH(KU63),DAY(KU63))</f>
        <v>46475</v>
      </c>
      <c r="KW63" s="8">
        <f ca="1">KV63-TODAY()</f>
        <v>341</v>
      </c>
      <c r="KX63" s="5" t="str">
        <f t="shared" ca="1" si="156"/>
        <v>VIGENTE</v>
      </c>
      <c r="KY63" s="5"/>
      <c r="KZ63" s="6"/>
      <c r="LA63" s="4"/>
      <c r="LB63" s="8"/>
      <c r="LC63" s="5" t="str">
        <f t="shared" si="143"/>
        <v>NO APLICA</v>
      </c>
      <c r="LD63" s="6"/>
      <c r="LE63" s="6"/>
      <c r="LF63" s="4"/>
      <c r="LG63" s="8"/>
      <c r="LH63" s="5" t="str">
        <f t="shared" si="107"/>
        <v>NO APLICA</v>
      </c>
      <c r="LI63" s="5"/>
      <c r="LJ63" s="5"/>
      <c r="LK63" s="4"/>
      <c r="LL63" s="8"/>
      <c r="LM63" s="5" t="str">
        <f t="shared" si="157"/>
        <v>NO APLICA</v>
      </c>
      <c r="LN63" s="2"/>
      <c r="LO63" s="6"/>
      <c r="LP63" s="4"/>
      <c r="LQ63" s="8"/>
      <c r="LR63" s="5" t="str">
        <f t="shared" si="144"/>
        <v>NO APLICA</v>
      </c>
      <c r="LS63" s="6"/>
      <c r="LT63" s="6"/>
      <c r="LU63" s="4"/>
      <c r="LV63" s="8"/>
      <c r="LW63" s="5" t="str">
        <f t="shared" si="145"/>
        <v>NO APLICA</v>
      </c>
      <c r="LX63" s="6"/>
      <c r="LY63" s="6"/>
      <c r="LZ63" s="4"/>
      <c r="MA63" s="8"/>
      <c r="MB63" s="5" t="str">
        <f t="shared" si="146"/>
        <v>NO APLICA</v>
      </c>
      <c r="MC63" s="2"/>
      <c r="MD63" s="2"/>
      <c r="ME63" s="4"/>
      <c r="MF63" s="8"/>
      <c r="MG63" s="5" t="str">
        <f t="shared" si="108"/>
        <v>NO APLICA</v>
      </c>
      <c r="MH63" s="2"/>
      <c r="MI63" s="2"/>
      <c r="MJ63" s="4"/>
      <c r="MK63" s="8"/>
      <c r="ML63" s="5" t="str">
        <f t="shared" si="109"/>
        <v>NO APLICA</v>
      </c>
      <c r="MM63" s="5"/>
      <c r="MN63" s="2"/>
      <c r="MO63" s="4"/>
      <c r="MP63" s="8"/>
      <c r="MQ63" s="5" t="str">
        <f t="shared" si="110"/>
        <v>NO APLICA</v>
      </c>
      <c r="MR63" s="5"/>
      <c r="MS63" s="2"/>
      <c r="MT63" s="4"/>
      <c r="MU63" s="2"/>
      <c r="MV63" s="5" t="str">
        <f t="shared" si="111"/>
        <v>NO APLICA</v>
      </c>
      <c r="MW63" s="2"/>
      <c r="MX63" s="6"/>
      <c r="MY63" s="4"/>
      <c r="MZ63" s="8"/>
      <c r="NA63" s="5" t="str">
        <f t="shared" si="112"/>
        <v>NO APLICA</v>
      </c>
      <c r="NB63" s="2"/>
      <c r="NC63" s="6"/>
      <c r="ND63" s="4"/>
      <c r="NE63" s="8"/>
      <c r="NF63" s="5" t="str">
        <f t="shared" si="113"/>
        <v>NO APLICA</v>
      </c>
      <c r="NG63" s="2"/>
      <c r="NH63" s="6"/>
      <c r="NI63" s="4"/>
      <c r="NJ63" s="8"/>
      <c r="NK63" s="5" t="str">
        <f t="shared" si="114"/>
        <v>NO APLICA</v>
      </c>
      <c r="NL63" s="2"/>
      <c r="NM63" s="2"/>
      <c r="NN63" s="4"/>
      <c r="NO63" s="8"/>
      <c r="NP63" s="5" t="str">
        <f t="shared" si="115"/>
        <v>NO APLICA</v>
      </c>
      <c r="NQ63" s="2"/>
      <c r="NR63" s="2"/>
      <c r="NS63" s="2"/>
      <c r="NT63" s="2"/>
      <c r="NU63" s="5" t="str">
        <f t="shared" si="116"/>
        <v>NO APLICA</v>
      </c>
      <c r="NV63" s="6"/>
      <c r="NW63" s="6"/>
      <c r="NX63" s="4"/>
      <c r="NY63" s="8"/>
      <c r="NZ63" s="5" t="str">
        <f t="shared" si="117"/>
        <v>NO APLICA</v>
      </c>
      <c r="OA63" s="6"/>
      <c r="OB63" s="6"/>
      <c r="OC63" s="6"/>
      <c r="OD63" s="6"/>
      <c r="OE63" s="5" t="str">
        <f t="shared" si="118"/>
        <v>NO APLICA</v>
      </c>
      <c r="OF63" s="2"/>
      <c r="OG63" s="2"/>
      <c r="OH63" s="4"/>
      <c r="OI63" s="8"/>
      <c r="OJ63" s="5" t="str">
        <f t="shared" si="119"/>
        <v>NO APLICA</v>
      </c>
      <c r="OK63" s="6"/>
      <c r="OL63" s="6"/>
      <c r="OM63" s="6"/>
      <c r="ON63" s="6"/>
      <c r="OO63" s="5" t="str">
        <f t="shared" si="120"/>
        <v>NO APLICA</v>
      </c>
      <c r="OP63" s="6"/>
      <c r="OQ63" s="6"/>
      <c r="OR63" s="6"/>
      <c r="OS63" s="6"/>
      <c r="OT63" s="5" t="str">
        <f t="shared" si="121"/>
        <v>NO APLICA</v>
      </c>
      <c r="OU63" s="6"/>
      <c r="OV63" s="6"/>
      <c r="OW63" s="6"/>
      <c r="OX63" s="6"/>
      <c r="OY63" s="5" t="str">
        <f t="shared" si="122"/>
        <v>NO APLICA</v>
      </c>
      <c r="OZ63" s="6"/>
      <c r="PA63" s="6"/>
      <c r="PB63" s="6"/>
      <c r="PC63" s="6"/>
      <c r="PD63" s="5" t="str">
        <f t="shared" si="123"/>
        <v>NO APLICA</v>
      </c>
      <c r="PE63" s="6"/>
      <c r="PF63" s="6"/>
      <c r="PG63" s="6"/>
      <c r="PH63" s="6"/>
      <c r="PI63" s="5" t="str">
        <f t="shared" si="124"/>
        <v>NO APLICA</v>
      </c>
      <c r="PJ63" s="5"/>
      <c r="PK63" s="4"/>
      <c r="PL63" s="4"/>
      <c r="PM63" s="8"/>
      <c r="PN63" s="5" t="str">
        <f t="shared" si="125"/>
        <v>NO APLICA</v>
      </c>
      <c r="PO63" s="6"/>
      <c r="PP63" s="6"/>
      <c r="PQ63" s="6"/>
      <c r="PR63" s="6"/>
      <c r="PS63" s="5" t="str">
        <f t="shared" si="126"/>
        <v>NO APLICA</v>
      </c>
      <c r="PT63" s="5"/>
      <c r="PU63" s="6"/>
      <c r="PV63" s="6"/>
      <c r="PW63" s="6"/>
      <c r="PX63" s="5" t="str">
        <f t="shared" si="127"/>
        <v>NO APLICA</v>
      </c>
    </row>
    <row r="64" spans="1:440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254</v>
      </c>
      <c r="V64" s="4">
        <v>45097</v>
      </c>
      <c r="W64" s="4">
        <f t="shared" si="2"/>
        <v>46924</v>
      </c>
      <c r="X64" s="8">
        <f t="shared" ca="1" si="3"/>
        <v>790</v>
      </c>
      <c r="Y64" s="5" t="str">
        <f t="shared" ca="1" si="4"/>
        <v>VIGENTE</v>
      </c>
      <c r="Z64" s="2" t="s">
        <v>255</v>
      </c>
      <c r="AA64" s="4">
        <v>44603</v>
      </c>
      <c r="AB64" s="4">
        <f>DATE(YEAR(AA64)+5,MONTH(AA64),DAY(AA64))</f>
        <v>46429</v>
      </c>
      <c r="AC64" s="8">
        <f ca="1">AB64-TODAY()</f>
        <v>295</v>
      </c>
      <c r="AD64" s="5" t="str">
        <f t="shared" ca="1" si="7"/>
        <v>VIGENTE</v>
      </c>
      <c r="AE64" s="3"/>
      <c r="AF64" s="3">
        <v>45617</v>
      </c>
      <c r="AG64" s="4">
        <f>DATE(YEAR(AF64)+2,MONTH(AF64),DAY(AF64)-1)</f>
        <v>46346</v>
      </c>
      <c r="AH64" s="8">
        <f t="shared" ca="1" si="8"/>
        <v>212</v>
      </c>
      <c r="AI64" s="5" t="str">
        <f t="shared" ca="1" si="224"/>
        <v>VIGENTE</v>
      </c>
      <c r="AJ64" s="3"/>
      <c r="AK64" s="4">
        <v>45937</v>
      </c>
      <c r="AL64" s="4">
        <f>DATE(YEAR(AK64)+2,MONTH(AK64),DAY(AK64))</f>
        <v>46667</v>
      </c>
      <c r="AM64" s="8">
        <f t="shared" ca="1" si="10"/>
        <v>533</v>
      </c>
      <c r="AN64" s="5" t="str">
        <f t="shared" ca="1" si="11"/>
        <v>VIGENTE</v>
      </c>
      <c r="AO64" s="3"/>
      <c r="AP64" s="4">
        <v>45904</v>
      </c>
      <c r="AQ64" s="4">
        <f t="shared" si="241"/>
        <v>46634</v>
      </c>
      <c r="AR64" s="8">
        <f t="shared" ca="1" si="12"/>
        <v>500</v>
      </c>
      <c r="AS64" s="5" t="str">
        <f t="shared" ca="1" si="13"/>
        <v>VIGENTE</v>
      </c>
      <c r="AT64" s="3"/>
      <c r="AU64" s="4">
        <v>45972</v>
      </c>
      <c r="AV64" s="4">
        <f t="shared" si="236"/>
        <v>46702</v>
      </c>
      <c r="AW64" s="8">
        <f t="shared" ca="1" si="15"/>
        <v>568</v>
      </c>
      <c r="AX64" s="5" t="str">
        <f t="shared" ca="1" si="16"/>
        <v>VIGENTE</v>
      </c>
      <c r="AY64" s="3"/>
      <c r="AZ64" s="4">
        <v>45515</v>
      </c>
      <c r="BA64" s="4">
        <f>DATE(YEAR(AZ64)+2,MONTH(AZ64),DAY(AZ64)-1)</f>
        <v>46244</v>
      </c>
      <c r="BB64" s="8">
        <f t="shared" ca="1" si="17"/>
        <v>110</v>
      </c>
      <c r="BC64" s="5" t="str">
        <f t="shared" ca="1" si="18"/>
        <v>VIGENTE</v>
      </c>
      <c r="BD64" s="3"/>
      <c r="BE64" s="4">
        <v>45968</v>
      </c>
      <c r="BF64" s="4">
        <f t="shared" si="237"/>
        <v>46698</v>
      </c>
      <c r="BG64" s="8">
        <f t="shared" ca="1" si="19"/>
        <v>564</v>
      </c>
      <c r="BH64" s="5" t="str">
        <f t="shared" ca="1" si="20"/>
        <v>VIGENTE</v>
      </c>
      <c r="BI64" s="3"/>
      <c r="BJ64" s="4">
        <v>46056</v>
      </c>
      <c r="BK64" s="4">
        <f>DATE(YEAR(BJ64)+2,MONTH(BJ64),DAY(BJ64))</f>
        <v>46786</v>
      </c>
      <c r="BL64" s="8">
        <f t="shared" ca="1" si="21"/>
        <v>652</v>
      </c>
      <c r="BM64" s="5" t="str">
        <f t="shared" ca="1" si="22"/>
        <v>VIGENTE</v>
      </c>
      <c r="BN64" s="3"/>
      <c r="BO64" s="4">
        <v>45447</v>
      </c>
      <c r="BP64" s="4">
        <f>DATE(YEAR(BO64)+2,MONTH(BO64),DAY(BO64)-1)</f>
        <v>46176</v>
      </c>
      <c r="BQ64" s="8">
        <f t="shared" ca="1" si="23"/>
        <v>42</v>
      </c>
      <c r="BR64" s="5" t="str">
        <f t="shared" ca="1" si="24"/>
        <v>POR VENCER</v>
      </c>
      <c r="BS64" s="3"/>
      <c r="BT64" s="4">
        <v>45449</v>
      </c>
      <c r="BU64" s="4">
        <f>DATE(YEAR(BT64)+2,MONTH(BT64),DAY(BT64)-1)</f>
        <v>46178</v>
      </c>
      <c r="BV64" s="8">
        <f t="shared" ca="1" si="25"/>
        <v>44</v>
      </c>
      <c r="BW64" s="5" t="str">
        <f t="shared" ca="1" si="26"/>
        <v>POR VENCER</v>
      </c>
      <c r="BX64" s="3"/>
      <c r="BY64" s="4">
        <v>45974</v>
      </c>
      <c r="BZ64" s="4">
        <f t="shared" si="243"/>
        <v>46704</v>
      </c>
      <c r="CA64" s="8">
        <f t="shared" ca="1" si="27"/>
        <v>570</v>
      </c>
      <c r="CB64" s="5" t="str">
        <f t="shared" ca="1" si="28"/>
        <v>VIGENTE</v>
      </c>
      <c r="CC64" s="6" t="s">
        <v>73</v>
      </c>
      <c r="CD64" s="4">
        <v>45262</v>
      </c>
      <c r="CE64" s="4">
        <f t="shared" si="29"/>
        <v>46723</v>
      </c>
      <c r="CF64" s="8">
        <f t="shared" ca="1" si="30"/>
        <v>589</v>
      </c>
      <c r="CG64" s="5" t="str">
        <f t="shared" ca="1" si="31"/>
        <v>VIGENTE</v>
      </c>
      <c r="CH64" s="4"/>
      <c r="CI64" s="4">
        <v>45511</v>
      </c>
      <c r="CJ64" s="4">
        <f>DATE(YEAR(CI64)+2,MONTH(CI64),DAY(CI64)-1)</f>
        <v>46240</v>
      </c>
      <c r="CK64" s="8">
        <f t="shared" ca="1" si="32"/>
        <v>106</v>
      </c>
      <c r="CL64" s="5" t="str">
        <f t="shared" ca="1" si="33"/>
        <v>VIGENTE</v>
      </c>
      <c r="CM64" s="3"/>
      <c r="CN64" s="4">
        <v>45513</v>
      </c>
      <c r="CO64" s="4">
        <f>DATE(YEAR(CN64)+2,MONTH(CN64),DAY(CN64)-1)</f>
        <v>46242</v>
      </c>
      <c r="CP64" s="8">
        <f t="shared" ca="1" si="34"/>
        <v>108</v>
      </c>
      <c r="CQ64" s="5" t="str">
        <f t="shared" ca="1" si="35"/>
        <v>VIGENTE</v>
      </c>
      <c r="CR64" s="3"/>
      <c r="CS64" s="4">
        <v>45639</v>
      </c>
      <c r="CT64" s="4">
        <f>DATE(YEAR(CS64)+2,MONTH(CS64),DAY(CS64)-1)</f>
        <v>46368</v>
      </c>
      <c r="CU64" s="8">
        <f t="shared" ca="1" si="36"/>
        <v>234</v>
      </c>
      <c r="CV64" s="5" t="str">
        <f t="shared" ca="1" si="37"/>
        <v>VIGENTE</v>
      </c>
      <c r="CW64" s="3"/>
      <c r="CX64" s="4">
        <v>45665</v>
      </c>
      <c r="CY64" s="4">
        <f>DATE(YEAR(CX64)+2,MONTH(CX64),DAY(CX64)-1)</f>
        <v>46394</v>
      </c>
      <c r="CZ64" s="8">
        <f t="shared" ca="1" si="38"/>
        <v>260</v>
      </c>
      <c r="DA64" s="5" t="str">
        <f t="shared" ca="1" si="39"/>
        <v>VIGENTE</v>
      </c>
      <c r="DB64" s="3"/>
      <c r="DC64" s="4">
        <v>45723</v>
      </c>
      <c r="DD64" s="4">
        <f>DATE(YEAR(DC64)+2,MONTH(DC64),DAY(DC64)-1)</f>
        <v>46452</v>
      </c>
      <c r="DE64" s="8">
        <f t="shared" ca="1" si="40"/>
        <v>318</v>
      </c>
      <c r="DF64" s="5" t="str">
        <f t="shared" ca="1" si="41"/>
        <v>VIGENTE</v>
      </c>
      <c r="DG64" s="3"/>
      <c r="DH64" s="4">
        <v>45562</v>
      </c>
      <c r="DI64" s="4">
        <f>DATE(YEAR(DH64)+2,MONTH(DH64),DAY(DH64)-1)</f>
        <v>46291</v>
      </c>
      <c r="DJ64" s="8">
        <f t="shared" ca="1" si="43"/>
        <v>157</v>
      </c>
      <c r="DK64" s="5" t="str">
        <f t="shared" ca="1" si="44"/>
        <v>VIGENTE</v>
      </c>
      <c r="DL64" s="3"/>
      <c r="DM64" s="4">
        <v>45982</v>
      </c>
      <c r="DN64" s="4">
        <f>DATE(YEAR(DM64)+2,MONTH(DM64),DAY(DM64))</f>
        <v>46712</v>
      </c>
      <c r="DO64" s="8">
        <f t="shared" ca="1" si="46"/>
        <v>578</v>
      </c>
      <c r="DP64" s="5" t="str">
        <f t="shared" ca="1" si="47"/>
        <v>VIGENTE</v>
      </c>
      <c r="DQ64" s="3"/>
      <c r="DR64" s="4">
        <v>45619</v>
      </c>
      <c r="DS64" s="4">
        <f>DATE(YEAR(DR64)+2,MONTH(DR64),DAY(DR64)-1)</f>
        <v>46348</v>
      </c>
      <c r="DT64" s="8">
        <f t="shared" ca="1" si="48"/>
        <v>214</v>
      </c>
      <c r="DU64" s="5" t="str">
        <f t="shared" ca="1" si="49"/>
        <v>VIGENTE</v>
      </c>
      <c r="DV64" s="3"/>
      <c r="DW64" s="4">
        <v>45582</v>
      </c>
      <c r="DX64" s="4">
        <f>DATE(YEAR(DW64)+2,MONTH(DW64),DAY(DW64)-1)</f>
        <v>46311</v>
      </c>
      <c r="DY64" s="8">
        <f t="shared" ca="1" si="50"/>
        <v>177</v>
      </c>
      <c r="DZ64" s="5" t="str">
        <f t="shared" ca="1" si="51"/>
        <v>VIGENTE</v>
      </c>
      <c r="EA64" s="3"/>
      <c r="EB64" s="4">
        <v>45674</v>
      </c>
      <c r="EC64" s="4">
        <f>DATE(YEAR(EB64)+2,MONTH(EB64),DAY(EB64)-1)</f>
        <v>46403</v>
      </c>
      <c r="ED64" s="8">
        <f t="shared" ca="1" si="52"/>
        <v>269</v>
      </c>
      <c r="EE64" s="5" t="str">
        <f t="shared" ca="1" si="53"/>
        <v>VIGENTE</v>
      </c>
      <c r="EF64" s="3"/>
      <c r="EG64" s="3">
        <v>46085</v>
      </c>
      <c r="EH64" s="4">
        <f t="shared" si="137"/>
        <v>46450</v>
      </c>
      <c r="EI64" s="8">
        <f t="shared" ca="1" si="54"/>
        <v>316</v>
      </c>
      <c r="EJ64" s="5" t="str">
        <f t="shared" ca="1" si="55"/>
        <v>VIGENTE</v>
      </c>
      <c r="EK64" s="3"/>
      <c r="EL64" s="4">
        <v>45460</v>
      </c>
      <c r="EM64" s="4">
        <f>DATE(YEAR(EL64)+2,MONTH(EL64),DAY(EL64)-1)</f>
        <v>46189</v>
      </c>
      <c r="EN64" s="8">
        <f t="shared" ca="1" si="56"/>
        <v>55</v>
      </c>
      <c r="EO64" s="5" t="str">
        <f t="shared" ca="1" si="57"/>
        <v>POR VENCER</v>
      </c>
      <c r="EP64" s="3"/>
      <c r="EQ64" s="4">
        <v>45677</v>
      </c>
      <c r="ER64" s="4">
        <f>DATE(YEAR(EQ64)+2,MONTH(EQ64),DAY(EQ64)-1)</f>
        <v>46406</v>
      </c>
      <c r="ES64" s="8">
        <f t="shared" ca="1" si="58"/>
        <v>272</v>
      </c>
      <c r="ET64" s="5" t="str">
        <f t="shared" ca="1" si="59"/>
        <v>VIGENTE</v>
      </c>
      <c r="EU64" s="3"/>
      <c r="EV64" s="4">
        <v>45953</v>
      </c>
      <c r="EW64" s="4">
        <f t="shared" si="238"/>
        <v>46683</v>
      </c>
      <c r="EX64" s="8">
        <f t="shared" ca="1" si="60"/>
        <v>549</v>
      </c>
      <c r="EY64" s="5" t="str">
        <f t="shared" ca="1" si="61"/>
        <v>VIGENTE</v>
      </c>
      <c r="EZ64" s="3"/>
      <c r="FA64" s="4">
        <v>45951</v>
      </c>
      <c r="FB64" s="4">
        <f t="shared" si="239"/>
        <v>46681</v>
      </c>
      <c r="FC64" s="8">
        <f t="shared" ca="1" si="62"/>
        <v>547</v>
      </c>
      <c r="FD64" s="5" t="str">
        <f t="shared" ca="1" si="63"/>
        <v>VIGENTE</v>
      </c>
      <c r="FE64" s="3"/>
      <c r="FF64" s="4">
        <v>45969</v>
      </c>
      <c r="FG64" s="4">
        <f t="shared" si="240"/>
        <v>46699</v>
      </c>
      <c r="FH64" s="8">
        <f t="shared" ca="1" si="64"/>
        <v>565</v>
      </c>
      <c r="FI64" s="5" t="str">
        <f t="shared" ca="1" si="65"/>
        <v>VIGENTE</v>
      </c>
      <c r="FJ64" s="3"/>
      <c r="FK64" s="4">
        <v>45670</v>
      </c>
      <c r="FL64" s="4">
        <f>DATE(YEAR(FK64)+2,MONTH(FK64),DAY(FK64)-1)</f>
        <v>46399</v>
      </c>
      <c r="FM64" s="8">
        <f t="shared" ca="1" si="67"/>
        <v>265</v>
      </c>
      <c r="FN64" s="5" t="str">
        <f t="shared" ca="1" si="68"/>
        <v>VIGENTE</v>
      </c>
      <c r="FO64" s="3"/>
      <c r="FP64" s="4">
        <v>45466</v>
      </c>
      <c r="FQ64" s="4">
        <f>DATE(YEAR(FP64)+2,MONTH(FP64),DAY(FP64)-1)</f>
        <v>46195</v>
      </c>
      <c r="FR64" s="8">
        <f t="shared" ca="1" si="69"/>
        <v>61</v>
      </c>
      <c r="FS64" s="5" t="str">
        <f t="shared" ca="1" si="70"/>
        <v>POR VENCER</v>
      </c>
      <c r="FT64" s="3"/>
      <c r="FU64" s="4">
        <v>46014</v>
      </c>
      <c r="FV64" s="4">
        <f>DATE(YEAR(FU64)+2,MONTH(FU64),DAY(FU64))</f>
        <v>46744</v>
      </c>
      <c r="FW64" s="8">
        <f t="shared" ca="1" si="71"/>
        <v>610</v>
      </c>
      <c r="FX64" s="5" t="str">
        <f t="shared" ca="1" si="72"/>
        <v>VIGENTE</v>
      </c>
      <c r="FY64" s="3"/>
      <c r="FZ64" s="4">
        <v>45715</v>
      </c>
      <c r="GA64" s="4">
        <f>DATE(YEAR(FZ64)+2,MONTH(FZ64),DAY(FZ64)-1)</f>
        <v>46444</v>
      </c>
      <c r="GB64" s="8">
        <f t="shared" ca="1" si="73"/>
        <v>310</v>
      </c>
      <c r="GC64" s="5" t="str">
        <f t="shared" ca="1" si="74"/>
        <v>VIGENTE</v>
      </c>
      <c r="GD64" s="3"/>
      <c r="GE64" s="4">
        <v>46079</v>
      </c>
      <c r="GF64" s="4">
        <f>DATE(YEAR(GE64)+2,MONTH(GE64),DAY(GE64))</f>
        <v>46809</v>
      </c>
      <c r="GG64" s="8">
        <f t="shared" ca="1" si="75"/>
        <v>675</v>
      </c>
      <c r="GH64" s="5" t="str">
        <f t="shared" ca="1" si="76"/>
        <v>VIGENTE</v>
      </c>
      <c r="GI64" s="3"/>
      <c r="GJ64" s="4">
        <v>45945</v>
      </c>
      <c r="GK64" s="4">
        <f t="shared" si="242"/>
        <v>46675</v>
      </c>
      <c r="GL64" s="8">
        <f t="shared" ca="1" si="77"/>
        <v>541</v>
      </c>
      <c r="GM64" s="5" t="str">
        <f t="shared" ca="1" si="78"/>
        <v>VIGENTE</v>
      </c>
      <c r="GN64" s="4"/>
      <c r="GO64" s="4">
        <v>45181</v>
      </c>
      <c r="GP64" s="4">
        <f t="shared" si="79"/>
        <v>47008</v>
      </c>
      <c r="GQ64" s="8">
        <f t="shared" ca="1" si="181"/>
        <v>874</v>
      </c>
      <c r="GR64" s="5" t="str">
        <f t="shared" ca="1" si="81"/>
        <v>VIGENTE</v>
      </c>
      <c r="GS64" s="3"/>
      <c r="GT64" s="4">
        <v>45329</v>
      </c>
      <c r="GU64" s="4">
        <f t="shared" si="82"/>
        <v>47156</v>
      </c>
      <c r="GV64" s="8">
        <f t="shared" ca="1" si="83"/>
        <v>1022</v>
      </c>
      <c r="GW64" s="5" t="str">
        <f t="shared" ca="1" si="84"/>
        <v>VIGENTE</v>
      </c>
      <c r="GX64" s="3"/>
      <c r="GY64" s="4">
        <v>45182</v>
      </c>
      <c r="GZ64" s="4">
        <f t="shared" si="85"/>
        <v>47009</v>
      </c>
      <c r="HA64" s="8">
        <f t="shared" ca="1" si="86"/>
        <v>875</v>
      </c>
      <c r="HB64" s="5" t="str">
        <f t="shared" ca="1" si="87"/>
        <v>VIGENTE</v>
      </c>
      <c r="HC64" s="6"/>
      <c r="HD64" s="4">
        <v>44884</v>
      </c>
      <c r="HE64" s="4">
        <f>DATE(YEAR(HD64)+5,MONTH(HD64),DAY(HD64))</f>
        <v>46710</v>
      </c>
      <c r="HF64" s="8">
        <f ca="1">HE64-TODAY()</f>
        <v>576</v>
      </c>
      <c r="HG64" s="5" t="str">
        <f t="shared" ca="1" si="228"/>
        <v>VIGENTE</v>
      </c>
      <c r="HH64" s="3"/>
      <c r="HI64" s="4">
        <v>45331</v>
      </c>
      <c r="HJ64" s="4">
        <f>DATE(YEAR(HI64)+5,MONTH(HI64),DAY(HI64))</f>
        <v>47158</v>
      </c>
      <c r="HK64" s="8">
        <f ca="1">HJ64-TODAY()</f>
        <v>1024</v>
      </c>
      <c r="HL64" s="5" t="str">
        <f t="shared" ca="1" si="232"/>
        <v>VIGENTE</v>
      </c>
      <c r="HM64" s="3"/>
      <c r="HN64" s="3">
        <v>45698</v>
      </c>
      <c r="HO64" s="4">
        <f>DATE(YEAR(HN64)+5,MONTH(HN64),DAY(HN64))</f>
        <v>47524</v>
      </c>
      <c r="HP64" s="8">
        <f ca="1">HO64-TODAY()</f>
        <v>1390</v>
      </c>
      <c r="HQ64" s="5" t="str">
        <f t="shared" ca="1" si="92"/>
        <v>VIGENTE</v>
      </c>
      <c r="HR64" s="3"/>
      <c r="HS64" s="4">
        <v>45440</v>
      </c>
      <c r="HT64" s="4">
        <f>DATE(YEAR(HS64)+5,MONTH(HS64),DAY(HS64))</f>
        <v>47266</v>
      </c>
      <c r="HU64" s="8">
        <f ca="1">HT64-TODAY()</f>
        <v>1132</v>
      </c>
      <c r="HV64" s="5" t="str">
        <f t="shared" ca="1" si="93"/>
        <v>VIGENTE</v>
      </c>
      <c r="HW64" s="3"/>
      <c r="HX64" s="4">
        <v>45234</v>
      </c>
      <c r="HY64" s="4">
        <f>DATE(YEAR(HX64)+5,MONTH(HX64),DAY(HX64))</f>
        <v>47061</v>
      </c>
      <c r="HZ64" s="8">
        <f ca="1">HY64-TODAY()</f>
        <v>927</v>
      </c>
      <c r="IA64" s="5" t="str">
        <f t="shared" ca="1" si="94"/>
        <v>VIGENTE</v>
      </c>
      <c r="IB64" s="3"/>
      <c r="IC64" s="4">
        <v>45192</v>
      </c>
      <c r="ID64" s="4">
        <f>DATE(YEAR(IC64)+5,MONTH(IC64),DAY(IC64))</f>
        <v>47019</v>
      </c>
      <c r="IE64" s="8">
        <f ca="1">ID64-TODAY()</f>
        <v>885</v>
      </c>
      <c r="IF64" s="5" t="str">
        <f t="shared" ca="1" si="95"/>
        <v>VIGENTE</v>
      </c>
      <c r="IG64" s="4"/>
      <c r="IH64" s="4">
        <v>45225</v>
      </c>
      <c r="II64" s="4">
        <f>DATE(YEAR(IH64)+5,MONTH(IH64),DAY(IH64))</f>
        <v>47052</v>
      </c>
      <c r="IJ64" s="8">
        <f ca="1">II64-TODAY()</f>
        <v>918</v>
      </c>
      <c r="IK64" s="5" t="str">
        <f t="shared" ca="1" si="96"/>
        <v>VIGENTE</v>
      </c>
      <c r="IL64" s="3"/>
      <c r="IM64" s="4">
        <v>45273</v>
      </c>
      <c r="IN64" s="4">
        <f>DATE(YEAR(IM64)+5,MONTH(IM64),DAY(IM64))</f>
        <v>47100</v>
      </c>
      <c r="IO64" s="8">
        <f ca="1">IN64-TODAY()</f>
        <v>966</v>
      </c>
      <c r="IP64" s="5" t="str">
        <f t="shared" ca="1" si="97"/>
        <v>VIGENTE</v>
      </c>
      <c r="IQ64" s="3"/>
      <c r="IR64" s="4">
        <v>45191</v>
      </c>
      <c r="IS64" s="4">
        <f>DATE(YEAR(IR64)+5,MONTH(IR64),DAY(IR64))</f>
        <v>47018</v>
      </c>
      <c r="IT64" s="8">
        <f ca="1">IS64-TODAY()</f>
        <v>884</v>
      </c>
      <c r="IU64" s="5" t="str">
        <f t="shared" ca="1" si="98"/>
        <v>VIGENTE</v>
      </c>
      <c r="IV64" s="3"/>
      <c r="IW64" s="4">
        <v>45224</v>
      </c>
      <c r="IX64" s="4">
        <f>DATE(YEAR(IW64)+5,MONTH(IW64),DAY(IW64))</f>
        <v>47051</v>
      </c>
      <c r="IY64" s="8">
        <f ca="1">IX64-TODAY()</f>
        <v>917</v>
      </c>
      <c r="IZ64" s="5" t="str">
        <f t="shared" ca="1" si="99"/>
        <v>VIGENTE</v>
      </c>
      <c r="JA64" s="3"/>
      <c r="JB64" s="3"/>
      <c r="JC64" s="4"/>
      <c r="JD64" s="8"/>
      <c r="JE64" s="5" t="str">
        <f t="shared" si="100"/>
        <v>NO APLICA</v>
      </c>
      <c r="JF64" s="6"/>
      <c r="JG64" s="6"/>
      <c r="JH64" s="6"/>
      <c r="JI64" s="6"/>
      <c r="JJ64" s="5" t="str">
        <f t="shared" si="101"/>
        <v>NO APLICA</v>
      </c>
      <c r="JK64" s="6"/>
      <c r="JL64" s="6"/>
      <c r="JM64" s="6"/>
      <c r="JN64" s="6"/>
      <c r="JO64" s="5" t="str">
        <f t="shared" si="102"/>
        <v>NO APLICA</v>
      </c>
      <c r="JP64" s="6"/>
      <c r="JQ64" s="6"/>
      <c r="JR64" s="6"/>
      <c r="JS64" s="6"/>
      <c r="JT64" s="5" t="str">
        <f t="shared" si="103"/>
        <v>NO APLICA</v>
      </c>
      <c r="JU64" s="5"/>
      <c r="JV64" s="5"/>
      <c r="JW64" s="5"/>
      <c r="JX64" s="5"/>
      <c r="JY64" s="5" t="str">
        <f t="shared" si="104"/>
        <v>NO APLICA</v>
      </c>
      <c r="JZ64" s="5"/>
      <c r="KA64" s="2"/>
      <c r="KB64" s="4"/>
      <c r="KC64" s="8"/>
      <c r="KD64" s="5" t="str">
        <f t="shared" si="105"/>
        <v>NO APLICA</v>
      </c>
      <c r="KE64" s="5"/>
      <c r="KF64" s="3">
        <v>45328</v>
      </c>
      <c r="KG64" s="4">
        <f>DATE(YEAR(KF64)+5,MONTH(KF64),DAY(KF64)-1)</f>
        <v>47154</v>
      </c>
      <c r="KH64" s="8">
        <f ca="1">KG64-TODAY()</f>
        <v>1020</v>
      </c>
      <c r="KI64" s="5" t="str">
        <f t="shared" ca="1" si="141"/>
        <v>VIGENTE</v>
      </c>
      <c r="KJ64" s="5"/>
      <c r="KK64" s="2"/>
      <c r="KL64" s="4"/>
      <c r="KM64" s="8"/>
      <c r="KN64" s="5" t="str">
        <f t="shared" si="106"/>
        <v>NO APLICA</v>
      </c>
      <c r="KO64" s="5"/>
      <c r="KP64" s="2"/>
      <c r="KQ64" s="4"/>
      <c r="KR64" s="8"/>
      <c r="KS64" s="5" t="str">
        <f t="shared" si="142"/>
        <v>NO APLICA</v>
      </c>
      <c r="KT64" s="3"/>
      <c r="KU64" s="4">
        <v>44651</v>
      </c>
      <c r="KV64" s="4">
        <f>DATE(YEAR(KU64)+5,MONTH(KU64),DAY(KU64))</f>
        <v>46477</v>
      </c>
      <c r="KW64" s="8">
        <f ca="1">KV64-TODAY()</f>
        <v>343</v>
      </c>
      <c r="KX64" s="5" t="str">
        <f t="shared" ca="1" si="156"/>
        <v>VIGENTE</v>
      </c>
      <c r="KY64" s="5"/>
      <c r="KZ64" s="6"/>
      <c r="LA64" s="4"/>
      <c r="LB64" s="8"/>
      <c r="LC64" s="5" t="str">
        <f t="shared" si="143"/>
        <v>NO APLICA</v>
      </c>
      <c r="LD64" s="4"/>
      <c r="LE64" s="4"/>
      <c r="LF64" s="4"/>
      <c r="LG64" s="8"/>
      <c r="LH64" s="5" t="str">
        <f t="shared" si="107"/>
        <v>NO APLICA</v>
      </c>
      <c r="LI64" s="5"/>
      <c r="LJ64" s="5"/>
      <c r="LK64" s="4"/>
      <c r="LL64" s="8"/>
      <c r="LM64" s="5" t="str">
        <f t="shared" si="157"/>
        <v>NO APLICA</v>
      </c>
      <c r="LN64" s="2"/>
      <c r="LO64" s="6"/>
      <c r="LP64" s="4"/>
      <c r="LQ64" s="8"/>
      <c r="LR64" s="5" t="str">
        <f t="shared" si="144"/>
        <v>NO APLICA</v>
      </c>
      <c r="LS64" s="6"/>
      <c r="LT64" s="6"/>
      <c r="LU64" s="4"/>
      <c r="LV64" s="8"/>
      <c r="LW64" s="5" t="str">
        <f t="shared" si="145"/>
        <v>NO APLICA</v>
      </c>
      <c r="LX64" s="6"/>
      <c r="LY64" s="6"/>
      <c r="LZ64" s="4"/>
      <c r="MA64" s="8"/>
      <c r="MB64" s="5" t="str">
        <f t="shared" si="146"/>
        <v>NO APLICA</v>
      </c>
      <c r="MC64" s="2"/>
      <c r="MD64" s="2"/>
      <c r="ME64" s="4"/>
      <c r="MF64" s="8"/>
      <c r="MG64" s="5" t="str">
        <f t="shared" si="108"/>
        <v>NO APLICA</v>
      </c>
      <c r="MH64" s="2"/>
      <c r="MI64" s="2"/>
      <c r="MJ64" s="4"/>
      <c r="MK64" s="8"/>
      <c r="ML64" s="5" t="str">
        <f t="shared" si="109"/>
        <v>NO APLICA</v>
      </c>
      <c r="MM64" s="5"/>
      <c r="MN64" s="2"/>
      <c r="MO64" s="4"/>
      <c r="MP64" s="8"/>
      <c r="MQ64" s="5" t="str">
        <f t="shared" si="110"/>
        <v>NO APLICA</v>
      </c>
      <c r="MR64" s="5"/>
      <c r="MS64" s="2"/>
      <c r="MT64" s="4"/>
      <c r="MU64" s="2"/>
      <c r="MV64" s="5" t="str">
        <f t="shared" si="111"/>
        <v>NO APLICA</v>
      </c>
      <c r="MW64" s="2"/>
      <c r="MX64" s="6"/>
      <c r="MY64" s="4"/>
      <c r="MZ64" s="8"/>
      <c r="NA64" s="5" t="str">
        <f t="shared" si="112"/>
        <v>NO APLICA</v>
      </c>
      <c r="NB64" s="2"/>
      <c r="NC64" s="6"/>
      <c r="ND64" s="4"/>
      <c r="NE64" s="8"/>
      <c r="NF64" s="5" t="str">
        <f t="shared" si="113"/>
        <v>NO APLICA</v>
      </c>
      <c r="NG64" s="2"/>
      <c r="NH64" s="6"/>
      <c r="NI64" s="4"/>
      <c r="NJ64" s="8"/>
      <c r="NK64" s="5" t="str">
        <f t="shared" si="114"/>
        <v>NO APLICA</v>
      </c>
      <c r="NL64" s="2"/>
      <c r="NM64" s="2"/>
      <c r="NN64" s="4"/>
      <c r="NO64" s="8"/>
      <c r="NP64" s="5" t="str">
        <f t="shared" si="115"/>
        <v>NO APLICA</v>
      </c>
      <c r="NQ64" s="2"/>
      <c r="NR64" s="2"/>
      <c r="NS64" s="4"/>
      <c r="NT64" s="2"/>
      <c r="NU64" s="5" t="str">
        <f t="shared" si="116"/>
        <v>NO APLICA</v>
      </c>
      <c r="NV64" s="6"/>
      <c r="NW64" s="6"/>
      <c r="NX64" s="4"/>
      <c r="NY64" s="8"/>
      <c r="NZ64" s="5" t="str">
        <f t="shared" si="117"/>
        <v>NO APLICA</v>
      </c>
      <c r="OA64" s="6"/>
      <c r="OB64" s="6"/>
      <c r="OC64" s="6"/>
      <c r="OD64" s="6"/>
      <c r="OE64" s="5" t="str">
        <f t="shared" si="118"/>
        <v>NO APLICA</v>
      </c>
      <c r="OF64" s="2"/>
      <c r="OG64" s="2"/>
      <c r="OH64" s="4"/>
      <c r="OI64" s="8"/>
      <c r="OJ64" s="5" t="str">
        <f t="shared" si="119"/>
        <v>NO APLICA</v>
      </c>
      <c r="OK64" s="6"/>
      <c r="OL64" s="6"/>
      <c r="OM64" s="6"/>
      <c r="ON64" s="6"/>
      <c r="OO64" s="5" t="str">
        <f t="shared" si="120"/>
        <v>NO APLICA</v>
      </c>
      <c r="OP64" s="6"/>
      <c r="OQ64" s="6"/>
      <c r="OR64" s="6"/>
      <c r="OS64" s="6"/>
      <c r="OT64" s="5" t="str">
        <f t="shared" si="121"/>
        <v>NO APLICA</v>
      </c>
      <c r="OU64" s="6"/>
      <c r="OV64" s="6"/>
      <c r="OW64" s="6"/>
      <c r="OX64" s="6"/>
      <c r="OY64" s="5" t="str">
        <f t="shared" si="122"/>
        <v>NO APLICA</v>
      </c>
      <c r="OZ64" s="6"/>
      <c r="PA64" s="6"/>
      <c r="PB64" s="6"/>
      <c r="PC64" s="6"/>
      <c r="PD64" s="5" t="str">
        <f t="shared" si="123"/>
        <v>NO APLICA</v>
      </c>
      <c r="PE64" s="6"/>
      <c r="PF64" s="6"/>
      <c r="PG64" s="6"/>
      <c r="PH64" s="6"/>
      <c r="PI64" s="5" t="str">
        <f t="shared" si="124"/>
        <v>NO APLICA</v>
      </c>
      <c r="PJ64" s="5"/>
      <c r="PK64" s="6"/>
      <c r="PL64" s="4"/>
      <c r="PM64" s="8"/>
      <c r="PN64" s="5" t="str">
        <f t="shared" si="125"/>
        <v>NO APLICA</v>
      </c>
      <c r="PO64" s="6"/>
      <c r="PP64" s="6"/>
      <c r="PQ64" s="6"/>
      <c r="PR64" s="6"/>
      <c r="PS64" s="5" t="str">
        <f t="shared" si="126"/>
        <v>NO APLICA</v>
      </c>
      <c r="PT64" s="5"/>
      <c r="PU64" s="6"/>
      <c r="PV64" s="6"/>
      <c r="PW64" s="6"/>
      <c r="PX64" s="5" t="str">
        <f t="shared" si="127"/>
        <v>NO APLICA</v>
      </c>
    </row>
    <row r="65" spans="1:440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353</v>
      </c>
      <c r="T65" s="5" t="str">
        <f t="shared" ca="1" si="128"/>
        <v>VIGENTE</v>
      </c>
      <c r="U65" s="2" t="s">
        <v>257</v>
      </c>
      <c r="V65" s="4">
        <v>44786</v>
      </c>
      <c r="W65" s="4">
        <f t="shared" si="2"/>
        <v>46612</v>
      </c>
      <c r="X65" s="8">
        <f t="shared" ca="1" si="3"/>
        <v>478</v>
      </c>
      <c r="Y65" s="5" t="str">
        <f t="shared" ca="1" si="4"/>
        <v>VIGENTE</v>
      </c>
      <c r="Z65" s="2" t="s">
        <v>258</v>
      </c>
      <c r="AA65" s="4">
        <v>44579</v>
      </c>
      <c r="AB65" s="4">
        <f>DATE(YEAR(AA65)+5,MONTH(AA65),DAY(AA65))</f>
        <v>46405</v>
      </c>
      <c r="AC65" s="8">
        <f ca="1">AB65-TODAY()</f>
        <v>271</v>
      </c>
      <c r="AD65" s="5" t="str">
        <f t="shared" ca="1" si="7"/>
        <v>VIGENTE</v>
      </c>
      <c r="AE65" s="3"/>
      <c r="AF65" s="3">
        <v>45594</v>
      </c>
      <c r="AG65" s="4">
        <f>DATE(YEAR(AF65)+2,MONTH(AF65),DAY(AF65)-1)</f>
        <v>46323</v>
      </c>
      <c r="AH65" s="8">
        <f t="shared" ca="1" si="8"/>
        <v>189</v>
      </c>
      <c r="AI65" s="5" t="str">
        <f t="shared" ca="1" si="224"/>
        <v>VIGENTE</v>
      </c>
      <c r="AJ65" s="3"/>
      <c r="AK65" s="4">
        <v>45937</v>
      </c>
      <c r="AL65" s="4">
        <f>DATE(YEAR(AK65)+2,MONTH(AK65),DAY(AK65))</f>
        <v>46667</v>
      </c>
      <c r="AM65" s="8">
        <f t="shared" ca="1" si="10"/>
        <v>533</v>
      </c>
      <c r="AN65" s="5" t="str">
        <f t="shared" ca="1" si="11"/>
        <v>VIGENTE</v>
      </c>
      <c r="AO65" s="3"/>
      <c r="AP65" s="4">
        <v>46083</v>
      </c>
      <c r="AQ65" s="4">
        <f t="shared" si="241"/>
        <v>46814</v>
      </c>
      <c r="AR65" s="8">
        <f t="shared" ca="1" si="12"/>
        <v>680</v>
      </c>
      <c r="AS65" s="5" t="str">
        <f t="shared" ca="1" si="13"/>
        <v>VIGENTE</v>
      </c>
      <c r="AT65" s="3"/>
      <c r="AU65" s="4">
        <v>46070</v>
      </c>
      <c r="AV65" s="4">
        <f t="shared" si="236"/>
        <v>46800</v>
      </c>
      <c r="AW65" s="8">
        <f t="shared" ca="1" si="15"/>
        <v>666</v>
      </c>
      <c r="AX65" s="5" t="str">
        <f t="shared" ca="1" si="16"/>
        <v>VIGENTE</v>
      </c>
      <c r="AY65" s="3"/>
      <c r="AZ65" s="4">
        <v>45454</v>
      </c>
      <c r="BA65" s="4">
        <f>DATE(YEAR(AZ65)+2,MONTH(AZ65),DAY(AZ65)-1)</f>
        <v>46183</v>
      </c>
      <c r="BB65" s="8">
        <f t="shared" ca="1" si="17"/>
        <v>49</v>
      </c>
      <c r="BC65" s="5" t="str">
        <f t="shared" ca="1" si="18"/>
        <v>POR VENCER</v>
      </c>
      <c r="BD65" s="3"/>
      <c r="BE65" s="4">
        <v>45457</v>
      </c>
      <c r="BF65" s="4">
        <f>DATE(YEAR(BE65)+2,MONTH(BE65),DAY(BE65)-1)</f>
        <v>46186</v>
      </c>
      <c r="BG65" s="8">
        <f t="shared" ca="1" si="19"/>
        <v>52</v>
      </c>
      <c r="BH65" s="5" t="str">
        <f t="shared" ca="1" si="20"/>
        <v>POR VENCER</v>
      </c>
      <c r="BI65" s="3"/>
      <c r="BJ65" s="4">
        <v>46035</v>
      </c>
      <c r="BK65" s="4">
        <f>DATE(YEAR(BJ65)+2,MONTH(BJ65),DAY(BJ65))</f>
        <v>46765</v>
      </c>
      <c r="BL65" s="8">
        <f t="shared" ca="1" si="21"/>
        <v>631</v>
      </c>
      <c r="BM65" s="5" t="str">
        <f t="shared" ca="1" si="22"/>
        <v>VIGENTE</v>
      </c>
      <c r="BN65" s="3"/>
      <c r="BO65" s="4">
        <v>45447</v>
      </c>
      <c r="BP65" s="4">
        <f>DATE(YEAR(BO65)+2,MONTH(BO65),DAY(BO65)-1)</f>
        <v>46176</v>
      </c>
      <c r="BQ65" s="8">
        <f t="shared" ca="1" si="23"/>
        <v>42</v>
      </c>
      <c r="BR65" s="5" t="str">
        <f t="shared" ca="1" si="24"/>
        <v>POR VENCER</v>
      </c>
      <c r="BS65" s="3"/>
      <c r="BT65" s="4">
        <v>45449</v>
      </c>
      <c r="BU65" s="4">
        <f>DATE(YEAR(BT65)+2,MONTH(BT65),DAY(BT65)-1)</f>
        <v>46178</v>
      </c>
      <c r="BV65" s="8">
        <f t="shared" ca="1" si="25"/>
        <v>44</v>
      </c>
      <c r="BW65" s="5" t="str">
        <f t="shared" ca="1" si="26"/>
        <v>POR VENCER</v>
      </c>
      <c r="BX65" s="3"/>
      <c r="BY65" s="4">
        <v>45944</v>
      </c>
      <c r="BZ65" s="4">
        <f t="shared" si="243"/>
        <v>46674</v>
      </c>
      <c r="CA65" s="8">
        <f t="shared" ca="1" si="27"/>
        <v>540</v>
      </c>
      <c r="CB65" s="5" t="str">
        <f t="shared" ca="1" si="28"/>
        <v>VIGENTE</v>
      </c>
      <c r="CC65" s="6" t="s">
        <v>73</v>
      </c>
      <c r="CD65" s="4">
        <v>45262</v>
      </c>
      <c r="CE65" s="4">
        <f t="shared" si="29"/>
        <v>46723</v>
      </c>
      <c r="CF65" s="8">
        <f t="shared" ca="1" si="30"/>
        <v>589</v>
      </c>
      <c r="CG65" s="5" t="str">
        <f t="shared" ca="1" si="31"/>
        <v>VIGENTE</v>
      </c>
      <c r="CH65" s="4"/>
      <c r="CI65" s="4">
        <v>45895</v>
      </c>
      <c r="CJ65" s="4">
        <f>DATE(YEAR(CI65)+2,MONTH(CI65),DAY(CI65))</f>
        <v>46625</v>
      </c>
      <c r="CK65" s="8">
        <f t="shared" ca="1" si="32"/>
        <v>491</v>
      </c>
      <c r="CL65" s="5" t="str">
        <f t="shared" ca="1" si="33"/>
        <v>VIGENTE</v>
      </c>
      <c r="CM65" s="3"/>
      <c r="CN65" s="4">
        <v>45481</v>
      </c>
      <c r="CO65" s="4">
        <f>DATE(YEAR(CN65)+2,MONTH(CN65),DAY(CN65)-1)</f>
        <v>46210</v>
      </c>
      <c r="CP65" s="8">
        <f t="shared" ca="1" si="34"/>
        <v>76</v>
      </c>
      <c r="CQ65" s="5" t="str">
        <f t="shared" ca="1" si="35"/>
        <v>POR VENCER</v>
      </c>
      <c r="CR65" s="3"/>
      <c r="CS65" s="4">
        <v>45631</v>
      </c>
      <c r="CT65" s="4">
        <f>DATE(YEAR(CS65)+2,MONTH(CS65),DAY(CS65)-1)</f>
        <v>46360</v>
      </c>
      <c r="CU65" s="8">
        <f t="shared" ca="1" si="36"/>
        <v>226</v>
      </c>
      <c r="CV65" s="5" t="str">
        <f t="shared" ca="1" si="37"/>
        <v>VIGENTE</v>
      </c>
      <c r="CW65" s="3"/>
      <c r="CX65" s="4">
        <v>45661</v>
      </c>
      <c r="CY65" s="4">
        <f>DATE(YEAR(CX65)+2,MONTH(CX65),DAY(CX65)-1)</f>
        <v>46390</v>
      </c>
      <c r="CZ65" s="8">
        <f t="shared" ca="1" si="38"/>
        <v>256</v>
      </c>
      <c r="DA65" s="5" t="str">
        <f t="shared" ca="1" si="39"/>
        <v>VIGENTE</v>
      </c>
      <c r="DB65" s="3"/>
      <c r="DC65" s="4">
        <v>45689</v>
      </c>
      <c r="DD65" s="4">
        <f>DATE(YEAR(DC65)+2,MONTH(DC65),DAY(DC65)-1)</f>
        <v>46418</v>
      </c>
      <c r="DE65" s="8">
        <f t="shared" ca="1" si="40"/>
        <v>284</v>
      </c>
      <c r="DF65" s="5" t="str">
        <f t="shared" ca="1" si="41"/>
        <v>VIGENTE</v>
      </c>
      <c r="DG65" s="3"/>
      <c r="DH65" s="4">
        <v>45451</v>
      </c>
      <c r="DI65" s="4">
        <f>DATE(YEAR(DH65)+2,MONTH(DH65),DAY(DH65)-1)</f>
        <v>46180</v>
      </c>
      <c r="DJ65" s="8">
        <f t="shared" ca="1" si="43"/>
        <v>46</v>
      </c>
      <c r="DK65" s="5" t="str">
        <f t="shared" ca="1" si="44"/>
        <v>POR VENCER</v>
      </c>
      <c r="DL65" s="3"/>
      <c r="DM65" s="4">
        <v>45473</v>
      </c>
      <c r="DN65" s="4">
        <f>DATE(YEAR(DM65)+2,MONTH(DM65),DAY(DM65)-1)</f>
        <v>46202</v>
      </c>
      <c r="DO65" s="8">
        <f t="shared" ca="1" si="46"/>
        <v>68</v>
      </c>
      <c r="DP65" s="5" t="str">
        <f t="shared" ca="1" si="47"/>
        <v>POR VENCER</v>
      </c>
      <c r="DQ65" s="3"/>
      <c r="DR65" s="4">
        <v>46053</v>
      </c>
      <c r="DS65" s="4">
        <f>DATE(YEAR(DR65)+2,MONTH(DR65),DAY(DR65))</f>
        <v>46783</v>
      </c>
      <c r="DT65" s="8">
        <f t="shared" ca="1" si="48"/>
        <v>649</v>
      </c>
      <c r="DU65" s="5" t="str">
        <f t="shared" ca="1" si="49"/>
        <v>VIGENTE</v>
      </c>
      <c r="DV65" s="3"/>
      <c r="DW65" s="4">
        <v>45474</v>
      </c>
      <c r="DX65" s="4">
        <f>DATE(YEAR(DW65)+2,MONTH(DW65),DAY(DW65)-1)</f>
        <v>46203</v>
      </c>
      <c r="DY65" s="8">
        <f t="shared" ca="1" si="50"/>
        <v>69</v>
      </c>
      <c r="DZ65" s="5" t="str">
        <f t="shared" ca="1" si="51"/>
        <v>POR VENCER</v>
      </c>
      <c r="EA65" s="3"/>
      <c r="EB65" s="4">
        <v>45462</v>
      </c>
      <c r="EC65" s="4">
        <f>DATE(YEAR(EB65)+2,MONTH(EB65),DAY(EB65)-1)</f>
        <v>46191</v>
      </c>
      <c r="ED65" s="8">
        <f t="shared" ca="1" si="52"/>
        <v>57</v>
      </c>
      <c r="EE65" s="5" t="str">
        <f t="shared" ca="1" si="53"/>
        <v>POR VENCER</v>
      </c>
      <c r="EF65" s="3"/>
      <c r="EG65" s="4">
        <v>45808</v>
      </c>
      <c r="EH65" s="4">
        <f t="shared" si="137"/>
        <v>46173</v>
      </c>
      <c r="EI65" s="8">
        <f t="shared" ca="1" si="54"/>
        <v>39</v>
      </c>
      <c r="EJ65" s="5" t="str">
        <f t="shared" ca="1" si="55"/>
        <v>POR VENCER</v>
      </c>
      <c r="EK65" s="3"/>
      <c r="EL65" s="4">
        <v>45460</v>
      </c>
      <c r="EM65" s="4">
        <f>DATE(YEAR(EL65)+2,MONTH(EL65),DAY(EL65)-1)</f>
        <v>46189</v>
      </c>
      <c r="EN65" s="8">
        <f t="shared" ca="1" si="56"/>
        <v>55</v>
      </c>
      <c r="EO65" s="5" t="str">
        <f t="shared" ca="1" si="57"/>
        <v>POR VENCER</v>
      </c>
      <c r="EP65" s="3"/>
      <c r="EQ65" s="4">
        <v>46094</v>
      </c>
      <c r="ER65" s="4">
        <f>DATE(YEAR(EQ65)+2,MONTH(EQ65),DAY(EQ65))</f>
        <v>46825</v>
      </c>
      <c r="ES65" s="8">
        <f t="shared" ca="1" si="58"/>
        <v>691</v>
      </c>
      <c r="ET65" s="5" t="str">
        <f t="shared" ca="1" si="59"/>
        <v>VIGENTE</v>
      </c>
      <c r="EU65" s="3"/>
      <c r="EV65" s="4">
        <v>45953</v>
      </c>
      <c r="EW65" s="4">
        <f t="shared" si="238"/>
        <v>46683</v>
      </c>
      <c r="EX65" s="8">
        <f t="shared" ca="1" si="60"/>
        <v>549</v>
      </c>
      <c r="EY65" s="5" t="str">
        <f t="shared" ca="1" si="61"/>
        <v>VIGENTE</v>
      </c>
      <c r="EZ65" s="3"/>
      <c r="FA65" s="4">
        <v>45951</v>
      </c>
      <c r="FB65" s="4">
        <f t="shared" si="239"/>
        <v>46681</v>
      </c>
      <c r="FC65" s="8">
        <f t="shared" ca="1" si="62"/>
        <v>547</v>
      </c>
      <c r="FD65" s="5" t="str">
        <f t="shared" ca="1" si="63"/>
        <v>VIGENTE</v>
      </c>
      <c r="FE65" s="3"/>
      <c r="FF65" s="4">
        <v>45932</v>
      </c>
      <c r="FG65" s="4">
        <f t="shared" si="240"/>
        <v>46662</v>
      </c>
      <c r="FH65" s="8">
        <f t="shared" ca="1" si="64"/>
        <v>528</v>
      </c>
      <c r="FI65" s="5" t="str">
        <f t="shared" ca="1" si="65"/>
        <v>VIGENTE</v>
      </c>
      <c r="FJ65" s="3"/>
      <c r="FK65" s="4">
        <v>45479</v>
      </c>
      <c r="FL65" s="4">
        <f>DATE(YEAR(FK65)+2,MONTH(FK65),DAY(FK65)-1)</f>
        <v>46208</v>
      </c>
      <c r="FM65" s="8">
        <f t="shared" ca="1" si="67"/>
        <v>74</v>
      </c>
      <c r="FN65" s="5" t="str">
        <f t="shared" ca="1" si="68"/>
        <v>POR VENCER</v>
      </c>
      <c r="FO65" s="3"/>
      <c r="FP65" s="4">
        <v>45458</v>
      </c>
      <c r="FQ65" s="4">
        <f>DATE(YEAR(FP65)+2,MONTH(FP65),DAY(FP65)-1)</f>
        <v>46187</v>
      </c>
      <c r="FR65" s="8">
        <f t="shared" ca="1" si="69"/>
        <v>53</v>
      </c>
      <c r="FS65" s="5" t="str">
        <f t="shared" ca="1" si="70"/>
        <v>POR VENCER</v>
      </c>
      <c r="FT65" s="3"/>
      <c r="FU65" s="4">
        <v>45908</v>
      </c>
      <c r="FV65" s="4">
        <f>DATE(YEAR(FU65)+2,MONTH(FU65),DAY(FU65))</f>
        <v>46638</v>
      </c>
      <c r="FW65" s="8">
        <f t="shared" ca="1" si="71"/>
        <v>504</v>
      </c>
      <c r="FX65" s="5" t="str">
        <f t="shared" ca="1" si="72"/>
        <v>VIGENTE</v>
      </c>
      <c r="FY65" s="3"/>
      <c r="FZ65" s="4">
        <v>45469</v>
      </c>
      <c r="GA65" s="4">
        <f>DATE(YEAR(FZ65)+2,MONTH(FZ65),DAY(FZ65)-1)</f>
        <v>46198</v>
      </c>
      <c r="GB65" s="8">
        <f t="shared" ca="1" si="73"/>
        <v>64</v>
      </c>
      <c r="GC65" s="5" t="str">
        <f t="shared" ca="1" si="74"/>
        <v>POR VENCER</v>
      </c>
      <c r="GD65" s="3"/>
      <c r="GE65" s="4">
        <v>45472</v>
      </c>
      <c r="GF65" s="4">
        <f>DATE(YEAR(GE65)+2,MONTH(GE65),DAY(GE65)-1)</f>
        <v>46201</v>
      </c>
      <c r="GG65" s="8">
        <f t="shared" ca="1" si="75"/>
        <v>67</v>
      </c>
      <c r="GH65" s="5" t="str">
        <f t="shared" ca="1" si="76"/>
        <v>POR VENCER</v>
      </c>
      <c r="GI65" s="3"/>
      <c r="GJ65" s="4">
        <v>46093</v>
      </c>
      <c r="GK65" s="4">
        <f t="shared" si="242"/>
        <v>46824</v>
      </c>
      <c r="GL65" s="8">
        <f t="shared" ca="1" si="77"/>
        <v>690</v>
      </c>
      <c r="GM65" s="5" t="str">
        <f t="shared" ca="1" si="78"/>
        <v>VIGENTE</v>
      </c>
      <c r="GN65" s="4"/>
      <c r="GO65" s="4">
        <v>45244</v>
      </c>
      <c r="GP65" s="4">
        <f t="shared" si="79"/>
        <v>47071</v>
      </c>
      <c r="GQ65" s="8">
        <f t="shared" ca="1" si="181"/>
        <v>937</v>
      </c>
      <c r="GR65" s="5" t="str">
        <f t="shared" ca="1" si="81"/>
        <v>VIGENTE</v>
      </c>
      <c r="GS65" s="3"/>
      <c r="GT65" s="4">
        <v>45254</v>
      </c>
      <c r="GU65" s="4">
        <f t="shared" si="82"/>
        <v>47081</v>
      </c>
      <c r="GV65" s="8">
        <f t="shared" ca="1" si="83"/>
        <v>947</v>
      </c>
      <c r="GW65" s="5" t="str">
        <f t="shared" ca="1" si="84"/>
        <v>VIGENTE</v>
      </c>
      <c r="GX65" s="3"/>
      <c r="GY65" s="4">
        <v>45268</v>
      </c>
      <c r="GZ65" s="4">
        <f t="shared" si="85"/>
        <v>47095</v>
      </c>
      <c r="HA65" s="8">
        <f t="shared" ca="1" si="86"/>
        <v>961</v>
      </c>
      <c r="HB65" s="5" t="str">
        <f t="shared" ca="1" si="87"/>
        <v>VIGENTE</v>
      </c>
      <c r="HC65" s="6"/>
      <c r="HD65" s="4">
        <v>44862</v>
      </c>
      <c r="HE65" s="4">
        <f>DATE(YEAR(HD65)+5,MONTH(HD65),DAY(HD65))</f>
        <v>46688</v>
      </c>
      <c r="HF65" s="8">
        <f ca="1">HE65-TODAY()</f>
        <v>554</v>
      </c>
      <c r="HG65" s="5" t="str">
        <f t="shared" ca="1" si="228"/>
        <v>VIGENTE</v>
      </c>
      <c r="HH65" s="3"/>
      <c r="HI65" s="4">
        <v>45370</v>
      </c>
      <c r="HJ65" s="4">
        <f>DATE(YEAR(HI65)+5,MONTH(HI65),DAY(HI65))</f>
        <v>47196</v>
      </c>
      <c r="HK65" s="8">
        <f ca="1">HJ65-TODAY()</f>
        <v>1062</v>
      </c>
      <c r="HL65" s="5" t="str">
        <f t="shared" ca="1" si="232"/>
        <v>VIGENTE</v>
      </c>
      <c r="HM65" s="2"/>
      <c r="HN65" s="3">
        <v>45374</v>
      </c>
      <c r="HO65" s="4">
        <f>DATE(YEAR(HN65)+5,MONTH(HN65),DAY(HN65))</f>
        <v>47200</v>
      </c>
      <c r="HP65" s="8">
        <f ca="1">HO65-TODAY()</f>
        <v>1066</v>
      </c>
      <c r="HQ65" s="5" t="str">
        <f t="shared" ca="1" si="92"/>
        <v>VIGENTE</v>
      </c>
      <c r="HR65" s="3"/>
      <c r="HS65" s="4">
        <v>45440</v>
      </c>
      <c r="HT65" s="4">
        <f>DATE(YEAR(HS65)+5,MONTH(HS65),DAY(HS65))</f>
        <v>47266</v>
      </c>
      <c r="HU65" s="8">
        <f ca="1">HT65-TODAY()</f>
        <v>1132</v>
      </c>
      <c r="HV65" s="5" t="str">
        <f t="shared" ca="1" si="93"/>
        <v>VIGENTE</v>
      </c>
      <c r="HW65" s="3"/>
      <c r="HX65" s="4">
        <v>45234</v>
      </c>
      <c r="HY65" s="4">
        <f>DATE(YEAR(HX65)+5,MONTH(HX65),DAY(HX65))</f>
        <v>47061</v>
      </c>
      <c r="HZ65" s="8">
        <f ca="1">HY65-TODAY()</f>
        <v>927</v>
      </c>
      <c r="IA65" s="5" t="str">
        <f t="shared" ca="1" si="94"/>
        <v>VIGENTE</v>
      </c>
      <c r="IB65" s="3"/>
      <c r="IC65" s="4">
        <v>45470</v>
      </c>
      <c r="ID65" s="4">
        <f>DATE(YEAR(IC65)+5,MONTH(IC65),DAY(IC65))</f>
        <v>47296</v>
      </c>
      <c r="IE65" s="8">
        <f ca="1">ID65-TODAY()</f>
        <v>1162</v>
      </c>
      <c r="IF65" s="5" t="str">
        <f t="shared" ca="1" si="95"/>
        <v>VIGENTE</v>
      </c>
      <c r="IG65" s="4"/>
      <c r="IH65" s="4">
        <v>45452</v>
      </c>
      <c r="II65" s="4">
        <f>DATE(YEAR(IH65)+5,MONTH(IH65),DAY(IH65))</f>
        <v>47278</v>
      </c>
      <c r="IJ65" s="8">
        <f ca="1">II65-TODAY()</f>
        <v>1144</v>
      </c>
      <c r="IK65" s="5" t="str">
        <f t="shared" ca="1" si="96"/>
        <v>VIGENTE</v>
      </c>
      <c r="IL65" s="3"/>
      <c r="IM65" s="4">
        <v>45433</v>
      </c>
      <c r="IN65" s="4">
        <f>DATE(YEAR(IM65)+5,MONTH(IM65),DAY(IM65))</f>
        <v>47259</v>
      </c>
      <c r="IO65" s="8">
        <f ca="1">IN65-TODAY()</f>
        <v>1125</v>
      </c>
      <c r="IP65" s="5" t="str">
        <f t="shared" ca="1" si="97"/>
        <v>VIGENTE</v>
      </c>
      <c r="IQ65" s="3"/>
      <c r="IR65" s="4">
        <v>45471</v>
      </c>
      <c r="IS65" s="4">
        <f>DATE(YEAR(IR65)+5,MONTH(IR65),DAY(IR65))</f>
        <v>47297</v>
      </c>
      <c r="IT65" s="8">
        <f ca="1">IS65-TODAY()</f>
        <v>1163</v>
      </c>
      <c r="IU65" s="5" t="str">
        <f t="shared" ca="1" si="98"/>
        <v>VIGENTE</v>
      </c>
      <c r="IV65" s="3"/>
      <c r="IW65" s="4">
        <v>45224</v>
      </c>
      <c r="IX65" s="4">
        <f>DATE(YEAR(IW65)+5,MONTH(IW65),DAY(IW65))</f>
        <v>47051</v>
      </c>
      <c r="IY65" s="8">
        <f ca="1">IX65-TODAY()</f>
        <v>917</v>
      </c>
      <c r="IZ65" s="5" t="str">
        <f t="shared" ca="1" si="99"/>
        <v>VIGENTE</v>
      </c>
      <c r="JA65" s="3"/>
      <c r="JB65" s="3"/>
      <c r="JC65" s="4"/>
      <c r="JD65" s="8"/>
      <c r="JE65" s="5" t="str">
        <f t="shared" si="100"/>
        <v>NO APLICA</v>
      </c>
      <c r="JF65" s="6"/>
      <c r="JG65" s="6"/>
      <c r="JH65" s="6"/>
      <c r="JI65" s="6"/>
      <c r="JJ65" s="5" t="str">
        <f t="shared" si="101"/>
        <v>NO APLICA</v>
      </c>
      <c r="JK65" s="6"/>
      <c r="JL65" s="6"/>
      <c r="JM65" s="6"/>
      <c r="JN65" s="6"/>
      <c r="JO65" s="5" t="str">
        <f t="shared" si="102"/>
        <v>NO APLICA</v>
      </c>
      <c r="JP65" s="6"/>
      <c r="JQ65" s="6"/>
      <c r="JR65" s="6"/>
      <c r="JS65" s="6"/>
      <c r="JT65" s="5" t="str">
        <f t="shared" si="103"/>
        <v>NO APLICA</v>
      </c>
      <c r="JU65" s="5"/>
      <c r="JV65" s="5"/>
      <c r="JW65" s="5"/>
      <c r="JX65" s="5"/>
      <c r="JY65" s="5" t="str">
        <f t="shared" si="104"/>
        <v>NO APLICA</v>
      </c>
      <c r="JZ65" s="5"/>
      <c r="KA65" s="5"/>
      <c r="KB65" s="4"/>
      <c r="KC65" s="8"/>
      <c r="KD65" s="5" t="str">
        <f t="shared" si="105"/>
        <v>NO APLICA</v>
      </c>
      <c r="KE65" s="5"/>
      <c r="KF65" s="5"/>
      <c r="KG65" s="4"/>
      <c r="KH65" s="8"/>
      <c r="KI65" s="5" t="str">
        <f t="shared" si="141"/>
        <v>NO APLICA</v>
      </c>
      <c r="KJ65" s="5"/>
      <c r="KK65" s="5"/>
      <c r="KL65" s="4"/>
      <c r="KM65" s="8"/>
      <c r="KN65" s="5" t="str">
        <f t="shared" si="106"/>
        <v>NO APLICA</v>
      </c>
      <c r="KO65" s="5"/>
      <c r="KP65" s="3">
        <v>45346</v>
      </c>
      <c r="KQ65" s="4">
        <f>DATE(YEAR(KP65)+5,MONTH(KP65),DAY(KP65))</f>
        <v>47173</v>
      </c>
      <c r="KR65" s="8">
        <f ca="1">KQ65-TODAY()</f>
        <v>1039</v>
      </c>
      <c r="KS65" s="5" t="str">
        <f t="shared" ca="1" si="142"/>
        <v>VIGENTE</v>
      </c>
      <c r="KT65" s="2"/>
      <c r="KU65" s="6"/>
      <c r="KV65" s="4"/>
      <c r="KW65" s="8"/>
      <c r="KX65" s="5" t="str">
        <f t="shared" si="156"/>
        <v>NO APLICA</v>
      </c>
      <c r="KY65" s="5"/>
      <c r="KZ65" s="4">
        <v>44609</v>
      </c>
      <c r="LA65" s="4">
        <f>DATE(YEAR(KZ65)+5,MONTH(KZ65),DAY(KZ65))</f>
        <v>46435</v>
      </c>
      <c r="LB65" s="8">
        <f ca="1">LA65-TODAY()</f>
        <v>301</v>
      </c>
      <c r="LC65" s="5" t="str">
        <f t="shared" ca="1" si="143"/>
        <v>VIGENTE</v>
      </c>
      <c r="LD65" s="4"/>
      <c r="LE65" s="4">
        <v>45611</v>
      </c>
      <c r="LF65" s="4">
        <f>DATE(YEAR(LE65)+2,MONTH(LE65),DAY(LE65))</f>
        <v>46341</v>
      </c>
      <c r="LG65" s="8">
        <f ca="1">LF65-TODAY()</f>
        <v>207</v>
      </c>
      <c r="LH65" s="5" t="str">
        <f t="shared" ca="1" si="107"/>
        <v>VIGENTE</v>
      </c>
      <c r="LI65" s="5"/>
      <c r="LJ65" s="5"/>
      <c r="LK65" s="4"/>
      <c r="LL65" s="8"/>
      <c r="LM65" s="5" t="str">
        <f t="shared" si="157"/>
        <v>NO APLICA</v>
      </c>
      <c r="LN65" s="5"/>
      <c r="LO65" s="6"/>
      <c r="LP65" s="4"/>
      <c r="LQ65" s="8"/>
      <c r="LR65" s="5" t="str">
        <f t="shared" si="144"/>
        <v>NO APLICA</v>
      </c>
      <c r="LS65" s="6"/>
      <c r="LT65" s="6"/>
      <c r="LU65" s="4"/>
      <c r="LV65" s="8"/>
      <c r="LW65" s="5" t="str">
        <f t="shared" si="145"/>
        <v>NO APLICA</v>
      </c>
      <c r="LX65" s="6"/>
      <c r="LY65" s="6"/>
      <c r="LZ65" s="4"/>
      <c r="MA65" s="8"/>
      <c r="MB65" s="5" t="str">
        <f t="shared" si="146"/>
        <v>NO APLICA</v>
      </c>
      <c r="MC65" s="5"/>
      <c r="MD65" s="5"/>
      <c r="ME65" s="4"/>
      <c r="MF65" s="8"/>
      <c r="MG65" s="5" t="str">
        <f t="shared" si="108"/>
        <v>NO APLICA</v>
      </c>
      <c r="MH65" s="5"/>
      <c r="MI65" s="5"/>
      <c r="MJ65" s="4"/>
      <c r="MK65" s="8"/>
      <c r="ML65" s="5" t="str">
        <f t="shared" si="109"/>
        <v>NO APLICA</v>
      </c>
      <c r="MM65" s="5"/>
      <c r="MN65" s="3">
        <v>45154</v>
      </c>
      <c r="MO65" s="4">
        <f>DATE(YEAR(MN65)+5,MONTH(MN65),DAY(MN65))</f>
        <v>46981</v>
      </c>
      <c r="MP65" s="8">
        <f ca="1">MO65-TODAY()</f>
        <v>847</v>
      </c>
      <c r="MQ65" s="5" t="str">
        <f t="shared" ca="1" si="110"/>
        <v>VIGENTE</v>
      </c>
      <c r="MR65" s="5"/>
      <c r="MS65" s="3">
        <v>45155</v>
      </c>
      <c r="MT65" s="4">
        <f>DATE(YEAR(MS65)+5,MONTH(MS65),DAY(MS65))</f>
        <v>46982</v>
      </c>
      <c r="MU65" s="8">
        <f ca="1">MT65-TODAY()</f>
        <v>848</v>
      </c>
      <c r="MV65" s="5" t="str">
        <f t="shared" ca="1" si="111"/>
        <v>VIGENTE</v>
      </c>
      <c r="MW65" s="5"/>
      <c r="MX65" s="6"/>
      <c r="MY65" s="4"/>
      <c r="MZ65" s="8"/>
      <c r="NA65" s="5" t="str">
        <f t="shared" si="112"/>
        <v>NO APLICA</v>
      </c>
      <c r="NB65" s="5"/>
      <c r="NC65" s="6"/>
      <c r="ND65" s="4"/>
      <c r="NE65" s="8"/>
      <c r="NF65" s="5" t="str">
        <f t="shared" si="113"/>
        <v>NO APLICA</v>
      </c>
      <c r="NG65" s="5"/>
      <c r="NH65" s="6"/>
      <c r="NI65" s="4"/>
      <c r="NJ65" s="8"/>
      <c r="NK65" s="5" t="str">
        <f t="shared" si="114"/>
        <v>NO APLICA</v>
      </c>
      <c r="NL65" s="5"/>
      <c r="NM65" s="5"/>
      <c r="NN65" s="5"/>
      <c r="NO65" s="5"/>
      <c r="NP65" s="5" t="str">
        <f t="shared" si="115"/>
        <v>NO APLICA</v>
      </c>
      <c r="NQ65" s="5"/>
      <c r="NR65" s="5"/>
      <c r="NS65" s="5"/>
      <c r="NT65" s="5"/>
      <c r="NU65" s="5" t="str">
        <f t="shared" si="116"/>
        <v>NO APLICA</v>
      </c>
      <c r="NV65" s="6"/>
      <c r="NW65" s="6"/>
      <c r="NX65" s="4"/>
      <c r="NY65" s="8"/>
      <c r="NZ65" s="5" t="str">
        <f t="shared" si="117"/>
        <v>NO APLICA</v>
      </c>
      <c r="OA65" s="6"/>
      <c r="OB65" s="6"/>
      <c r="OC65" s="6"/>
      <c r="OD65" s="6"/>
      <c r="OE65" s="5" t="str">
        <f t="shared" si="118"/>
        <v>NO APLICA</v>
      </c>
      <c r="OF65" s="6"/>
      <c r="OG65" s="6"/>
      <c r="OH65" s="4"/>
      <c r="OI65" s="8"/>
      <c r="OJ65" s="5" t="str">
        <f t="shared" si="119"/>
        <v>NO APLICA</v>
      </c>
      <c r="OK65" s="6"/>
      <c r="OL65" s="6"/>
      <c r="OM65" s="6"/>
      <c r="ON65" s="6"/>
      <c r="OO65" s="5" t="str">
        <f t="shared" si="120"/>
        <v>NO APLICA</v>
      </c>
      <c r="OP65" s="6"/>
      <c r="OQ65" s="6"/>
      <c r="OR65" s="6"/>
      <c r="OS65" s="6"/>
      <c r="OT65" s="5" t="str">
        <f t="shared" si="121"/>
        <v>NO APLICA</v>
      </c>
      <c r="OU65" s="6"/>
      <c r="OV65" s="6"/>
      <c r="OW65" s="6"/>
      <c r="OX65" s="6"/>
      <c r="OY65" s="5" t="str">
        <f t="shared" si="122"/>
        <v>NO APLICA</v>
      </c>
      <c r="OZ65" s="6"/>
      <c r="PA65" s="6"/>
      <c r="PB65" s="6"/>
      <c r="PC65" s="6"/>
      <c r="PD65" s="5" t="str">
        <f t="shared" si="123"/>
        <v>NO APLICA</v>
      </c>
      <c r="PE65" s="6"/>
      <c r="PF65" s="6"/>
      <c r="PG65" s="6"/>
      <c r="PH65" s="6"/>
      <c r="PI65" s="5" t="str">
        <f t="shared" si="124"/>
        <v>NO APLICA</v>
      </c>
      <c r="PJ65" s="5"/>
      <c r="PK65" s="6"/>
      <c r="PL65" s="4"/>
      <c r="PM65" s="8"/>
      <c r="PN65" s="5" t="str">
        <f t="shared" si="125"/>
        <v>NO APLICA</v>
      </c>
      <c r="PO65" s="6"/>
      <c r="PP65" s="6"/>
      <c r="PQ65" s="6"/>
      <c r="PR65" s="6"/>
      <c r="PS65" s="5" t="str">
        <f t="shared" si="126"/>
        <v>NO APLICA</v>
      </c>
      <c r="PT65" s="5"/>
      <c r="PU65" s="6"/>
      <c r="PV65" s="6"/>
      <c r="PW65" s="6"/>
      <c r="PX65" s="5" t="str">
        <f t="shared" si="127"/>
        <v>NO APLICA</v>
      </c>
    </row>
    <row r="66" spans="1:440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178</v>
      </c>
      <c r="T66" s="5" t="str">
        <f t="shared" ca="1" si="128"/>
        <v>VIGENTE</v>
      </c>
      <c r="U66" s="2" t="s">
        <v>260</v>
      </c>
      <c r="V66" s="4">
        <v>45426</v>
      </c>
      <c r="W66" s="4">
        <f t="shared" si="2"/>
        <v>47252</v>
      </c>
      <c r="X66" s="8">
        <f t="shared" ca="1" si="3"/>
        <v>1118</v>
      </c>
      <c r="Y66" s="5" t="str">
        <f t="shared" ca="1" si="4"/>
        <v>VIGENTE</v>
      </c>
      <c r="Z66" s="2" t="s">
        <v>261</v>
      </c>
      <c r="AA66" s="4">
        <v>45190</v>
      </c>
      <c r="AB66" s="4">
        <f>DATE(YEAR(AA66)+5,MONTH(AA66),DAY(AA66))</f>
        <v>47017</v>
      </c>
      <c r="AC66" s="8">
        <f ca="1">AB66-TODAY()</f>
        <v>883</v>
      </c>
      <c r="AD66" s="5" t="str">
        <f t="shared" ca="1" si="7"/>
        <v>VIGENTE</v>
      </c>
      <c r="AE66" s="3"/>
      <c r="AF66" s="4">
        <v>45902</v>
      </c>
      <c r="AG66" s="4">
        <f>DATE(YEAR(AF66)+2,MONTH(AF66),DAY(AF66))</f>
        <v>46632</v>
      </c>
      <c r="AH66" s="8">
        <f t="shared" ca="1" si="8"/>
        <v>498</v>
      </c>
      <c r="AI66" s="5" t="str">
        <f t="shared" ca="1" si="224"/>
        <v>VIGENTE</v>
      </c>
      <c r="AJ66" s="3"/>
      <c r="AK66" s="4">
        <v>45748</v>
      </c>
      <c r="AL66" s="4">
        <f>DATE(YEAR(AK66)+2,MONTH(AK66),DAY(AK66)-1)</f>
        <v>46477</v>
      </c>
      <c r="AM66" s="8">
        <f t="shared" ca="1" si="10"/>
        <v>343</v>
      </c>
      <c r="AN66" s="5" t="str">
        <f t="shared" ca="1" si="11"/>
        <v>VIGENTE</v>
      </c>
      <c r="AO66" s="3"/>
      <c r="AP66" s="4">
        <v>45887</v>
      </c>
      <c r="AQ66" s="4">
        <f t="shared" si="241"/>
        <v>46617</v>
      </c>
      <c r="AR66" s="8">
        <f t="shared" ca="1" si="12"/>
        <v>483</v>
      </c>
      <c r="AS66" s="5" t="str">
        <f t="shared" ca="1" si="13"/>
        <v>VIGENTE</v>
      </c>
      <c r="AT66" s="3"/>
      <c r="AU66" s="4">
        <v>45927</v>
      </c>
      <c r="AV66" s="4">
        <f t="shared" si="236"/>
        <v>46657</v>
      </c>
      <c r="AW66" s="8">
        <f t="shared" ca="1" si="15"/>
        <v>523</v>
      </c>
      <c r="AX66" s="5" t="str">
        <f t="shared" ca="1" si="16"/>
        <v>VIGENTE</v>
      </c>
      <c r="AY66" s="3"/>
      <c r="AZ66" s="4">
        <v>45901</v>
      </c>
      <c r="BA66" s="4">
        <f>DATE(YEAR(AZ66)+2,MONTH(AZ66),DAY(AZ66))</f>
        <v>46631</v>
      </c>
      <c r="BB66" s="8">
        <f t="shared" ca="1" si="17"/>
        <v>497</v>
      </c>
      <c r="BC66" s="5" t="str">
        <f t="shared" ca="1" si="18"/>
        <v>VIGENTE</v>
      </c>
      <c r="BD66" s="3"/>
      <c r="BE66" s="4">
        <v>45826</v>
      </c>
      <c r="BF66" s="4">
        <f>DATE(YEAR(BE66)+2,MONTH(BE66),DAY(BE66))</f>
        <v>46556</v>
      </c>
      <c r="BG66" s="8">
        <f t="shared" ca="1" si="19"/>
        <v>422</v>
      </c>
      <c r="BH66" s="5" t="str">
        <f t="shared" ca="1" si="20"/>
        <v>VIGENTE</v>
      </c>
      <c r="BI66" s="3"/>
      <c r="BJ66" s="4">
        <v>45759</v>
      </c>
      <c r="BK66" s="4">
        <f>DATE(YEAR(BJ66)+2,MONTH(BJ66),DAY(BJ66)-1)</f>
        <v>46488</v>
      </c>
      <c r="BL66" s="8">
        <f t="shared" ca="1" si="21"/>
        <v>354</v>
      </c>
      <c r="BM66" s="5" t="str">
        <f t="shared" ca="1" si="22"/>
        <v>VIGENTE</v>
      </c>
      <c r="BN66" s="3"/>
      <c r="BO66" s="4">
        <v>45750</v>
      </c>
      <c r="BP66" s="4">
        <f>DATE(YEAR(BO66)+2,MONTH(BO66),DAY(BO66)-1)</f>
        <v>46479</v>
      </c>
      <c r="BQ66" s="8">
        <f t="shared" ca="1" si="23"/>
        <v>345</v>
      </c>
      <c r="BR66" s="5" t="str">
        <f t="shared" ca="1" si="24"/>
        <v>VIGENTE</v>
      </c>
      <c r="BS66" s="3"/>
      <c r="BT66" s="4">
        <v>45853</v>
      </c>
      <c r="BU66" s="4">
        <f>DATE(YEAR(BT66)+2,MONTH(BT66),DAY(BT66))</f>
        <v>46583</v>
      </c>
      <c r="BV66" s="8">
        <f t="shared" ca="1" si="25"/>
        <v>449</v>
      </c>
      <c r="BW66" s="5" t="str">
        <f t="shared" ca="1" si="26"/>
        <v>VIGENTE</v>
      </c>
      <c r="BX66" s="2"/>
      <c r="BY66" s="4">
        <v>45770</v>
      </c>
      <c r="BZ66" s="4">
        <f t="shared" si="243"/>
        <v>46500</v>
      </c>
      <c r="CA66" s="8">
        <f t="shared" ca="1" si="27"/>
        <v>366</v>
      </c>
      <c r="CB66" s="5" t="str">
        <f t="shared" ca="1" si="28"/>
        <v>VIGENTE</v>
      </c>
      <c r="CC66" s="6" t="s">
        <v>73</v>
      </c>
      <c r="CD66" s="4">
        <v>45533</v>
      </c>
      <c r="CE66" s="4">
        <f t="shared" si="29"/>
        <v>46994</v>
      </c>
      <c r="CF66" s="8">
        <f t="shared" ca="1" si="30"/>
        <v>860</v>
      </c>
      <c r="CG66" s="5" t="str">
        <f t="shared" ca="1" si="31"/>
        <v>VIGENTE</v>
      </c>
      <c r="CH66" s="4"/>
      <c r="CI66" s="4">
        <v>45801</v>
      </c>
      <c r="CJ66" s="4">
        <f>DATE(YEAR(CI66)+2,MONTH(CI66),DAY(CI66)-1)</f>
        <v>46530</v>
      </c>
      <c r="CK66" s="8">
        <f t="shared" ca="1" si="32"/>
        <v>396</v>
      </c>
      <c r="CL66" s="5" t="str">
        <f t="shared" ca="1" si="33"/>
        <v>VIGENTE</v>
      </c>
      <c r="CM66" s="3"/>
      <c r="CN66" s="4">
        <v>45888</v>
      </c>
      <c r="CO66" s="4">
        <f>DATE(YEAR(CN66)+2,MONTH(CN66),DAY(CN66))</f>
        <v>46618</v>
      </c>
      <c r="CP66" s="8">
        <f t="shared" ca="1" si="34"/>
        <v>484</v>
      </c>
      <c r="CQ66" s="5" t="str">
        <f t="shared" ca="1" si="35"/>
        <v>VIGENTE</v>
      </c>
      <c r="CR66" s="3"/>
      <c r="CS66" s="4">
        <v>45805</v>
      </c>
      <c r="CT66" s="4">
        <f>DATE(YEAR(CS66)+2,MONTH(CS66),DAY(CS66))</f>
        <v>46535</v>
      </c>
      <c r="CU66" s="8">
        <f t="shared" ca="1" si="36"/>
        <v>401</v>
      </c>
      <c r="CV66" s="5" t="str">
        <f t="shared" ca="1" si="37"/>
        <v>VIGENTE</v>
      </c>
      <c r="CW66" s="3"/>
      <c r="CX66" s="4">
        <v>45835</v>
      </c>
      <c r="CY66" s="4">
        <f>DATE(YEAR(CX66)+2,MONTH(CX66),DAY(CX66))</f>
        <v>46565</v>
      </c>
      <c r="CZ66" s="8">
        <f t="shared" ca="1" si="38"/>
        <v>431</v>
      </c>
      <c r="DA66" s="5" t="str">
        <f t="shared" ca="1" si="39"/>
        <v>VIGENTE</v>
      </c>
      <c r="DB66" s="3"/>
      <c r="DC66" s="4">
        <v>45761</v>
      </c>
      <c r="DD66" s="4">
        <f>DATE(YEAR(DC66)+2,MONTH(DC66),DAY(DC66))</f>
        <v>46491</v>
      </c>
      <c r="DE66" s="8">
        <f t="shared" ca="1" si="40"/>
        <v>357</v>
      </c>
      <c r="DF66" s="5" t="str">
        <f t="shared" ca="1" si="41"/>
        <v>VIGENTE</v>
      </c>
      <c r="DG66" s="3"/>
      <c r="DH66" s="4">
        <v>45779</v>
      </c>
      <c r="DI66" s="4">
        <f t="shared" ref="DI66:DI72" si="244">DATE(YEAR(DH66)+2,MONTH(DH66),DAY(DH66))</f>
        <v>46509</v>
      </c>
      <c r="DJ66" s="8">
        <f t="shared" ca="1" si="43"/>
        <v>375</v>
      </c>
      <c r="DK66" s="5" t="str">
        <f t="shared" ca="1" si="44"/>
        <v>VIGENTE</v>
      </c>
      <c r="DL66" s="3"/>
      <c r="DM66" s="4">
        <v>45857</v>
      </c>
      <c r="DN66" s="4">
        <f>DATE(YEAR(DM66)+2,MONTH(DM66),DAY(DM66))</f>
        <v>46587</v>
      </c>
      <c r="DO66" s="8">
        <f t="shared" ca="1" si="46"/>
        <v>453</v>
      </c>
      <c r="DP66" s="5" t="str">
        <f t="shared" ca="1" si="47"/>
        <v>VIGENTE</v>
      </c>
      <c r="DQ66" s="3"/>
      <c r="DR66" s="4">
        <v>45800</v>
      </c>
      <c r="DS66" s="4">
        <f>DATE(YEAR(DR66)+2,MONTH(DR66),DAY(DR66)-1)</f>
        <v>46529</v>
      </c>
      <c r="DT66" s="8">
        <f t="shared" ca="1" si="48"/>
        <v>395</v>
      </c>
      <c r="DU66" s="5" t="str">
        <f t="shared" ca="1" si="49"/>
        <v>VIGENTE</v>
      </c>
      <c r="DV66" s="3"/>
      <c r="DW66" s="4">
        <v>45804</v>
      </c>
      <c r="DX66" s="4">
        <f>DATE(YEAR(DW66)+2,MONTH(DW66),DAY(DW66))</f>
        <v>46534</v>
      </c>
      <c r="DY66" s="8">
        <f t="shared" ca="1" si="50"/>
        <v>400</v>
      </c>
      <c r="DZ66" s="5" t="str">
        <f t="shared" ca="1" si="51"/>
        <v>VIGENTE</v>
      </c>
      <c r="EA66" s="3"/>
      <c r="EB66" s="4">
        <v>45787</v>
      </c>
      <c r="EC66" s="4">
        <f>DATE(YEAR(EB66)+2,MONTH(EB66),DAY(EB66))</f>
        <v>46517</v>
      </c>
      <c r="ED66" s="8">
        <f t="shared" ca="1" si="52"/>
        <v>383</v>
      </c>
      <c r="EE66" s="5" t="str">
        <f t="shared" ca="1" si="53"/>
        <v>VIGENTE</v>
      </c>
      <c r="EF66" s="3"/>
      <c r="EG66" s="3">
        <v>45911</v>
      </c>
      <c r="EH66" s="4">
        <f t="shared" si="137"/>
        <v>46276</v>
      </c>
      <c r="EI66" s="8">
        <f t="shared" ca="1" si="54"/>
        <v>142</v>
      </c>
      <c r="EJ66" s="5" t="str">
        <f t="shared" ca="1" si="55"/>
        <v>VIGENTE</v>
      </c>
      <c r="EK66" s="3"/>
      <c r="EL66" s="4">
        <v>45840</v>
      </c>
      <c r="EM66" s="4">
        <f>DATE(YEAR(EL66)+2,MONTH(EL66),DAY(EL66))</f>
        <v>46570</v>
      </c>
      <c r="EN66" s="8">
        <f t="shared" ca="1" si="56"/>
        <v>436</v>
      </c>
      <c r="EO66" s="5" t="str">
        <f t="shared" ca="1" si="57"/>
        <v>VIGENTE</v>
      </c>
      <c r="EP66" s="3"/>
      <c r="EQ66" s="4">
        <v>45824</v>
      </c>
      <c r="ER66" s="4">
        <f>DATE(YEAR(EQ66)+2,MONTH(EQ66),DAY(EQ66))</f>
        <v>46554</v>
      </c>
      <c r="ES66" s="8">
        <f t="shared" ca="1" si="58"/>
        <v>420</v>
      </c>
      <c r="ET66" s="5" t="str">
        <f t="shared" ca="1" si="59"/>
        <v>VIGENTE</v>
      </c>
      <c r="EU66" s="3"/>
      <c r="EV66" s="4">
        <v>45794</v>
      </c>
      <c r="EW66" s="4">
        <f t="shared" si="238"/>
        <v>46524</v>
      </c>
      <c r="EX66" s="8">
        <f t="shared" ca="1" si="60"/>
        <v>390</v>
      </c>
      <c r="EY66" s="5" t="str">
        <f t="shared" ca="1" si="61"/>
        <v>VIGENTE</v>
      </c>
      <c r="EZ66" s="3"/>
      <c r="FA66" s="4">
        <v>45922</v>
      </c>
      <c r="FB66" s="4">
        <f t="shared" si="239"/>
        <v>46652</v>
      </c>
      <c r="FC66" s="8">
        <f t="shared" ca="1" si="62"/>
        <v>518</v>
      </c>
      <c r="FD66" s="5" t="str">
        <f t="shared" ca="1" si="63"/>
        <v>VIGENTE</v>
      </c>
      <c r="FE66" s="3"/>
      <c r="FF66" s="4">
        <v>45790</v>
      </c>
      <c r="FG66" s="4">
        <f t="shared" si="240"/>
        <v>46520</v>
      </c>
      <c r="FH66" s="8">
        <f t="shared" ca="1" si="64"/>
        <v>386</v>
      </c>
      <c r="FI66" s="5" t="str">
        <f t="shared" ca="1" si="65"/>
        <v>VIGENTE</v>
      </c>
      <c r="FJ66" s="3"/>
      <c r="FK66" s="4">
        <v>45850</v>
      </c>
      <c r="FL66" s="4">
        <f>DATE(YEAR(FK66)+2,MONTH(FK66),DAY(FK66))</f>
        <v>46580</v>
      </c>
      <c r="FM66" s="8">
        <f t="shared" ca="1" si="67"/>
        <v>446</v>
      </c>
      <c r="FN66" s="5" t="str">
        <f t="shared" ca="1" si="68"/>
        <v>VIGENTE</v>
      </c>
      <c r="FO66" s="3"/>
      <c r="FP66" s="4">
        <v>45884</v>
      </c>
      <c r="FQ66" s="4">
        <f>DATE(YEAR(FP66)+2,MONTH(FP66),DAY(FP66))</f>
        <v>46614</v>
      </c>
      <c r="FR66" s="8">
        <f t="shared" ca="1" si="69"/>
        <v>480</v>
      </c>
      <c r="FS66" s="5" t="str">
        <f t="shared" ca="1" si="70"/>
        <v>VIGENTE</v>
      </c>
      <c r="FT66" s="3"/>
      <c r="FU66" s="4">
        <v>45758</v>
      </c>
      <c r="FV66" s="4">
        <f>DATE(YEAR(FU66)+2,MONTH(FU66),DAY(FU66)-1)</f>
        <v>46487</v>
      </c>
      <c r="FW66" s="8">
        <f t="shared" ca="1" si="71"/>
        <v>353</v>
      </c>
      <c r="FX66" s="5" t="str">
        <f t="shared" ca="1" si="72"/>
        <v>VIGENTE</v>
      </c>
      <c r="FY66" s="3"/>
      <c r="FZ66" s="4">
        <v>45874</v>
      </c>
      <c r="GA66" s="4">
        <f>DATE(YEAR(FZ66)+2,MONTH(FZ66),DAY(FZ66))</f>
        <v>46604</v>
      </c>
      <c r="GB66" s="8">
        <f t="shared" ca="1" si="73"/>
        <v>470</v>
      </c>
      <c r="GC66" s="5" t="str">
        <f t="shared" ca="1" si="74"/>
        <v>VIGENTE</v>
      </c>
      <c r="GD66" s="3"/>
      <c r="GE66" s="4">
        <v>45912</v>
      </c>
      <c r="GF66" s="4">
        <f>DATE(YEAR(GE66)+2,MONTH(GE66),DAY(GE66))</f>
        <v>46642</v>
      </c>
      <c r="GG66" s="8">
        <f t="shared" ca="1" si="75"/>
        <v>508</v>
      </c>
      <c r="GH66" s="5" t="str">
        <f t="shared" ca="1" si="76"/>
        <v>VIGENTE</v>
      </c>
      <c r="GI66" s="3"/>
      <c r="GJ66" s="4">
        <v>45923</v>
      </c>
      <c r="GK66" s="4">
        <f t="shared" si="242"/>
        <v>46653</v>
      </c>
      <c r="GL66" s="8">
        <f t="shared" ca="1" si="77"/>
        <v>519</v>
      </c>
      <c r="GM66" s="5" t="str">
        <f t="shared" ca="1" si="78"/>
        <v>VIGENTE</v>
      </c>
      <c r="GN66" s="4"/>
      <c r="GO66" s="4">
        <v>45219</v>
      </c>
      <c r="GP66" s="4">
        <f t="shared" si="79"/>
        <v>47046</v>
      </c>
      <c r="GQ66" s="8">
        <f t="shared" ca="1" si="181"/>
        <v>912</v>
      </c>
      <c r="GR66" s="5" t="str">
        <f t="shared" ca="1" si="81"/>
        <v>VIGENTE</v>
      </c>
      <c r="GS66" s="3"/>
      <c r="GT66" s="4">
        <v>45203</v>
      </c>
      <c r="GU66" s="4">
        <f t="shared" si="82"/>
        <v>47030</v>
      </c>
      <c r="GV66" s="8">
        <f t="shared" ca="1" si="83"/>
        <v>896</v>
      </c>
      <c r="GW66" s="5" t="str">
        <f t="shared" ca="1" si="84"/>
        <v>VIGENTE</v>
      </c>
      <c r="GX66" s="2"/>
      <c r="GY66" s="4">
        <v>45174</v>
      </c>
      <c r="GZ66" s="4">
        <f t="shared" si="85"/>
        <v>47001</v>
      </c>
      <c r="HA66" s="8">
        <f t="shared" ca="1" si="86"/>
        <v>867</v>
      </c>
      <c r="HB66" s="5" t="str">
        <f t="shared" ca="1" si="87"/>
        <v>VIGENTE</v>
      </c>
      <c r="HC66" s="6"/>
      <c r="HD66" s="4">
        <v>45196</v>
      </c>
      <c r="HE66" s="4">
        <f>DATE(YEAR(HD66)+5,MONTH(HD66),DAY(HD66))</f>
        <v>47023</v>
      </c>
      <c r="HF66" s="8">
        <f ca="1">HE66-TODAY()</f>
        <v>889</v>
      </c>
      <c r="HG66" s="5" t="str">
        <f t="shared" ca="1" si="228"/>
        <v>VIGENTE</v>
      </c>
      <c r="HH66" s="2"/>
      <c r="HI66" s="6"/>
      <c r="HJ66" s="4"/>
      <c r="HK66" s="8"/>
      <c r="HL66" s="5" t="str">
        <f t="shared" si="232"/>
        <v>NO APLICA</v>
      </c>
      <c r="HM66" s="2"/>
      <c r="HN66" s="5"/>
      <c r="HO66" s="4"/>
      <c r="HP66" s="5"/>
      <c r="HQ66" s="5" t="str">
        <f t="shared" si="92"/>
        <v>NO APLICA</v>
      </c>
      <c r="HR66" s="2"/>
      <c r="HS66" s="6"/>
      <c r="HT66" s="4"/>
      <c r="HU66" s="8"/>
      <c r="HV66" s="5" t="str">
        <f t="shared" si="93"/>
        <v>NO APLICA</v>
      </c>
      <c r="HW66" s="2"/>
      <c r="HX66" s="6"/>
      <c r="HY66" s="4"/>
      <c r="HZ66" s="8"/>
      <c r="IA66" s="5" t="str">
        <f t="shared" si="94"/>
        <v>NO APLICA</v>
      </c>
      <c r="IB66" s="2"/>
      <c r="IC66" s="6"/>
      <c r="ID66" s="4"/>
      <c r="IE66" s="8"/>
      <c r="IF66" s="5" t="str">
        <f t="shared" si="95"/>
        <v>NO APLICA</v>
      </c>
      <c r="IG66" s="6"/>
      <c r="IH66" s="6"/>
      <c r="II66" s="4"/>
      <c r="IJ66" s="8"/>
      <c r="IK66" s="5" t="str">
        <f t="shared" si="96"/>
        <v>NO APLICA</v>
      </c>
      <c r="IL66" s="2"/>
      <c r="IM66" s="6"/>
      <c r="IN66" s="4"/>
      <c r="IO66" s="8"/>
      <c r="IP66" s="5" t="str">
        <f t="shared" si="97"/>
        <v>NO APLICA</v>
      </c>
      <c r="IQ66" s="2"/>
      <c r="IR66" s="6"/>
      <c r="IS66" s="4"/>
      <c r="IT66" s="8"/>
      <c r="IU66" s="5" t="str">
        <f t="shared" si="98"/>
        <v>NO APLICA</v>
      </c>
      <c r="IV66" s="2"/>
      <c r="IW66" s="6"/>
      <c r="IX66" s="4"/>
      <c r="IY66" s="8"/>
      <c r="IZ66" s="5" t="str">
        <f t="shared" si="99"/>
        <v>NO APLICA</v>
      </c>
      <c r="JA66" s="3"/>
      <c r="JB66" s="3"/>
      <c r="JC66" s="4"/>
      <c r="JD66" s="8"/>
      <c r="JE66" s="5" t="str">
        <f t="shared" si="100"/>
        <v>NO APLICA</v>
      </c>
      <c r="JF66" s="6"/>
      <c r="JG66" s="6"/>
      <c r="JH66" s="6"/>
      <c r="JI66" s="6"/>
      <c r="JJ66" s="5" t="str">
        <f t="shared" si="101"/>
        <v>NO APLICA</v>
      </c>
      <c r="JK66" s="6"/>
      <c r="JL66" s="6"/>
      <c r="JM66" s="6"/>
      <c r="JN66" s="6"/>
      <c r="JO66" s="5" t="str">
        <f t="shared" si="102"/>
        <v>NO APLICA</v>
      </c>
      <c r="JP66" s="6"/>
      <c r="JQ66" s="6"/>
      <c r="JR66" s="6"/>
      <c r="JS66" s="6"/>
      <c r="JT66" s="5" t="str">
        <f t="shared" si="103"/>
        <v>NO APLICA</v>
      </c>
      <c r="JU66" s="5"/>
      <c r="JV66" s="5"/>
      <c r="JW66" s="5"/>
      <c r="JX66" s="5"/>
      <c r="JY66" s="5" t="str">
        <f t="shared" si="104"/>
        <v>NO APLICA</v>
      </c>
      <c r="JZ66" s="5"/>
      <c r="KA66" s="5"/>
      <c r="KB66" s="4"/>
      <c r="KC66" s="8"/>
      <c r="KD66" s="5" t="str">
        <f t="shared" si="105"/>
        <v>NO APLICA</v>
      </c>
      <c r="KE66" s="5"/>
      <c r="KF66" s="5"/>
      <c r="KG66" s="4"/>
      <c r="KH66" s="8"/>
      <c r="KI66" s="5" t="str">
        <f t="shared" si="141"/>
        <v>NO APLICA</v>
      </c>
      <c r="KJ66" s="5"/>
      <c r="KK66" s="5"/>
      <c r="KL66" s="4"/>
      <c r="KM66" s="8"/>
      <c r="KN66" s="5" t="str">
        <f t="shared" si="106"/>
        <v>NO APLICA</v>
      </c>
      <c r="KO66" s="5"/>
      <c r="KP66" s="2"/>
      <c r="KQ66" s="4"/>
      <c r="KR66" s="8"/>
      <c r="KS66" s="5" t="str">
        <f t="shared" si="142"/>
        <v>NO APLICA</v>
      </c>
      <c r="KT66" s="3"/>
      <c r="KU66" s="4">
        <v>44651</v>
      </c>
      <c r="KV66" s="4">
        <f>DATE(YEAR(KU66)+5,MONTH(KU66),DAY(KU66))</f>
        <v>46477</v>
      </c>
      <c r="KW66" s="8">
        <f ca="1">KV66-TODAY()</f>
        <v>343</v>
      </c>
      <c r="KX66" s="5" t="str">
        <f t="shared" ca="1" si="156"/>
        <v>VIGENTE</v>
      </c>
      <c r="KY66" s="5"/>
      <c r="KZ66" s="6"/>
      <c r="LA66" s="4"/>
      <c r="LB66" s="8"/>
      <c r="LC66" s="5" t="str">
        <f t="shared" si="143"/>
        <v>NO APLICA</v>
      </c>
      <c r="LD66" s="6"/>
      <c r="LE66" s="6"/>
      <c r="LF66" s="4"/>
      <c r="LG66" s="8"/>
      <c r="LH66" s="5" t="str">
        <f t="shared" si="107"/>
        <v>NO APLICA</v>
      </c>
      <c r="LI66" s="5"/>
      <c r="LJ66" s="5"/>
      <c r="LK66" s="4"/>
      <c r="LL66" s="8"/>
      <c r="LM66" s="5" t="str">
        <f t="shared" si="157"/>
        <v>NO APLICA</v>
      </c>
      <c r="LN66" s="5"/>
      <c r="LO66" s="6"/>
      <c r="LP66" s="4"/>
      <c r="LQ66" s="8"/>
      <c r="LR66" s="5" t="str">
        <f t="shared" si="144"/>
        <v>NO APLICA</v>
      </c>
      <c r="LS66" s="6"/>
      <c r="LT66" s="6"/>
      <c r="LU66" s="4"/>
      <c r="LV66" s="8"/>
      <c r="LW66" s="5" t="str">
        <f t="shared" si="145"/>
        <v>NO APLICA</v>
      </c>
      <c r="LX66" s="6"/>
      <c r="LY66" s="6"/>
      <c r="LZ66" s="4"/>
      <c r="MA66" s="8"/>
      <c r="MB66" s="5" t="str">
        <f t="shared" si="146"/>
        <v>NO APLICA</v>
      </c>
      <c r="MC66" s="5"/>
      <c r="MD66" s="5"/>
      <c r="ME66" s="4"/>
      <c r="MF66" s="8"/>
      <c r="MG66" s="5" t="str">
        <f t="shared" si="108"/>
        <v>NO APLICA</v>
      </c>
      <c r="MH66" s="5"/>
      <c r="MI66" s="5"/>
      <c r="MJ66" s="4"/>
      <c r="MK66" s="8"/>
      <c r="ML66" s="5" t="str">
        <f t="shared" si="109"/>
        <v>NO APLICA</v>
      </c>
      <c r="MM66" s="5"/>
      <c r="MN66" s="5"/>
      <c r="MO66" s="4"/>
      <c r="MP66" s="8"/>
      <c r="MQ66" s="5" t="str">
        <f t="shared" si="110"/>
        <v>NO APLICA</v>
      </c>
      <c r="MR66" s="5"/>
      <c r="MS66" s="5"/>
      <c r="MT66" s="4"/>
      <c r="MU66" s="5"/>
      <c r="MV66" s="5" t="str">
        <f t="shared" si="111"/>
        <v>NO APLICA</v>
      </c>
      <c r="MW66" s="5"/>
      <c r="MX66" s="6"/>
      <c r="MY66" s="4"/>
      <c r="MZ66" s="8"/>
      <c r="NA66" s="5" t="str">
        <f t="shared" si="112"/>
        <v>NO APLICA</v>
      </c>
      <c r="NB66" s="5"/>
      <c r="NC66" s="6"/>
      <c r="ND66" s="4"/>
      <c r="NE66" s="8"/>
      <c r="NF66" s="5" t="str">
        <f t="shared" si="113"/>
        <v>NO APLICA</v>
      </c>
      <c r="NG66" s="5"/>
      <c r="NH66" s="6"/>
      <c r="NI66" s="4"/>
      <c r="NJ66" s="8"/>
      <c r="NK66" s="5" t="str">
        <f t="shared" si="114"/>
        <v>NO APLICA</v>
      </c>
      <c r="NL66" s="5"/>
      <c r="NM66" s="5"/>
      <c r="NN66" s="4"/>
      <c r="NO66" s="8"/>
      <c r="NP66" s="5" t="str">
        <f t="shared" si="115"/>
        <v>NO APLICA</v>
      </c>
      <c r="NQ66" s="5"/>
      <c r="NR66" s="5"/>
      <c r="NS66" s="5"/>
      <c r="NT66" s="5"/>
      <c r="NU66" s="5" t="str">
        <f t="shared" si="116"/>
        <v>NO APLICA</v>
      </c>
      <c r="NV66" s="6"/>
      <c r="NW66" s="6"/>
      <c r="NX66" s="4"/>
      <c r="NY66" s="8"/>
      <c r="NZ66" s="5" t="str">
        <f t="shared" si="117"/>
        <v>NO APLICA</v>
      </c>
      <c r="OA66" s="6"/>
      <c r="OB66" s="6"/>
      <c r="OC66" s="6"/>
      <c r="OD66" s="6"/>
      <c r="OE66" s="5" t="str">
        <f t="shared" si="118"/>
        <v>NO APLICA</v>
      </c>
      <c r="OF66" s="5"/>
      <c r="OG66" s="5"/>
      <c r="OH66" s="4"/>
      <c r="OI66" s="8"/>
      <c r="OJ66" s="5" t="str">
        <f t="shared" si="119"/>
        <v>NO APLICA</v>
      </c>
      <c r="OK66" s="6"/>
      <c r="OL66" s="6"/>
      <c r="OM66" s="6"/>
      <c r="ON66" s="6"/>
      <c r="OO66" s="5" t="str">
        <f t="shared" si="120"/>
        <v>NO APLICA</v>
      </c>
      <c r="OP66" s="6"/>
      <c r="OQ66" s="6"/>
      <c r="OR66" s="6"/>
      <c r="OS66" s="6"/>
      <c r="OT66" s="5" t="str">
        <f t="shared" si="121"/>
        <v>NO APLICA</v>
      </c>
      <c r="OU66" s="6"/>
      <c r="OV66" s="6"/>
      <c r="OW66" s="6"/>
      <c r="OX66" s="6"/>
      <c r="OY66" s="5" t="str">
        <f t="shared" si="122"/>
        <v>NO APLICA</v>
      </c>
      <c r="OZ66" s="6"/>
      <c r="PA66" s="6"/>
      <c r="PB66" s="6"/>
      <c r="PC66" s="6"/>
      <c r="PD66" s="5" t="str">
        <f t="shared" si="123"/>
        <v>NO APLICA</v>
      </c>
      <c r="PE66" s="6"/>
      <c r="PF66" s="6"/>
      <c r="PG66" s="6"/>
      <c r="PH66" s="6"/>
      <c r="PI66" s="5" t="str">
        <f t="shared" si="124"/>
        <v>NO APLICA</v>
      </c>
      <c r="PJ66" s="5"/>
      <c r="PK66" s="6"/>
      <c r="PL66" s="4"/>
      <c r="PM66" s="8"/>
      <c r="PN66" s="5" t="str">
        <f t="shared" si="125"/>
        <v>NO APLICA</v>
      </c>
      <c r="PO66" s="6"/>
      <c r="PP66" s="6"/>
      <c r="PQ66" s="6"/>
      <c r="PR66" s="6"/>
      <c r="PS66" s="5" t="str">
        <f t="shared" si="126"/>
        <v>NO APLICA</v>
      </c>
      <c r="PT66" s="5"/>
      <c r="PU66" s="6"/>
      <c r="PV66" s="6"/>
      <c r="PW66" s="6"/>
      <c r="PX66" s="5" t="str">
        <f t="shared" si="127"/>
        <v>NO APLICA</v>
      </c>
    </row>
    <row r="67" spans="1:440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716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263</v>
      </c>
      <c r="V67" s="4">
        <v>44944</v>
      </c>
      <c r="W67" s="4">
        <f t="shared" si="2"/>
        <v>46770</v>
      </c>
      <c r="X67" s="8">
        <f t="shared" ca="1" si="3"/>
        <v>636</v>
      </c>
      <c r="Y67" s="5" t="str">
        <f t="shared" ca="1" si="4"/>
        <v>VIGENTE</v>
      </c>
      <c r="Z67" s="2"/>
      <c r="AA67" s="6"/>
      <c r="AB67" s="4"/>
      <c r="AC67" s="8"/>
      <c r="AD67" s="5" t="str">
        <f t="shared" si="7"/>
        <v>NO APLICA</v>
      </c>
      <c r="AE67" s="3"/>
      <c r="AF67" s="4">
        <v>45902</v>
      </c>
      <c r="AG67" s="4">
        <f>DATE(YEAR(AF67)+2,MONTH(AF67),DAY(AF67))</f>
        <v>46632</v>
      </c>
      <c r="AH67" s="8">
        <f t="shared" ca="1" si="8"/>
        <v>498</v>
      </c>
      <c r="AI67" s="5" t="str">
        <f t="shared" ca="1" si="224"/>
        <v>VIGENTE</v>
      </c>
      <c r="AJ67" s="3"/>
      <c r="AK67" s="4">
        <v>45903</v>
      </c>
      <c r="AL67" s="4">
        <f t="shared" ref="AL67:AL72" si="245">DATE(YEAR(AK67)+2,MONTH(AK67),DAY(AK67))</f>
        <v>46633</v>
      </c>
      <c r="AM67" s="8">
        <f t="shared" ca="1" si="10"/>
        <v>499</v>
      </c>
      <c r="AN67" s="5" t="str">
        <f t="shared" ca="1" si="11"/>
        <v>VIGENTE</v>
      </c>
      <c r="AO67" s="2"/>
      <c r="AP67" s="4">
        <v>45904</v>
      </c>
      <c r="AQ67" s="4">
        <f t="shared" si="241"/>
        <v>46634</v>
      </c>
      <c r="AR67" s="8">
        <f t="shared" ca="1" si="12"/>
        <v>500</v>
      </c>
      <c r="AS67" s="5" t="str">
        <f t="shared" ca="1" si="13"/>
        <v>VIGENTE</v>
      </c>
      <c r="AT67" s="2"/>
      <c r="AU67" s="4">
        <v>45990</v>
      </c>
      <c r="AV67" s="4">
        <f t="shared" si="236"/>
        <v>46720</v>
      </c>
      <c r="AW67" s="8">
        <f t="shared" ca="1" si="15"/>
        <v>586</v>
      </c>
      <c r="AX67" s="5" t="str">
        <f t="shared" ca="1" si="16"/>
        <v>VIGENTE</v>
      </c>
      <c r="AY67" s="3"/>
      <c r="AZ67" s="4">
        <v>45943</v>
      </c>
      <c r="BA67" s="4">
        <f>DATE(YEAR(AZ67)+2,MONTH(AZ67),DAY(AZ67))</f>
        <v>46673</v>
      </c>
      <c r="BB67" s="8">
        <f t="shared" ca="1" si="17"/>
        <v>539</v>
      </c>
      <c r="BC67" s="5" t="str">
        <f t="shared" ca="1" si="18"/>
        <v>VIGENTE</v>
      </c>
      <c r="BD67" s="2"/>
      <c r="BE67" s="4">
        <v>45997</v>
      </c>
      <c r="BF67" s="4">
        <f>DATE(YEAR(BE67)+2,MONTH(BE67),DAY(BE67))</f>
        <v>46727</v>
      </c>
      <c r="BG67" s="8">
        <f t="shared" ca="1" si="19"/>
        <v>593</v>
      </c>
      <c r="BH67" s="5" t="str">
        <f t="shared" ca="1" si="20"/>
        <v>VIGENTE</v>
      </c>
      <c r="BI67" s="3"/>
      <c r="BJ67" s="4">
        <v>45976</v>
      </c>
      <c r="BK67" s="4">
        <f>DATE(YEAR(BJ67)+2,MONTH(BJ67),DAY(BJ67))</f>
        <v>46706</v>
      </c>
      <c r="BL67" s="8">
        <f t="shared" ca="1" si="21"/>
        <v>572</v>
      </c>
      <c r="BM67" s="5" t="str">
        <f t="shared" ca="1" si="22"/>
        <v>VIGENTE</v>
      </c>
      <c r="BN67" s="3"/>
      <c r="BO67" s="4">
        <v>45981</v>
      </c>
      <c r="BP67" s="4">
        <f>DATE(YEAR(BO67)+2,MONTH(BO67),DAY(BO67))</f>
        <v>46711</v>
      </c>
      <c r="BQ67" s="8">
        <f t="shared" ca="1" si="23"/>
        <v>577</v>
      </c>
      <c r="BR67" s="5" t="str">
        <f t="shared" ca="1" si="24"/>
        <v>VIGENTE</v>
      </c>
      <c r="BS67" s="3"/>
      <c r="BT67" s="4">
        <v>45950</v>
      </c>
      <c r="BU67" s="4">
        <f>DATE(YEAR(BT67)+2,MONTH(BT67),DAY(BT67))</f>
        <v>46680</v>
      </c>
      <c r="BV67" s="8">
        <f t="shared" ca="1" si="25"/>
        <v>546</v>
      </c>
      <c r="BW67" s="5" t="str">
        <f t="shared" ca="1" si="26"/>
        <v>VIGENTE</v>
      </c>
      <c r="BX67" s="3"/>
      <c r="BY67" s="4">
        <v>45954</v>
      </c>
      <c r="BZ67" s="4">
        <f t="shared" si="243"/>
        <v>46684</v>
      </c>
      <c r="CA67" s="8">
        <f t="shared" ca="1" si="27"/>
        <v>550</v>
      </c>
      <c r="CB67" s="5" t="str">
        <f t="shared" ca="1" si="28"/>
        <v>VIGENTE</v>
      </c>
      <c r="CC67" s="6" t="s">
        <v>68</v>
      </c>
      <c r="CD67" s="4">
        <v>45828</v>
      </c>
      <c r="CE67" s="4">
        <f t="shared" si="29"/>
        <v>47289</v>
      </c>
      <c r="CF67" s="8">
        <f t="shared" ca="1" si="30"/>
        <v>1155</v>
      </c>
      <c r="CG67" s="5" t="str">
        <f t="shared" ca="1" si="31"/>
        <v>VIGENTE</v>
      </c>
      <c r="CH67" s="6"/>
      <c r="CI67" s="4">
        <v>45929</v>
      </c>
      <c r="CJ67" s="4">
        <f>DATE(YEAR(CI67)+2,MONTH(CI67),DAY(CI67))</f>
        <v>46659</v>
      </c>
      <c r="CK67" s="8">
        <f t="shared" ca="1" si="32"/>
        <v>525</v>
      </c>
      <c r="CL67" s="5" t="str">
        <f t="shared" ca="1" si="33"/>
        <v>VIGENTE</v>
      </c>
      <c r="CM67" s="3"/>
      <c r="CN67" s="4">
        <v>45882</v>
      </c>
      <c r="CO67" s="4">
        <f>DATE(YEAR(CN67)+2,MONTH(CN67),DAY(CN67))</f>
        <v>46612</v>
      </c>
      <c r="CP67" s="8">
        <f t="shared" ca="1" si="34"/>
        <v>478</v>
      </c>
      <c r="CQ67" s="5" t="str">
        <f t="shared" ca="1" si="35"/>
        <v>VIGENTE</v>
      </c>
      <c r="CR67" s="2"/>
      <c r="CS67" s="4">
        <v>45905</v>
      </c>
      <c r="CT67" s="4">
        <f>DATE(YEAR(CS67)+2,MONTH(CS67),DAY(CS67))</f>
        <v>46635</v>
      </c>
      <c r="CU67" s="8">
        <f t="shared" ca="1" si="36"/>
        <v>501</v>
      </c>
      <c r="CV67" s="5" t="str">
        <f t="shared" ca="1" si="37"/>
        <v>VIGENTE</v>
      </c>
      <c r="CW67" s="3"/>
      <c r="CX67" s="4">
        <v>45924</v>
      </c>
      <c r="CY67" s="4">
        <f>DATE(YEAR(CX67)+2,MONTH(CX67),DAY(CX67))</f>
        <v>46654</v>
      </c>
      <c r="CZ67" s="8">
        <f t="shared" ca="1" si="38"/>
        <v>520</v>
      </c>
      <c r="DA67" s="5" t="str">
        <f t="shared" ca="1" si="39"/>
        <v>VIGENTE</v>
      </c>
      <c r="DB67" s="3"/>
      <c r="DC67" s="4">
        <v>45986</v>
      </c>
      <c r="DD67" s="4">
        <f>DATE(YEAR(DC67)+2,MONTH(DC67),DAY(DC67))</f>
        <v>46716</v>
      </c>
      <c r="DE67" s="8">
        <f t="shared" ca="1" si="40"/>
        <v>582</v>
      </c>
      <c r="DF67" s="5" t="str">
        <f t="shared" ca="1" si="41"/>
        <v>VIGENTE</v>
      </c>
      <c r="DG67" s="2"/>
      <c r="DH67" s="4">
        <v>45975</v>
      </c>
      <c r="DI67" s="4">
        <f t="shared" si="244"/>
        <v>46705</v>
      </c>
      <c r="DJ67" s="8">
        <f t="shared" ca="1" si="43"/>
        <v>571</v>
      </c>
      <c r="DK67" s="5" t="str">
        <f t="shared" ca="1" si="44"/>
        <v>VIGENTE</v>
      </c>
      <c r="DL67" s="3"/>
      <c r="DM67" s="4">
        <v>45982</v>
      </c>
      <c r="DN67" s="4">
        <f>DATE(YEAR(DM67)+2,MONTH(DM67),DAY(DM67))</f>
        <v>46712</v>
      </c>
      <c r="DO67" s="8">
        <f t="shared" ca="1" si="46"/>
        <v>578</v>
      </c>
      <c r="DP67" s="5" t="str">
        <f t="shared" ca="1" si="47"/>
        <v>VIGENTE</v>
      </c>
      <c r="DQ67" s="4"/>
      <c r="DR67" s="4">
        <v>46018</v>
      </c>
      <c r="DS67" s="4">
        <f>DATE(YEAR(DR67)+2,MONTH(DR67),DAY(DR67))</f>
        <v>46748</v>
      </c>
      <c r="DT67" s="8">
        <f t="shared" ca="1" si="48"/>
        <v>614</v>
      </c>
      <c r="DU67" s="5" t="str">
        <f t="shared" ca="1" si="49"/>
        <v>VIGENTE</v>
      </c>
      <c r="DV67" s="3"/>
      <c r="DW67" s="4">
        <v>46020</v>
      </c>
      <c r="DX67" s="4">
        <f>DATE(YEAR(DW67)+2,MONTH(DW67),DAY(DW67))</f>
        <v>46750</v>
      </c>
      <c r="DY67" s="8">
        <f t="shared" ca="1" si="50"/>
        <v>616</v>
      </c>
      <c r="DZ67" s="5" t="str">
        <f t="shared" ca="1" si="51"/>
        <v>VIGENTE</v>
      </c>
      <c r="EA67" s="3"/>
      <c r="EB67" s="4">
        <v>45913</v>
      </c>
      <c r="EC67" s="4">
        <f>DATE(YEAR(EB67)+2,MONTH(EB67),DAY(EB67))</f>
        <v>46643</v>
      </c>
      <c r="ED67" s="8">
        <f t="shared" ca="1" si="52"/>
        <v>509</v>
      </c>
      <c r="EE67" s="5" t="str">
        <f t="shared" ca="1" si="53"/>
        <v>VIGENTE</v>
      </c>
      <c r="EF67" s="3"/>
      <c r="EG67" s="3">
        <v>46015</v>
      </c>
      <c r="EH67" s="4">
        <f t="shared" si="137"/>
        <v>46380</v>
      </c>
      <c r="EI67" s="8">
        <f t="shared" ca="1" si="54"/>
        <v>246</v>
      </c>
      <c r="EJ67" s="5" t="str">
        <f t="shared" ca="1" si="55"/>
        <v>VIGENTE</v>
      </c>
      <c r="EK67" s="3"/>
      <c r="EL67" s="4">
        <v>45940</v>
      </c>
      <c r="EM67" s="4">
        <f>DATE(YEAR(EL67)+2,MONTH(EL67),DAY(EL67))</f>
        <v>46670</v>
      </c>
      <c r="EN67" s="8">
        <f t="shared" ca="1" si="56"/>
        <v>536</v>
      </c>
      <c r="EO67" s="5" t="str">
        <f t="shared" ca="1" si="57"/>
        <v>VIGENTE</v>
      </c>
      <c r="EP67" s="2"/>
      <c r="EQ67" s="4">
        <v>45922</v>
      </c>
      <c r="ER67" s="4">
        <f>DATE(YEAR(EQ67)+2,MONTH(EQ67),DAY(EQ67))</f>
        <v>46652</v>
      </c>
      <c r="ES67" s="8">
        <f t="shared" ca="1" si="58"/>
        <v>518</v>
      </c>
      <c r="ET67" s="5" t="str">
        <f t="shared" ca="1" si="59"/>
        <v>VIGENTE</v>
      </c>
      <c r="EU67" s="3"/>
      <c r="EV67" s="4">
        <v>45973</v>
      </c>
      <c r="EW67" s="4">
        <f t="shared" si="238"/>
        <v>46703</v>
      </c>
      <c r="EX67" s="8">
        <f t="shared" ca="1" si="60"/>
        <v>569</v>
      </c>
      <c r="EY67" s="5" t="str">
        <f t="shared" ca="1" si="61"/>
        <v>VIGENTE</v>
      </c>
      <c r="EZ67" s="3"/>
      <c r="FA67" s="4">
        <v>45951</v>
      </c>
      <c r="FB67" s="4">
        <f t="shared" si="239"/>
        <v>46681</v>
      </c>
      <c r="FC67" s="8">
        <f t="shared" ca="1" si="62"/>
        <v>547</v>
      </c>
      <c r="FD67" s="5" t="str">
        <f t="shared" ca="1" si="63"/>
        <v>VIGENTE</v>
      </c>
      <c r="FE67" s="3"/>
      <c r="FF67" s="4">
        <v>45962</v>
      </c>
      <c r="FG67" s="4">
        <f t="shared" si="240"/>
        <v>46692</v>
      </c>
      <c r="FH67" s="8">
        <f t="shared" ca="1" si="64"/>
        <v>558</v>
      </c>
      <c r="FI67" s="5" t="str">
        <f t="shared" ca="1" si="65"/>
        <v>VIGENTE</v>
      </c>
      <c r="FJ67" s="3"/>
      <c r="FK67" s="4">
        <v>45933</v>
      </c>
      <c r="FL67" s="4">
        <f>DATE(YEAR(FK67)+2,MONTH(FK67),DAY(FK67))</f>
        <v>46663</v>
      </c>
      <c r="FM67" s="8">
        <f t="shared" ca="1" si="67"/>
        <v>529</v>
      </c>
      <c r="FN67" s="5" t="str">
        <f t="shared" ca="1" si="68"/>
        <v>VIGENTE</v>
      </c>
      <c r="FO67" s="3"/>
      <c r="FP67" s="4">
        <v>45957</v>
      </c>
      <c r="FQ67" s="4">
        <f>DATE(YEAR(FP67)+2,MONTH(FP67),DAY(FP67))</f>
        <v>46687</v>
      </c>
      <c r="FR67" s="8">
        <f t="shared" ca="1" si="69"/>
        <v>553</v>
      </c>
      <c r="FS67" s="5" t="str">
        <f t="shared" ca="1" si="70"/>
        <v>VIGENTE</v>
      </c>
      <c r="FT67" s="3"/>
      <c r="FU67" s="4">
        <v>45941</v>
      </c>
      <c r="FV67" s="4">
        <f>DATE(YEAR(FU67)+2,MONTH(FU67),DAY(FU67))</f>
        <v>46671</v>
      </c>
      <c r="FW67" s="8">
        <f t="shared" ca="1" si="71"/>
        <v>537</v>
      </c>
      <c r="FX67" s="5" t="str">
        <f t="shared" ca="1" si="72"/>
        <v>VIGENTE</v>
      </c>
      <c r="FY67" s="3"/>
      <c r="FZ67" s="4">
        <v>45925</v>
      </c>
      <c r="GA67" s="4">
        <f>DATE(YEAR(FZ67)+2,MONTH(FZ67),DAY(FZ67))</f>
        <v>46655</v>
      </c>
      <c r="GB67" s="8">
        <f t="shared" ca="1" si="73"/>
        <v>521</v>
      </c>
      <c r="GC67" s="5" t="str">
        <f t="shared" ca="1" si="74"/>
        <v>VIGENTE</v>
      </c>
      <c r="GD67" s="3"/>
      <c r="GE67" s="4">
        <v>45912</v>
      </c>
      <c r="GF67" s="4">
        <f>DATE(YEAR(GE67)+2,MONTH(GE67),DAY(GE67))</f>
        <v>46642</v>
      </c>
      <c r="GG67" s="8">
        <f t="shared" ca="1" si="75"/>
        <v>508</v>
      </c>
      <c r="GH67" s="5" t="str">
        <f t="shared" ca="1" si="76"/>
        <v>VIGENTE</v>
      </c>
      <c r="GI67" s="3"/>
      <c r="GJ67" s="4">
        <v>45945</v>
      </c>
      <c r="GK67" s="4">
        <f t="shared" si="242"/>
        <v>46675</v>
      </c>
      <c r="GL67" s="8">
        <f t="shared" ca="1" si="77"/>
        <v>541</v>
      </c>
      <c r="GM67" s="5" t="str">
        <f t="shared" ca="1" si="78"/>
        <v>VIGENTE</v>
      </c>
      <c r="GN67" s="4"/>
      <c r="GO67" s="4">
        <v>45299</v>
      </c>
      <c r="GP67" s="4">
        <f t="shared" si="79"/>
        <v>47126</v>
      </c>
      <c r="GQ67" s="8">
        <f t="shared" ca="1" si="181"/>
        <v>992</v>
      </c>
      <c r="GR67" s="5" t="str">
        <f t="shared" ca="1" si="81"/>
        <v>VIGENTE</v>
      </c>
      <c r="GS67" s="3"/>
      <c r="GT67" s="4">
        <v>45277</v>
      </c>
      <c r="GU67" s="4">
        <f t="shared" si="82"/>
        <v>47104</v>
      </c>
      <c r="GV67" s="8">
        <f t="shared" ca="1" si="83"/>
        <v>970</v>
      </c>
      <c r="GW67" s="5" t="str">
        <f t="shared" ca="1" si="84"/>
        <v>VIGENTE</v>
      </c>
      <c r="GX67" s="2"/>
      <c r="GY67" s="4">
        <v>45258</v>
      </c>
      <c r="GZ67" s="4">
        <f t="shared" si="85"/>
        <v>47085</v>
      </c>
      <c r="HA67" s="8">
        <f t="shared" ca="1" si="86"/>
        <v>951</v>
      </c>
      <c r="HB67" s="5" t="str">
        <f t="shared" ca="1" si="87"/>
        <v>VIGENTE</v>
      </c>
      <c r="HC67" s="6"/>
      <c r="HD67" s="6"/>
      <c r="HE67" s="4"/>
      <c r="HF67" s="8"/>
      <c r="HG67" s="5" t="str">
        <f t="shared" si="228"/>
        <v>NO APLICA</v>
      </c>
      <c r="HH67" s="2"/>
      <c r="HI67" s="6"/>
      <c r="HJ67" s="4"/>
      <c r="HK67" s="8"/>
      <c r="HL67" s="5" t="str">
        <f t="shared" si="232"/>
        <v>NO APLICA</v>
      </c>
      <c r="HM67" s="2"/>
      <c r="HN67" s="2"/>
      <c r="HO67" s="4"/>
      <c r="HP67" s="2"/>
      <c r="HQ67" s="5" t="str">
        <f t="shared" si="92"/>
        <v>NO APLICA</v>
      </c>
      <c r="HR67" s="2"/>
      <c r="HS67" s="6"/>
      <c r="HT67" s="4"/>
      <c r="HU67" s="8"/>
      <c r="HV67" s="5" t="str">
        <f t="shared" si="93"/>
        <v>NO APLICA</v>
      </c>
      <c r="HW67" s="2"/>
      <c r="HX67" s="6"/>
      <c r="HY67" s="4"/>
      <c r="HZ67" s="8"/>
      <c r="IA67" s="5" t="str">
        <f t="shared" si="94"/>
        <v>NO APLICA</v>
      </c>
      <c r="IB67" s="2"/>
      <c r="IC67" s="6"/>
      <c r="ID67" s="4"/>
      <c r="IE67" s="8"/>
      <c r="IF67" s="5" t="str">
        <f t="shared" si="95"/>
        <v>NO APLICA</v>
      </c>
      <c r="IG67" s="6"/>
      <c r="IH67" s="6"/>
      <c r="II67" s="4"/>
      <c r="IJ67" s="8"/>
      <c r="IK67" s="5" t="str">
        <f t="shared" si="96"/>
        <v>NO APLICA</v>
      </c>
      <c r="IL67" s="2"/>
      <c r="IM67" s="6"/>
      <c r="IN67" s="4"/>
      <c r="IO67" s="8"/>
      <c r="IP67" s="5" t="str">
        <f t="shared" si="97"/>
        <v>NO APLICA</v>
      </c>
      <c r="IQ67" s="2"/>
      <c r="IR67" s="6"/>
      <c r="IS67" s="4"/>
      <c r="IT67" s="8"/>
      <c r="IU67" s="5" t="str">
        <f t="shared" si="98"/>
        <v>NO APLICA</v>
      </c>
      <c r="IV67" s="2"/>
      <c r="IW67" s="6"/>
      <c r="IX67" s="4"/>
      <c r="IY67" s="8"/>
      <c r="IZ67" s="5" t="str">
        <f t="shared" si="99"/>
        <v>NO APLICA</v>
      </c>
      <c r="JA67" s="3"/>
      <c r="JB67" s="3"/>
      <c r="JC67" s="4"/>
      <c r="JD67" s="8"/>
      <c r="JE67" s="5" t="str">
        <f t="shared" si="100"/>
        <v>NO APLICA</v>
      </c>
      <c r="JF67" s="6"/>
      <c r="JG67" s="6"/>
      <c r="JH67" s="6"/>
      <c r="JI67" s="6"/>
      <c r="JJ67" s="5" t="str">
        <f t="shared" si="101"/>
        <v>NO APLICA</v>
      </c>
      <c r="JK67" s="6"/>
      <c r="JL67" s="6"/>
      <c r="JM67" s="6"/>
      <c r="JN67" s="6"/>
      <c r="JO67" s="5" t="str">
        <f t="shared" si="102"/>
        <v>NO APLICA</v>
      </c>
      <c r="JP67" s="6"/>
      <c r="JQ67" s="6"/>
      <c r="JR67" s="6"/>
      <c r="JS67" s="6"/>
      <c r="JT67" s="5" t="str">
        <f t="shared" si="103"/>
        <v>NO APLICA</v>
      </c>
      <c r="JU67" s="5"/>
      <c r="JV67" s="5"/>
      <c r="JW67" s="5"/>
      <c r="JX67" s="5"/>
      <c r="JY67" s="5" t="str">
        <f t="shared" si="104"/>
        <v>NO APLICA</v>
      </c>
      <c r="JZ67" s="5"/>
      <c r="KA67" s="2"/>
      <c r="KB67" s="4"/>
      <c r="KC67" s="8"/>
      <c r="KD67" s="5" t="str">
        <f t="shared" si="105"/>
        <v>NO APLICA</v>
      </c>
      <c r="KE67" s="5"/>
      <c r="KF67" s="2"/>
      <c r="KG67" s="4"/>
      <c r="KH67" s="8"/>
      <c r="KI67" s="5" t="str">
        <f t="shared" si="141"/>
        <v>NO APLICA</v>
      </c>
      <c r="KJ67" s="5"/>
      <c r="KK67" s="2"/>
      <c r="KL67" s="4"/>
      <c r="KM67" s="8"/>
      <c r="KN67" s="5" t="str">
        <f t="shared" si="106"/>
        <v>NO APLICA</v>
      </c>
      <c r="KO67" s="5"/>
      <c r="KP67" s="2"/>
      <c r="KQ67" s="4"/>
      <c r="KR67" s="8"/>
      <c r="KS67" s="5" t="str">
        <f t="shared" si="142"/>
        <v>NO APLICA</v>
      </c>
      <c r="KT67" s="2"/>
      <c r="KU67" s="6"/>
      <c r="KV67" s="4"/>
      <c r="KW67" s="8"/>
      <c r="KX67" s="5" t="str">
        <f t="shared" si="156"/>
        <v>NO APLICA</v>
      </c>
      <c r="KY67" s="5"/>
      <c r="KZ67" s="6"/>
      <c r="LA67" s="4"/>
      <c r="LB67" s="8"/>
      <c r="LC67" s="5" t="str">
        <f t="shared" si="143"/>
        <v>NO APLICA</v>
      </c>
      <c r="LD67" s="6"/>
      <c r="LE67" s="6"/>
      <c r="LF67" s="4"/>
      <c r="LG67" s="8"/>
      <c r="LH67" s="5" t="str">
        <f t="shared" si="107"/>
        <v>NO APLICA</v>
      </c>
      <c r="LI67" s="5"/>
      <c r="LJ67" s="5"/>
      <c r="LK67" s="4"/>
      <c r="LL67" s="8"/>
      <c r="LM67" s="5" t="str">
        <f t="shared" si="157"/>
        <v>NO APLICA</v>
      </c>
      <c r="LN67" s="2"/>
      <c r="LO67" s="6"/>
      <c r="LP67" s="4"/>
      <c r="LQ67" s="8"/>
      <c r="LR67" s="5" t="str">
        <f t="shared" si="144"/>
        <v>NO APLICA</v>
      </c>
      <c r="LS67" s="6"/>
      <c r="LT67" s="6"/>
      <c r="LU67" s="4"/>
      <c r="LV67" s="8"/>
      <c r="LW67" s="5" t="str">
        <f t="shared" si="145"/>
        <v>NO APLICA</v>
      </c>
      <c r="LX67" s="6"/>
      <c r="LY67" s="6"/>
      <c r="LZ67" s="4"/>
      <c r="MA67" s="8"/>
      <c r="MB67" s="5" t="str">
        <f t="shared" si="146"/>
        <v>NO APLICA</v>
      </c>
      <c r="MC67" s="2"/>
      <c r="MD67" s="2"/>
      <c r="ME67" s="4"/>
      <c r="MF67" s="8"/>
      <c r="MG67" s="5" t="str">
        <f t="shared" si="108"/>
        <v>NO APLICA</v>
      </c>
      <c r="MH67" s="2"/>
      <c r="MI67" s="2"/>
      <c r="MJ67" s="4"/>
      <c r="MK67" s="8"/>
      <c r="ML67" s="5" t="str">
        <f t="shared" si="109"/>
        <v>NO APLICA</v>
      </c>
      <c r="MM67" s="5"/>
      <c r="MN67" s="2"/>
      <c r="MO67" s="4"/>
      <c r="MP67" s="8"/>
      <c r="MQ67" s="5" t="str">
        <f t="shared" si="110"/>
        <v>NO APLICA</v>
      </c>
      <c r="MR67" s="5"/>
      <c r="MS67" s="2"/>
      <c r="MT67" s="4"/>
      <c r="MU67" s="2"/>
      <c r="MV67" s="5" t="str">
        <f t="shared" si="111"/>
        <v>NO APLICA</v>
      </c>
      <c r="MW67" s="2"/>
      <c r="MX67" s="6"/>
      <c r="MY67" s="4"/>
      <c r="MZ67" s="8"/>
      <c r="NA67" s="5" t="str">
        <f t="shared" si="112"/>
        <v>NO APLICA</v>
      </c>
      <c r="NB67" s="2"/>
      <c r="NC67" s="6"/>
      <c r="ND67" s="4"/>
      <c r="NE67" s="8"/>
      <c r="NF67" s="5" t="str">
        <f t="shared" si="113"/>
        <v>NO APLICA</v>
      </c>
      <c r="NG67" s="2"/>
      <c r="NH67" s="6"/>
      <c r="NI67" s="4"/>
      <c r="NJ67" s="8"/>
      <c r="NK67" s="5" t="str">
        <f t="shared" si="114"/>
        <v>NO APLICA</v>
      </c>
      <c r="NL67" s="2"/>
      <c r="NM67" s="2"/>
      <c r="NN67" s="4"/>
      <c r="NO67" s="2"/>
      <c r="NP67" s="5" t="str">
        <f t="shared" si="115"/>
        <v>NO APLICA</v>
      </c>
      <c r="NQ67" s="2"/>
      <c r="NR67" s="2"/>
      <c r="NS67" s="4"/>
      <c r="NT67" s="2"/>
      <c r="NU67" s="5" t="str">
        <f t="shared" si="116"/>
        <v>NO APLICA</v>
      </c>
      <c r="NV67" s="6"/>
      <c r="NW67" s="6"/>
      <c r="NX67" s="4"/>
      <c r="NY67" s="8"/>
      <c r="NZ67" s="5" t="str">
        <f t="shared" si="117"/>
        <v>NO APLICA</v>
      </c>
      <c r="OA67" s="6"/>
      <c r="OB67" s="6"/>
      <c r="OC67" s="6"/>
      <c r="OD67" s="6"/>
      <c r="OE67" s="5" t="str">
        <f t="shared" si="118"/>
        <v>NO APLICA</v>
      </c>
      <c r="OF67" s="6"/>
      <c r="OG67" s="6"/>
      <c r="OH67" s="4"/>
      <c r="OI67" s="8"/>
      <c r="OJ67" s="5" t="str">
        <f t="shared" si="119"/>
        <v>NO APLICA</v>
      </c>
      <c r="OK67" s="6"/>
      <c r="OL67" s="6"/>
      <c r="OM67" s="6"/>
      <c r="ON67" s="6"/>
      <c r="OO67" s="5" t="str">
        <f t="shared" si="120"/>
        <v>NO APLICA</v>
      </c>
      <c r="OP67" s="6"/>
      <c r="OQ67" s="6"/>
      <c r="OR67" s="6"/>
      <c r="OS67" s="6"/>
      <c r="OT67" s="5" t="str">
        <f t="shared" si="121"/>
        <v>NO APLICA</v>
      </c>
      <c r="OU67" s="6"/>
      <c r="OV67" s="6"/>
      <c r="OW67" s="6"/>
      <c r="OX67" s="6"/>
      <c r="OY67" s="5" t="str">
        <f t="shared" si="122"/>
        <v>NO APLICA</v>
      </c>
      <c r="OZ67" s="6"/>
      <c r="PA67" s="6"/>
      <c r="PB67" s="6"/>
      <c r="PC67" s="6"/>
      <c r="PD67" s="5" t="str">
        <f t="shared" si="123"/>
        <v>NO APLICA</v>
      </c>
      <c r="PE67" s="6"/>
      <c r="PF67" s="6"/>
      <c r="PG67" s="6"/>
      <c r="PH67" s="6"/>
      <c r="PI67" s="5" t="str">
        <f t="shared" si="124"/>
        <v>NO APLICA</v>
      </c>
      <c r="PJ67" s="5"/>
      <c r="PK67" s="6"/>
      <c r="PL67" s="4"/>
      <c r="PM67" s="8"/>
      <c r="PN67" s="5" t="str">
        <f t="shared" si="125"/>
        <v>NO APLICA</v>
      </c>
      <c r="PO67" s="6"/>
      <c r="PP67" s="6"/>
      <c r="PQ67" s="6"/>
      <c r="PR67" s="6"/>
      <c r="PS67" s="5" t="str">
        <f t="shared" si="126"/>
        <v>NO APLICA</v>
      </c>
      <c r="PT67" s="5"/>
      <c r="PU67" s="6"/>
      <c r="PV67" s="6"/>
      <c r="PW67" s="6"/>
      <c r="PX67" s="5" t="str">
        <f t="shared" si="127"/>
        <v>NO APLICA</v>
      </c>
    </row>
    <row r="68" spans="1:440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656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264</v>
      </c>
      <c r="V68" s="4">
        <v>44838</v>
      </c>
      <c r="W68" s="4">
        <f t="shared" ref="W68:W108" si="248">DATE(YEAR(V68)+5,MONTH(V68),DAY(V68))</f>
        <v>46664</v>
      </c>
      <c r="X68" s="8">
        <f t="shared" ref="X68:X108" ca="1" si="249">W68-TODAY()</f>
        <v>530</v>
      </c>
      <c r="Y68" s="5" t="str">
        <f t="shared" ref="Y68:Y108" ca="1" si="250">IF(X68&gt;=90,"VIGENTE",IF(X68&gt;=1,"POR VENCER",IF(X68&lt;=-1,"VENCIDA",IF(V68=0,"NO APLICA"))))</f>
        <v>VIGENTE</v>
      </c>
      <c r="Z68" s="2"/>
      <c r="AA68" s="6"/>
      <c r="AB68" s="4"/>
      <c r="AC68" s="8"/>
      <c r="AD68" s="5" t="str">
        <f t="shared" ref="AD68:AD72" si="251">IF(AC68&gt;=91,"VIGENTE",IF(AC68&gt;=1,"POR VENCER",IF(AC68&lt;=-1,"VENCIDA",IF(AA68=0,"NO APLICA"))))</f>
        <v>NO APLICA</v>
      </c>
      <c r="AE68" s="3"/>
      <c r="AF68" s="4">
        <v>45892</v>
      </c>
      <c r="AG68" s="4">
        <f>DATE(YEAR(AF68)+2,MONTH(AF68),DAY(AF68))</f>
        <v>46622</v>
      </c>
      <c r="AH68" s="8">
        <f t="shared" ref="AH68:AH131" ca="1" si="252">AG68-TODAY()</f>
        <v>488</v>
      </c>
      <c r="AI68" s="5" t="str">
        <f t="shared" ca="1" si="224"/>
        <v>VIGENTE</v>
      </c>
      <c r="AJ68" s="3"/>
      <c r="AK68" s="4">
        <v>45980</v>
      </c>
      <c r="AL68" s="4">
        <f t="shared" si="245"/>
        <v>46710</v>
      </c>
      <c r="AM68" s="8">
        <f t="shared" ref="AM68:AM131" ca="1" si="253">AL68-TODAY()</f>
        <v>576</v>
      </c>
      <c r="AN68" s="5" t="str">
        <f t="shared" ref="AN68:AN131" ca="1" si="254">IF(AM68&gt;=91,"VIGENTE",IF(AM68&gt;=1,"POR VENCER",IF(AM68&lt;=-1,"VENCIDA",IF(AK68=0,"NO APLICA"))))</f>
        <v>VIGENTE</v>
      </c>
      <c r="AO68" s="3"/>
      <c r="AP68" s="4">
        <v>45996</v>
      </c>
      <c r="AQ68" s="4">
        <f t="shared" si="241"/>
        <v>46726</v>
      </c>
      <c r="AR68" s="8">
        <f t="shared" ref="AR68:AR131" ca="1" si="255">AQ68-TODAY()</f>
        <v>592</v>
      </c>
      <c r="AS68" s="5" t="str">
        <f t="shared" ref="AS68:AS131" ca="1" si="256">IF(AR68&gt;=91,"VIGENTE",IF(AR68&gt;=1,"POR VENCER",IF(AR68&lt;=-1,"VENCIDA",IF(AP68=0,"NO APLICA"))))</f>
        <v>VIGENTE</v>
      </c>
      <c r="AT68" s="3"/>
      <c r="AU68" s="4">
        <v>45927</v>
      </c>
      <c r="AV68" s="4">
        <f t="shared" si="236"/>
        <v>46657</v>
      </c>
      <c r="AW68" s="8">
        <f t="shared" ref="AW68:AW131" ca="1" si="257">AV68-TODAY()</f>
        <v>523</v>
      </c>
      <c r="AX68" s="5" t="str">
        <f t="shared" ref="AX68:AX131" ca="1" si="258">IF(AW68&gt;=91,"VIGENTE",IF(AW68&gt;=1,"POR VENCER",IF(AW68&lt;=-1,"VENCIDA",IF(AU68=0,"NO APLICA"))))</f>
        <v>VIGENTE</v>
      </c>
      <c r="AY68" s="3"/>
      <c r="AZ68" s="4">
        <v>45742</v>
      </c>
      <c r="BA68" s="4">
        <f>DATE(YEAR(AZ68)+2,MONTH(AZ68),DAY(AZ68)-1)</f>
        <v>46471</v>
      </c>
      <c r="BB68" s="8">
        <f t="shared" ref="BB68:BB131" ca="1" si="259">BA68-TODAY()</f>
        <v>337</v>
      </c>
      <c r="BC68" s="5" t="str">
        <f t="shared" ref="BC68:BC131" ca="1" si="260">IF(BB68&gt;=91,"VIGENTE",IF(BB68&gt;=1,"POR VENCER",IF(BB68&lt;=-1,"VENCIDA",IF(AZ68=0,"NO APLICA"))))</f>
        <v>VIGENTE</v>
      </c>
      <c r="BD68" s="3"/>
      <c r="BE68" s="4">
        <v>45605</v>
      </c>
      <c r="BF68" s="4">
        <f>DATE(YEAR(BE68)+2,MONTH(BE68),DAY(BE68)-1)</f>
        <v>46334</v>
      </c>
      <c r="BG68" s="8">
        <f t="shared" ref="BG68:BG131" ca="1" si="261">BF68-TODAY()</f>
        <v>200</v>
      </c>
      <c r="BH68" s="5" t="str">
        <f t="shared" ref="BH68:BH131" ca="1" si="262">IF(BG68&gt;=91,"VIGENTE",IF(BG68&gt;=1,"POR VENCER",IF(BG68&lt;=-1,"VENCIDA",IF(BE68=0,"NO APLICA"))))</f>
        <v>VIGENTE</v>
      </c>
      <c r="BI68" s="3"/>
      <c r="BJ68" s="4">
        <v>45699</v>
      </c>
      <c r="BK68" s="4">
        <f>DATE(YEAR(BJ68)+2,MONTH(BJ68),DAY(BJ68)-1)</f>
        <v>46428</v>
      </c>
      <c r="BL68" s="8">
        <f t="shared" ref="BL68:BL131" ca="1" si="263">BK68-TODAY()</f>
        <v>294</v>
      </c>
      <c r="BM68" s="5" t="str">
        <f t="shared" ref="BM68:BM131" ca="1" si="264">IF(BL68&gt;=91,"VIGENTE",IF(BL68&gt;=1,"POR VENCER",IF(BL68&lt;=-1,"VENCIDA",IF(BJ68=0,"NO APLICA"))))</f>
        <v>VIGENTE</v>
      </c>
      <c r="BN68" s="3"/>
      <c r="BO68" s="4">
        <v>45701</v>
      </c>
      <c r="BP68" s="4">
        <f>DATE(YEAR(BO68)+2,MONTH(BO68),DAY(BO68)-1)</f>
        <v>46430</v>
      </c>
      <c r="BQ68" s="8">
        <f t="shared" ref="BQ68:BQ131" ca="1" si="265">BP68-TODAY()</f>
        <v>296</v>
      </c>
      <c r="BR68" s="5" t="str">
        <f t="shared" ref="BR68:BR131" ca="1" si="266">IF(BQ68&gt;=91,"VIGENTE",IF(BQ68&gt;=1,"POR VENCER",IF(BQ68&lt;=-1,"VENCIDA",IF(BO68=0,"NO APLICA"))))</f>
        <v>VIGENTE</v>
      </c>
      <c r="BS68" s="2"/>
      <c r="BT68" s="4">
        <v>45736</v>
      </c>
      <c r="BU68" s="4">
        <f>DATE(YEAR(BT68)+2,MONTH(BT68),DAY(BT68)-1)</f>
        <v>46465</v>
      </c>
      <c r="BV68" s="8">
        <f t="shared" ref="BV68:BV131" ca="1" si="267">BU68-TODAY()</f>
        <v>331</v>
      </c>
      <c r="BW68" s="5" t="str">
        <f t="shared" ref="BW68:BW131" ca="1" si="268">IF(BV68&gt;=91,"VIGENTE",IF(BV68&gt;=1,"POR VENCER",IF(BV68&lt;=-1,"VENCIDA",IF(BT68=0,"NO APLICA"))))</f>
        <v>VIGENTE</v>
      </c>
      <c r="BX68" s="3"/>
      <c r="BY68" s="4">
        <v>45954</v>
      </c>
      <c r="BZ68" s="4">
        <f t="shared" si="243"/>
        <v>46684</v>
      </c>
      <c r="CA68" s="8">
        <f t="shared" ref="CA68:CA131" ca="1" si="269">BZ68-TODAY()</f>
        <v>550</v>
      </c>
      <c r="CB68" s="5" t="str">
        <f t="shared" ref="CB68:CB131" ca="1" si="270">IF(CA68&gt;=91,"VIGENTE",IF(CA68&gt;=1,"POR VENCER",IF(CA68&lt;=-1,"VENCIDA",IF(BY68=0,"NO APLICA"))))</f>
        <v>VIGENTE</v>
      </c>
      <c r="CC68" s="6" t="s">
        <v>73</v>
      </c>
      <c r="CD68" s="4">
        <v>45616</v>
      </c>
      <c r="CE68" s="4">
        <f t="shared" ref="CE68:CE84" si="271">DATE(YEAR(CD68)+4,MONTH(CD68),DAY(CD68))</f>
        <v>47077</v>
      </c>
      <c r="CF68" s="8">
        <f t="shared" ref="CF68:CF84" ca="1" si="272">CE68-TODAY()</f>
        <v>943</v>
      </c>
      <c r="CG68" s="5" t="str">
        <f t="shared" ref="CG68:CG108" ca="1" si="273">IF(CF68&gt;=90,"VIGENTE",IF(CF68&gt;=1,"POR VENCER",IF(CF68&lt;=-1,"VENCIDA",IF(CF68=0,"NO APLICA"))))</f>
        <v>VIGENTE</v>
      </c>
      <c r="CH68" s="4"/>
      <c r="CI68" s="4">
        <v>45777</v>
      </c>
      <c r="CJ68" s="4">
        <f>DATE(YEAR(CI68)+2,MONTH(CI68),DAY(CI68))</f>
        <v>46507</v>
      </c>
      <c r="CK68" s="8">
        <f t="shared" ref="CK68:CK131" ca="1" si="274">CJ68-TODAY()</f>
        <v>373</v>
      </c>
      <c r="CL68" s="5" t="str">
        <f t="shared" ref="CL68:CL131" ca="1" si="275">IF(CK68&gt;=91,"VIGENTE",IF(CK68&gt;=1,"POR VENCER",IF(CK68&lt;=-1,"VENCIDA",IF(CI68=0,"NO APLICA"))))</f>
        <v>VIGENTE</v>
      </c>
      <c r="CM68" s="3"/>
      <c r="CN68" s="4">
        <v>45684</v>
      </c>
      <c r="CO68" s="4">
        <f>DATE(YEAR(CN68)+2,MONTH(CN68),DAY(CN68)-1)</f>
        <v>46413</v>
      </c>
      <c r="CP68" s="8">
        <f t="shared" ref="CP68:CP131" ca="1" si="276">CO68-TODAY()</f>
        <v>279</v>
      </c>
      <c r="CQ68" s="5" t="str">
        <f t="shared" ref="CQ68:CQ131" ca="1" si="277">IF(CP68&gt;=91,"VIGENTE",IF(CP68&gt;=1,"POR VENCER",IF(CP68&lt;=-1,"VENCIDA",IF(CN68=0,"NO APLICA"))))</f>
        <v>VIGENTE</v>
      </c>
      <c r="CR68" s="3"/>
      <c r="CS68" s="4">
        <v>46043</v>
      </c>
      <c r="CT68" s="4">
        <f>DATE(YEAR(CS68)+2,MONTH(CS68),DAY(CS68))</f>
        <v>46773</v>
      </c>
      <c r="CU68" s="8">
        <f t="shared" ref="CU68:CU131" ca="1" si="278">CT68-TODAY()</f>
        <v>639</v>
      </c>
      <c r="CV68" s="5" t="str">
        <f t="shared" ref="CV68:CV131" ca="1" si="279">IF(CU68&gt;=91,"VIGENTE",IF(CU68&gt;=1,"POR VENCER",IF(CU68&lt;=-1,"VENCIDA",IF(CS68=0,"NO APLICA"))))</f>
        <v>VIGENTE</v>
      </c>
      <c r="CW68" s="3"/>
      <c r="CX68" s="4">
        <v>46000</v>
      </c>
      <c r="CY68" s="4">
        <f>DATE(YEAR(CX68)+2,MONTH(CX68),DAY(CX68))</f>
        <v>46730</v>
      </c>
      <c r="CZ68" s="8">
        <f t="shared" ref="CZ68:CZ131" ca="1" si="280">CY68-TODAY()</f>
        <v>596</v>
      </c>
      <c r="DA68" s="5" t="str">
        <f t="shared" ref="DA68:DA131" ca="1" si="281">IF(CZ68&gt;=91,"VIGENTE",IF(CZ68&gt;=1,"POR VENCER",IF(CZ68&lt;=-1,"VENCIDA",IF(CX68=0,"NO APLICA"))))</f>
        <v>VIGENTE</v>
      </c>
      <c r="DB68" s="3"/>
      <c r="DC68" s="4">
        <v>45723</v>
      </c>
      <c r="DD68" s="4">
        <f>DATE(YEAR(DC68)+2,MONTH(DC68),DAY(DC68)-1)</f>
        <v>46452</v>
      </c>
      <c r="DE68" s="8">
        <f t="shared" ref="DE68:DE131" ca="1" si="282">DD68-TODAY()</f>
        <v>318</v>
      </c>
      <c r="DF68" s="5" t="str">
        <f t="shared" ref="DF68:DF131" ca="1" si="283">IF(DE68&gt;=91,"VIGENTE",IF(DE68&gt;=1,"POR VENCER",IF(DE68&lt;=-1,"VENCIDA",IF(DC68=0,"NO APLICA"))))</f>
        <v>VIGENTE</v>
      </c>
      <c r="DG68" s="3"/>
      <c r="DH68" s="4">
        <v>45975</v>
      </c>
      <c r="DI68" s="4">
        <f t="shared" si="244"/>
        <v>46705</v>
      </c>
      <c r="DJ68" s="8">
        <f t="shared" ref="DJ68:DJ131" ca="1" si="284">DI68-TODAY()</f>
        <v>571</v>
      </c>
      <c r="DK68" s="5" t="str">
        <f t="shared" ref="DK68:DK131" ca="1" si="285">IF(DJ68&gt;=91,"VIGENTE",IF(DJ68&gt;=1,"POR VENCER",IF(DJ68&lt;=-1,"VENCIDA",IF(DH68=0,"NO APLICA"))))</f>
        <v>VIGENTE</v>
      </c>
      <c r="DL68" s="3"/>
      <c r="DM68" s="4">
        <v>46046</v>
      </c>
      <c r="DN68" s="4">
        <f>DATE(YEAR(DM68)+2,MONTH(DM68),DAY(DM68))</f>
        <v>46776</v>
      </c>
      <c r="DO68" s="8">
        <f t="shared" ref="DO68:DO131" ca="1" si="286">DN68-TODAY()</f>
        <v>642</v>
      </c>
      <c r="DP68" s="5" t="str">
        <f t="shared" ref="DP68:DP131" ca="1" si="287">IF(DO68&gt;=91,"VIGENTE",IF(DO68&gt;=1,"POR VENCER",IF(DO68&lt;=-1,"VENCIDA",IF(DM68=0,"NO APLICA"))))</f>
        <v>VIGENTE</v>
      </c>
      <c r="DQ68" s="2"/>
      <c r="DR68" s="4">
        <v>45743</v>
      </c>
      <c r="DS68" s="4">
        <f>DATE(YEAR(DR68)+2,MONTH(DR68),DAY(DR68)-1)</f>
        <v>46472</v>
      </c>
      <c r="DT68" s="8">
        <f t="shared" ref="DT68:DT131" ca="1" si="288">DS68-TODAY()</f>
        <v>338</v>
      </c>
      <c r="DU68" s="5" t="str">
        <f t="shared" ref="DU68:DU131" ca="1" si="289">IF(DT68&gt;=91,"VIGENTE",IF(DT68&gt;=1,"POR VENCER",IF(DT68&lt;=-1,"VENCIDA",IF(DR68=0,"NO APLICA"))))</f>
        <v>VIGENTE</v>
      </c>
      <c r="DV68" s="3"/>
      <c r="DW68" s="4">
        <v>45769</v>
      </c>
      <c r="DX68" s="4">
        <f>DATE(YEAR(DW68)+2,MONTH(DW68),DAY(DW68))</f>
        <v>46499</v>
      </c>
      <c r="DY68" s="8">
        <f t="shared" ref="DY68:DY131" ca="1" si="290">DX68-TODAY()</f>
        <v>365</v>
      </c>
      <c r="DZ68" s="5" t="str">
        <f t="shared" ref="DZ68:DZ131" ca="1" si="291">IF(DY68&gt;=91,"VIGENTE",IF(DY68&gt;=1,"POR VENCER",IF(DY68&lt;=-1,"VENCIDA",IF(DW68=0,"NO APLICA"))))</f>
        <v>VIGENTE</v>
      </c>
      <c r="EA68" s="3"/>
      <c r="EB68" s="4">
        <v>45768</v>
      </c>
      <c r="EC68" s="4">
        <f>DATE(YEAR(EB68)+2,MONTH(EB68),DAY(EB68))</f>
        <v>46498</v>
      </c>
      <c r="ED68" s="8">
        <f t="shared" ref="ED68:ED131" ca="1" si="292">EC68-TODAY()</f>
        <v>364</v>
      </c>
      <c r="EE68" s="5" t="str">
        <f t="shared" ref="EE68:EE131" ca="1" si="293">IF(ED68&gt;=91,"VIGENTE",IF(ED68&gt;=1,"POR VENCER",IF(ED68&lt;=-1,"VENCIDA",IF(EB68=0,"NO APLICA"))))</f>
        <v>VIGENTE</v>
      </c>
      <c r="EF68" s="3"/>
      <c r="EG68" s="3">
        <v>46085</v>
      </c>
      <c r="EH68" s="4">
        <f t="shared" si="137"/>
        <v>46450</v>
      </c>
      <c r="EI68" s="8">
        <f t="shared" ref="EI68:EI131" ca="1" si="294">EH68-TODAY()</f>
        <v>316</v>
      </c>
      <c r="EJ68" s="5" t="str">
        <f t="shared" ref="EJ68:EJ131" ca="1" si="295">IF(EI68&gt;=91,"VIGENTE",IF(EI68&gt;=1,"POR VENCER",IF(EI68&lt;=-1,"VENCIDA",IF(EG68=0,"NO APLICA"))))</f>
        <v>VIGENTE</v>
      </c>
      <c r="EK68" s="3"/>
      <c r="EL68" s="4">
        <v>45671</v>
      </c>
      <c r="EM68" s="4">
        <f>DATE(YEAR(EL68)+2,MONTH(EL68),DAY(EL68)-1)</f>
        <v>46400</v>
      </c>
      <c r="EN68" s="8">
        <f t="shared" ref="EN68:EN131" ca="1" si="296">EM68-TODAY()</f>
        <v>266</v>
      </c>
      <c r="EO68" s="5" t="str">
        <f t="shared" ref="EO68:EO131" ca="1" si="297">IF(EN68&gt;=91,"VIGENTE",IF(EN68&gt;=1,"POR VENCER",IF(EN68&lt;=-1,"VENCIDA",IF(EL68=0,"NO APLICA"))))</f>
        <v>VIGENTE</v>
      </c>
      <c r="EP68" s="3"/>
      <c r="EQ68" s="4">
        <v>45677</v>
      </c>
      <c r="ER68" s="4">
        <f>DATE(YEAR(EQ68)+2,MONTH(EQ68),DAY(EQ68)-1)</f>
        <v>46406</v>
      </c>
      <c r="ES68" s="8">
        <f t="shared" ref="ES68:ES131" ca="1" si="298">ER68-TODAY()</f>
        <v>272</v>
      </c>
      <c r="ET68" s="5" t="str">
        <f t="shared" ref="ET68:ET131" ca="1" si="299">IF(ES68&gt;=91,"VIGENTE",IF(ES68&gt;=1,"POR VENCER",IF(ES68&lt;=-1,"VENCIDA",IF(EQ68=0,"NO APLICA"))))</f>
        <v>VIGENTE</v>
      </c>
      <c r="EU68" s="3"/>
      <c r="EV68" s="4">
        <v>45917</v>
      </c>
      <c r="EW68" s="4">
        <f t="shared" si="238"/>
        <v>46647</v>
      </c>
      <c r="EX68" s="8">
        <f t="shared" ref="EX68:EX131" ca="1" si="300">EW68-TODAY()</f>
        <v>513</v>
      </c>
      <c r="EY68" s="5" t="str">
        <f t="shared" ref="EY68:EY131" ca="1" si="301">IF(EX68&gt;=91,"VIGENTE",IF(EX68&gt;=1,"POR VENCER",IF(EX68&lt;=-1,"VENCIDA",IF(EV68=0,"NO APLICA"))))</f>
        <v>VIGENTE</v>
      </c>
      <c r="EZ68" s="3"/>
      <c r="FA68" s="4">
        <v>45931</v>
      </c>
      <c r="FB68" s="4">
        <f t="shared" si="239"/>
        <v>46661</v>
      </c>
      <c r="FC68" s="8">
        <f t="shared" ref="FC68:FC131" ca="1" si="302">FB68-TODAY()</f>
        <v>527</v>
      </c>
      <c r="FD68" s="5" t="str">
        <f t="shared" ref="FD68:FD131" ca="1" si="303">IF(FC68&gt;=91,"VIGENTE",IF(FC68&gt;=1,"POR VENCER",IF(FC68&lt;=-1,"VENCIDA",IF(FA68=0,"NO APLICA"))))</f>
        <v>VIGENTE</v>
      </c>
      <c r="FE68" s="3"/>
      <c r="FF68" s="4">
        <v>45919</v>
      </c>
      <c r="FG68" s="4">
        <f t="shared" si="240"/>
        <v>46649</v>
      </c>
      <c r="FH68" s="8">
        <f t="shared" ref="FH68:FH131" ca="1" si="304">FG68-TODAY()</f>
        <v>515</v>
      </c>
      <c r="FI68" s="5" t="str">
        <f t="shared" ref="FI68:FI131" ca="1" si="305">IF(FH68&gt;=91,"VIGENTE",IF(FH68&gt;=1,"POR VENCER",IF(FH68&lt;=-1,"VENCIDA",IF(FF68=0,"NO APLICA"))))</f>
        <v>VIGENTE</v>
      </c>
      <c r="FJ68" s="3"/>
      <c r="FK68" s="4">
        <v>45670</v>
      </c>
      <c r="FL68" s="4">
        <f>DATE(YEAR(FK68)+2,MONTH(FK68),DAY(FK68)-1)</f>
        <v>46399</v>
      </c>
      <c r="FM68" s="8">
        <f t="shared" ref="FM68:FM131" ca="1" si="306">FL68-TODAY()</f>
        <v>265</v>
      </c>
      <c r="FN68" s="5" t="str">
        <f t="shared" ref="FN68:FN131" ca="1" si="307">IF(FM68&gt;=91,"VIGENTE",IF(FM68&gt;=1,"POR VENCER",IF(FM68&lt;=-1,"VENCIDA",IF(FK68=0,"NO APLICA"))))</f>
        <v>VIGENTE</v>
      </c>
      <c r="FO68" s="3"/>
      <c r="FP68" s="4">
        <v>45747</v>
      </c>
      <c r="FQ68" s="4">
        <f>DATE(YEAR(FP68)+2,MONTH(FP68),DAY(FP68)-1)</f>
        <v>46476</v>
      </c>
      <c r="FR68" s="8">
        <f t="shared" ref="FR68:FR131" ca="1" si="308">FQ68-TODAY()</f>
        <v>342</v>
      </c>
      <c r="FS68" s="5" t="str">
        <f t="shared" ref="FS68:FS131" ca="1" si="309">IF(FR68&gt;=91,"VIGENTE",IF(FR68&gt;=1,"POR VENCER",IF(FR68&lt;=-1,"VENCIDA",IF(FP68=0,"NO APLICA"))))</f>
        <v>VIGENTE</v>
      </c>
      <c r="FT68" s="3"/>
      <c r="FU68" s="4">
        <v>45961</v>
      </c>
      <c r="FV68" s="4">
        <f>DATE(YEAR(FU68)+2,MONTH(FU68),DAY(FU68))</f>
        <v>46691</v>
      </c>
      <c r="FW68" s="8">
        <f t="shared" ref="FW68:FW131" ca="1" si="310">FV68-TODAY()</f>
        <v>557</v>
      </c>
      <c r="FX68" s="5" t="str">
        <f t="shared" ref="FX68:FX131" ca="1" si="311">IF(FW68&gt;=91,"VIGENTE",IF(FW68&gt;=1,"POR VENCER",IF(FW68&lt;=-1,"VENCIDA",IF(FU68=0,"NO APLICA"))))</f>
        <v>VIGENTE</v>
      </c>
      <c r="FY68" s="3"/>
      <c r="FZ68" s="4">
        <v>45715</v>
      </c>
      <c r="GA68" s="4">
        <f>DATE(YEAR(FZ68)+2,MONTH(FZ68),DAY(FZ68)-1)</f>
        <v>46444</v>
      </c>
      <c r="GB68" s="8">
        <f t="shared" ref="GB68:GB131" ca="1" si="312">GA68-TODAY()</f>
        <v>310</v>
      </c>
      <c r="GC68" s="5" t="str">
        <f t="shared" ref="GC68:GC131" ca="1" si="313">IF(GB68&gt;=91,"VIGENTE",IF(GB68&gt;=1,"POR VENCER",IF(GB68&lt;=-1,"VENCIDA",IF(FZ68=0,"NO APLICA"))))</f>
        <v>VIGENTE</v>
      </c>
      <c r="GD68" s="3"/>
      <c r="GE68" s="4">
        <v>45731</v>
      </c>
      <c r="GF68" s="4">
        <f>DATE(YEAR(GE68)+2,MONTH(GE68),DAY(GE68)-1)</f>
        <v>46460</v>
      </c>
      <c r="GG68" s="8">
        <f t="shared" ref="GG68:GG131" ca="1" si="314">GF68-TODAY()</f>
        <v>326</v>
      </c>
      <c r="GH68" s="5" t="str">
        <f t="shared" ref="GH68:GH131" ca="1" si="315">IF(GG68&gt;=91,"VIGENTE",IF(GG68&gt;=1,"POR VENCER",IF(GG68&lt;=-1,"VENCIDA",IF(GE68=0,"NO APLICA"))))</f>
        <v>VIGENTE</v>
      </c>
      <c r="GI68" s="3"/>
      <c r="GJ68" s="4">
        <v>45687</v>
      </c>
      <c r="GK68" s="4">
        <f>DATE(YEAR(GJ68)+2,MONTH(GJ68),DAY(GJ68)-1)</f>
        <v>46416</v>
      </c>
      <c r="GL68" s="8">
        <f t="shared" ref="GL68:GL131" ca="1" si="316">GK68-TODAY()</f>
        <v>282</v>
      </c>
      <c r="GM68" s="5" t="str">
        <f t="shared" ref="GM68:GM131" ca="1" si="317">IF(GL68&gt;=61,"VIGENTE",IF(GL68&gt;=1,"POR VENCER",IF(GL68&lt;=-1,"VENCIDA",IF(GJ68=0,"NO APLICA"))))</f>
        <v>VIGENTE</v>
      </c>
      <c r="GN68" s="4"/>
      <c r="GO68" s="4">
        <v>45072</v>
      </c>
      <c r="GP68" s="4">
        <f t="shared" ref="GP68:GP131" si="318">DATE(YEAR(GO68)+5,MONTH(GO68),DAY(GO68))</f>
        <v>46899</v>
      </c>
      <c r="GQ68" s="8">
        <f t="shared" ca="1" si="181"/>
        <v>765</v>
      </c>
      <c r="GR68" s="5" t="str">
        <f t="shared" ref="GR68:GR72" ca="1" si="319">IF(GQ68&gt;=91,"VIGENTE",IF(GQ68&gt;=1,"POR VENCER",IF(GQ68&lt;=-1,"VENCIDA",IF(GO68=0,"NO APLICA"))))</f>
        <v>VIGENTE</v>
      </c>
      <c r="GS68" s="3"/>
      <c r="GT68" s="4">
        <v>44984</v>
      </c>
      <c r="GU68" s="4">
        <f t="shared" ref="GU68:GU131" si="320">DATE(YEAR(GT68)+5,MONTH(GT68),DAY(GT68))</f>
        <v>46810</v>
      </c>
      <c r="GV68" s="8">
        <f t="shared" ref="GV68:GV131" ca="1" si="321">GU68-TODAY()</f>
        <v>676</v>
      </c>
      <c r="GW68" s="5" t="str">
        <f t="shared" ref="GW68:GW72" ca="1" si="322">IF(GV68&gt;=91,"VIGENTE",IF(GV68&gt;=1,"POR VENCER",IF(GV68&lt;=-1,"VENCIDA",IF(GT68=0,"NO APLICA"))))</f>
        <v>VIGENTE</v>
      </c>
      <c r="GX68" s="2"/>
      <c r="GY68" s="4">
        <v>45003</v>
      </c>
      <c r="GZ68" s="4">
        <f t="shared" ref="GZ68:GZ131" si="323">DATE(YEAR(GY68)+5,MONTH(GY68),DAY(GY68))</f>
        <v>46830</v>
      </c>
      <c r="HA68" s="8">
        <f t="shared" ref="HA68:HA131" ca="1" si="324">GZ68-TODAY()</f>
        <v>696</v>
      </c>
      <c r="HB68" s="5" t="str">
        <f t="shared" ref="HB68:HB72" ca="1" si="325">IF(HA68&gt;=91,"VIGENTE",IF(HA68&gt;=1,"POR VENCER",IF(HA68&lt;=-1,"VENCIDA",IF(GY68=0,"NO APLICA"))))</f>
        <v>VIGENTE</v>
      </c>
      <c r="HC68" s="6"/>
      <c r="HD68" s="6"/>
      <c r="HE68" s="4"/>
      <c r="HF68" s="8"/>
      <c r="HG68" s="5" t="str">
        <f t="shared" si="228"/>
        <v>NO APLICA</v>
      </c>
      <c r="HH68" s="2"/>
      <c r="HI68" s="6"/>
      <c r="HJ68" s="4"/>
      <c r="HK68" s="8"/>
      <c r="HL68" s="5" t="str">
        <f t="shared" si="232"/>
        <v>NO APLICA</v>
      </c>
      <c r="HM68" s="2"/>
      <c r="HN68" s="5"/>
      <c r="HO68" s="4"/>
      <c r="HP68" s="5"/>
      <c r="HQ68" s="5" t="str">
        <f t="shared" ref="HQ68:HQ131" si="326">IF(HP68&gt;=61,"VIGENTE",IF(HP68&gt;=1,"POR VENCER",IF(HP68&lt;=-1,"VENCIDA",IF(HN68=0,"NO APLICA"))))</f>
        <v>NO APLICA</v>
      </c>
      <c r="HR68" s="2"/>
      <c r="HS68" s="6"/>
      <c r="HT68" s="4"/>
      <c r="HU68" s="8"/>
      <c r="HV68" s="5" t="str">
        <f t="shared" ref="HV68:HV131" si="327">IF(HU68&gt;=61,"VIGENTE",IF(HU68&gt;=1,"POR VENCER",IF(HU68&lt;=-1,"VENCIDA",IF(HS68=0,"NO APLICA"))))</f>
        <v>NO APLICA</v>
      </c>
      <c r="HW68" s="2"/>
      <c r="HX68" s="6"/>
      <c r="HY68" s="4"/>
      <c r="HZ68" s="8"/>
      <c r="IA68" s="5" t="str">
        <f t="shared" ref="IA68:IA131" si="328">IF(HZ68&gt;=61,"VIGENTE",IF(HZ68&gt;=1,"POR VENCER",IF(HZ68&lt;=-1,"VENCIDA",IF(HX68=0,"NO APLICA"))))</f>
        <v>NO APLICA</v>
      </c>
      <c r="IB68" s="2"/>
      <c r="IC68" s="6"/>
      <c r="ID68" s="4"/>
      <c r="IE68" s="8"/>
      <c r="IF68" s="5" t="str">
        <f t="shared" ref="IF68:IF131" si="329">IF(IE68&gt;=61,"VIGENTE",IF(IE68&gt;=1,"POR VENCER",IF(IE68&lt;=-1,"VENCIDA",IF(IC68=0,"NO APLICA"))))</f>
        <v>NO APLICA</v>
      </c>
      <c r="IG68" s="6"/>
      <c r="IH68" s="6"/>
      <c r="II68" s="4"/>
      <c r="IJ68" s="8"/>
      <c r="IK68" s="5" t="str">
        <f t="shared" ref="IK68:IK131" si="330">IF(IJ68&gt;=61,"VIGENTE",IF(IJ68&gt;=1,"POR VENCER",IF(IJ68&lt;=-1,"VENCIDA",IF(IH68=0,"NO APLICA"))))</f>
        <v>NO APLICA</v>
      </c>
      <c r="IL68" s="2"/>
      <c r="IM68" s="6"/>
      <c r="IN68" s="4"/>
      <c r="IO68" s="8"/>
      <c r="IP68" s="5" t="str">
        <f t="shared" ref="IP68:IP131" si="331">IF(IO68&gt;=61,"VIGENTE",IF(IO68&gt;=1,"POR VENCER",IF(IO68&lt;=-1,"VENCIDA",IF(IM68=0,"NO APLICA"))))</f>
        <v>NO APLICA</v>
      </c>
      <c r="IQ68" s="2"/>
      <c r="IR68" s="6"/>
      <c r="IS68" s="4"/>
      <c r="IT68" s="8"/>
      <c r="IU68" s="5" t="str">
        <f t="shared" ref="IU68:IU131" si="332">IF(IT68&gt;=61,"VIGENTE",IF(IT68&gt;=1,"POR VENCER",IF(IT68&lt;=-1,"VENCIDA",IF(IR68=0,"NO APLICA"))))</f>
        <v>NO APLICA</v>
      </c>
      <c r="IV68" s="2"/>
      <c r="IW68" s="6"/>
      <c r="IX68" s="4"/>
      <c r="IY68" s="8"/>
      <c r="IZ68" s="5" t="str">
        <f t="shared" ref="IZ68:IZ131" si="333">IF(IY68&gt;=61,"VIGENTE",IF(IY68&gt;=1,"POR VENCER",IF(IY68&lt;=-1,"VENCIDA",IF(IW68=0,"NO APLICA"))))</f>
        <v>NO APLICA</v>
      </c>
      <c r="JA68" s="3"/>
      <c r="JB68" s="3"/>
      <c r="JC68" s="4"/>
      <c r="JD68" s="8"/>
      <c r="JE68" s="5" t="str">
        <f t="shared" ref="JE68:JE131" si="334">IF(JD68&gt;=61,"VIGENTE",IF(JD68&gt;=1,"POR VENCER",IF(JD68&lt;=-1,"VENCIDA",IF(JB68=0,"NO APLICA"))))</f>
        <v>NO APLICA</v>
      </c>
      <c r="JF68" s="6"/>
      <c r="JG68" s="6"/>
      <c r="JH68" s="6"/>
      <c r="JI68" s="6"/>
      <c r="JJ68" s="5" t="str">
        <f t="shared" ref="JJ68:JJ131" si="335">IF(JI68&gt;=61,"VIGENTE",IF(JI68&gt;=1,"POR VENCER",IF(JI68&lt;=-1,"VENCIDA",IF(JF68=0,"NO APLICA"))))</f>
        <v>NO APLICA</v>
      </c>
      <c r="JK68" s="6"/>
      <c r="JL68" s="6"/>
      <c r="JM68" s="6"/>
      <c r="JN68" s="6"/>
      <c r="JO68" s="5" t="str">
        <f t="shared" ref="JO68:JO131" si="336">IF(JN68&gt;=61,"VIGENTE",IF(JN68&gt;=1,"POR VENCER",IF(JN68&lt;=-1,"VENCIDA",IF(JK68=0,"NO APLICA"))))</f>
        <v>NO APLICA</v>
      </c>
      <c r="JP68" s="6"/>
      <c r="JQ68" s="6"/>
      <c r="JR68" s="6"/>
      <c r="JS68" s="6"/>
      <c r="JT68" s="5" t="str">
        <f t="shared" ref="JT68:JT131" si="337">IF(JS68&gt;=61,"VIGENTE",IF(JS68&gt;=1,"POR VENCER",IF(JS68&lt;=-1,"VENCIDA",IF(JQ68=0,"NO APLICA"))))</f>
        <v>NO APLICA</v>
      </c>
      <c r="JU68" s="5"/>
      <c r="JV68" s="3"/>
      <c r="JW68" s="4"/>
      <c r="JX68" s="8"/>
      <c r="JY68" s="5" t="str">
        <f t="shared" ref="JY68:JY131" si="338">IF(JX68&gt;=61,"VIGENTE",IF(JX68&gt;=1,"POR VENCER",IF(JX68&lt;=-1,"VENCIDA",IF(JV68=0,"NO APLICA"))))</f>
        <v>NO APLICA</v>
      </c>
      <c r="JZ68" s="5"/>
      <c r="KA68" s="5"/>
      <c r="KB68" s="4"/>
      <c r="KC68" s="8"/>
      <c r="KD68" s="5" t="str">
        <f t="shared" ref="KD68:KD131" si="339">IF(KC68&gt;=61,"VIGENTE",IF(KC68&gt;=1,"POR VENCER",IF(KC68&lt;=-1,"VENCIDA",IF(KA68=0,"NO APLICA"))))</f>
        <v>NO APLICA</v>
      </c>
      <c r="KE68" s="5"/>
      <c r="KF68" s="5"/>
      <c r="KG68" s="4"/>
      <c r="KH68" s="8"/>
      <c r="KI68" s="5" t="str">
        <f t="shared" si="141"/>
        <v>NO APLICA</v>
      </c>
      <c r="KJ68" s="5"/>
      <c r="KK68" s="5"/>
      <c r="KL68" s="4"/>
      <c r="KM68" s="8"/>
      <c r="KN68" s="5" t="str">
        <f t="shared" ref="KN68:KN131" si="340">IF(KM68&gt;=61,"VIGENTE",IF(KM68&gt;=1,"POR VENCER",IF(KM68&lt;=-1,"VENCIDA",IF(KK68=0,"NO APLICA"))))</f>
        <v>NO APLICA</v>
      </c>
      <c r="KO68" s="5"/>
      <c r="KP68" s="2"/>
      <c r="KQ68" s="4"/>
      <c r="KR68" s="8"/>
      <c r="KS68" s="5" t="str">
        <f t="shared" si="142"/>
        <v>NO APLICA</v>
      </c>
      <c r="KT68" s="2"/>
      <c r="KU68" s="6"/>
      <c r="KV68" s="4"/>
      <c r="KW68" s="8"/>
      <c r="KX68" s="5" t="str">
        <f t="shared" si="156"/>
        <v>NO APLICA</v>
      </c>
      <c r="KY68" s="5"/>
      <c r="KZ68" s="6"/>
      <c r="LA68" s="4"/>
      <c r="LB68" s="8"/>
      <c r="LC68" s="5" t="str">
        <f t="shared" si="143"/>
        <v>NO APLICA</v>
      </c>
      <c r="LD68" s="6"/>
      <c r="LE68" s="6"/>
      <c r="LF68" s="4"/>
      <c r="LG68" s="8"/>
      <c r="LH68" s="5" t="str">
        <f t="shared" ref="LH68:LH131" si="341">IF(LG68&gt;=61,"VIGENTE",IF(LG68&gt;=1,"POR VENCER",IF(LG68&lt;=-1,"VENCIDA",IF(LE68=0,"NO APLICA"))))</f>
        <v>NO APLICA</v>
      </c>
      <c r="LI68" s="5"/>
      <c r="LJ68" s="5"/>
      <c r="LK68" s="4"/>
      <c r="LL68" s="8"/>
      <c r="LM68" s="5" t="str">
        <f t="shared" si="157"/>
        <v>NO APLICA</v>
      </c>
      <c r="LN68" s="5"/>
      <c r="LO68" s="6"/>
      <c r="LP68" s="4"/>
      <c r="LQ68" s="8"/>
      <c r="LR68" s="5" t="str">
        <f t="shared" si="144"/>
        <v>NO APLICA</v>
      </c>
      <c r="LS68" s="6"/>
      <c r="LT68" s="6"/>
      <c r="LU68" s="4"/>
      <c r="LV68" s="8"/>
      <c r="LW68" s="5" t="str">
        <f t="shared" si="145"/>
        <v>NO APLICA</v>
      </c>
      <c r="LX68" s="6"/>
      <c r="LY68" s="6"/>
      <c r="LZ68" s="4"/>
      <c r="MA68" s="8"/>
      <c r="MB68" s="5" t="str">
        <f t="shared" si="146"/>
        <v>NO APLICA</v>
      </c>
      <c r="MC68" s="5"/>
      <c r="MD68" s="5"/>
      <c r="ME68" s="4"/>
      <c r="MF68" s="8"/>
      <c r="MG68" s="5" t="str">
        <f t="shared" ref="MG68:MG131" si="342">IF(MF68&gt;=61,"VIGENTE",IF(MF68&gt;=1,"POR VENCER",IF(MF68&lt;=-1,"VENCIDA",IF(MD68=0,"NO APLICA"))))</f>
        <v>NO APLICA</v>
      </c>
      <c r="MH68" s="5"/>
      <c r="MI68" s="5"/>
      <c r="MJ68" s="4"/>
      <c r="MK68" s="8"/>
      <c r="ML68" s="5" t="str">
        <f t="shared" ref="ML68:ML131" si="343">IF(MK68&gt;=61,"VIGENTE",IF(MK68&gt;=1,"POR VENCER",IF(MK68&lt;=-1,"VENCIDA",IF(MI68=0,"NO APLICA"))))</f>
        <v>NO APLICA</v>
      </c>
      <c r="MM68" s="5"/>
      <c r="MN68" s="5"/>
      <c r="MO68" s="4"/>
      <c r="MP68" s="8"/>
      <c r="MQ68" s="5" t="str">
        <f t="shared" ref="MQ68:MQ131" si="344">IF(MP68&gt;=61,"VIGENTE",IF(MP68&gt;=1,"POR VENCER",IF(MP68&lt;=-1,"VENCIDA",IF(MN68=0,"NO APLICA"))))</f>
        <v>NO APLICA</v>
      </c>
      <c r="MR68" s="5"/>
      <c r="MS68" s="5"/>
      <c r="MT68" s="4"/>
      <c r="MU68" s="5"/>
      <c r="MV68" s="5" t="str">
        <f t="shared" ref="MV68:MV131" si="345">IF(MU68&gt;=61,"VIGENTE",IF(MU68&gt;=1,"POR VENCER",IF(MU68&lt;=-1,"VENCIDA",IF(MS68=0,"NO APLICA"))))</f>
        <v>NO APLICA</v>
      </c>
      <c r="MW68" s="5"/>
      <c r="MX68" s="6"/>
      <c r="MY68" s="4"/>
      <c r="MZ68" s="8"/>
      <c r="NA68" s="5" t="str">
        <f t="shared" ref="NA68:NA131" si="346">IF(MZ68&gt;=61,"VIGENTE",IF(MZ68&gt;=1,"POR VENCER",IF(MZ68&lt;=-1,"VENCIDA",IF(MX68=0,"NO APLICA"))))</f>
        <v>NO APLICA</v>
      </c>
      <c r="NB68" s="5"/>
      <c r="NC68" s="6"/>
      <c r="ND68" s="4"/>
      <c r="NE68" s="8"/>
      <c r="NF68" s="5" t="str">
        <f t="shared" ref="NF68:NF131" si="347">IF(NE68&gt;=61,"VIGENTE",IF(NE68&gt;=1,"POR VENCER",IF(NE68&lt;=-1,"VENCIDA",IF(NC68=0,"NO APLICA"))))</f>
        <v>NO APLICA</v>
      </c>
      <c r="NG68" s="5"/>
      <c r="NH68" s="6"/>
      <c r="NI68" s="4"/>
      <c r="NJ68" s="8"/>
      <c r="NK68" s="5" t="str">
        <f t="shared" ref="NK68:NK131" si="348">IF(NJ68&gt;=61,"VIGENTE",IF(NJ68&gt;=1,"POR VENCER",IF(NJ68&lt;=-1,"VENCIDA",IF(NH68=0,"NO APLICA"))))</f>
        <v>NO APLICA</v>
      </c>
      <c r="NL68" s="5"/>
      <c r="NM68" s="5"/>
      <c r="NN68" s="4"/>
      <c r="NO68" s="8"/>
      <c r="NP68" s="5" t="str">
        <f t="shared" ref="NP68:NP131" si="349">IF(NO68&gt;=61,"VIGENTE",IF(NO68&gt;=1,"POR VENCER",IF(NO68&lt;=-1,"VENCIDA",IF(NM68=0,"NO APLICA"))))</f>
        <v>NO APLICA</v>
      </c>
      <c r="NQ68" s="5"/>
      <c r="NR68" s="5"/>
      <c r="NS68" s="5"/>
      <c r="NT68" s="5"/>
      <c r="NU68" s="5" t="str">
        <f t="shared" ref="NU68:NU131" si="350">IF(NT68&gt;=61,"VIGENTE",IF(NT68&gt;=1,"POR VENCER",IF(NT68&lt;=-1,"VENCIDA",IF(NR68=0,"NO APLICA"))))</f>
        <v>NO APLICA</v>
      </c>
      <c r="NV68" s="6"/>
      <c r="NW68" s="6"/>
      <c r="NX68" s="4"/>
      <c r="NY68" s="8"/>
      <c r="NZ68" s="5" t="str">
        <f t="shared" ref="NZ68:NZ131" si="351">IF(NY68&gt;=61,"VIGENTE",IF(NY68&gt;=1,"POR VENCER",IF(NY68&lt;=-1,"VENCIDA",IF(NW68=0,"NO APLICA"))))</f>
        <v>NO APLICA</v>
      </c>
      <c r="OA68" s="6"/>
      <c r="OB68" s="6"/>
      <c r="OC68" s="6"/>
      <c r="OD68" s="6"/>
      <c r="OE68" s="5" t="str">
        <f t="shared" ref="OE68:OE131" si="352">IF(OD68&gt;=61,"VIGENTE",IF(OD68&gt;=1,"POR VENCER",IF(OD68&lt;=-1,"VENCIDA",IF(OB68=0,"NO APLICA"))))</f>
        <v>NO APLICA</v>
      </c>
      <c r="OF68" s="5"/>
      <c r="OG68" s="5"/>
      <c r="OH68" s="4"/>
      <c r="OI68" s="8"/>
      <c r="OJ68" s="5" t="str">
        <f t="shared" ref="OJ68:OJ131" si="353">IF(OI68&gt;=61,"VIGENTE",IF(OI68&gt;=1,"POR VENCER",IF(OI68&lt;=-1,"VENCIDA",IF(OG68=0,"NO APLICA"))))</f>
        <v>NO APLICA</v>
      </c>
      <c r="OK68" s="6"/>
      <c r="OL68" s="6"/>
      <c r="OM68" s="6"/>
      <c r="ON68" s="6"/>
      <c r="OO68" s="5" t="str">
        <f t="shared" ref="OO68:OO131" si="354">IF(ON68&gt;=61,"VIGENTE",IF(ON68&gt;=1,"POR VENCER",IF(ON68&lt;=-1,"VENCIDA",IF(OL68=0,"NO APLICA"))))</f>
        <v>NO APLICA</v>
      </c>
      <c r="OP68" s="6"/>
      <c r="OQ68" s="6"/>
      <c r="OR68" s="6"/>
      <c r="OS68" s="6"/>
      <c r="OT68" s="5" t="str">
        <f t="shared" ref="OT68:OT131" si="355">IF(OS68&gt;=61,"VIGENTE",IF(OS68&gt;=1,"POR VENCER",IF(OS68&lt;=-1,"VENCIDA",IF(OQ68=0,"NO APLICA"))))</f>
        <v>NO APLICA</v>
      </c>
      <c r="OU68" s="6"/>
      <c r="OV68" s="6"/>
      <c r="OW68" s="6"/>
      <c r="OX68" s="6"/>
      <c r="OY68" s="5" t="str">
        <f t="shared" ref="OY68:OY131" si="356">IF(OX68&gt;=61,"VIGENTE",IF(OX68&gt;=1,"POR VENCER",IF(OX68&lt;=-1,"VENCIDA",IF(OV68=0,"NO APLICA"))))</f>
        <v>NO APLICA</v>
      </c>
      <c r="OZ68" s="6"/>
      <c r="PA68" s="6"/>
      <c r="PB68" s="6"/>
      <c r="PC68" s="6"/>
      <c r="PD68" s="5" t="str">
        <f t="shared" ref="PD68:PD131" si="357">IF(PC68&gt;=61,"VIGENTE",IF(PC68&gt;=1,"POR VENCER",IF(PC68&lt;=-1,"VENCIDA",IF(PA68=0,"NO APLICA"))))</f>
        <v>NO APLICA</v>
      </c>
      <c r="PE68" s="6"/>
      <c r="PF68" s="6"/>
      <c r="PG68" s="6"/>
      <c r="PH68" s="6"/>
      <c r="PI68" s="5" t="str">
        <f t="shared" ref="PI68:PI131" si="358">IF(PH68&gt;=61,"VIGENTE",IF(PH68&gt;=1,"POR VENCER",IF(PH68&lt;=-1,"VENCIDA",IF(PF68=0,"NO APLICA"))))</f>
        <v>NO APLICA</v>
      </c>
      <c r="PJ68" s="5"/>
      <c r="PK68" s="6"/>
      <c r="PL68" s="4"/>
      <c r="PM68" s="8"/>
      <c r="PN68" s="5" t="str">
        <f t="shared" ref="PN68:PN131" si="359">IF(PM68&gt;=61,"VIGENTE",IF(PM68&gt;=1,"POR VENCER",IF(PM68&lt;=-1,"VENCIDA",IF(PK68=0,"NO APLICA"))))</f>
        <v>NO APLICA</v>
      </c>
      <c r="PO68" s="6"/>
      <c r="PP68" s="6"/>
      <c r="PQ68" s="6"/>
      <c r="PR68" s="6"/>
      <c r="PS68" s="5" t="str">
        <f t="shared" ref="PS68:PS131" si="360">IF(PR68&gt;=61,"VIGENTE",IF(PR68&gt;=1,"POR VENCER",IF(PR68&lt;=-1,"VENCIDA",IF(PP68=0,"NO APLICA"))))</f>
        <v>NO APLICA</v>
      </c>
      <c r="PT68" s="5"/>
      <c r="PU68" s="6"/>
      <c r="PV68" s="6"/>
      <c r="PW68" s="6"/>
      <c r="PX68" s="5" t="str">
        <f t="shared" ref="PX68:PX131" si="361">IF(PW68&gt;=61,"VIGENTE",IF(PW68&gt;=1,"POR VENCER",IF(PW68&lt;=-1,"VENCIDA",IF(PU68=0,"NO APLICA"))))</f>
        <v>NO APLICA</v>
      </c>
    </row>
    <row r="69" spans="1:440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266</v>
      </c>
      <c r="V69" s="4">
        <v>44829</v>
      </c>
      <c r="W69" s="4">
        <f t="shared" si="248"/>
        <v>46655</v>
      </c>
      <c r="X69" s="8">
        <f t="shared" ca="1" si="249"/>
        <v>521</v>
      </c>
      <c r="Y69" s="5" t="str">
        <f t="shared" ca="1" si="250"/>
        <v>VIGENTE</v>
      </c>
      <c r="Z69" s="2" t="s">
        <v>267</v>
      </c>
      <c r="AA69" s="4">
        <v>44603</v>
      </c>
      <c r="AB69" s="4">
        <f>DATE(YEAR(AA69)+5,MONTH(AA69),DAY(AA69))</f>
        <v>46429</v>
      </c>
      <c r="AC69" s="8">
        <f ca="1">AB69-TODAY()</f>
        <v>295</v>
      </c>
      <c r="AD69" s="5" t="str">
        <f t="shared" ca="1" si="251"/>
        <v>VIGENTE</v>
      </c>
      <c r="AE69" s="3"/>
      <c r="AF69" s="3">
        <v>45589</v>
      </c>
      <c r="AG69" s="4">
        <f>DATE(YEAR(AF69)+2,MONTH(AF69),DAY(AF69)-1)</f>
        <v>46318</v>
      </c>
      <c r="AH69" s="8">
        <f t="shared" ca="1" si="252"/>
        <v>184</v>
      </c>
      <c r="AI69" s="5" t="str">
        <f t="shared" ca="1" si="224"/>
        <v>VIGENTE</v>
      </c>
      <c r="AJ69" s="3"/>
      <c r="AK69" s="4">
        <v>45926</v>
      </c>
      <c r="AL69" s="4">
        <f t="shared" si="245"/>
        <v>46656</v>
      </c>
      <c r="AM69" s="8">
        <f t="shared" ca="1" si="253"/>
        <v>522</v>
      </c>
      <c r="AN69" s="5" t="str">
        <f t="shared" ca="1" si="254"/>
        <v>VIGENTE</v>
      </c>
      <c r="AO69" s="3"/>
      <c r="AP69" s="4">
        <v>45967</v>
      </c>
      <c r="AQ69" s="4">
        <f t="shared" si="241"/>
        <v>46697</v>
      </c>
      <c r="AR69" s="8">
        <f t="shared" ca="1" si="255"/>
        <v>563</v>
      </c>
      <c r="AS69" s="5" t="str">
        <f t="shared" ca="1" si="256"/>
        <v>VIGENTE</v>
      </c>
      <c r="AT69" s="3"/>
      <c r="AU69" s="4">
        <v>45990</v>
      </c>
      <c r="AV69" s="4">
        <f t="shared" si="236"/>
        <v>46720</v>
      </c>
      <c r="AW69" s="8">
        <f t="shared" ca="1" si="257"/>
        <v>586</v>
      </c>
      <c r="AX69" s="5" t="str">
        <f t="shared" ca="1" si="258"/>
        <v>VIGENTE</v>
      </c>
      <c r="AY69" s="3"/>
      <c r="AZ69" s="4">
        <v>45943</v>
      </c>
      <c r="BA69" s="4">
        <f>DATE(YEAR(AZ69)+2,MONTH(AZ69),DAY(AZ69))</f>
        <v>46673</v>
      </c>
      <c r="BB69" s="8">
        <f t="shared" ca="1" si="259"/>
        <v>539</v>
      </c>
      <c r="BC69" s="5" t="str">
        <f t="shared" ca="1" si="260"/>
        <v>VIGENTE</v>
      </c>
      <c r="BD69" s="3"/>
      <c r="BE69" s="4">
        <v>45968</v>
      </c>
      <c r="BF69" s="4">
        <f>DATE(YEAR(BE69)+2,MONTH(BE69),DAY(BE69))</f>
        <v>46698</v>
      </c>
      <c r="BG69" s="8">
        <f t="shared" ca="1" si="261"/>
        <v>564</v>
      </c>
      <c r="BH69" s="5" t="str">
        <f t="shared" ca="1" si="262"/>
        <v>VIGENTE</v>
      </c>
      <c r="BI69" s="3"/>
      <c r="BJ69" s="4">
        <v>46056</v>
      </c>
      <c r="BK69" s="4">
        <f>DATE(YEAR(BJ69)+2,MONTH(BJ69),DAY(BJ69))</f>
        <v>46786</v>
      </c>
      <c r="BL69" s="8">
        <f t="shared" ca="1" si="263"/>
        <v>652</v>
      </c>
      <c r="BM69" s="5" t="str">
        <f t="shared" ca="1" si="264"/>
        <v>VIGENTE</v>
      </c>
      <c r="BN69" s="3"/>
      <c r="BO69" s="4">
        <v>45478</v>
      </c>
      <c r="BP69" s="4">
        <f>DATE(YEAR(BO69)+2,MONTH(BO69),DAY(BO69)-1)</f>
        <v>46207</v>
      </c>
      <c r="BQ69" s="8">
        <f t="shared" ca="1" si="265"/>
        <v>73</v>
      </c>
      <c r="BR69" s="5" t="str">
        <f t="shared" ca="1" si="266"/>
        <v>POR VENCER</v>
      </c>
      <c r="BS69" s="3"/>
      <c r="BT69" s="4">
        <v>45950</v>
      </c>
      <c r="BU69" s="4">
        <f>DATE(YEAR(BT69)+2,MONTH(BT69),DAY(BT69))</f>
        <v>46680</v>
      </c>
      <c r="BV69" s="8">
        <f t="shared" ca="1" si="267"/>
        <v>546</v>
      </c>
      <c r="BW69" s="5" t="str">
        <f t="shared" ca="1" si="268"/>
        <v>VIGENTE</v>
      </c>
      <c r="BX69" s="3"/>
      <c r="BY69" s="4">
        <v>45944</v>
      </c>
      <c r="BZ69" s="4">
        <f t="shared" si="243"/>
        <v>46674</v>
      </c>
      <c r="CA69" s="8">
        <f t="shared" ca="1" si="269"/>
        <v>540</v>
      </c>
      <c r="CB69" s="5" t="str">
        <f t="shared" ca="1" si="270"/>
        <v>VIGENTE</v>
      </c>
      <c r="CC69" s="6" t="s">
        <v>73</v>
      </c>
      <c r="CD69" s="4">
        <v>45241</v>
      </c>
      <c r="CE69" s="4">
        <f t="shared" si="271"/>
        <v>46702</v>
      </c>
      <c r="CF69" s="8">
        <f t="shared" ca="1" si="272"/>
        <v>568</v>
      </c>
      <c r="CG69" s="5" t="str">
        <f t="shared" ca="1" si="273"/>
        <v>VIGENTE</v>
      </c>
      <c r="CH69" s="4"/>
      <c r="CI69" s="4">
        <v>45895</v>
      </c>
      <c r="CJ69" s="4">
        <f>DATE(YEAR(CI69)+2,MONTH(CI69),DAY(CI69))</f>
        <v>46625</v>
      </c>
      <c r="CK69" s="8">
        <f t="shared" ca="1" si="274"/>
        <v>491</v>
      </c>
      <c r="CL69" s="5" t="str">
        <f t="shared" ca="1" si="275"/>
        <v>VIGENTE</v>
      </c>
      <c r="CM69" s="3"/>
      <c r="CN69" s="4">
        <v>45882</v>
      </c>
      <c r="CO69" s="4">
        <f>DATE(YEAR(CN69)+2,MONTH(CN69),DAY(CN69))</f>
        <v>46612</v>
      </c>
      <c r="CP69" s="8">
        <f t="shared" ca="1" si="276"/>
        <v>478</v>
      </c>
      <c r="CQ69" s="5" t="str">
        <f t="shared" ca="1" si="277"/>
        <v>VIGENTE</v>
      </c>
      <c r="CR69" s="3"/>
      <c r="CS69" s="4">
        <v>45645</v>
      </c>
      <c r="CT69" s="4">
        <f>DATE(YEAR(CS69)+2,MONTH(CS69),DAY(CS69)-1)</f>
        <v>46374</v>
      </c>
      <c r="CU69" s="8">
        <f t="shared" ca="1" si="278"/>
        <v>240</v>
      </c>
      <c r="CV69" s="5" t="str">
        <f t="shared" ca="1" si="279"/>
        <v>VIGENTE</v>
      </c>
      <c r="CW69" s="3"/>
      <c r="CX69" s="4">
        <v>45665</v>
      </c>
      <c r="CY69" s="4">
        <f>DATE(YEAR(CX69)+2,MONTH(CX69),DAY(CX69)-1)</f>
        <v>46394</v>
      </c>
      <c r="CZ69" s="8">
        <f t="shared" ca="1" si="280"/>
        <v>260</v>
      </c>
      <c r="DA69" s="5" t="str">
        <f t="shared" ca="1" si="281"/>
        <v>VIGENTE</v>
      </c>
      <c r="DB69" s="3"/>
      <c r="DC69" s="4">
        <v>45689</v>
      </c>
      <c r="DD69" s="4">
        <f>DATE(YEAR(DC69)+2,MONTH(DC69),DAY(DC69)-1)</f>
        <v>46418</v>
      </c>
      <c r="DE69" s="8">
        <f t="shared" ca="1" si="282"/>
        <v>284</v>
      </c>
      <c r="DF69" s="5" t="str">
        <f t="shared" ca="1" si="283"/>
        <v>VIGENTE</v>
      </c>
      <c r="DG69" s="3"/>
      <c r="DH69" s="4">
        <v>45955</v>
      </c>
      <c r="DI69" s="4">
        <f t="shared" si="244"/>
        <v>46685</v>
      </c>
      <c r="DJ69" s="8">
        <f t="shared" ca="1" si="284"/>
        <v>551</v>
      </c>
      <c r="DK69" s="5" t="str">
        <f t="shared" ca="1" si="285"/>
        <v>VIGENTE</v>
      </c>
      <c r="DL69" s="3"/>
      <c r="DM69" s="4">
        <v>45520</v>
      </c>
      <c r="DN69" s="4">
        <f>DATE(YEAR(DM69)+2,MONTH(DM69),DAY(DM69)-1)</f>
        <v>46249</v>
      </c>
      <c r="DO69" s="8">
        <f t="shared" ca="1" si="286"/>
        <v>115</v>
      </c>
      <c r="DP69" s="5" t="str">
        <f t="shared" ca="1" si="287"/>
        <v>VIGENTE</v>
      </c>
      <c r="DQ69" s="3"/>
      <c r="DR69" s="4">
        <v>46018</v>
      </c>
      <c r="DS69" s="4">
        <f>DATE(YEAR(DR69)+2,MONTH(DR69),DAY(DR69))</f>
        <v>46748</v>
      </c>
      <c r="DT69" s="8">
        <f t="shared" ca="1" si="288"/>
        <v>614</v>
      </c>
      <c r="DU69" s="5" t="str">
        <f t="shared" ca="1" si="289"/>
        <v>VIGENTE</v>
      </c>
      <c r="DV69" s="3"/>
      <c r="DW69" s="4">
        <v>45682</v>
      </c>
      <c r="DX69" s="4">
        <f t="shared" ref="DX69:DX81" si="363">DATE(YEAR(DW69)+2,MONTH(DW69),DAY(DW69)-1)</f>
        <v>46411</v>
      </c>
      <c r="DY69" s="8">
        <f t="shared" ca="1" si="290"/>
        <v>277</v>
      </c>
      <c r="DZ69" s="5" t="str">
        <f t="shared" ca="1" si="291"/>
        <v>VIGENTE</v>
      </c>
      <c r="EA69" s="3"/>
      <c r="EB69" s="4">
        <v>45674</v>
      </c>
      <c r="EC69" s="4">
        <f>DATE(YEAR(EB69)+2,MONTH(EB69),DAY(EB69)-1)</f>
        <v>46403</v>
      </c>
      <c r="ED69" s="8">
        <f t="shared" ca="1" si="292"/>
        <v>269</v>
      </c>
      <c r="EE69" s="5" t="str">
        <f t="shared" ca="1" si="293"/>
        <v>VIGENTE</v>
      </c>
      <c r="EF69" s="3"/>
      <c r="EG69" s="4">
        <v>45808</v>
      </c>
      <c r="EH69" s="4">
        <f t="shared" ref="EH69:EH132" si="364">DATE(YEAR(EG69)+1,MONTH(EG69),DAY(EG69))</f>
        <v>46173</v>
      </c>
      <c r="EI69" s="8">
        <f t="shared" ca="1" si="294"/>
        <v>39</v>
      </c>
      <c r="EJ69" s="5" t="str">
        <f t="shared" ca="1" si="295"/>
        <v>POR VENCER</v>
      </c>
      <c r="EK69" s="3"/>
      <c r="EL69" s="4">
        <v>45671</v>
      </c>
      <c r="EM69" s="4">
        <f>DATE(YEAR(EL69)+2,MONTH(EL69),DAY(EL69)-1)</f>
        <v>46400</v>
      </c>
      <c r="EN69" s="8">
        <f t="shared" ca="1" si="296"/>
        <v>266</v>
      </c>
      <c r="EO69" s="5" t="str">
        <f t="shared" ca="1" si="297"/>
        <v>VIGENTE</v>
      </c>
      <c r="EP69" s="3"/>
      <c r="EQ69" s="4">
        <v>45999</v>
      </c>
      <c r="ER69" s="4">
        <f>DATE(YEAR(EQ69)+2,MONTH(EQ69),DAY(EQ69))</f>
        <v>46729</v>
      </c>
      <c r="ES69" s="8">
        <f t="shared" ca="1" si="298"/>
        <v>595</v>
      </c>
      <c r="ET69" s="5" t="str">
        <f t="shared" ca="1" si="299"/>
        <v>VIGENTE</v>
      </c>
      <c r="EU69" s="3"/>
      <c r="EV69" s="4">
        <v>45953</v>
      </c>
      <c r="EW69" s="4">
        <f t="shared" si="238"/>
        <v>46683</v>
      </c>
      <c r="EX69" s="8">
        <f t="shared" ca="1" si="300"/>
        <v>549</v>
      </c>
      <c r="EY69" s="5" t="str">
        <f t="shared" ca="1" si="301"/>
        <v>VIGENTE</v>
      </c>
      <c r="EZ69" s="3"/>
      <c r="FA69" s="4">
        <v>45951</v>
      </c>
      <c r="FB69" s="4">
        <f t="shared" si="239"/>
        <v>46681</v>
      </c>
      <c r="FC69" s="8">
        <f t="shared" ca="1" si="302"/>
        <v>547</v>
      </c>
      <c r="FD69" s="5" t="str">
        <f t="shared" ca="1" si="303"/>
        <v>VIGENTE</v>
      </c>
      <c r="FE69" s="3"/>
      <c r="FF69" s="4">
        <v>45932</v>
      </c>
      <c r="FG69" s="4">
        <f t="shared" si="240"/>
        <v>46662</v>
      </c>
      <c r="FH69" s="8">
        <f t="shared" ca="1" si="304"/>
        <v>528</v>
      </c>
      <c r="FI69" s="5" t="str">
        <f t="shared" ca="1" si="305"/>
        <v>VIGENTE</v>
      </c>
      <c r="FJ69" s="3"/>
      <c r="FK69" s="4">
        <v>45933</v>
      </c>
      <c r="FL69" s="4">
        <f>DATE(YEAR(FK69)+2,MONTH(FK69),DAY(FK69))</f>
        <v>46663</v>
      </c>
      <c r="FM69" s="8">
        <f t="shared" ca="1" si="306"/>
        <v>529</v>
      </c>
      <c r="FN69" s="5" t="str">
        <f t="shared" ca="1" si="307"/>
        <v>VIGENTE</v>
      </c>
      <c r="FO69" s="3"/>
      <c r="FP69" s="4">
        <v>46034</v>
      </c>
      <c r="FQ69" s="4">
        <f>DATE(YEAR(FP69)+2,MONTH(FP69),DAY(FP69))</f>
        <v>46764</v>
      </c>
      <c r="FR69" s="8">
        <f t="shared" ca="1" si="308"/>
        <v>630</v>
      </c>
      <c r="FS69" s="5" t="str">
        <f t="shared" ca="1" si="309"/>
        <v>VIGENTE</v>
      </c>
      <c r="FT69" s="3"/>
      <c r="FU69" s="4">
        <v>46014</v>
      </c>
      <c r="FV69" s="4">
        <f>DATE(YEAR(FU69)+2,MONTH(FU69),DAY(FU69))</f>
        <v>46744</v>
      </c>
      <c r="FW69" s="8">
        <f t="shared" ca="1" si="310"/>
        <v>610</v>
      </c>
      <c r="FX69" s="5" t="str">
        <f t="shared" ca="1" si="311"/>
        <v>VIGENTE</v>
      </c>
      <c r="FY69" s="3"/>
      <c r="FZ69" s="4">
        <v>45925</v>
      </c>
      <c r="GA69" s="4">
        <f>DATE(YEAR(FZ69)+2,MONTH(FZ69),DAY(FZ69))</f>
        <v>46655</v>
      </c>
      <c r="GB69" s="8">
        <f t="shared" ca="1" si="312"/>
        <v>521</v>
      </c>
      <c r="GC69" s="5" t="str">
        <f t="shared" ca="1" si="313"/>
        <v>VIGENTE</v>
      </c>
      <c r="GD69" s="3"/>
      <c r="GE69" s="4">
        <v>45985</v>
      </c>
      <c r="GF69" s="4">
        <f>DATE(YEAR(GE69)+2,MONTH(GE69),DAY(GE69))</f>
        <v>46715</v>
      </c>
      <c r="GG69" s="8">
        <f t="shared" ca="1" si="314"/>
        <v>581</v>
      </c>
      <c r="GH69" s="5" t="str">
        <f t="shared" ca="1" si="315"/>
        <v>VIGENTE</v>
      </c>
      <c r="GI69" s="3"/>
      <c r="GJ69" s="4">
        <v>45945</v>
      </c>
      <c r="GK69" s="4">
        <f>DATE(YEAR(GJ69)+2,MONTH(GJ69),DAY(GJ69))</f>
        <v>46675</v>
      </c>
      <c r="GL69" s="8">
        <f t="shared" ca="1" si="316"/>
        <v>541</v>
      </c>
      <c r="GM69" s="5" t="str">
        <f t="shared" ca="1" si="317"/>
        <v>VIGENTE</v>
      </c>
      <c r="GN69" s="4"/>
      <c r="GO69" s="4">
        <v>45295</v>
      </c>
      <c r="GP69" s="4">
        <f t="shared" si="318"/>
        <v>47122</v>
      </c>
      <c r="GQ69" s="8">
        <f t="shared" ca="1" si="181"/>
        <v>988</v>
      </c>
      <c r="GR69" s="5" t="str">
        <f t="shared" ca="1" si="319"/>
        <v>VIGENTE</v>
      </c>
      <c r="GS69" s="3"/>
      <c r="GT69" s="4">
        <v>45252</v>
      </c>
      <c r="GU69" s="4">
        <f t="shared" si="320"/>
        <v>47079</v>
      </c>
      <c r="GV69" s="8">
        <f t="shared" ca="1" si="321"/>
        <v>945</v>
      </c>
      <c r="GW69" s="5" t="str">
        <f t="shared" ca="1" si="322"/>
        <v>VIGENTE</v>
      </c>
      <c r="GX69" s="3"/>
      <c r="GY69" s="4">
        <v>45251</v>
      </c>
      <c r="GZ69" s="4">
        <f t="shared" si="323"/>
        <v>47078</v>
      </c>
      <c r="HA69" s="8">
        <f t="shared" ca="1" si="324"/>
        <v>944</v>
      </c>
      <c r="HB69" s="5" t="str">
        <f t="shared" ca="1" si="325"/>
        <v>VIGENTE</v>
      </c>
      <c r="HC69" s="6"/>
      <c r="HD69" s="4">
        <v>44921</v>
      </c>
      <c r="HE69" s="4">
        <f>DATE(YEAR(HD69)+5,MONTH(HD69),DAY(HD69))</f>
        <v>46747</v>
      </c>
      <c r="HF69" s="8">
        <f ca="1">HE69-TODAY()</f>
        <v>613</v>
      </c>
      <c r="HG69" s="5" t="str">
        <f t="shared" ca="1" si="228"/>
        <v>VIGENTE</v>
      </c>
      <c r="HH69" s="2"/>
      <c r="HI69" s="6"/>
      <c r="HJ69" s="4"/>
      <c r="HK69" s="8"/>
      <c r="HL69" s="5" t="str">
        <f t="shared" si="232"/>
        <v>NO APLICA</v>
      </c>
      <c r="HM69" s="2"/>
      <c r="HN69" s="2"/>
      <c r="HO69" s="4"/>
      <c r="HP69" s="2"/>
      <c r="HQ69" s="5" t="str">
        <f t="shared" si="326"/>
        <v>NO APLICA</v>
      </c>
      <c r="HR69" s="3"/>
      <c r="HS69" s="4">
        <v>45255</v>
      </c>
      <c r="HT69" s="4">
        <f>DATE(YEAR(HS69)+5,MONTH(HS69),DAY(HS69))</f>
        <v>47082</v>
      </c>
      <c r="HU69" s="8">
        <f ca="1">HT69-TODAY()</f>
        <v>948</v>
      </c>
      <c r="HV69" s="5" t="str">
        <f t="shared" ca="1" si="327"/>
        <v>VIGENTE</v>
      </c>
      <c r="HW69" s="3"/>
      <c r="HX69" s="4">
        <v>45486</v>
      </c>
      <c r="HY69" s="4">
        <f>DATE(YEAR(HX69)+5,MONTH(HX69),DAY(HX69))</f>
        <v>47312</v>
      </c>
      <c r="HZ69" s="8">
        <f ca="1">HY69-TODAY()</f>
        <v>1178</v>
      </c>
      <c r="IA69" s="5" t="str">
        <f t="shared" ca="1" si="328"/>
        <v>VIGENTE</v>
      </c>
      <c r="IB69" s="3"/>
      <c r="IC69" s="4">
        <v>45444</v>
      </c>
      <c r="ID69" s="4">
        <f>DATE(YEAR(IC69)+5,MONTH(IC69),DAY(IC69))</f>
        <v>47270</v>
      </c>
      <c r="IE69" s="8">
        <f ca="1">ID69-TODAY()</f>
        <v>1136</v>
      </c>
      <c r="IF69" s="5" t="str">
        <f t="shared" ca="1" si="329"/>
        <v>VIGENTE</v>
      </c>
      <c r="IG69" s="4"/>
      <c r="IH69" s="4">
        <v>45237</v>
      </c>
      <c r="II69" s="4">
        <f>DATE(YEAR(IH69)+5,MONTH(IH69),DAY(IH69))</f>
        <v>47064</v>
      </c>
      <c r="IJ69" s="8">
        <f ca="1">II69-TODAY()</f>
        <v>930</v>
      </c>
      <c r="IK69" s="5" t="str">
        <f t="shared" ca="1" si="330"/>
        <v>VIGENTE</v>
      </c>
      <c r="IL69" s="3"/>
      <c r="IM69" s="4">
        <v>45239</v>
      </c>
      <c r="IN69" s="4">
        <f>DATE(YEAR(IM69)+5,MONTH(IM69),DAY(IM69))</f>
        <v>47066</v>
      </c>
      <c r="IO69" s="8">
        <f ca="1">IN69-TODAY()</f>
        <v>932</v>
      </c>
      <c r="IP69" s="5" t="str">
        <f t="shared" ca="1" si="331"/>
        <v>VIGENTE</v>
      </c>
      <c r="IQ69" s="3"/>
      <c r="IR69" s="4">
        <v>45294</v>
      </c>
      <c r="IS69" s="4">
        <f>DATE(YEAR(IR69)+5,MONTH(IR69),DAY(IR69))</f>
        <v>47121</v>
      </c>
      <c r="IT69" s="8">
        <f ca="1">IS69-TODAY()</f>
        <v>987</v>
      </c>
      <c r="IU69" s="5" t="str">
        <f t="shared" ca="1" si="332"/>
        <v>VIGENTE</v>
      </c>
      <c r="IV69" s="3"/>
      <c r="IW69" s="4">
        <v>45446</v>
      </c>
      <c r="IX69" s="4">
        <f>DATE(YEAR(IW69)+5,MONTH(IW69),DAY(IW69))</f>
        <v>47272</v>
      </c>
      <c r="IY69" s="8">
        <f ca="1">IX69-TODAY()</f>
        <v>1138</v>
      </c>
      <c r="IZ69" s="5" t="str">
        <f t="shared" ca="1" si="333"/>
        <v>VIGENTE</v>
      </c>
      <c r="JA69" s="3"/>
      <c r="JB69" s="3"/>
      <c r="JC69" s="4"/>
      <c r="JD69" s="8"/>
      <c r="JE69" s="5" t="str">
        <f t="shared" si="334"/>
        <v>NO APLICA</v>
      </c>
      <c r="JF69" s="6"/>
      <c r="JG69" s="6"/>
      <c r="JH69" s="6"/>
      <c r="JI69" s="6"/>
      <c r="JJ69" s="5" t="str">
        <f t="shared" si="335"/>
        <v>NO APLICA</v>
      </c>
      <c r="JK69" s="6"/>
      <c r="JL69" s="6"/>
      <c r="JM69" s="6"/>
      <c r="JN69" s="6"/>
      <c r="JO69" s="5" t="str">
        <f t="shared" si="336"/>
        <v>NO APLICA</v>
      </c>
      <c r="JP69" s="6"/>
      <c r="JQ69" s="6"/>
      <c r="JR69" s="6"/>
      <c r="JS69" s="6"/>
      <c r="JT69" s="5" t="str">
        <f t="shared" si="337"/>
        <v>NO APLICA</v>
      </c>
      <c r="JU69" s="5"/>
      <c r="JV69" s="5"/>
      <c r="JW69" s="5"/>
      <c r="JX69" s="5"/>
      <c r="JY69" s="5" t="str">
        <f t="shared" si="338"/>
        <v>NO APLICA</v>
      </c>
      <c r="JZ69" s="5"/>
      <c r="KA69" s="2"/>
      <c r="KB69" s="4"/>
      <c r="KC69" s="8"/>
      <c r="KD69" s="5" t="str">
        <f t="shared" si="339"/>
        <v>NO APLICA</v>
      </c>
      <c r="KE69" s="5"/>
      <c r="KF69" s="2"/>
      <c r="KG69" s="4"/>
      <c r="KH69" s="8"/>
      <c r="KI69" s="5" t="str">
        <f t="shared" ref="KI69:KI132" si="365">IF(KH69&gt;=61,"VIGENTE",IF(KH69&gt;=1,"POR VENCER",IF(KH69&lt;=-1,"VENCIDA",IF(KF69=0,"NO APLICA"))))</f>
        <v>NO APLICA</v>
      </c>
      <c r="KJ69" s="5"/>
      <c r="KK69" s="2"/>
      <c r="KL69" s="4"/>
      <c r="KM69" s="8"/>
      <c r="KN69" s="5" t="str">
        <f t="shared" si="340"/>
        <v>NO APLICA</v>
      </c>
      <c r="KO69" s="5"/>
      <c r="KP69" s="2"/>
      <c r="KQ69" s="4"/>
      <c r="KR69" s="8"/>
      <c r="KS69" s="5" t="str">
        <f t="shared" ref="KS69:KS132" si="366">IF(KR69&gt;=61,"VIGENTE",IF(KR69&gt;=1,"POR VENCER",IF(KR69&lt;=-1,"VENCIDA",IF(KP69=0,"NO APLICA"))))</f>
        <v>NO APLICA</v>
      </c>
      <c r="KT69" s="2"/>
      <c r="KU69" s="6"/>
      <c r="KV69" s="4"/>
      <c r="KW69" s="8"/>
      <c r="KX69" s="5" t="str">
        <f t="shared" si="156"/>
        <v>NO APLICA</v>
      </c>
      <c r="KY69" s="5"/>
      <c r="KZ69" s="6"/>
      <c r="LA69" s="4"/>
      <c r="LB69" s="8"/>
      <c r="LC69" s="5" t="str">
        <f t="shared" ref="LC69:LC132" si="367">IF(LB69&gt;=61,"VIGENTE",IF(LB69&gt;=1,"POR VENCER",IF(LB69&lt;=-1,"VENCIDA",IF(KZ69=0,"NO APLICA"))))</f>
        <v>NO APLICA</v>
      </c>
      <c r="LD69" s="4"/>
      <c r="LE69" s="4"/>
      <c r="LF69" s="4"/>
      <c r="LG69" s="8"/>
      <c r="LH69" s="5" t="str">
        <f t="shared" si="341"/>
        <v>NO APLICA</v>
      </c>
      <c r="LI69" s="5"/>
      <c r="LJ69" s="5"/>
      <c r="LK69" s="4"/>
      <c r="LL69" s="8"/>
      <c r="LM69" s="5" t="str">
        <f t="shared" si="157"/>
        <v>NO APLICA</v>
      </c>
      <c r="LN69" s="2"/>
      <c r="LO69" s="6"/>
      <c r="LP69" s="4"/>
      <c r="LQ69" s="8"/>
      <c r="LR69" s="5" t="str">
        <f t="shared" ref="LR69:LR132" si="368">IF(LQ69&gt;=61,"VIGENTE",IF(LQ69&gt;=1,"POR VENCER",IF(LQ69&lt;=-1,"VENCIDA",IF(LO69=0,"NO APLICA"))))</f>
        <v>NO APLICA</v>
      </c>
      <c r="LS69" s="6"/>
      <c r="LT69" s="6"/>
      <c r="LU69" s="4"/>
      <c r="LV69" s="8"/>
      <c r="LW69" s="5" t="str">
        <f t="shared" ref="LW69:LW132" si="369">IF(LV69&gt;=61,"VIGENTE",IF(LV69&gt;=1,"POR VENCER",IF(LV69&lt;=-1,"VENCIDA",IF(LT69=0,"NO APLICA"))))</f>
        <v>NO APLICA</v>
      </c>
      <c r="LX69" s="6"/>
      <c r="LY69" s="6"/>
      <c r="LZ69" s="4"/>
      <c r="MA69" s="8"/>
      <c r="MB69" s="5" t="str">
        <f t="shared" ref="MB69:MB132" si="370">IF(MA69&gt;=61,"VIGENTE",IF(MA69&gt;=1,"POR VENCER",IF(MA69&lt;=-1,"VENCIDA",IF(LY69=0,"NO APLICA"))))</f>
        <v>NO APLICA</v>
      </c>
      <c r="MC69" s="2"/>
      <c r="MD69" s="2"/>
      <c r="ME69" s="4"/>
      <c r="MF69" s="8"/>
      <c r="MG69" s="5" t="str">
        <f t="shared" si="342"/>
        <v>NO APLICA</v>
      </c>
      <c r="MH69" s="2"/>
      <c r="MI69" s="2"/>
      <c r="MJ69" s="4"/>
      <c r="MK69" s="8"/>
      <c r="ML69" s="5" t="str">
        <f t="shared" si="343"/>
        <v>NO APLICA</v>
      </c>
      <c r="MM69" s="5"/>
      <c r="MN69" s="2"/>
      <c r="MO69" s="4"/>
      <c r="MP69" s="8"/>
      <c r="MQ69" s="5" t="str">
        <f t="shared" si="344"/>
        <v>NO APLICA</v>
      </c>
      <c r="MR69" s="5"/>
      <c r="MS69" s="2"/>
      <c r="MT69" s="4"/>
      <c r="MU69" s="2"/>
      <c r="MV69" s="5" t="str">
        <f t="shared" si="345"/>
        <v>NO APLICA</v>
      </c>
      <c r="MW69" s="2"/>
      <c r="MX69" s="6"/>
      <c r="MY69" s="4"/>
      <c r="MZ69" s="8"/>
      <c r="NA69" s="5" t="str">
        <f t="shared" si="346"/>
        <v>NO APLICA</v>
      </c>
      <c r="NB69" s="2"/>
      <c r="NC69" s="6"/>
      <c r="ND69" s="4"/>
      <c r="NE69" s="8"/>
      <c r="NF69" s="5" t="str">
        <f t="shared" si="347"/>
        <v>NO APLICA</v>
      </c>
      <c r="NG69" s="2"/>
      <c r="NH69" s="6"/>
      <c r="NI69" s="4"/>
      <c r="NJ69" s="8"/>
      <c r="NK69" s="5" t="str">
        <f t="shared" si="348"/>
        <v>NO APLICA</v>
      </c>
      <c r="NL69" s="2"/>
      <c r="NM69" s="2"/>
      <c r="NN69" s="4"/>
      <c r="NO69" s="2"/>
      <c r="NP69" s="5" t="str">
        <f t="shared" si="349"/>
        <v>NO APLICA</v>
      </c>
      <c r="NQ69" s="2"/>
      <c r="NR69" s="2"/>
      <c r="NS69" s="4"/>
      <c r="NT69" s="2"/>
      <c r="NU69" s="5" t="str">
        <f t="shared" si="350"/>
        <v>NO APLICA</v>
      </c>
      <c r="NV69" s="6"/>
      <c r="NW69" s="6"/>
      <c r="NX69" s="4"/>
      <c r="NY69" s="8"/>
      <c r="NZ69" s="5" t="str">
        <f t="shared" si="351"/>
        <v>NO APLICA</v>
      </c>
      <c r="OA69" s="6"/>
      <c r="OB69" s="6"/>
      <c r="OC69" s="6"/>
      <c r="OD69" s="6"/>
      <c r="OE69" s="5" t="str">
        <f t="shared" si="352"/>
        <v>NO APLICA</v>
      </c>
      <c r="OF69" s="6"/>
      <c r="OG69" s="6"/>
      <c r="OH69" s="4"/>
      <c r="OI69" s="8"/>
      <c r="OJ69" s="5" t="str">
        <f t="shared" si="353"/>
        <v>NO APLICA</v>
      </c>
      <c r="OK69" s="6"/>
      <c r="OL69" s="6"/>
      <c r="OM69" s="6"/>
      <c r="ON69" s="6"/>
      <c r="OO69" s="5" t="str">
        <f t="shared" si="354"/>
        <v>NO APLICA</v>
      </c>
      <c r="OP69" s="6"/>
      <c r="OQ69" s="6"/>
      <c r="OR69" s="6"/>
      <c r="OS69" s="6"/>
      <c r="OT69" s="5" t="str">
        <f t="shared" si="355"/>
        <v>NO APLICA</v>
      </c>
      <c r="OU69" s="6"/>
      <c r="OV69" s="6"/>
      <c r="OW69" s="6"/>
      <c r="OX69" s="6"/>
      <c r="OY69" s="5" t="str">
        <f t="shared" si="356"/>
        <v>NO APLICA</v>
      </c>
      <c r="OZ69" s="6"/>
      <c r="PA69" s="6"/>
      <c r="PB69" s="6"/>
      <c r="PC69" s="6"/>
      <c r="PD69" s="5" t="str">
        <f t="shared" si="357"/>
        <v>NO APLICA</v>
      </c>
      <c r="PE69" s="6"/>
      <c r="PF69" s="6"/>
      <c r="PG69" s="6"/>
      <c r="PH69" s="6"/>
      <c r="PI69" s="5" t="str">
        <f t="shared" si="358"/>
        <v>NO APLICA</v>
      </c>
      <c r="PJ69" s="5"/>
      <c r="PK69" s="6"/>
      <c r="PL69" s="4"/>
      <c r="PM69" s="8"/>
      <c r="PN69" s="5" t="str">
        <f t="shared" si="359"/>
        <v>NO APLICA</v>
      </c>
      <c r="PO69" s="6"/>
      <c r="PP69" s="6"/>
      <c r="PQ69" s="6"/>
      <c r="PR69" s="6"/>
      <c r="PS69" s="5" t="str">
        <f t="shared" si="360"/>
        <v>NO APLICA</v>
      </c>
      <c r="PT69" s="5"/>
      <c r="PU69" s="6"/>
      <c r="PV69" s="6"/>
      <c r="PW69" s="6"/>
      <c r="PX69" s="5" t="str">
        <f t="shared" si="361"/>
        <v>NO APLICA</v>
      </c>
    </row>
    <row r="70" spans="1:440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654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269</v>
      </c>
      <c r="V70" s="4">
        <v>45282</v>
      </c>
      <c r="W70" s="4">
        <f t="shared" si="248"/>
        <v>47109</v>
      </c>
      <c r="X70" s="8">
        <f t="shared" ca="1" si="249"/>
        <v>975</v>
      </c>
      <c r="Y70" s="5" t="str">
        <f t="shared" ca="1" si="250"/>
        <v>VIGENTE</v>
      </c>
      <c r="Z70" s="2"/>
      <c r="AA70" s="6"/>
      <c r="AB70" s="4"/>
      <c r="AC70" s="8"/>
      <c r="AD70" s="5" t="str">
        <f t="shared" si="251"/>
        <v>NO APLICA</v>
      </c>
      <c r="AE70" s="3"/>
      <c r="AF70" s="4">
        <v>45902</v>
      </c>
      <c r="AG70" s="4">
        <f>DATE(YEAR(AF70)+2,MONTH(AF70),DAY(AF70))</f>
        <v>46632</v>
      </c>
      <c r="AH70" s="8">
        <f t="shared" ca="1" si="252"/>
        <v>498</v>
      </c>
      <c r="AI70" s="5" t="str">
        <f t="shared" ca="1" si="224"/>
        <v>VIGENTE</v>
      </c>
      <c r="AJ70" s="3"/>
      <c r="AK70" s="4">
        <v>45937</v>
      </c>
      <c r="AL70" s="4">
        <f t="shared" si="245"/>
        <v>46667</v>
      </c>
      <c r="AM70" s="8">
        <f t="shared" ca="1" si="253"/>
        <v>533</v>
      </c>
      <c r="AN70" s="5" t="str">
        <f t="shared" ca="1" si="254"/>
        <v>VIGENTE</v>
      </c>
      <c r="AO70" s="3"/>
      <c r="AP70" s="4">
        <v>45904</v>
      </c>
      <c r="AQ70" s="4">
        <f t="shared" si="241"/>
        <v>46634</v>
      </c>
      <c r="AR70" s="8">
        <f t="shared" ca="1" si="255"/>
        <v>500</v>
      </c>
      <c r="AS70" s="5" t="str">
        <f t="shared" ca="1" si="256"/>
        <v>VIGENTE</v>
      </c>
      <c r="AT70" s="3"/>
      <c r="AU70" s="4">
        <v>45927</v>
      </c>
      <c r="AV70" s="4">
        <f t="shared" si="236"/>
        <v>46657</v>
      </c>
      <c r="AW70" s="8">
        <f t="shared" ca="1" si="257"/>
        <v>523</v>
      </c>
      <c r="AX70" s="5" t="str">
        <f t="shared" ca="1" si="258"/>
        <v>VIGENTE</v>
      </c>
      <c r="AY70" s="3"/>
      <c r="AZ70" s="4">
        <v>45742</v>
      </c>
      <c r="BA70" s="4">
        <f t="shared" ref="BA70:BA75" si="371">DATE(YEAR(AZ70)+2,MONTH(AZ70),DAY(AZ70)-1)</f>
        <v>46471</v>
      </c>
      <c r="BB70" s="8">
        <f t="shared" ca="1" si="259"/>
        <v>337</v>
      </c>
      <c r="BC70" s="5" t="str">
        <f t="shared" ca="1" si="260"/>
        <v>VIGENTE</v>
      </c>
      <c r="BD70" s="3"/>
      <c r="BE70" s="4">
        <v>45698</v>
      </c>
      <c r="BF70" s="4">
        <f>DATE(YEAR(BE70)+2,MONTH(BE70),DAY(BE70)-1)</f>
        <v>46427</v>
      </c>
      <c r="BG70" s="8">
        <f t="shared" ca="1" si="261"/>
        <v>293</v>
      </c>
      <c r="BH70" s="5" t="str">
        <f t="shared" ca="1" si="262"/>
        <v>VIGENTE</v>
      </c>
      <c r="BI70" s="3"/>
      <c r="BJ70" s="4">
        <v>45699</v>
      </c>
      <c r="BK70" s="4">
        <f>DATE(YEAR(BJ70)+2,MONTH(BJ70),DAY(BJ70)-1)</f>
        <v>46428</v>
      </c>
      <c r="BL70" s="8">
        <f t="shared" ca="1" si="263"/>
        <v>294</v>
      </c>
      <c r="BM70" s="5" t="str">
        <f t="shared" ca="1" si="264"/>
        <v>VIGENTE</v>
      </c>
      <c r="BN70" s="3"/>
      <c r="BO70" s="4">
        <v>45621</v>
      </c>
      <c r="BP70" s="4">
        <f>DATE(YEAR(BO70)+2,MONTH(BO70),DAY(BO70)-1)</f>
        <v>46350</v>
      </c>
      <c r="BQ70" s="8">
        <f t="shared" ca="1" si="265"/>
        <v>216</v>
      </c>
      <c r="BR70" s="5" t="str">
        <f t="shared" ca="1" si="266"/>
        <v>VIGENTE</v>
      </c>
      <c r="BS70" s="3"/>
      <c r="BT70" s="4">
        <v>45611</v>
      </c>
      <c r="BU70" s="4">
        <f>DATE(YEAR(BT70)+2,MONTH(BT70),DAY(BT70)-1)</f>
        <v>46340</v>
      </c>
      <c r="BV70" s="8">
        <f t="shared" ca="1" si="267"/>
        <v>206</v>
      </c>
      <c r="BW70" s="5" t="str">
        <f t="shared" ca="1" si="268"/>
        <v>VIGENTE</v>
      </c>
      <c r="BX70" s="3"/>
      <c r="BY70" s="4">
        <v>45911</v>
      </c>
      <c r="BZ70" s="4">
        <f t="shared" si="243"/>
        <v>46641</v>
      </c>
      <c r="CA70" s="8">
        <f t="shared" ca="1" si="269"/>
        <v>507</v>
      </c>
      <c r="CB70" s="5" t="str">
        <f t="shared" ca="1" si="270"/>
        <v>VIGENTE</v>
      </c>
      <c r="CC70" s="6" t="s">
        <v>68</v>
      </c>
      <c r="CD70" s="4">
        <v>45828</v>
      </c>
      <c r="CE70" s="4">
        <f t="shared" si="271"/>
        <v>47289</v>
      </c>
      <c r="CF70" s="8">
        <f t="shared" ca="1" si="272"/>
        <v>1155</v>
      </c>
      <c r="CG70" s="5" t="str">
        <f t="shared" ca="1" si="273"/>
        <v>VIGENTE</v>
      </c>
      <c r="CH70" s="4"/>
      <c r="CI70" s="4">
        <v>45688</v>
      </c>
      <c r="CJ70" s="4">
        <f>DATE(YEAR(CI70)+2,MONTH(CI70),DAY(CI70)-1)</f>
        <v>46417</v>
      </c>
      <c r="CK70" s="8">
        <f t="shared" ca="1" si="274"/>
        <v>283</v>
      </c>
      <c r="CL70" s="5" t="str">
        <f t="shared" ca="1" si="275"/>
        <v>VIGENTE</v>
      </c>
      <c r="CM70" s="3"/>
      <c r="CN70" s="4">
        <v>45684</v>
      </c>
      <c r="CO70" s="4">
        <f>DATE(YEAR(CN70)+2,MONTH(CN70),DAY(CN70)-1)</f>
        <v>46413</v>
      </c>
      <c r="CP70" s="8">
        <f t="shared" ca="1" si="276"/>
        <v>279</v>
      </c>
      <c r="CQ70" s="5" t="str">
        <f t="shared" ca="1" si="277"/>
        <v>VIGENTE</v>
      </c>
      <c r="CR70" s="3"/>
      <c r="CS70" s="4">
        <v>45905</v>
      </c>
      <c r="CT70" s="4">
        <f>DATE(YEAR(CS70)+2,MONTH(CS70),DAY(CS70))</f>
        <v>46635</v>
      </c>
      <c r="CU70" s="8">
        <f t="shared" ca="1" si="278"/>
        <v>501</v>
      </c>
      <c r="CV70" s="5" t="str">
        <f t="shared" ca="1" si="279"/>
        <v>VIGENTE</v>
      </c>
      <c r="CW70" s="3"/>
      <c r="CX70" s="4">
        <v>45835</v>
      </c>
      <c r="CY70" s="4">
        <f>DATE(YEAR(CX70)+2,MONTH(CX70),DAY(CX70))</f>
        <v>46565</v>
      </c>
      <c r="CZ70" s="8">
        <f t="shared" ca="1" si="280"/>
        <v>431</v>
      </c>
      <c r="DA70" s="5" t="str">
        <f t="shared" ca="1" si="281"/>
        <v>VIGENTE</v>
      </c>
      <c r="DB70" s="3"/>
      <c r="DC70" s="4">
        <v>45723</v>
      </c>
      <c r="DD70" s="4">
        <f>DATE(YEAR(DC70)+2,MONTH(DC70),DAY(DC70)-1)</f>
        <v>46452</v>
      </c>
      <c r="DE70" s="8">
        <f t="shared" ca="1" si="282"/>
        <v>318</v>
      </c>
      <c r="DF70" s="5" t="str">
        <f t="shared" ca="1" si="283"/>
        <v>VIGENTE</v>
      </c>
      <c r="DG70" s="3"/>
      <c r="DH70" s="4">
        <v>45899</v>
      </c>
      <c r="DI70" s="4">
        <f t="shared" si="244"/>
        <v>46629</v>
      </c>
      <c r="DJ70" s="8">
        <f t="shared" ca="1" si="284"/>
        <v>495</v>
      </c>
      <c r="DK70" s="5" t="str">
        <f t="shared" ca="1" si="285"/>
        <v>VIGENTE</v>
      </c>
      <c r="DL70" s="3"/>
      <c r="DM70" s="4">
        <v>45982</v>
      </c>
      <c r="DN70" s="4">
        <f>DATE(YEAR(DM70)+2,MONTH(DM70),DAY(DM70))</f>
        <v>46712</v>
      </c>
      <c r="DO70" s="8">
        <f t="shared" ca="1" si="286"/>
        <v>578</v>
      </c>
      <c r="DP70" s="5" t="str">
        <f t="shared" ca="1" si="287"/>
        <v>VIGENTE</v>
      </c>
      <c r="DQ70" s="2"/>
      <c r="DR70" s="4">
        <v>45743</v>
      </c>
      <c r="DS70" s="4">
        <f>DATE(YEAR(DR70)+2,MONTH(DR70),DAY(DR70)-1)</f>
        <v>46472</v>
      </c>
      <c r="DT70" s="8">
        <f t="shared" ca="1" si="288"/>
        <v>338</v>
      </c>
      <c r="DU70" s="5" t="str">
        <f t="shared" ca="1" si="289"/>
        <v>VIGENTE</v>
      </c>
      <c r="DV70" s="3"/>
      <c r="DW70" s="4">
        <v>45663</v>
      </c>
      <c r="DX70" s="4">
        <f t="shared" si="363"/>
        <v>46392</v>
      </c>
      <c r="DY70" s="8">
        <f t="shared" ca="1" si="290"/>
        <v>258</v>
      </c>
      <c r="DZ70" s="5" t="str">
        <f t="shared" ca="1" si="291"/>
        <v>VIGENTE</v>
      </c>
      <c r="EA70" s="3"/>
      <c r="EB70" s="4">
        <v>45674</v>
      </c>
      <c r="EC70" s="4">
        <f>DATE(YEAR(EB70)+2,MONTH(EB70),DAY(EB70)-1)</f>
        <v>46403</v>
      </c>
      <c r="ED70" s="8">
        <f t="shared" ca="1" si="292"/>
        <v>269</v>
      </c>
      <c r="EE70" s="5" t="str">
        <f t="shared" ca="1" si="293"/>
        <v>VIGENTE</v>
      </c>
      <c r="EF70" s="3"/>
      <c r="EG70" s="3">
        <v>46085</v>
      </c>
      <c r="EH70" s="4">
        <f t="shared" si="364"/>
        <v>46450</v>
      </c>
      <c r="EI70" s="8">
        <f t="shared" ca="1" si="294"/>
        <v>316</v>
      </c>
      <c r="EJ70" s="5" t="str">
        <f t="shared" ca="1" si="295"/>
        <v>VIGENTE</v>
      </c>
      <c r="EK70" s="3"/>
      <c r="EL70" s="4">
        <v>45737</v>
      </c>
      <c r="EM70" s="4">
        <f>DATE(YEAR(EL70)+2,MONTH(EL70),DAY(EL70)-1)</f>
        <v>46466</v>
      </c>
      <c r="EN70" s="8">
        <f t="shared" ca="1" si="296"/>
        <v>332</v>
      </c>
      <c r="EO70" s="5" t="str">
        <f t="shared" ca="1" si="297"/>
        <v>VIGENTE</v>
      </c>
      <c r="EP70" s="3"/>
      <c r="EQ70" s="4">
        <v>45677</v>
      </c>
      <c r="ER70" s="4">
        <f t="shared" ref="ER70:ER76" si="372">DATE(YEAR(EQ70)+2,MONTH(EQ70),DAY(EQ70)-1)</f>
        <v>46406</v>
      </c>
      <c r="ES70" s="8">
        <f t="shared" ca="1" si="298"/>
        <v>272</v>
      </c>
      <c r="ET70" s="5" t="str">
        <f t="shared" ca="1" si="299"/>
        <v>VIGENTE</v>
      </c>
      <c r="EU70" s="3"/>
      <c r="EV70" s="4">
        <v>45917</v>
      </c>
      <c r="EW70" s="4">
        <f t="shared" si="238"/>
        <v>46647</v>
      </c>
      <c r="EX70" s="8">
        <f t="shared" ca="1" si="300"/>
        <v>513</v>
      </c>
      <c r="EY70" s="5" t="str">
        <f t="shared" ca="1" si="301"/>
        <v>VIGENTE</v>
      </c>
      <c r="EZ70" s="3"/>
      <c r="FA70" s="4">
        <v>45931</v>
      </c>
      <c r="FB70" s="4">
        <f t="shared" si="239"/>
        <v>46661</v>
      </c>
      <c r="FC70" s="8">
        <f t="shared" ca="1" si="302"/>
        <v>527</v>
      </c>
      <c r="FD70" s="5" t="str">
        <f t="shared" ca="1" si="303"/>
        <v>VIGENTE</v>
      </c>
      <c r="FE70" s="3"/>
      <c r="FF70" s="4">
        <v>45932</v>
      </c>
      <c r="FG70" s="4">
        <f t="shared" si="240"/>
        <v>46662</v>
      </c>
      <c r="FH70" s="8">
        <f t="shared" ca="1" si="304"/>
        <v>528</v>
      </c>
      <c r="FI70" s="5" t="str">
        <f t="shared" ca="1" si="305"/>
        <v>VIGENTE</v>
      </c>
      <c r="FJ70" s="3"/>
      <c r="FK70" s="4">
        <v>45588</v>
      </c>
      <c r="FL70" s="4">
        <f t="shared" ref="FL70:FL76" si="373">DATE(YEAR(FK70)+2,MONTH(FK70),DAY(FK70)-1)</f>
        <v>46317</v>
      </c>
      <c r="FM70" s="8">
        <f t="shared" ca="1" si="306"/>
        <v>183</v>
      </c>
      <c r="FN70" s="5" t="str">
        <f t="shared" ca="1" si="307"/>
        <v>VIGENTE</v>
      </c>
      <c r="FO70" s="3"/>
      <c r="FP70" s="4">
        <v>45747</v>
      </c>
      <c r="FQ70" s="4">
        <f>DATE(YEAR(FP70)+2,MONTH(FP70),DAY(FP70)-1)</f>
        <v>46476</v>
      </c>
      <c r="FR70" s="8">
        <f t="shared" ca="1" si="308"/>
        <v>342</v>
      </c>
      <c r="FS70" s="5" t="str">
        <f t="shared" ca="1" si="309"/>
        <v>VIGENTE</v>
      </c>
      <c r="FT70" s="3"/>
      <c r="FU70" s="4">
        <v>45993</v>
      </c>
      <c r="FV70" s="4">
        <f>DATE(YEAR(FU70)+2,MONTH(FU70),DAY(FU70))</f>
        <v>46723</v>
      </c>
      <c r="FW70" s="8">
        <f t="shared" ca="1" si="310"/>
        <v>589</v>
      </c>
      <c r="FX70" s="5" t="str">
        <f t="shared" ca="1" si="311"/>
        <v>VIGENTE</v>
      </c>
      <c r="FY70" s="3"/>
      <c r="FZ70" s="4">
        <v>45715</v>
      </c>
      <c r="GA70" s="4">
        <f t="shared" ref="GA70:GA75" si="374">DATE(YEAR(FZ70)+2,MONTH(FZ70),DAY(FZ70)-1)</f>
        <v>46444</v>
      </c>
      <c r="GB70" s="8">
        <f t="shared" ca="1" si="312"/>
        <v>310</v>
      </c>
      <c r="GC70" s="5" t="str">
        <f t="shared" ca="1" si="313"/>
        <v>VIGENTE</v>
      </c>
      <c r="GD70" s="3"/>
      <c r="GE70" s="4">
        <v>45731</v>
      </c>
      <c r="GF70" s="4">
        <f>DATE(YEAR(GE70)+2,MONTH(GE70),DAY(GE70)-1)</f>
        <v>46460</v>
      </c>
      <c r="GG70" s="8">
        <f t="shared" ca="1" si="314"/>
        <v>326</v>
      </c>
      <c r="GH70" s="5" t="str">
        <f t="shared" ca="1" si="315"/>
        <v>VIGENTE</v>
      </c>
      <c r="GI70" s="3"/>
      <c r="GJ70" s="4">
        <v>45615</v>
      </c>
      <c r="GK70" s="4">
        <f>DATE(YEAR(GJ70)+2,MONTH(GJ70),DAY(GJ70)-1)</f>
        <v>46344</v>
      </c>
      <c r="GL70" s="8">
        <f t="shared" ca="1" si="316"/>
        <v>210</v>
      </c>
      <c r="GM70" s="5" t="str">
        <f t="shared" ca="1" si="317"/>
        <v>VIGENTE</v>
      </c>
      <c r="GN70" s="4"/>
      <c r="GO70" s="4">
        <v>45072</v>
      </c>
      <c r="GP70" s="4">
        <f t="shared" si="318"/>
        <v>46899</v>
      </c>
      <c r="GQ70" s="8">
        <f t="shared" ca="1" si="181"/>
        <v>765</v>
      </c>
      <c r="GR70" s="5" t="str">
        <f t="shared" ca="1" si="319"/>
        <v>VIGENTE</v>
      </c>
      <c r="GS70" s="3"/>
      <c r="GT70" s="4">
        <v>44984</v>
      </c>
      <c r="GU70" s="4">
        <f t="shared" si="320"/>
        <v>46810</v>
      </c>
      <c r="GV70" s="8">
        <f t="shared" ca="1" si="321"/>
        <v>676</v>
      </c>
      <c r="GW70" s="5" t="str">
        <f t="shared" ca="1" si="322"/>
        <v>VIGENTE</v>
      </c>
      <c r="GX70" s="2"/>
      <c r="GY70" s="4">
        <v>45003</v>
      </c>
      <c r="GZ70" s="4">
        <f t="shared" si="323"/>
        <v>46830</v>
      </c>
      <c r="HA70" s="8">
        <f t="shared" ca="1" si="324"/>
        <v>696</v>
      </c>
      <c r="HB70" s="5" t="str">
        <f t="shared" ca="1" si="325"/>
        <v>VIGENTE</v>
      </c>
      <c r="HC70" s="6"/>
      <c r="HD70" s="6"/>
      <c r="HE70" s="4"/>
      <c r="HF70" s="8"/>
      <c r="HG70" s="5" t="str">
        <f t="shared" si="228"/>
        <v>NO APLICA</v>
      </c>
      <c r="HH70" s="2"/>
      <c r="HI70" s="6"/>
      <c r="HJ70" s="4"/>
      <c r="HK70" s="8"/>
      <c r="HL70" s="5" t="str">
        <f t="shared" si="232"/>
        <v>NO APLICA</v>
      </c>
      <c r="HM70" s="2"/>
      <c r="HN70" s="2"/>
      <c r="HO70" s="4"/>
      <c r="HP70" s="2"/>
      <c r="HQ70" s="5" t="str">
        <f t="shared" si="326"/>
        <v>NO APLICA</v>
      </c>
      <c r="HR70" s="2"/>
      <c r="HS70" s="6"/>
      <c r="HT70" s="4"/>
      <c r="HU70" s="8"/>
      <c r="HV70" s="5" t="str">
        <f t="shared" si="327"/>
        <v>NO APLICA</v>
      </c>
      <c r="HW70" s="2"/>
      <c r="HX70" s="6"/>
      <c r="HY70" s="4"/>
      <c r="HZ70" s="8"/>
      <c r="IA70" s="5" t="str">
        <f t="shared" si="328"/>
        <v>NO APLICA</v>
      </c>
      <c r="IB70" s="2"/>
      <c r="IC70" s="6"/>
      <c r="ID70" s="4"/>
      <c r="IE70" s="8"/>
      <c r="IF70" s="5" t="str">
        <f t="shared" si="329"/>
        <v>NO APLICA</v>
      </c>
      <c r="IG70" s="6"/>
      <c r="IH70" s="6"/>
      <c r="II70" s="4"/>
      <c r="IJ70" s="8"/>
      <c r="IK70" s="5" t="str">
        <f t="shared" si="330"/>
        <v>NO APLICA</v>
      </c>
      <c r="IL70" s="2"/>
      <c r="IM70" s="6"/>
      <c r="IN70" s="4"/>
      <c r="IO70" s="8"/>
      <c r="IP70" s="5" t="str">
        <f t="shared" si="331"/>
        <v>NO APLICA</v>
      </c>
      <c r="IQ70" s="2"/>
      <c r="IR70" s="6"/>
      <c r="IS70" s="4"/>
      <c r="IT70" s="8"/>
      <c r="IU70" s="5" t="str">
        <f t="shared" si="332"/>
        <v>NO APLICA</v>
      </c>
      <c r="IV70" s="2"/>
      <c r="IW70" s="6"/>
      <c r="IX70" s="4"/>
      <c r="IY70" s="8"/>
      <c r="IZ70" s="5" t="str">
        <f t="shared" si="333"/>
        <v>NO APLICA</v>
      </c>
      <c r="JA70" s="3"/>
      <c r="JB70" s="3"/>
      <c r="JC70" s="4"/>
      <c r="JD70" s="8"/>
      <c r="JE70" s="5" t="str">
        <f t="shared" si="334"/>
        <v>NO APLICA</v>
      </c>
      <c r="JF70" s="6"/>
      <c r="JG70" s="6"/>
      <c r="JH70" s="6"/>
      <c r="JI70" s="6"/>
      <c r="JJ70" s="5" t="str">
        <f t="shared" si="335"/>
        <v>NO APLICA</v>
      </c>
      <c r="JK70" s="6"/>
      <c r="JL70" s="6"/>
      <c r="JM70" s="6"/>
      <c r="JN70" s="6"/>
      <c r="JO70" s="5" t="str">
        <f t="shared" si="336"/>
        <v>NO APLICA</v>
      </c>
      <c r="JP70" s="6"/>
      <c r="JQ70" s="6"/>
      <c r="JR70" s="6"/>
      <c r="JS70" s="6"/>
      <c r="JT70" s="5" t="str">
        <f t="shared" si="337"/>
        <v>NO APLICA</v>
      </c>
      <c r="JU70" s="5"/>
      <c r="JV70" s="3"/>
      <c r="JW70" s="4"/>
      <c r="JX70" s="8"/>
      <c r="JY70" s="5" t="str">
        <f t="shared" si="338"/>
        <v>NO APLICA</v>
      </c>
      <c r="JZ70" s="5"/>
      <c r="KA70" s="2"/>
      <c r="KB70" s="4"/>
      <c r="KC70" s="8"/>
      <c r="KD70" s="5" t="str">
        <f t="shared" si="339"/>
        <v>NO APLICA</v>
      </c>
      <c r="KE70" s="5"/>
      <c r="KF70" s="2"/>
      <c r="KG70" s="4"/>
      <c r="KH70" s="8"/>
      <c r="KI70" s="5" t="str">
        <f t="shared" si="365"/>
        <v>NO APLICA</v>
      </c>
      <c r="KJ70" s="5"/>
      <c r="KK70" s="2"/>
      <c r="KL70" s="4"/>
      <c r="KM70" s="8"/>
      <c r="KN70" s="5" t="str">
        <f t="shared" si="340"/>
        <v>NO APLICA</v>
      </c>
      <c r="KO70" s="5"/>
      <c r="KP70" s="2"/>
      <c r="KQ70" s="4"/>
      <c r="KR70" s="8"/>
      <c r="KS70" s="5" t="str">
        <f t="shared" si="366"/>
        <v>NO APLICA</v>
      </c>
      <c r="KT70" s="2"/>
      <c r="KU70" s="6"/>
      <c r="KV70" s="4"/>
      <c r="KW70" s="8"/>
      <c r="KX70" s="5" t="str">
        <f t="shared" ref="KX70:KX133" si="375">IF(KW70&gt;=61,"VIGENTE",IF(KW70&gt;=1,"POR VENCER",IF(KW70&lt;=-1,"VENCIDA",IF(KU70=0,"NO APLICA"))))</f>
        <v>NO APLICA</v>
      </c>
      <c r="KY70" s="5"/>
      <c r="KZ70" s="6"/>
      <c r="LA70" s="4"/>
      <c r="LB70" s="8"/>
      <c r="LC70" s="5" t="str">
        <f t="shared" si="367"/>
        <v>NO APLICA</v>
      </c>
      <c r="LD70" s="6"/>
      <c r="LE70" s="6"/>
      <c r="LF70" s="4"/>
      <c r="LG70" s="8"/>
      <c r="LH70" s="5" t="str">
        <f t="shared" si="341"/>
        <v>NO APLICA</v>
      </c>
      <c r="LI70" s="5"/>
      <c r="LJ70" s="5"/>
      <c r="LK70" s="4"/>
      <c r="LL70" s="8"/>
      <c r="LM70" s="5" t="str">
        <f t="shared" ref="LM70:LM133" si="376">IF(LL70&gt;=61,"VIGENTE",IF(LL70&gt;=1,"POR VENCER",IF(LL70&lt;=-1,"VENCIDA",IF(LJ70=0,"NO APLICA"))))</f>
        <v>NO APLICA</v>
      </c>
      <c r="LN70" s="2"/>
      <c r="LO70" s="6"/>
      <c r="LP70" s="4"/>
      <c r="LQ70" s="8"/>
      <c r="LR70" s="5" t="str">
        <f t="shared" si="368"/>
        <v>NO APLICA</v>
      </c>
      <c r="LS70" s="6"/>
      <c r="LT70" s="6"/>
      <c r="LU70" s="4"/>
      <c r="LV70" s="8"/>
      <c r="LW70" s="5" t="str">
        <f t="shared" si="369"/>
        <v>NO APLICA</v>
      </c>
      <c r="LX70" s="6"/>
      <c r="LY70" s="6"/>
      <c r="LZ70" s="4"/>
      <c r="MA70" s="8"/>
      <c r="MB70" s="5" t="str">
        <f t="shared" si="370"/>
        <v>NO APLICA</v>
      </c>
      <c r="MC70" s="2"/>
      <c r="MD70" s="2"/>
      <c r="ME70" s="4"/>
      <c r="MF70" s="8"/>
      <c r="MG70" s="5" t="str">
        <f t="shared" si="342"/>
        <v>NO APLICA</v>
      </c>
      <c r="MH70" s="2"/>
      <c r="MI70" s="2"/>
      <c r="MJ70" s="4"/>
      <c r="MK70" s="8"/>
      <c r="ML70" s="5" t="str">
        <f t="shared" si="343"/>
        <v>NO APLICA</v>
      </c>
      <c r="MM70" s="5"/>
      <c r="MN70" s="2"/>
      <c r="MO70" s="4"/>
      <c r="MP70" s="8"/>
      <c r="MQ70" s="5" t="str">
        <f t="shared" si="344"/>
        <v>NO APLICA</v>
      </c>
      <c r="MR70" s="5"/>
      <c r="MS70" s="2"/>
      <c r="MT70" s="4"/>
      <c r="MU70" s="2"/>
      <c r="MV70" s="5" t="str">
        <f t="shared" si="345"/>
        <v>NO APLICA</v>
      </c>
      <c r="MW70" s="2"/>
      <c r="MX70" s="6"/>
      <c r="MY70" s="4"/>
      <c r="MZ70" s="8"/>
      <c r="NA70" s="5" t="str">
        <f t="shared" si="346"/>
        <v>NO APLICA</v>
      </c>
      <c r="NB70" s="2"/>
      <c r="NC70" s="6"/>
      <c r="ND70" s="4"/>
      <c r="NE70" s="8"/>
      <c r="NF70" s="5" t="str">
        <f t="shared" si="347"/>
        <v>NO APLICA</v>
      </c>
      <c r="NG70" s="2"/>
      <c r="NH70" s="6"/>
      <c r="NI70" s="4"/>
      <c r="NJ70" s="8"/>
      <c r="NK70" s="5" t="str">
        <f t="shared" si="348"/>
        <v>NO APLICA</v>
      </c>
      <c r="NL70" s="2"/>
      <c r="NM70" s="2"/>
      <c r="NN70" s="4"/>
      <c r="NO70" s="2"/>
      <c r="NP70" s="5" t="str">
        <f t="shared" si="349"/>
        <v>NO APLICA</v>
      </c>
      <c r="NQ70" s="2"/>
      <c r="NR70" s="2"/>
      <c r="NS70" s="2"/>
      <c r="NT70" s="2"/>
      <c r="NU70" s="5" t="str">
        <f t="shared" si="350"/>
        <v>NO APLICA</v>
      </c>
      <c r="NV70" s="6"/>
      <c r="NW70" s="6"/>
      <c r="NX70" s="4"/>
      <c r="NY70" s="8"/>
      <c r="NZ70" s="5" t="str">
        <f t="shared" si="351"/>
        <v>NO APLICA</v>
      </c>
      <c r="OA70" s="6"/>
      <c r="OB70" s="6"/>
      <c r="OC70" s="6"/>
      <c r="OD70" s="6"/>
      <c r="OE70" s="5" t="str">
        <f t="shared" si="352"/>
        <v>NO APLICA</v>
      </c>
      <c r="OF70" s="2"/>
      <c r="OG70" s="2"/>
      <c r="OH70" s="4"/>
      <c r="OI70" s="8"/>
      <c r="OJ70" s="5" t="str">
        <f t="shared" si="353"/>
        <v>NO APLICA</v>
      </c>
      <c r="OK70" s="6"/>
      <c r="OL70" s="6"/>
      <c r="OM70" s="6"/>
      <c r="ON70" s="6"/>
      <c r="OO70" s="5" t="str">
        <f t="shared" si="354"/>
        <v>NO APLICA</v>
      </c>
      <c r="OP70" s="6"/>
      <c r="OQ70" s="6"/>
      <c r="OR70" s="6"/>
      <c r="OS70" s="6"/>
      <c r="OT70" s="5" t="str">
        <f t="shared" si="355"/>
        <v>NO APLICA</v>
      </c>
      <c r="OU70" s="6"/>
      <c r="OV70" s="6"/>
      <c r="OW70" s="6"/>
      <c r="OX70" s="6"/>
      <c r="OY70" s="5" t="str">
        <f t="shared" si="356"/>
        <v>NO APLICA</v>
      </c>
      <c r="OZ70" s="6"/>
      <c r="PA70" s="6"/>
      <c r="PB70" s="6"/>
      <c r="PC70" s="6"/>
      <c r="PD70" s="5" t="str">
        <f t="shared" si="357"/>
        <v>NO APLICA</v>
      </c>
      <c r="PE70" s="6"/>
      <c r="PF70" s="6"/>
      <c r="PG70" s="6"/>
      <c r="PH70" s="6"/>
      <c r="PI70" s="5" t="str">
        <f t="shared" si="358"/>
        <v>NO APLICA</v>
      </c>
      <c r="PJ70" s="5"/>
      <c r="PK70" s="6"/>
      <c r="PL70" s="4"/>
      <c r="PM70" s="8"/>
      <c r="PN70" s="5" t="str">
        <f t="shared" si="359"/>
        <v>NO APLICA</v>
      </c>
      <c r="PO70" s="6"/>
      <c r="PP70" s="6"/>
      <c r="PQ70" s="6"/>
      <c r="PR70" s="6"/>
      <c r="PS70" s="5" t="str">
        <f t="shared" si="360"/>
        <v>NO APLICA</v>
      </c>
      <c r="PT70" s="5"/>
      <c r="PU70" s="6"/>
      <c r="PV70" s="6"/>
      <c r="PW70" s="6"/>
      <c r="PX70" s="5" t="str">
        <f t="shared" si="361"/>
        <v>NO APLICA</v>
      </c>
    </row>
    <row r="71" spans="1:440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656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271</v>
      </c>
      <c r="V71" s="4">
        <v>46069</v>
      </c>
      <c r="W71" s="4">
        <f t="shared" si="248"/>
        <v>47895</v>
      </c>
      <c r="X71" s="8">
        <f t="shared" ca="1" si="249"/>
        <v>1761</v>
      </c>
      <c r="Y71" s="5" t="str">
        <f t="shared" ca="1" si="250"/>
        <v>VIGENTE</v>
      </c>
      <c r="Z71" s="2"/>
      <c r="AA71" s="6"/>
      <c r="AB71" s="4"/>
      <c r="AC71" s="8"/>
      <c r="AD71" s="5" t="str">
        <f t="shared" si="251"/>
        <v>NO APLICA</v>
      </c>
      <c r="AE71" s="3"/>
      <c r="AF71" s="4">
        <v>45902</v>
      </c>
      <c r="AG71" s="4">
        <f>DATE(YEAR(AF71)+2,MONTH(AF71),DAY(AF71))</f>
        <v>46632</v>
      </c>
      <c r="AH71" s="8">
        <f t="shared" ca="1" si="252"/>
        <v>498</v>
      </c>
      <c r="AI71" s="5" t="str">
        <f t="shared" ca="1" si="224"/>
        <v>VIGENTE</v>
      </c>
      <c r="AJ71" s="3"/>
      <c r="AK71" s="4">
        <v>45903</v>
      </c>
      <c r="AL71" s="4">
        <f t="shared" si="245"/>
        <v>46633</v>
      </c>
      <c r="AM71" s="8">
        <f t="shared" ca="1" si="253"/>
        <v>499</v>
      </c>
      <c r="AN71" s="5" t="str">
        <f t="shared" ca="1" si="254"/>
        <v>VIGENTE</v>
      </c>
      <c r="AO71" s="3"/>
      <c r="AP71" s="4">
        <v>45904</v>
      </c>
      <c r="AQ71" s="4">
        <f t="shared" si="241"/>
        <v>46634</v>
      </c>
      <c r="AR71" s="8">
        <f t="shared" ca="1" si="255"/>
        <v>500</v>
      </c>
      <c r="AS71" s="5" t="str">
        <f t="shared" ca="1" si="256"/>
        <v>VIGENTE</v>
      </c>
      <c r="AT71" s="3"/>
      <c r="AU71" s="4">
        <v>45927</v>
      </c>
      <c r="AV71" s="4">
        <f t="shared" si="236"/>
        <v>46657</v>
      </c>
      <c r="AW71" s="8">
        <f t="shared" ca="1" si="257"/>
        <v>523</v>
      </c>
      <c r="AX71" s="5" t="str">
        <f t="shared" ca="1" si="258"/>
        <v>VIGENTE</v>
      </c>
      <c r="AY71" s="3"/>
      <c r="AZ71" s="4">
        <v>45742</v>
      </c>
      <c r="BA71" s="4">
        <f t="shared" si="371"/>
        <v>46471</v>
      </c>
      <c r="BB71" s="8">
        <f t="shared" ca="1" si="259"/>
        <v>337</v>
      </c>
      <c r="BC71" s="5" t="str">
        <f t="shared" ca="1" si="260"/>
        <v>VIGENTE</v>
      </c>
      <c r="BD71" s="3"/>
      <c r="BE71" s="4">
        <v>45698</v>
      </c>
      <c r="BF71" s="4">
        <f>DATE(YEAR(BE71)+2,MONTH(BE71),DAY(BE71)-1)</f>
        <v>46427</v>
      </c>
      <c r="BG71" s="8">
        <f t="shared" ca="1" si="261"/>
        <v>293</v>
      </c>
      <c r="BH71" s="5" t="str">
        <f t="shared" ca="1" si="262"/>
        <v>VIGENTE</v>
      </c>
      <c r="BI71" s="3"/>
      <c r="BJ71" s="4">
        <v>46056</v>
      </c>
      <c r="BK71" s="4">
        <f>DATE(YEAR(BJ71)+2,MONTH(BJ71),DAY(BJ71))</f>
        <v>46786</v>
      </c>
      <c r="BL71" s="8">
        <f t="shared" ca="1" si="263"/>
        <v>652</v>
      </c>
      <c r="BM71" s="5" t="str">
        <f t="shared" ca="1" si="264"/>
        <v>VIGENTE</v>
      </c>
      <c r="BN71" s="3"/>
      <c r="BO71" s="4">
        <v>46050</v>
      </c>
      <c r="BP71" s="4">
        <f>DATE(YEAR(BO71)+2,MONTH(BO71),DAY(BO71))</f>
        <v>46780</v>
      </c>
      <c r="BQ71" s="8">
        <f t="shared" ca="1" si="265"/>
        <v>646</v>
      </c>
      <c r="BR71" s="5" t="str">
        <f t="shared" ca="1" si="266"/>
        <v>VIGENTE</v>
      </c>
      <c r="BS71" s="3"/>
      <c r="BT71" s="4">
        <v>45568</v>
      </c>
      <c r="BU71" s="4">
        <f>DATE(YEAR(BT71)+2,MONTH(BT71),DAY(BT71)-1)</f>
        <v>46297</v>
      </c>
      <c r="BV71" s="8">
        <f t="shared" ca="1" si="267"/>
        <v>163</v>
      </c>
      <c r="BW71" s="5" t="str">
        <f t="shared" ca="1" si="268"/>
        <v>VIGENTE</v>
      </c>
      <c r="BX71" s="3"/>
      <c r="BY71" s="4">
        <v>45911</v>
      </c>
      <c r="BZ71" s="4">
        <f t="shared" si="243"/>
        <v>46641</v>
      </c>
      <c r="CA71" s="8">
        <f t="shared" ca="1" si="269"/>
        <v>507</v>
      </c>
      <c r="CB71" s="5" t="str">
        <f t="shared" ca="1" si="270"/>
        <v>VIGENTE</v>
      </c>
      <c r="CC71" s="6" t="s">
        <v>68</v>
      </c>
      <c r="CD71" s="4">
        <v>45723</v>
      </c>
      <c r="CE71" s="4">
        <f t="shared" si="271"/>
        <v>47184</v>
      </c>
      <c r="CF71" s="8">
        <f t="shared" ca="1" si="272"/>
        <v>1050</v>
      </c>
      <c r="CG71" s="5" t="str">
        <f t="shared" ca="1" si="273"/>
        <v>VIGENTE</v>
      </c>
      <c r="CH71" s="4"/>
      <c r="CI71" s="4">
        <v>45601</v>
      </c>
      <c r="CJ71" s="4">
        <f>DATE(YEAR(CI71)+2,MONTH(CI71),DAY(CI71)-1)</f>
        <v>46330</v>
      </c>
      <c r="CK71" s="8">
        <f t="shared" ca="1" si="274"/>
        <v>196</v>
      </c>
      <c r="CL71" s="5" t="str">
        <f t="shared" ca="1" si="275"/>
        <v>VIGENTE</v>
      </c>
      <c r="CM71" s="3"/>
      <c r="CN71" s="4">
        <v>45769</v>
      </c>
      <c r="CO71" s="4">
        <f>DATE(YEAR(CN71)+2,MONTH(CN71),DAY(CN71))</f>
        <v>46499</v>
      </c>
      <c r="CP71" s="8">
        <f t="shared" ca="1" si="276"/>
        <v>365</v>
      </c>
      <c r="CQ71" s="5" t="str">
        <f t="shared" ca="1" si="277"/>
        <v>VIGENTE</v>
      </c>
      <c r="CR71" s="3"/>
      <c r="CS71" s="4">
        <v>46043</v>
      </c>
      <c r="CT71" s="4">
        <f>DATE(YEAR(CS71)+2,MONTH(CS71),DAY(CS71))</f>
        <v>46773</v>
      </c>
      <c r="CU71" s="8">
        <f t="shared" ca="1" si="278"/>
        <v>639</v>
      </c>
      <c r="CV71" s="5" t="str">
        <f t="shared" ca="1" si="279"/>
        <v>VIGENTE</v>
      </c>
      <c r="CW71" s="3"/>
      <c r="CX71" s="4">
        <v>46098</v>
      </c>
      <c r="CY71" s="4">
        <f>DATE(YEAR(CX71)+2,MONTH(CX71),DAY(CX71))</f>
        <v>46829</v>
      </c>
      <c r="CZ71" s="8">
        <f t="shared" ca="1" si="280"/>
        <v>695</v>
      </c>
      <c r="DA71" s="5" t="str">
        <f t="shared" ca="1" si="281"/>
        <v>VIGENTE</v>
      </c>
      <c r="DB71" s="3"/>
      <c r="DC71" s="4">
        <v>46076</v>
      </c>
      <c r="DD71" s="4">
        <f>DATE(YEAR(DC71)+2,MONTH(DC71),DAY(DC71))</f>
        <v>46806</v>
      </c>
      <c r="DE71" s="8">
        <f t="shared" ca="1" si="282"/>
        <v>672</v>
      </c>
      <c r="DF71" s="5" t="str">
        <f t="shared" ca="1" si="283"/>
        <v>VIGENTE</v>
      </c>
      <c r="DG71" s="3"/>
      <c r="DH71" s="4">
        <v>45975</v>
      </c>
      <c r="DI71" s="4">
        <f t="shared" si="244"/>
        <v>46705</v>
      </c>
      <c r="DJ71" s="8">
        <f t="shared" ca="1" si="284"/>
        <v>571</v>
      </c>
      <c r="DK71" s="5" t="str">
        <f t="shared" ca="1" si="285"/>
        <v>VIGENTE</v>
      </c>
      <c r="DL71" s="3"/>
      <c r="DM71" s="4">
        <v>45982</v>
      </c>
      <c r="DN71" s="4">
        <f>DATE(YEAR(DM71)+2,MONTH(DM71),DAY(DM71))</f>
        <v>46712</v>
      </c>
      <c r="DO71" s="8">
        <f t="shared" ca="1" si="286"/>
        <v>578</v>
      </c>
      <c r="DP71" s="5" t="str">
        <f t="shared" ca="1" si="287"/>
        <v>VIGENTE</v>
      </c>
      <c r="DQ71" s="3"/>
      <c r="DR71" s="4">
        <v>45608</v>
      </c>
      <c r="DS71" s="4">
        <f>DATE(YEAR(DR71)+2,MONTH(DR71),DAY(DR71)-1)</f>
        <v>46337</v>
      </c>
      <c r="DT71" s="8">
        <f t="shared" ca="1" si="288"/>
        <v>203</v>
      </c>
      <c r="DU71" s="5" t="str">
        <f t="shared" ca="1" si="289"/>
        <v>VIGENTE</v>
      </c>
      <c r="DV71" s="3"/>
      <c r="DW71" s="4">
        <v>45663</v>
      </c>
      <c r="DX71" s="4">
        <f t="shared" si="363"/>
        <v>46392</v>
      </c>
      <c r="DY71" s="8">
        <f t="shared" ca="1" si="290"/>
        <v>258</v>
      </c>
      <c r="DZ71" s="5" t="str">
        <f t="shared" ca="1" si="291"/>
        <v>VIGENTE</v>
      </c>
      <c r="EA71" s="3"/>
      <c r="EB71" s="4">
        <v>45730</v>
      </c>
      <c r="EC71" s="4">
        <f>DATE(YEAR(EB71)+2,MONTH(EB71),DAY(EB71)-1)</f>
        <v>46459</v>
      </c>
      <c r="ED71" s="8">
        <f t="shared" ca="1" si="292"/>
        <v>325</v>
      </c>
      <c r="EE71" s="5" t="str">
        <f t="shared" ca="1" si="293"/>
        <v>VIGENTE</v>
      </c>
      <c r="EF71" s="3"/>
      <c r="EG71" s="3">
        <v>46085</v>
      </c>
      <c r="EH71" s="4">
        <f t="shared" si="364"/>
        <v>46450</v>
      </c>
      <c r="EI71" s="8">
        <f t="shared" ca="1" si="294"/>
        <v>316</v>
      </c>
      <c r="EJ71" s="5" t="str">
        <f t="shared" ca="1" si="295"/>
        <v>VIGENTE</v>
      </c>
      <c r="EK71" s="3"/>
      <c r="EL71" s="4">
        <v>46100</v>
      </c>
      <c r="EM71" s="4">
        <f>DATE(YEAR(EL71)+2,MONTH(EL71),DAY(EL71))</f>
        <v>46831</v>
      </c>
      <c r="EN71" s="8">
        <f t="shared" ca="1" si="296"/>
        <v>697</v>
      </c>
      <c r="EO71" s="5" t="str">
        <f t="shared" ca="1" si="297"/>
        <v>VIGENTE</v>
      </c>
      <c r="EP71" s="3"/>
      <c r="EQ71" s="4">
        <v>45575</v>
      </c>
      <c r="ER71" s="4">
        <f t="shared" si="372"/>
        <v>46304</v>
      </c>
      <c r="ES71" s="8">
        <f t="shared" ca="1" si="298"/>
        <v>170</v>
      </c>
      <c r="ET71" s="5" t="str">
        <f t="shared" ca="1" si="299"/>
        <v>VIGENTE</v>
      </c>
      <c r="EU71" s="3"/>
      <c r="EV71" s="4">
        <v>45917</v>
      </c>
      <c r="EW71" s="4">
        <f t="shared" si="238"/>
        <v>46647</v>
      </c>
      <c r="EX71" s="8">
        <f t="shared" ca="1" si="300"/>
        <v>513</v>
      </c>
      <c r="EY71" s="5" t="str">
        <f t="shared" ca="1" si="301"/>
        <v>VIGENTE</v>
      </c>
      <c r="EZ71" s="3"/>
      <c r="FA71" s="4">
        <v>45931</v>
      </c>
      <c r="FB71" s="4">
        <f t="shared" si="239"/>
        <v>46661</v>
      </c>
      <c r="FC71" s="8">
        <f t="shared" ca="1" si="302"/>
        <v>527</v>
      </c>
      <c r="FD71" s="5" t="str">
        <f t="shared" ca="1" si="303"/>
        <v>VIGENTE</v>
      </c>
      <c r="FE71" s="3"/>
      <c r="FF71" s="4">
        <v>45932</v>
      </c>
      <c r="FG71" s="4">
        <f t="shared" si="240"/>
        <v>46662</v>
      </c>
      <c r="FH71" s="8">
        <f t="shared" ca="1" si="304"/>
        <v>528</v>
      </c>
      <c r="FI71" s="5" t="str">
        <f t="shared" ca="1" si="305"/>
        <v>VIGENTE</v>
      </c>
      <c r="FJ71" s="3"/>
      <c r="FK71" s="4">
        <v>45576</v>
      </c>
      <c r="FL71" s="4">
        <f t="shared" si="373"/>
        <v>46305</v>
      </c>
      <c r="FM71" s="8">
        <f t="shared" ca="1" si="306"/>
        <v>171</v>
      </c>
      <c r="FN71" s="5" t="str">
        <f t="shared" ca="1" si="307"/>
        <v>VIGENTE</v>
      </c>
      <c r="FO71" s="3"/>
      <c r="FP71" s="4">
        <v>46077</v>
      </c>
      <c r="FQ71" s="4">
        <f>DATE(YEAR(FP71)+2,MONTH(FP71),DAY(FP71))</f>
        <v>46807</v>
      </c>
      <c r="FR71" s="8">
        <f t="shared" ca="1" si="308"/>
        <v>673</v>
      </c>
      <c r="FS71" s="5" t="str">
        <f t="shared" ca="1" si="309"/>
        <v>VIGENTE</v>
      </c>
      <c r="FT71" s="3"/>
      <c r="FU71" s="4">
        <v>45941</v>
      </c>
      <c r="FV71" s="4">
        <f>DATE(YEAR(FU71)+2,MONTH(FU71),DAY(FU71))</f>
        <v>46671</v>
      </c>
      <c r="FW71" s="8">
        <f t="shared" ca="1" si="310"/>
        <v>537</v>
      </c>
      <c r="FX71" s="5" t="str">
        <f t="shared" ca="1" si="311"/>
        <v>VIGENTE</v>
      </c>
      <c r="FY71" s="3"/>
      <c r="FZ71" s="4">
        <v>45667</v>
      </c>
      <c r="GA71" s="4">
        <f t="shared" si="374"/>
        <v>46396</v>
      </c>
      <c r="GB71" s="8">
        <f t="shared" ca="1" si="312"/>
        <v>262</v>
      </c>
      <c r="GC71" s="5" t="str">
        <f t="shared" ca="1" si="313"/>
        <v>VIGENTE</v>
      </c>
      <c r="GD71" s="3"/>
      <c r="GE71" s="4">
        <v>46036</v>
      </c>
      <c r="GF71" s="4">
        <f>DATE(YEAR(GE71)+2,MONTH(GE71),DAY(GE71))</f>
        <v>46766</v>
      </c>
      <c r="GG71" s="8">
        <f t="shared" ca="1" si="314"/>
        <v>632</v>
      </c>
      <c r="GH71" s="5" t="str">
        <f t="shared" ca="1" si="315"/>
        <v>VIGENTE</v>
      </c>
      <c r="GI71" s="3"/>
      <c r="GJ71" s="4">
        <v>45687</v>
      </c>
      <c r="GK71" s="4">
        <f>DATE(YEAR(GJ71)+2,MONTH(GJ71),DAY(GJ71)-1)</f>
        <v>46416</v>
      </c>
      <c r="GL71" s="8">
        <f t="shared" ca="1" si="316"/>
        <v>282</v>
      </c>
      <c r="GM71" s="5" t="str">
        <f t="shared" ca="1" si="317"/>
        <v>VIGENTE</v>
      </c>
      <c r="GN71" s="4"/>
      <c r="GO71" s="4">
        <v>45013</v>
      </c>
      <c r="GP71" s="4">
        <f t="shared" si="318"/>
        <v>46840</v>
      </c>
      <c r="GQ71" s="8">
        <f t="shared" ca="1" si="181"/>
        <v>706</v>
      </c>
      <c r="GR71" s="5" t="str">
        <f t="shared" ca="1" si="319"/>
        <v>VIGENTE</v>
      </c>
      <c r="GS71" s="3"/>
      <c r="GT71" s="4">
        <v>44952</v>
      </c>
      <c r="GU71" s="4">
        <f t="shared" si="320"/>
        <v>46778</v>
      </c>
      <c r="GV71" s="8">
        <f t="shared" ca="1" si="321"/>
        <v>644</v>
      </c>
      <c r="GW71" s="5" t="str">
        <f t="shared" ca="1" si="322"/>
        <v>VIGENTE</v>
      </c>
      <c r="GX71" s="2"/>
      <c r="GY71" s="4">
        <v>45016</v>
      </c>
      <c r="GZ71" s="4">
        <f t="shared" si="323"/>
        <v>46843</v>
      </c>
      <c r="HA71" s="8">
        <f t="shared" ca="1" si="324"/>
        <v>709</v>
      </c>
      <c r="HB71" s="5" t="str">
        <f t="shared" ca="1" si="325"/>
        <v>VIGENTE</v>
      </c>
      <c r="HC71" s="6"/>
      <c r="HD71" s="6"/>
      <c r="HE71" s="4"/>
      <c r="HF71" s="8"/>
      <c r="HG71" s="5" t="str">
        <f t="shared" si="228"/>
        <v>NO APLICA</v>
      </c>
      <c r="HH71" s="2"/>
      <c r="HI71" s="6"/>
      <c r="HJ71" s="4"/>
      <c r="HK71" s="8"/>
      <c r="HL71" s="5" t="str">
        <f t="shared" si="232"/>
        <v>NO APLICA</v>
      </c>
      <c r="HM71" s="2"/>
      <c r="HN71" s="2"/>
      <c r="HO71" s="4"/>
      <c r="HP71" s="2"/>
      <c r="HQ71" s="5" t="str">
        <f t="shared" si="326"/>
        <v>NO APLICA</v>
      </c>
      <c r="HR71" s="2"/>
      <c r="HS71" s="6"/>
      <c r="HT71" s="4"/>
      <c r="HU71" s="8"/>
      <c r="HV71" s="5" t="str">
        <f t="shared" si="327"/>
        <v>NO APLICA</v>
      </c>
      <c r="HW71" s="2"/>
      <c r="HX71" s="6"/>
      <c r="HY71" s="4"/>
      <c r="HZ71" s="8"/>
      <c r="IA71" s="5" t="str">
        <f t="shared" si="328"/>
        <v>NO APLICA</v>
      </c>
      <c r="IB71" s="2"/>
      <c r="IC71" s="6"/>
      <c r="ID71" s="4"/>
      <c r="IE71" s="8"/>
      <c r="IF71" s="5" t="str">
        <f t="shared" si="329"/>
        <v>NO APLICA</v>
      </c>
      <c r="IG71" s="6"/>
      <c r="IH71" s="6"/>
      <c r="II71" s="4"/>
      <c r="IJ71" s="8"/>
      <c r="IK71" s="5" t="str">
        <f t="shared" si="330"/>
        <v>NO APLICA</v>
      </c>
      <c r="IL71" s="2"/>
      <c r="IM71" s="6"/>
      <c r="IN71" s="4"/>
      <c r="IO71" s="8"/>
      <c r="IP71" s="5" t="str">
        <f t="shared" si="331"/>
        <v>NO APLICA</v>
      </c>
      <c r="IQ71" s="2"/>
      <c r="IR71" s="6"/>
      <c r="IS71" s="4"/>
      <c r="IT71" s="8"/>
      <c r="IU71" s="5" t="str">
        <f t="shared" si="332"/>
        <v>NO APLICA</v>
      </c>
      <c r="IV71" s="2"/>
      <c r="IW71" s="6"/>
      <c r="IX71" s="4"/>
      <c r="IY71" s="8"/>
      <c r="IZ71" s="5" t="str">
        <f t="shared" si="333"/>
        <v>NO APLICA</v>
      </c>
      <c r="JA71" s="3"/>
      <c r="JB71" s="3"/>
      <c r="JC71" s="4"/>
      <c r="JD71" s="8"/>
      <c r="JE71" s="5" t="str">
        <f t="shared" si="334"/>
        <v>NO APLICA</v>
      </c>
      <c r="JF71" s="6"/>
      <c r="JG71" s="6"/>
      <c r="JH71" s="6"/>
      <c r="JI71" s="6"/>
      <c r="JJ71" s="5" t="str">
        <f t="shared" si="335"/>
        <v>NO APLICA</v>
      </c>
      <c r="JK71" s="6"/>
      <c r="JL71" s="6"/>
      <c r="JM71" s="6"/>
      <c r="JN71" s="6"/>
      <c r="JO71" s="5" t="str">
        <f t="shared" si="336"/>
        <v>NO APLICA</v>
      </c>
      <c r="JP71" s="6"/>
      <c r="JQ71" s="6"/>
      <c r="JR71" s="6"/>
      <c r="JS71" s="6"/>
      <c r="JT71" s="5" t="str">
        <f t="shared" si="337"/>
        <v>NO APLICA</v>
      </c>
      <c r="JU71" s="5"/>
      <c r="JV71" s="5"/>
      <c r="JW71" s="5"/>
      <c r="JX71" s="5"/>
      <c r="JY71" s="5" t="str">
        <f t="shared" si="338"/>
        <v>NO APLICA</v>
      </c>
      <c r="JZ71" s="5"/>
      <c r="KA71" s="2"/>
      <c r="KB71" s="4"/>
      <c r="KC71" s="8"/>
      <c r="KD71" s="5" t="str">
        <f t="shared" si="339"/>
        <v>NO APLICA</v>
      </c>
      <c r="KE71" s="5"/>
      <c r="KF71" s="2"/>
      <c r="KG71" s="4"/>
      <c r="KH71" s="8"/>
      <c r="KI71" s="5" t="str">
        <f t="shared" si="365"/>
        <v>NO APLICA</v>
      </c>
      <c r="KJ71" s="5"/>
      <c r="KK71" s="2"/>
      <c r="KL71" s="4"/>
      <c r="KM71" s="8"/>
      <c r="KN71" s="5" t="str">
        <f t="shared" si="340"/>
        <v>NO APLICA</v>
      </c>
      <c r="KO71" s="5"/>
      <c r="KP71" s="2"/>
      <c r="KQ71" s="4"/>
      <c r="KR71" s="8"/>
      <c r="KS71" s="5" t="str">
        <f t="shared" si="366"/>
        <v>NO APLICA</v>
      </c>
      <c r="KT71" s="2"/>
      <c r="KU71" s="6"/>
      <c r="KV71" s="4"/>
      <c r="KW71" s="8"/>
      <c r="KX71" s="5" t="str">
        <f t="shared" si="375"/>
        <v>NO APLICA</v>
      </c>
      <c r="KY71" s="5"/>
      <c r="KZ71" s="6"/>
      <c r="LA71" s="4"/>
      <c r="LB71" s="8"/>
      <c r="LC71" s="5" t="str">
        <f t="shared" si="367"/>
        <v>NO APLICA</v>
      </c>
      <c r="LD71" s="6"/>
      <c r="LE71" s="6"/>
      <c r="LF71" s="4"/>
      <c r="LG71" s="8"/>
      <c r="LH71" s="5" t="str">
        <f t="shared" si="341"/>
        <v>NO APLICA</v>
      </c>
      <c r="LI71" s="5"/>
      <c r="LJ71" s="5"/>
      <c r="LK71" s="4"/>
      <c r="LL71" s="8"/>
      <c r="LM71" s="5" t="str">
        <f t="shared" si="376"/>
        <v>NO APLICA</v>
      </c>
      <c r="LN71" s="2"/>
      <c r="LO71" s="6"/>
      <c r="LP71" s="4"/>
      <c r="LQ71" s="8"/>
      <c r="LR71" s="5" t="str">
        <f t="shared" si="368"/>
        <v>NO APLICA</v>
      </c>
      <c r="LS71" s="6"/>
      <c r="LT71" s="6"/>
      <c r="LU71" s="4"/>
      <c r="LV71" s="8"/>
      <c r="LW71" s="5" t="str">
        <f t="shared" si="369"/>
        <v>NO APLICA</v>
      </c>
      <c r="LX71" s="6"/>
      <c r="LY71" s="6"/>
      <c r="LZ71" s="4"/>
      <c r="MA71" s="8"/>
      <c r="MB71" s="5" t="str">
        <f t="shared" si="370"/>
        <v>NO APLICA</v>
      </c>
      <c r="MC71" s="2"/>
      <c r="MD71" s="2"/>
      <c r="ME71" s="4"/>
      <c r="MF71" s="8"/>
      <c r="MG71" s="5" t="str">
        <f t="shared" si="342"/>
        <v>NO APLICA</v>
      </c>
      <c r="MH71" s="2"/>
      <c r="MI71" s="2"/>
      <c r="MJ71" s="4"/>
      <c r="MK71" s="8"/>
      <c r="ML71" s="5" t="str">
        <f t="shared" si="343"/>
        <v>NO APLICA</v>
      </c>
      <c r="MM71" s="5"/>
      <c r="MN71" s="2"/>
      <c r="MO71" s="4"/>
      <c r="MP71" s="8"/>
      <c r="MQ71" s="5" t="str">
        <f t="shared" si="344"/>
        <v>NO APLICA</v>
      </c>
      <c r="MR71" s="5"/>
      <c r="MS71" s="2"/>
      <c r="MT71" s="4"/>
      <c r="MU71" s="2"/>
      <c r="MV71" s="5" t="str">
        <f t="shared" si="345"/>
        <v>NO APLICA</v>
      </c>
      <c r="MW71" s="2"/>
      <c r="MX71" s="6"/>
      <c r="MY71" s="4"/>
      <c r="MZ71" s="8"/>
      <c r="NA71" s="5" t="str">
        <f t="shared" si="346"/>
        <v>NO APLICA</v>
      </c>
      <c r="NB71" s="2"/>
      <c r="NC71" s="6"/>
      <c r="ND71" s="4"/>
      <c r="NE71" s="8"/>
      <c r="NF71" s="5" t="str">
        <f t="shared" si="347"/>
        <v>NO APLICA</v>
      </c>
      <c r="NG71" s="2"/>
      <c r="NH71" s="6"/>
      <c r="NI71" s="4"/>
      <c r="NJ71" s="8"/>
      <c r="NK71" s="5" t="str">
        <f t="shared" si="348"/>
        <v>NO APLICA</v>
      </c>
      <c r="NL71" s="2"/>
      <c r="NM71" s="2"/>
      <c r="NN71" s="4"/>
      <c r="NO71" s="8"/>
      <c r="NP71" s="5" t="str">
        <f t="shared" si="349"/>
        <v>NO APLICA</v>
      </c>
      <c r="NQ71" s="2"/>
      <c r="NR71" s="2"/>
      <c r="NS71" s="4"/>
      <c r="NT71" s="2"/>
      <c r="NU71" s="5" t="str">
        <f t="shared" si="350"/>
        <v>NO APLICA</v>
      </c>
      <c r="NV71" s="6"/>
      <c r="NW71" s="6"/>
      <c r="NX71" s="4"/>
      <c r="NY71" s="8"/>
      <c r="NZ71" s="5" t="str">
        <f t="shared" si="351"/>
        <v>NO APLICA</v>
      </c>
      <c r="OA71" s="6"/>
      <c r="OB71" s="6"/>
      <c r="OC71" s="6"/>
      <c r="OD71" s="6"/>
      <c r="OE71" s="5" t="str">
        <f t="shared" si="352"/>
        <v>NO APLICA</v>
      </c>
      <c r="OF71" s="2"/>
      <c r="OG71" s="2"/>
      <c r="OH71" s="4"/>
      <c r="OI71" s="8"/>
      <c r="OJ71" s="5" t="str">
        <f t="shared" si="353"/>
        <v>NO APLICA</v>
      </c>
      <c r="OK71" s="6"/>
      <c r="OL71" s="6"/>
      <c r="OM71" s="6"/>
      <c r="ON71" s="6"/>
      <c r="OO71" s="5" t="str">
        <f t="shared" si="354"/>
        <v>NO APLICA</v>
      </c>
      <c r="OP71" s="6"/>
      <c r="OQ71" s="6"/>
      <c r="OR71" s="6"/>
      <c r="OS71" s="6"/>
      <c r="OT71" s="5" t="str">
        <f t="shared" si="355"/>
        <v>NO APLICA</v>
      </c>
      <c r="OU71" s="6"/>
      <c r="OV71" s="6"/>
      <c r="OW71" s="6"/>
      <c r="OX71" s="6"/>
      <c r="OY71" s="5" t="str">
        <f t="shared" si="356"/>
        <v>NO APLICA</v>
      </c>
      <c r="OZ71" s="6"/>
      <c r="PA71" s="6"/>
      <c r="PB71" s="6"/>
      <c r="PC71" s="6"/>
      <c r="PD71" s="5" t="str">
        <f t="shared" si="357"/>
        <v>NO APLICA</v>
      </c>
      <c r="PE71" s="6"/>
      <c r="PF71" s="6"/>
      <c r="PG71" s="6"/>
      <c r="PH71" s="6"/>
      <c r="PI71" s="5" t="str">
        <f t="shared" si="358"/>
        <v>NO APLICA</v>
      </c>
      <c r="PJ71" s="5"/>
      <c r="PK71" s="6"/>
      <c r="PL71" s="4"/>
      <c r="PM71" s="8"/>
      <c r="PN71" s="5" t="str">
        <f t="shared" si="359"/>
        <v>NO APLICA</v>
      </c>
      <c r="PO71" s="6"/>
      <c r="PP71" s="6"/>
      <c r="PQ71" s="6"/>
      <c r="PR71" s="6"/>
      <c r="PS71" s="5" t="str">
        <f t="shared" si="360"/>
        <v>NO APLICA</v>
      </c>
      <c r="PT71" s="5"/>
      <c r="PU71" s="6"/>
      <c r="PV71" s="6"/>
      <c r="PW71" s="6"/>
      <c r="PX71" s="5" t="str">
        <f t="shared" si="361"/>
        <v>NO APLICA</v>
      </c>
    </row>
    <row r="72" spans="1:440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273</v>
      </c>
      <c r="V72" s="4">
        <v>45401</v>
      </c>
      <c r="W72" s="4">
        <f t="shared" si="248"/>
        <v>47227</v>
      </c>
      <c r="X72" s="8">
        <f t="shared" ca="1" si="249"/>
        <v>1093</v>
      </c>
      <c r="Y72" s="5" t="str">
        <f t="shared" ca="1" si="250"/>
        <v>VIGENTE</v>
      </c>
      <c r="Z72" s="2" t="s">
        <v>274</v>
      </c>
      <c r="AA72" s="4">
        <v>44579</v>
      </c>
      <c r="AB72" s="4">
        <f>DATE(YEAR(AA72)+5,MONTH(AA72),DAY(AA72))</f>
        <v>46405</v>
      </c>
      <c r="AC72" s="8">
        <f ca="1">AB72-TODAY()</f>
        <v>271</v>
      </c>
      <c r="AD72" s="5" t="str">
        <f t="shared" ca="1" si="251"/>
        <v>VIGENTE</v>
      </c>
      <c r="AE72" s="3"/>
      <c r="AF72" s="4">
        <v>45680</v>
      </c>
      <c r="AG72" s="4">
        <f>DATE(YEAR(AF72)+2,MONTH(AF72),DAY(AF72)-1)</f>
        <v>46409</v>
      </c>
      <c r="AH72" s="8">
        <f t="shared" ca="1" si="252"/>
        <v>275</v>
      </c>
      <c r="AI72" s="5" t="str">
        <f t="shared" ca="1" si="224"/>
        <v>VIGENTE</v>
      </c>
      <c r="AJ72" s="3"/>
      <c r="AK72" s="4">
        <v>45959</v>
      </c>
      <c r="AL72" s="4">
        <f t="shared" si="245"/>
        <v>46689</v>
      </c>
      <c r="AM72" s="8">
        <f t="shared" ca="1" si="253"/>
        <v>555</v>
      </c>
      <c r="AN72" s="5" t="str">
        <f t="shared" ca="1" si="254"/>
        <v>VIGENTE</v>
      </c>
      <c r="AO72" s="3"/>
      <c r="AP72" s="4">
        <v>45904</v>
      </c>
      <c r="AQ72" s="4">
        <f t="shared" si="241"/>
        <v>46634</v>
      </c>
      <c r="AR72" s="8">
        <f t="shared" ca="1" si="255"/>
        <v>500</v>
      </c>
      <c r="AS72" s="5" t="str">
        <f t="shared" ca="1" si="256"/>
        <v>VIGENTE</v>
      </c>
      <c r="AT72" s="3"/>
      <c r="AU72" s="4">
        <v>45972</v>
      </c>
      <c r="AV72" s="4">
        <f t="shared" si="236"/>
        <v>46702</v>
      </c>
      <c r="AW72" s="8">
        <f t="shared" ca="1" si="257"/>
        <v>568</v>
      </c>
      <c r="AX72" s="5" t="str">
        <f t="shared" ca="1" si="258"/>
        <v>VIGENTE</v>
      </c>
      <c r="AY72" s="3"/>
      <c r="AZ72" s="4">
        <v>45454</v>
      </c>
      <c r="BA72" s="4">
        <f t="shared" si="371"/>
        <v>46183</v>
      </c>
      <c r="BB72" s="8">
        <f t="shared" ca="1" si="259"/>
        <v>49</v>
      </c>
      <c r="BC72" s="5" t="str">
        <f t="shared" ca="1" si="260"/>
        <v>POR VENCER</v>
      </c>
      <c r="BD72" s="3"/>
      <c r="BE72" s="4">
        <v>46067</v>
      </c>
      <c r="BF72" s="4">
        <f>DATE(YEAR(BE72)+2,MONTH(BE72),DAY(BE72))</f>
        <v>46797</v>
      </c>
      <c r="BG72" s="8">
        <f t="shared" ca="1" si="261"/>
        <v>663</v>
      </c>
      <c r="BH72" s="5" t="str">
        <f t="shared" ca="1" si="262"/>
        <v>VIGENTE</v>
      </c>
      <c r="BI72" s="3"/>
      <c r="BJ72" s="4">
        <v>46065</v>
      </c>
      <c r="BK72" s="4">
        <f>DATE(YEAR(BJ72)+2,MONTH(BJ72),DAY(BJ72))</f>
        <v>46795</v>
      </c>
      <c r="BL72" s="8">
        <f t="shared" ca="1" si="263"/>
        <v>661</v>
      </c>
      <c r="BM72" s="5" t="str">
        <f t="shared" ca="1" si="264"/>
        <v>VIGENTE</v>
      </c>
      <c r="BN72" s="3"/>
      <c r="BO72" s="4">
        <v>45447</v>
      </c>
      <c r="BP72" s="4">
        <f>DATE(YEAR(BO72)+2,MONTH(BO72),DAY(BO72)-1)</f>
        <v>46176</v>
      </c>
      <c r="BQ72" s="8">
        <f t="shared" ca="1" si="265"/>
        <v>42</v>
      </c>
      <c r="BR72" s="5" t="str">
        <f t="shared" ca="1" si="266"/>
        <v>POR VENCER</v>
      </c>
      <c r="BS72" s="3"/>
      <c r="BT72" s="4">
        <v>46063</v>
      </c>
      <c r="BU72" s="4">
        <f>DATE(YEAR(BT72)+2,MONTH(BT72),DAY(BT72))</f>
        <v>46793</v>
      </c>
      <c r="BV72" s="8">
        <f t="shared" ca="1" si="267"/>
        <v>659</v>
      </c>
      <c r="BW72" s="5" t="str">
        <f t="shared" ca="1" si="268"/>
        <v>VIGENTE</v>
      </c>
      <c r="BX72" s="3"/>
      <c r="BY72" s="4">
        <v>45480</v>
      </c>
      <c r="BZ72" s="4">
        <f>DATE(YEAR(BY72)+2,MONTH(BY72),DAY(BY72)-1)</f>
        <v>46209</v>
      </c>
      <c r="CA72" s="8">
        <f t="shared" ca="1" si="269"/>
        <v>75</v>
      </c>
      <c r="CB72" s="5" t="str">
        <f t="shared" ca="1" si="270"/>
        <v>POR VENCER</v>
      </c>
      <c r="CC72" s="6" t="s">
        <v>73</v>
      </c>
      <c r="CD72" s="4">
        <v>45227</v>
      </c>
      <c r="CE72" s="4">
        <f t="shared" si="271"/>
        <v>46688</v>
      </c>
      <c r="CF72" s="8">
        <f t="shared" ca="1" si="272"/>
        <v>554</v>
      </c>
      <c r="CG72" s="5" t="str">
        <f t="shared" ca="1" si="273"/>
        <v>VIGENTE</v>
      </c>
      <c r="CH72" s="4"/>
      <c r="CI72" s="4">
        <v>45929</v>
      </c>
      <c r="CJ72" s="4">
        <f>DATE(YEAR(CI72)+2,MONTH(CI72),DAY(CI72))</f>
        <v>46659</v>
      </c>
      <c r="CK72" s="8">
        <f t="shared" ca="1" si="274"/>
        <v>525</v>
      </c>
      <c r="CL72" s="5" t="str">
        <f t="shared" ca="1" si="275"/>
        <v>VIGENTE</v>
      </c>
      <c r="CM72" s="3"/>
      <c r="CN72" s="4">
        <v>45513</v>
      </c>
      <c r="CO72" s="4">
        <f t="shared" ref="CO72:CO80" si="377">DATE(YEAR(CN72)+2,MONTH(CN72),DAY(CN72)-1)</f>
        <v>46242</v>
      </c>
      <c r="CP72" s="8">
        <f t="shared" ca="1" si="276"/>
        <v>108</v>
      </c>
      <c r="CQ72" s="5" t="str">
        <f t="shared" ca="1" si="277"/>
        <v>VIGENTE</v>
      </c>
      <c r="CR72" s="3"/>
      <c r="CS72" s="4">
        <v>45631</v>
      </c>
      <c r="CT72" s="4">
        <f t="shared" ref="CT72:CT77" si="378">DATE(YEAR(CS72)+2,MONTH(CS72),DAY(CS72)-1)</f>
        <v>46360</v>
      </c>
      <c r="CU72" s="8">
        <f t="shared" ca="1" si="278"/>
        <v>226</v>
      </c>
      <c r="CV72" s="5" t="str">
        <f t="shared" ca="1" si="279"/>
        <v>VIGENTE</v>
      </c>
      <c r="CW72" s="3"/>
      <c r="CX72" s="4">
        <v>45661</v>
      </c>
      <c r="CY72" s="4">
        <f t="shared" ref="CY72:CY77" si="379">DATE(YEAR(CX72)+2,MONTH(CX72),DAY(CX72)-1)</f>
        <v>46390</v>
      </c>
      <c r="CZ72" s="8">
        <f t="shared" ca="1" si="280"/>
        <v>256</v>
      </c>
      <c r="DA72" s="5" t="str">
        <f t="shared" ca="1" si="281"/>
        <v>VIGENTE</v>
      </c>
      <c r="DB72" s="3"/>
      <c r="DC72" s="4">
        <v>45596</v>
      </c>
      <c r="DD72" s="4">
        <f>DATE(YEAR(DC72)+2,MONTH(DC72),DAY(DC72)-1)</f>
        <v>46325</v>
      </c>
      <c r="DE72" s="8">
        <f t="shared" ca="1" si="282"/>
        <v>191</v>
      </c>
      <c r="DF72" s="5" t="str">
        <f t="shared" ca="1" si="283"/>
        <v>VIGENTE</v>
      </c>
      <c r="DG72" s="3"/>
      <c r="DH72" s="4">
        <v>45779</v>
      </c>
      <c r="DI72" s="4">
        <f t="shared" si="244"/>
        <v>46509</v>
      </c>
      <c r="DJ72" s="8">
        <f t="shared" ca="1" si="284"/>
        <v>375</v>
      </c>
      <c r="DK72" s="5" t="str">
        <f t="shared" ca="1" si="285"/>
        <v>VIGENTE</v>
      </c>
      <c r="DL72" s="3"/>
      <c r="DM72" s="4">
        <v>45982</v>
      </c>
      <c r="DN72" s="4">
        <f>DATE(YEAR(DM72)+2,MONTH(DM72),DAY(DM72))</f>
        <v>46712</v>
      </c>
      <c r="DO72" s="8">
        <f t="shared" ca="1" si="286"/>
        <v>578</v>
      </c>
      <c r="DP72" s="5" t="str">
        <f t="shared" ca="1" si="287"/>
        <v>VIGENTE</v>
      </c>
      <c r="DQ72" s="3"/>
      <c r="DR72" s="4">
        <v>46053</v>
      </c>
      <c r="DS72" s="4">
        <f>DATE(YEAR(DR72)+2,MONTH(DR72),DAY(DR72))</f>
        <v>46783</v>
      </c>
      <c r="DT72" s="8">
        <f t="shared" ca="1" si="288"/>
        <v>649</v>
      </c>
      <c r="DU72" s="5" t="str">
        <f t="shared" ca="1" si="289"/>
        <v>VIGENTE</v>
      </c>
      <c r="DV72" s="3"/>
      <c r="DW72" s="4">
        <v>45663</v>
      </c>
      <c r="DX72" s="4">
        <f t="shared" si="363"/>
        <v>46392</v>
      </c>
      <c r="DY72" s="8">
        <f t="shared" ca="1" si="290"/>
        <v>258</v>
      </c>
      <c r="DZ72" s="5" t="str">
        <f t="shared" ca="1" si="291"/>
        <v>VIGENTE</v>
      </c>
      <c r="EA72" s="3"/>
      <c r="EB72" s="4">
        <v>45674</v>
      </c>
      <c r="EC72" s="4">
        <f>DATE(YEAR(EB72)+2,MONTH(EB72),DAY(EB72)-1)</f>
        <v>46403</v>
      </c>
      <c r="ED72" s="8">
        <f t="shared" ca="1" si="292"/>
        <v>269</v>
      </c>
      <c r="EE72" s="5" t="str">
        <f t="shared" ca="1" si="293"/>
        <v>VIGENTE</v>
      </c>
      <c r="EF72" s="3"/>
      <c r="EG72" s="4">
        <v>45808</v>
      </c>
      <c r="EH72" s="4">
        <f t="shared" si="364"/>
        <v>46173</v>
      </c>
      <c r="EI72" s="8">
        <f t="shared" ca="1" si="294"/>
        <v>39</v>
      </c>
      <c r="EJ72" s="5" t="str">
        <f t="shared" ca="1" si="295"/>
        <v>POR VENCER</v>
      </c>
      <c r="EK72" s="3"/>
      <c r="EL72" s="4">
        <v>45660</v>
      </c>
      <c r="EM72" s="4">
        <f t="shared" ref="EM72:EM81" si="380">DATE(YEAR(EL72)+2,MONTH(EL72),DAY(EL72)-1)</f>
        <v>46389</v>
      </c>
      <c r="EN72" s="8">
        <f t="shared" ca="1" si="296"/>
        <v>255</v>
      </c>
      <c r="EO72" s="5" t="str">
        <f t="shared" ca="1" si="297"/>
        <v>VIGENTE</v>
      </c>
      <c r="EP72" s="3"/>
      <c r="EQ72" s="4">
        <v>45467</v>
      </c>
      <c r="ER72" s="4">
        <f t="shared" si="372"/>
        <v>46196</v>
      </c>
      <c r="ES72" s="8">
        <f t="shared" ca="1" si="298"/>
        <v>62</v>
      </c>
      <c r="ET72" s="5" t="str">
        <f t="shared" ca="1" si="299"/>
        <v>POR VENCER</v>
      </c>
      <c r="EU72" s="3"/>
      <c r="EV72" s="4">
        <v>45694</v>
      </c>
      <c r="EW72" s="4">
        <f>DATE(YEAR(EV72)+2,MONTH(EV72),DAY(EV72)-1)</f>
        <v>46423</v>
      </c>
      <c r="EX72" s="8">
        <f t="shared" ca="1" si="300"/>
        <v>289</v>
      </c>
      <c r="EY72" s="5" t="str">
        <f t="shared" ca="1" si="301"/>
        <v>VIGENTE</v>
      </c>
      <c r="EZ72" s="3"/>
      <c r="FA72" s="4">
        <v>45632</v>
      </c>
      <c r="FB72" s="4">
        <f>DATE(YEAR(FA72)+2,MONTH(FA72),DAY(FA72)-1)</f>
        <v>46361</v>
      </c>
      <c r="FC72" s="8">
        <f t="shared" ca="1" si="302"/>
        <v>227</v>
      </c>
      <c r="FD72" s="5" t="str">
        <f t="shared" ca="1" si="303"/>
        <v>VIGENTE</v>
      </c>
      <c r="FE72" s="3"/>
      <c r="FF72" s="4">
        <v>45722</v>
      </c>
      <c r="FG72" s="4">
        <f t="shared" si="240"/>
        <v>46452</v>
      </c>
      <c r="FH72" s="8">
        <f t="shared" ca="1" si="304"/>
        <v>318</v>
      </c>
      <c r="FI72" s="5" t="str">
        <f t="shared" ca="1" si="305"/>
        <v>VIGENTE</v>
      </c>
      <c r="FJ72" s="3"/>
      <c r="FK72" s="4">
        <v>45576</v>
      </c>
      <c r="FL72" s="4">
        <f t="shared" si="373"/>
        <v>46305</v>
      </c>
      <c r="FM72" s="8">
        <f t="shared" ca="1" si="306"/>
        <v>171</v>
      </c>
      <c r="FN72" s="5" t="str">
        <f t="shared" ca="1" si="307"/>
        <v>VIGENTE</v>
      </c>
      <c r="FO72" s="3"/>
      <c r="FP72" s="4">
        <v>45678</v>
      </c>
      <c r="FQ72" s="4">
        <f t="shared" ref="FQ72:FQ80" si="381">DATE(YEAR(FP72)+2,MONTH(FP72),DAY(FP72)-1)</f>
        <v>46407</v>
      </c>
      <c r="FR72" s="8">
        <f t="shared" ca="1" si="308"/>
        <v>273</v>
      </c>
      <c r="FS72" s="5" t="str">
        <f t="shared" ca="1" si="309"/>
        <v>VIGENTE</v>
      </c>
      <c r="FT72" s="3"/>
      <c r="FU72" s="4">
        <v>45587</v>
      </c>
      <c r="FV72" s="4">
        <f>DATE(YEAR(FU72)+2,MONTH(FU72),DAY(FU72)-1)</f>
        <v>46316</v>
      </c>
      <c r="FW72" s="8">
        <f t="shared" ca="1" si="310"/>
        <v>182</v>
      </c>
      <c r="FX72" s="5" t="str">
        <f t="shared" ca="1" si="311"/>
        <v>VIGENTE</v>
      </c>
      <c r="FY72" s="3"/>
      <c r="FZ72" s="4">
        <v>45469</v>
      </c>
      <c r="GA72" s="4">
        <f t="shared" si="374"/>
        <v>46198</v>
      </c>
      <c r="GB72" s="8">
        <f t="shared" ca="1" si="312"/>
        <v>64</v>
      </c>
      <c r="GC72" s="5" t="str">
        <f t="shared" ca="1" si="313"/>
        <v>POR VENCER</v>
      </c>
      <c r="GD72" s="3"/>
      <c r="GE72" s="4">
        <v>45716</v>
      </c>
      <c r="GF72" s="4">
        <f>DATE(YEAR(GE72)+2,MONTH(GE72),DAY(GE72)-1)</f>
        <v>46445</v>
      </c>
      <c r="GG72" s="8">
        <f t="shared" ca="1" si="314"/>
        <v>311</v>
      </c>
      <c r="GH72" s="5" t="str">
        <f t="shared" ca="1" si="315"/>
        <v>VIGENTE</v>
      </c>
      <c r="GI72" s="3"/>
      <c r="GJ72" s="4">
        <v>45923</v>
      </c>
      <c r="GK72" s="4">
        <f>DATE(YEAR(GJ72)+2,MONTH(GJ72),DAY(GJ72))</f>
        <v>46653</v>
      </c>
      <c r="GL72" s="8">
        <f t="shared" ca="1" si="316"/>
        <v>519</v>
      </c>
      <c r="GM72" s="5" t="str">
        <f t="shared" ca="1" si="317"/>
        <v>VIGENTE</v>
      </c>
      <c r="GN72" s="4"/>
      <c r="GO72" s="4">
        <v>45224</v>
      </c>
      <c r="GP72" s="4">
        <f t="shared" si="318"/>
        <v>47051</v>
      </c>
      <c r="GQ72" s="8">
        <f t="shared" ca="1" si="181"/>
        <v>917</v>
      </c>
      <c r="GR72" s="5" t="str">
        <f t="shared" ca="1" si="319"/>
        <v>VIGENTE</v>
      </c>
      <c r="GS72" s="3"/>
      <c r="GT72" s="4">
        <v>44952</v>
      </c>
      <c r="GU72" s="4">
        <f t="shared" si="320"/>
        <v>46778</v>
      </c>
      <c r="GV72" s="8">
        <f t="shared" ca="1" si="321"/>
        <v>644</v>
      </c>
      <c r="GW72" s="5" t="str">
        <f t="shared" ca="1" si="322"/>
        <v>VIGENTE</v>
      </c>
      <c r="GX72" s="3"/>
      <c r="GY72" s="4">
        <v>45251</v>
      </c>
      <c r="GZ72" s="4">
        <f t="shared" si="323"/>
        <v>47078</v>
      </c>
      <c r="HA72" s="8">
        <f t="shared" ca="1" si="324"/>
        <v>944</v>
      </c>
      <c r="HB72" s="5" t="str">
        <f t="shared" ca="1" si="325"/>
        <v>VIGENTE</v>
      </c>
      <c r="HC72" s="6"/>
      <c r="HD72" s="4">
        <v>44887</v>
      </c>
      <c r="HE72" s="4">
        <f t="shared" ref="HE72:HE83" si="382">DATE(YEAR(HD72)+5,MONTH(HD72),DAY(HD72))</f>
        <v>46713</v>
      </c>
      <c r="HF72" s="8">
        <f t="shared" ref="HF72:HF83" ca="1" si="383">HE72-TODAY()</f>
        <v>579</v>
      </c>
      <c r="HG72" s="5" t="str">
        <f t="shared" ca="1" si="228"/>
        <v>VIGENTE</v>
      </c>
      <c r="HH72" s="3"/>
      <c r="HI72" s="4">
        <v>45414</v>
      </c>
      <c r="HJ72" s="4">
        <f>DATE(YEAR(HI72)+5,MONTH(HI72),DAY(HI72))</f>
        <v>47240</v>
      </c>
      <c r="HK72" s="8">
        <f ca="1">HJ72-TODAY()</f>
        <v>1106</v>
      </c>
      <c r="HL72" s="5" t="str">
        <f t="shared" ca="1" si="232"/>
        <v>VIGENTE</v>
      </c>
      <c r="HM72" s="2"/>
      <c r="HN72" s="2"/>
      <c r="HO72" s="4"/>
      <c r="HP72" s="2"/>
      <c r="HQ72" s="5" t="str">
        <f t="shared" si="326"/>
        <v>NO APLICA</v>
      </c>
      <c r="HR72" s="3"/>
      <c r="HS72" s="4">
        <v>45243</v>
      </c>
      <c r="HT72" s="4">
        <f>DATE(YEAR(HS72)+5,MONTH(HS72),DAY(HS72))</f>
        <v>47070</v>
      </c>
      <c r="HU72" s="8">
        <f ca="1">HT72-TODAY()</f>
        <v>936</v>
      </c>
      <c r="HV72" s="5" t="str">
        <f t="shared" ca="1" si="327"/>
        <v>VIGENTE</v>
      </c>
      <c r="HW72" s="3"/>
      <c r="HX72" s="4">
        <v>45234</v>
      </c>
      <c r="HY72" s="4">
        <f>DATE(YEAR(HX72)+5,MONTH(HX72),DAY(HX72))</f>
        <v>47061</v>
      </c>
      <c r="HZ72" s="8">
        <f ca="1">HY72-TODAY()</f>
        <v>927</v>
      </c>
      <c r="IA72" s="5" t="str">
        <f t="shared" ca="1" si="328"/>
        <v>VIGENTE</v>
      </c>
      <c r="IB72" s="3"/>
      <c r="IC72" s="4">
        <v>45236</v>
      </c>
      <c r="ID72" s="4">
        <f>DATE(YEAR(IC72)+5,MONTH(IC72),DAY(IC72))</f>
        <v>47063</v>
      </c>
      <c r="IE72" s="8">
        <f ca="1">ID72-TODAY()</f>
        <v>929</v>
      </c>
      <c r="IF72" s="5" t="str">
        <f t="shared" ca="1" si="329"/>
        <v>VIGENTE</v>
      </c>
      <c r="IG72" s="4"/>
      <c r="IH72" s="4">
        <v>45476</v>
      </c>
      <c r="II72" s="4">
        <f>DATE(YEAR(IH72)+5,MONTH(IH72),DAY(IH72))</f>
        <v>47302</v>
      </c>
      <c r="IJ72" s="8">
        <f ca="1">II72-TODAY()</f>
        <v>1168</v>
      </c>
      <c r="IK72" s="5" t="str">
        <f t="shared" ca="1" si="330"/>
        <v>VIGENTE</v>
      </c>
      <c r="IL72" s="3"/>
      <c r="IM72" s="4">
        <v>45490</v>
      </c>
      <c r="IN72" s="4">
        <f>DATE(YEAR(IM72)+5,MONTH(IM72),DAY(IM72))</f>
        <v>47316</v>
      </c>
      <c r="IO72" s="8">
        <f ca="1">IN72-TODAY()</f>
        <v>1182</v>
      </c>
      <c r="IP72" s="5" t="str">
        <f t="shared" ca="1" si="331"/>
        <v>VIGENTE</v>
      </c>
      <c r="IQ72" s="3"/>
      <c r="IR72" s="4">
        <v>45233</v>
      </c>
      <c r="IS72" s="4">
        <f>DATE(YEAR(IR72)+5,MONTH(IR72),DAY(IR72))</f>
        <v>47060</v>
      </c>
      <c r="IT72" s="8">
        <f ca="1">IS72-TODAY()</f>
        <v>926</v>
      </c>
      <c r="IU72" s="5" t="str">
        <f t="shared" ca="1" si="332"/>
        <v>VIGENTE</v>
      </c>
      <c r="IV72" s="3"/>
      <c r="IW72" s="4">
        <v>45257</v>
      </c>
      <c r="IX72" s="4">
        <f>DATE(YEAR(IW72)+5,MONTH(IW72),DAY(IW72))</f>
        <v>47084</v>
      </c>
      <c r="IY72" s="8">
        <f ca="1">IX72-TODAY()</f>
        <v>950</v>
      </c>
      <c r="IZ72" s="5" t="str">
        <f t="shared" ca="1" si="333"/>
        <v>VIGENTE</v>
      </c>
      <c r="JA72" s="3"/>
      <c r="JB72" s="3"/>
      <c r="JC72" s="4"/>
      <c r="JD72" s="8"/>
      <c r="JE72" s="5" t="str">
        <f t="shared" si="334"/>
        <v>NO APLICA</v>
      </c>
      <c r="JF72" s="6"/>
      <c r="JG72" s="6"/>
      <c r="JH72" s="6"/>
      <c r="JI72" s="6"/>
      <c r="JJ72" s="5" t="str">
        <f t="shared" si="335"/>
        <v>NO APLICA</v>
      </c>
      <c r="JK72" s="6"/>
      <c r="JL72" s="6"/>
      <c r="JM72" s="6"/>
      <c r="JN72" s="6"/>
      <c r="JO72" s="5" t="str">
        <f t="shared" si="336"/>
        <v>NO APLICA</v>
      </c>
      <c r="JP72" s="6"/>
      <c r="JQ72" s="6"/>
      <c r="JR72" s="6"/>
      <c r="JS72" s="6"/>
      <c r="JT72" s="5" t="str">
        <f t="shared" si="337"/>
        <v>NO APLICA</v>
      </c>
      <c r="JU72" s="5"/>
      <c r="JV72" s="5"/>
      <c r="JW72" s="5"/>
      <c r="JX72" s="5"/>
      <c r="JY72" s="5" t="str">
        <f t="shared" si="338"/>
        <v>NO APLICA</v>
      </c>
      <c r="JZ72" s="5"/>
      <c r="KA72" s="2"/>
      <c r="KB72" s="4"/>
      <c r="KC72" s="8"/>
      <c r="KD72" s="5" t="str">
        <f t="shared" si="339"/>
        <v>NO APLICA</v>
      </c>
      <c r="KE72" s="5"/>
      <c r="KF72" s="2"/>
      <c r="KG72" s="4"/>
      <c r="KH72" s="8"/>
      <c r="KI72" s="5" t="str">
        <f t="shared" si="365"/>
        <v>NO APLICA</v>
      </c>
      <c r="KJ72" s="5"/>
      <c r="KK72" s="2"/>
      <c r="KL72" s="4"/>
      <c r="KM72" s="8"/>
      <c r="KN72" s="5" t="str">
        <f t="shared" si="340"/>
        <v>NO APLICA</v>
      </c>
      <c r="KO72" s="5"/>
      <c r="KP72" s="2"/>
      <c r="KQ72" s="4"/>
      <c r="KR72" s="8"/>
      <c r="KS72" s="5" t="str">
        <f t="shared" si="366"/>
        <v>NO APLICA</v>
      </c>
      <c r="KT72" s="2"/>
      <c r="KU72" s="6"/>
      <c r="KV72" s="4"/>
      <c r="KW72" s="8"/>
      <c r="KX72" s="5" t="str">
        <f t="shared" si="375"/>
        <v>NO APLICA</v>
      </c>
      <c r="KY72" s="5"/>
      <c r="KZ72" s="6"/>
      <c r="LA72" s="4"/>
      <c r="LB72" s="8"/>
      <c r="LC72" s="5" t="str">
        <f t="shared" si="367"/>
        <v>NO APLICA</v>
      </c>
      <c r="LD72" s="6"/>
      <c r="LE72" s="4"/>
      <c r="LF72" s="4"/>
      <c r="LG72" s="8"/>
      <c r="LH72" s="5" t="str">
        <f t="shared" si="341"/>
        <v>NO APLICA</v>
      </c>
      <c r="LI72" s="5"/>
      <c r="LJ72" s="5"/>
      <c r="LK72" s="4"/>
      <c r="LL72" s="8"/>
      <c r="LM72" s="5" t="str">
        <f t="shared" si="376"/>
        <v>NO APLICA</v>
      </c>
      <c r="LN72" s="2"/>
      <c r="LO72" s="6"/>
      <c r="LP72" s="4"/>
      <c r="LQ72" s="8"/>
      <c r="LR72" s="5" t="str">
        <f t="shared" si="368"/>
        <v>NO APLICA</v>
      </c>
      <c r="LS72" s="4"/>
      <c r="LT72" s="4">
        <v>44986</v>
      </c>
      <c r="LU72" s="4">
        <f>DATE(YEAR(LT72)+5,MONTH(LT72),DAY(LT72))</f>
        <v>46813</v>
      </c>
      <c r="LV72" s="8">
        <f ca="1">LU72-TODAY()</f>
        <v>679</v>
      </c>
      <c r="LW72" s="5" t="str">
        <f t="shared" ca="1" si="369"/>
        <v>VIGENTE</v>
      </c>
      <c r="LX72" s="4"/>
      <c r="LY72" s="4">
        <v>44988</v>
      </c>
      <c r="LZ72" s="4">
        <f>DATE(YEAR(LY72)+5,MONTH(LY72),DAY(LY72))</f>
        <v>46815</v>
      </c>
      <c r="MA72" s="8">
        <f ca="1">LZ72-TODAY()</f>
        <v>681</v>
      </c>
      <c r="MB72" s="5" t="str">
        <f t="shared" ca="1" si="370"/>
        <v>VIGENTE</v>
      </c>
      <c r="MC72" s="2"/>
      <c r="MD72" s="2"/>
      <c r="ME72" s="4"/>
      <c r="MF72" s="8"/>
      <c r="MG72" s="5" t="str">
        <f t="shared" si="342"/>
        <v>NO APLICA</v>
      </c>
      <c r="MH72" s="2"/>
      <c r="MI72" s="2"/>
      <c r="MJ72" s="4"/>
      <c r="MK72" s="8"/>
      <c r="ML72" s="5" t="str">
        <f t="shared" si="343"/>
        <v>NO APLICA</v>
      </c>
      <c r="MM72" s="5"/>
      <c r="MN72" s="2"/>
      <c r="MO72" s="4"/>
      <c r="MP72" s="8"/>
      <c r="MQ72" s="5" t="str">
        <f t="shared" si="344"/>
        <v>NO APLICA</v>
      </c>
      <c r="MR72" s="5"/>
      <c r="MS72" s="2"/>
      <c r="MT72" s="4"/>
      <c r="MU72" s="2"/>
      <c r="MV72" s="5" t="str">
        <f t="shared" si="345"/>
        <v>NO APLICA</v>
      </c>
      <c r="MW72" s="2"/>
      <c r="MX72" s="6"/>
      <c r="MY72" s="4"/>
      <c r="MZ72" s="8"/>
      <c r="NA72" s="5" t="str">
        <f t="shared" si="346"/>
        <v>NO APLICA</v>
      </c>
      <c r="NB72" s="2"/>
      <c r="NC72" s="6"/>
      <c r="ND72" s="4"/>
      <c r="NE72" s="8"/>
      <c r="NF72" s="5" t="str">
        <f t="shared" si="347"/>
        <v>NO APLICA</v>
      </c>
      <c r="NG72" s="2"/>
      <c r="NH72" s="6"/>
      <c r="NI72" s="4"/>
      <c r="NJ72" s="8"/>
      <c r="NK72" s="5" t="str">
        <f t="shared" si="348"/>
        <v>NO APLICA</v>
      </c>
      <c r="NL72" s="2"/>
      <c r="NM72" s="2"/>
      <c r="NN72" s="4"/>
      <c r="NO72" s="8"/>
      <c r="NP72" s="5" t="str">
        <f t="shared" si="349"/>
        <v>NO APLICA</v>
      </c>
      <c r="NQ72" s="2"/>
      <c r="NR72" s="2"/>
      <c r="NS72" s="2"/>
      <c r="NT72" s="2"/>
      <c r="NU72" s="5" t="str">
        <f t="shared" si="350"/>
        <v>NO APLICA</v>
      </c>
      <c r="NV72" s="6"/>
      <c r="NW72" s="6"/>
      <c r="NX72" s="4"/>
      <c r="NY72" s="8"/>
      <c r="NZ72" s="5" t="str">
        <f t="shared" si="351"/>
        <v>NO APLICA</v>
      </c>
      <c r="OA72" s="6"/>
      <c r="OB72" s="6"/>
      <c r="OC72" s="6"/>
      <c r="OD72" s="6"/>
      <c r="OE72" s="5" t="str">
        <f t="shared" si="352"/>
        <v>NO APLICA</v>
      </c>
      <c r="OF72" s="2"/>
      <c r="OG72" s="2"/>
      <c r="OH72" s="4"/>
      <c r="OI72" s="8"/>
      <c r="OJ72" s="5" t="str">
        <f t="shared" si="353"/>
        <v>NO APLICA</v>
      </c>
      <c r="OK72" s="6"/>
      <c r="OL72" s="6"/>
      <c r="OM72" s="6"/>
      <c r="ON72" s="6"/>
      <c r="OO72" s="5" t="str">
        <f t="shared" si="354"/>
        <v>NO APLICA</v>
      </c>
      <c r="OP72" s="6"/>
      <c r="OQ72" s="6"/>
      <c r="OR72" s="6"/>
      <c r="OS72" s="6"/>
      <c r="OT72" s="5" t="str">
        <f t="shared" si="355"/>
        <v>NO APLICA</v>
      </c>
      <c r="OU72" s="6"/>
      <c r="OV72" s="6"/>
      <c r="OW72" s="6"/>
      <c r="OX72" s="6"/>
      <c r="OY72" s="5" t="str">
        <f t="shared" si="356"/>
        <v>NO APLICA</v>
      </c>
      <c r="OZ72" s="6"/>
      <c r="PA72" s="6"/>
      <c r="PB72" s="6"/>
      <c r="PC72" s="6"/>
      <c r="PD72" s="5" t="str">
        <f t="shared" si="357"/>
        <v>NO APLICA</v>
      </c>
      <c r="PE72" s="6"/>
      <c r="PF72" s="6"/>
      <c r="PG72" s="6"/>
      <c r="PH72" s="6"/>
      <c r="PI72" s="5" t="str">
        <f t="shared" si="358"/>
        <v>NO APLICA</v>
      </c>
      <c r="PJ72" s="5"/>
      <c r="PK72" s="6"/>
      <c r="PL72" s="4"/>
      <c r="PM72" s="8"/>
      <c r="PN72" s="5" t="str">
        <f t="shared" si="359"/>
        <v>NO APLICA</v>
      </c>
      <c r="PO72" s="6"/>
      <c r="PP72" s="6"/>
      <c r="PQ72" s="6"/>
      <c r="PR72" s="6"/>
      <c r="PS72" s="5" t="str">
        <f t="shared" si="360"/>
        <v>NO APLICA</v>
      </c>
      <c r="PT72" s="5"/>
      <c r="PU72" s="6"/>
      <c r="PV72" s="6"/>
      <c r="PW72" s="6"/>
      <c r="PX72" s="5" t="str">
        <f t="shared" si="361"/>
        <v>NO APLICA</v>
      </c>
    </row>
    <row r="73" spans="1:440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417</v>
      </c>
      <c r="T73" s="5" t="str">
        <f t="shared" ca="1" si="362"/>
        <v>VIGENTE</v>
      </c>
      <c r="U73" s="6" t="s">
        <v>276</v>
      </c>
      <c r="V73" s="4">
        <v>45693</v>
      </c>
      <c r="W73" s="4">
        <f t="shared" si="248"/>
        <v>47519</v>
      </c>
      <c r="X73" s="8">
        <f t="shared" ca="1" si="249"/>
        <v>1385</v>
      </c>
      <c r="Y73" s="5" t="str">
        <f t="shared" ca="1" si="250"/>
        <v>VIGENTE</v>
      </c>
      <c r="Z73" s="6"/>
      <c r="AA73" s="6"/>
      <c r="AB73" s="4"/>
      <c r="AC73" s="8"/>
      <c r="AD73" s="23" t="str">
        <f>IF(AC73&gt;=91,"VIGENTE",IF(AC73&gt;=1,"POR VENCER",IF(AC73&lt;=-1,"VENCIDA",IF(AA73=0,"PENDIENTE"))))</f>
        <v>PENDIENTE</v>
      </c>
      <c r="AE73" s="6"/>
      <c r="AF73" s="4">
        <v>45609</v>
      </c>
      <c r="AG73" s="4">
        <f>DATE(YEAR(AF73)+2,MONTH(AF73),DAY(AF73)-1)</f>
        <v>46338</v>
      </c>
      <c r="AH73" s="8">
        <f t="shared" ca="1" si="252"/>
        <v>204</v>
      </c>
      <c r="AI73" s="5" t="str">
        <f t="shared" ca="1" si="224"/>
        <v>VIGENTE</v>
      </c>
      <c r="AJ73" s="6"/>
      <c r="AK73" s="4">
        <v>45602</v>
      </c>
      <c r="AL73" s="4">
        <f>DATE(YEAR(AK73)+2,MONTH(AK73),DAY(AK73)-1)</f>
        <v>46331</v>
      </c>
      <c r="AM73" s="8">
        <f t="shared" ca="1" si="253"/>
        <v>197</v>
      </c>
      <c r="AN73" s="5" t="str">
        <f t="shared" ca="1" si="254"/>
        <v>VIGENTE</v>
      </c>
      <c r="AO73" s="6"/>
      <c r="AP73" s="4">
        <v>45640</v>
      </c>
      <c r="AQ73" s="4">
        <f>DATE(YEAR(AP73)+2,MONTH(AP73),DAY(AP73)-1)</f>
        <v>46369</v>
      </c>
      <c r="AR73" s="8">
        <f t="shared" ca="1" si="255"/>
        <v>235</v>
      </c>
      <c r="AS73" s="5" t="str">
        <f t="shared" ca="1" si="256"/>
        <v>VIGENTE</v>
      </c>
      <c r="AT73" s="6"/>
      <c r="AU73" s="4">
        <v>45644</v>
      </c>
      <c r="AV73" s="4">
        <f>DATE(YEAR(AU73)+2,MONTH(AU73),DAY(AU73)-1)</f>
        <v>46373</v>
      </c>
      <c r="AW73" s="8">
        <f t="shared" ca="1" si="257"/>
        <v>239</v>
      </c>
      <c r="AX73" s="5" t="str">
        <f t="shared" ca="1" si="258"/>
        <v>VIGENTE</v>
      </c>
      <c r="AY73" s="4"/>
      <c r="AZ73" s="4">
        <v>45603</v>
      </c>
      <c r="BA73" s="4">
        <f t="shared" si="371"/>
        <v>46332</v>
      </c>
      <c r="BB73" s="8">
        <f t="shared" ca="1" si="259"/>
        <v>198</v>
      </c>
      <c r="BC73" s="5" t="str">
        <f t="shared" ca="1" si="260"/>
        <v>VIGENTE</v>
      </c>
      <c r="BD73" s="6"/>
      <c r="BE73" s="4">
        <v>45643</v>
      </c>
      <c r="BF73" s="4">
        <f>DATE(YEAR(BE73)+2,MONTH(BE73),DAY(BE73)-1)</f>
        <v>46372</v>
      </c>
      <c r="BG73" s="8">
        <f t="shared" ca="1" si="261"/>
        <v>238</v>
      </c>
      <c r="BH73" s="5" t="str">
        <f t="shared" ca="1" si="262"/>
        <v>VIGENTE</v>
      </c>
      <c r="BI73" s="4"/>
      <c r="BJ73" s="4">
        <v>45699</v>
      </c>
      <c r="BK73" s="4">
        <f>DATE(YEAR(BJ73)+2,MONTH(BJ73),DAY(BJ73)-1)</f>
        <v>46428</v>
      </c>
      <c r="BL73" s="8">
        <f t="shared" ca="1" si="263"/>
        <v>294</v>
      </c>
      <c r="BM73" s="5" t="str">
        <f t="shared" ca="1" si="264"/>
        <v>VIGENTE</v>
      </c>
      <c r="BN73" s="4"/>
      <c r="BO73" s="4">
        <v>45701</v>
      </c>
      <c r="BP73" s="4">
        <f>DATE(YEAR(BO73)+2,MONTH(BO73),DAY(BO73)-1)</f>
        <v>46430</v>
      </c>
      <c r="BQ73" s="8">
        <f t="shared" ca="1" si="265"/>
        <v>296</v>
      </c>
      <c r="BR73" s="5" t="str">
        <f t="shared" ca="1" si="266"/>
        <v>VIGENTE</v>
      </c>
      <c r="BS73" s="6"/>
      <c r="BT73" s="4">
        <v>45695</v>
      </c>
      <c r="BU73" s="4">
        <f>DATE(YEAR(BT73)+2,MONTH(BT73),DAY(BT73)-1)</f>
        <v>46424</v>
      </c>
      <c r="BV73" s="8">
        <f t="shared" ca="1" si="267"/>
        <v>290</v>
      </c>
      <c r="BW73" s="5" t="str">
        <f t="shared" ca="1" si="268"/>
        <v>VIGENTE</v>
      </c>
      <c r="BX73" s="6"/>
      <c r="BY73" s="4">
        <v>45730</v>
      </c>
      <c r="BZ73" s="4">
        <f>DATE(YEAR(BY73)+2,MONTH(BY73),DAY(BY73)-1)</f>
        <v>46459</v>
      </c>
      <c r="CA73" s="8">
        <f t="shared" ca="1" si="269"/>
        <v>325</v>
      </c>
      <c r="CB73" s="5" t="str">
        <f t="shared" ca="1" si="270"/>
        <v>VIGENTE</v>
      </c>
      <c r="CC73" s="6" t="s">
        <v>68</v>
      </c>
      <c r="CD73" s="4">
        <v>45723</v>
      </c>
      <c r="CE73" s="4">
        <f t="shared" si="271"/>
        <v>47184</v>
      </c>
      <c r="CF73" s="8">
        <f t="shared" ca="1" si="272"/>
        <v>1050</v>
      </c>
      <c r="CG73" s="5" t="str">
        <f t="shared" ca="1" si="273"/>
        <v>VIGENTE</v>
      </c>
      <c r="CH73" s="6"/>
      <c r="CI73" s="4">
        <v>45688</v>
      </c>
      <c r="CJ73" s="4">
        <f t="shared" ref="CJ73:CJ81" si="384">DATE(YEAR(CI73)+2,MONTH(CI73),DAY(CI73)-1)</f>
        <v>46417</v>
      </c>
      <c r="CK73" s="8">
        <f t="shared" ca="1" si="274"/>
        <v>283</v>
      </c>
      <c r="CL73" s="5" t="str">
        <f t="shared" ca="1" si="275"/>
        <v>VIGENTE</v>
      </c>
      <c r="CM73" s="6"/>
      <c r="CN73" s="4">
        <v>45684</v>
      </c>
      <c r="CO73" s="4">
        <f t="shared" si="377"/>
        <v>46413</v>
      </c>
      <c r="CP73" s="8">
        <f t="shared" ca="1" si="276"/>
        <v>279</v>
      </c>
      <c r="CQ73" s="5" t="str">
        <f t="shared" ca="1" si="277"/>
        <v>VIGENTE</v>
      </c>
      <c r="CR73" s="6"/>
      <c r="CS73" s="4">
        <v>45639</v>
      </c>
      <c r="CT73" s="4">
        <f t="shared" si="378"/>
        <v>46368</v>
      </c>
      <c r="CU73" s="8">
        <f t="shared" ca="1" si="278"/>
        <v>234</v>
      </c>
      <c r="CV73" s="5" t="str">
        <f t="shared" ca="1" si="279"/>
        <v>VIGENTE</v>
      </c>
      <c r="CW73" s="4"/>
      <c r="CX73" s="4">
        <v>45646</v>
      </c>
      <c r="CY73" s="4">
        <f t="shared" si="379"/>
        <v>46375</v>
      </c>
      <c r="CZ73" s="8">
        <f t="shared" ca="1" si="280"/>
        <v>241</v>
      </c>
      <c r="DA73" s="5" t="str">
        <f t="shared" ca="1" si="281"/>
        <v>VIGENTE</v>
      </c>
      <c r="DB73" s="4"/>
      <c r="DC73" s="4">
        <v>45689</v>
      </c>
      <c r="DD73" s="4">
        <f>DATE(YEAR(DC73)+2,MONTH(DC73),DAY(DC73)-1)</f>
        <v>46418</v>
      </c>
      <c r="DE73" s="8">
        <f t="shared" ca="1" si="282"/>
        <v>284</v>
      </c>
      <c r="DF73" s="5" t="str">
        <f t="shared" ca="1" si="283"/>
        <v>VIGENTE</v>
      </c>
      <c r="DG73" s="6"/>
      <c r="DH73" s="4">
        <v>45696</v>
      </c>
      <c r="DI73" s="4">
        <f>DATE(YEAR(DH73)+2,MONTH(DH73),DAY(DH73)-1)</f>
        <v>46425</v>
      </c>
      <c r="DJ73" s="8">
        <f t="shared" ca="1" si="284"/>
        <v>291</v>
      </c>
      <c r="DK73" s="5" t="str">
        <f t="shared" ca="1" si="285"/>
        <v>VIGENTE</v>
      </c>
      <c r="DL73" s="4"/>
      <c r="DM73" s="4">
        <v>45731</v>
      </c>
      <c r="DN73" s="4">
        <f>DATE(YEAR(DM73)+2,MONTH(DM73),DAY(DM73)-1)</f>
        <v>46460</v>
      </c>
      <c r="DO73" s="8">
        <f t="shared" ca="1" si="286"/>
        <v>326</v>
      </c>
      <c r="DP73" s="5" t="str">
        <f t="shared" ca="1" si="287"/>
        <v>VIGENTE</v>
      </c>
      <c r="DQ73" s="6"/>
      <c r="DR73" s="4">
        <v>45619</v>
      </c>
      <c r="DS73" s="4">
        <f>DATE(YEAR(DR73)+2,MONTH(DR73),DAY(DR73)-1)</f>
        <v>46348</v>
      </c>
      <c r="DT73" s="8">
        <f t="shared" ca="1" si="288"/>
        <v>214</v>
      </c>
      <c r="DU73" s="5" t="str">
        <f t="shared" ca="1" si="289"/>
        <v>VIGENTE</v>
      </c>
      <c r="DV73" s="4"/>
      <c r="DW73" s="4">
        <v>45663</v>
      </c>
      <c r="DX73" s="4">
        <f t="shared" si="363"/>
        <v>46392</v>
      </c>
      <c r="DY73" s="8">
        <f t="shared" ca="1" si="290"/>
        <v>258</v>
      </c>
      <c r="DZ73" s="5" t="str">
        <f t="shared" ca="1" si="291"/>
        <v>VIGENTE</v>
      </c>
      <c r="EA73" s="4"/>
      <c r="EB73" s="4">
        <v>45642</v>
      </c>
      <c r="EC73" s="4">
        <f>DATE(YEAR(EB73)+2,MONTH(EB73),DAY(EB73)-1)</f>
        <v>46371</v>
      </c>
      <c r="ED73" s="8">
        <f t="shared" ca="1" si="292"/>
        <v>237</v>
      </c>
      <c r="EE73" s="5" t="str">
        <f t="shared" ca="1" si="293"/>
        <v>VIGENTE</v>
      </c>
      <c r="EF73" s="4"/>
      <c r="EG73" s="4">
        <v>45808</v>
      </c>
      <c r="EH73" s="4">
        <f t="shared" si="364"/>
        <v>46173</v>
      </c>
      <c r="EI73" s="8">
        <f t="shared" ca="1" si="294"/>
        <v>39</v>
      </c>
      <c r="EJ73" s="5" t="str">
        <f t="shared" ca="1" si="295"/>
        <v>POR VENCER</v>
      </c>
      <c r="EK73" s="4"/>
      <c r="EL73" s="4">
        <v>45612</v>
      </c>
      <c r="EM73" s="4">
        <f t="shared" si="380"/>
        <v>46341</v>
      </c>
      <c r="EN73" s="8">
        <f t="shared" ca="1" si="296"/>
        <v>207</v>
      </c>
      <c r="EO73" s="5" t="str">
        <f t="shared" ca="1" si="297"/>
        <v>VIGENTE</v>
      </c>
      <c r="EP73" s="6"/>
      <c r="EQ73" s="4">
        <v>45677</v>
      </c>
      <c r="ER73" s="4">
        <f t="shared" si="372"/>
        <v>46406</v>
      </c>
      <c r="ES73" s="8">
        <f t="shared" ca="1" si="298"/>
        <v>272</v>
      </c>
      <c r="ET73" s="5" t="str">
        <f t="shared" ca="1" si="299"/>
        <v>VIGENTE</v>
      </c>
      <c r="EU73" s="6"/>
      <c r="EV73" s="4">
        <v>45610</v>
      </c>
      <c r="EW73" s="4">
        <f>DATE(YEAR(EV73)+2,MONTH(EV73),DAY(EV73)-1)</f>
        <v>46339</v>
      </c>
      <c r="EX73" s="8">
        <f t="shared" ca="1" si="300"/>
        <v>205</v>
      </c>
      <c r="EY73" s="5" t="str">
        <f t="shared" ca="1" si="301"/>
        <v>VIGENTE</v>
      </c>
      <c r="EZ73" s="6"/>
      <c r="FA73" s="4">
        <v>45611</v>
      </c>
      <c r="FB73" s="4">
        <f>DATE(YEAR(FA73)+2,MONTH(FA73),DAY(FA73)-1)</f>
        <v>46340</v>
      </c>
      <c r="FC73" s="8">
        <f t="shared" ca="1" si="302"/>
        <v>206</v>
      </c>
      <c r="FD73" s="5" t="str">
        <f t="shared" ca="1" si="303"/>
        <v>VIGENTE</v>
      </c>
      <c r="FE73" s="6"/>
      <c r="FF73" s="4">
        <v>45668</v>
      </c>
      <c r="FG73" s="4">
        <f>DATE(YEAR(FF73)+2,MONTH(FF73),DAY(FF73)-1)</f>
        <v>46397</v>
      </c>
      <c r="FH73" s="8">
        <f t="shared" ca="1" si="304"/>
        <v>263</v>
      </c>
      <c r="FI73" s="5" t="str">
        <f t="shared" ca="1" si="305"/>
        <v>VIGENTE</v>
      </c>
      <c r="FJ73" s="4"/>
      <c r="FK73" s="4">
        <v>45637</v>
      </c>
      <c r="FL73" s="4">
        <f t="shared" si="373"/>
        <v>46366</v>
      </c>
      <c r="FM73" s="8">
        <f t="shared" ca="1" si="306"/>
        <v>232</v>
      </c>
      <c r="FN73" s="5" t="str">
        <f t="shared" ca="1" si="307"/>
        <v>VIGENTE</v>
      </c>
      <c r="FO73" s="4"/>
      <c r="FP73" s="4">
        <v>45605</v>
      </c>
      <c r="FQ73" s="4">
        <f t="shared" si="381"/>
        <v>46334</v>
      </c>
      <c r="FR73" s="8">
        <f t="shared" ca="1" si="308"/>
        <v>200</v>
      </c>
      <c r="FS73" s="5" t="str">
        <f t="shared" ca="1" si="309"/>
        <v>VIGENTE</v>
      </c>
      <c r="FT73" s="4"/>
      <c r="FU73" s="4">
        <v>45616</v>
      </c>
      <c r="FV73" s="4">
        <f>DATE(YEAR(FU73)+2,MONTH(FU73),DAY(FU73)-1)</f>
        <v>46345</v>
      </c>
      <c r="FW73" s="8">
        <f t="shared" ca="1" si="310"/>
        <v>211</v>
      </c>
      <c r="FX73" s="5" t="str">
        <f t="shared" ca="1" si="311"/>
        <v>VIGENTE</v>
      </c>
      <c r="FY73" s="4"/>
      <c r="FZ73" s="4">
        <v>45626</v>
      </c>
      <c r="GA73" s="4">
        <f t="shared" si="374"/>
        <v>46355</v>
      </c>
      <c r="GB73" s="8">
        <f t="shared" ca="1" si="312"/>
        <v>221</v>
      </c>
      <c r="GC73" s="5" t="str">
        <f t="shared" ca="1" si="313"/>
        <v>VIGENTE</v>
      </c>
      <c r="GD73" s="4"/>
      <c r="GE73" s="4">
        <v>45672</v>
      </c>
      <c r="GF73" s="4">
        <f>DATE(YEAR(GE73)+2,MONTH(GE73),DAY(GE73)-1)</f>
        <v>46401</v>
      </c>
      <c r="GG73" s="8">
        <f t="shared" ca="1" si="314"/>
        <v>267</v>
      </c>
      <c r="GH73" s="5" t="str">
        <f t="shared" ca="1" si="315"/>
        <v>VIGENTE</v>
      </c>
      <c r="GI73" s="4"/>
      <c r="GJ73" s="4">
        <v>45608</v>
      </c>
      <c r="GK73" s="4">
        <f>DATE(YEAR(GJ73)+2,MONTH(GJ73),DAY(GJ73)-1)</f>
        <v>46337</v>
      </c>
      <c r="GL73" s="8">
        <f t="shared" ca="1" si="316"/>
        <v>203</v>
      </c>
      <c r="GM73" s="5" t="str">
        <f t="shared" ca="1" si="317"/>
        <v>VIGENTE</v>
      </c>
      <c r="GN73" s="4"/>
      <c r="GO73" s="6"/>
      <c r="GP73" s="4">
        <f t="shared" si="318"/>
        <v>1827</v>
      </c>
      <c r="GQ73" s="8">
        <f t="shared" ca="1" si="181"/>
        <v>-44307</v>
      </c>
      <c r="GR73" s="5" t="str">
        <f ca="1">IF(GQ73&gt;=61,"VIGENTE",IF(GQ73&gt;=1,"POR VENCER",IF(GQ73&lt;=-1,"PROGRAMAR",IF(GO73=0,"NO APLICA"))))</f>
        <v>PROGRAMAR</v>
      </c>
      <c r="GS73" s="4"/>
      <c r="GT73" s="6"/>
      <c r="GU73" s="4">
        <f t="shared" si="320"/>
        <v>1827</v>
      </c>
      <c r="GV73" s="8">
        <f t="shared" ca="1" si="321"/>
        <v>-44307</v>
      </c>
      <c r="GW73" s="5" t="str">
        <f ca="1">IF(GV73&gt;=61,"VIGENTE",IF(GV73&gt;=1,"POR VENCER",IF(GV73&lt;=-1,"PROGRAMAR",IF(GT73=0,"NO APLICA"))))</f>
        <v>PROGRAMAR</v>
      </c>
      <c r="GX73" s="6"/>
      <c r="GY73" s="6"/>
      <c r="GZ73" s="4">
        <f t="shared" si="323"/>
        <v>1827</v>
      </c>
      <c r="HA73" s="8">
        <f t="shared" ca="1" si="324"/>
        <v>-44307</v>
      </c>
      <c r="HB73" s="5" t="str">
        <f ca="1">IF(HA73&gt;=61,"VIGENTE",IF(HA73&gt;=1,"POR VENCER",IF(HA73&lt;=-1,"PROGRAMAR",IF(GY73=0,"NO APLICA"))))</f>
        <v>PROGRAMAR</v>
      </c>
      <c r="HC73" s="6"/>
      <c r="HD73" s="6"/>
      <c r="HE73" s="4">
        <f t="shared" si="382"/>
        <v>1827</v>
      </c>
      <c r="HF73" s="8">
        <f t="shared" ca="1" si="383"/>
        <v>-44307</v>
      </c>
      <c r="HG73" s="5" t="str">
        <f ca="1">IF(HF73&gt;=61,"VIGENTE",IF(HF73&gt;=1,"POR VENCER",IF(HF73&lt;=-1,"PROGRAMAR",IF(HD73=0,"NO APLICA"))))</f>
        <v>PROGRAMAR</v>
      </c>
      <c r="HH73" s="6"/>
      <c r="HI73" s="6"/>
      <c r="HJ73" s="6"/>
      <c r="HK73" s="6"/>
      <c r="HL73" s="5" t="str">
        <f t="shared" si="232"/>
        <v>NO APLICA</v>
      </c>
      <c r="HM73" s="6"/>
      <c r="HN73" s="6"/>
      <c r="HO73" s="4"/>
      <c r="HP73" s="6"/>
      <c r="HQ73" s="5" t="str">
        <f t="shared" si="326"/>
        <v>NO APLICA</v>
      </c>
      <c r="HR73" s="6"/>
      <c r="HS73" s="6"/>
      <c r="HT73" s="6"/>
      <c r="HU73" s="6"/>
      <c r="HV73" s="5" t="str">
        <f t="shared" si="327"/>
        <v>NO APLICA</v>
      </c>
      <c r="HW73" s="6"/>
      <c r="HX73" s="6"/>
      <c r="HY73" s="6"/>
      <c r="HZ73" s="6"/>
      <c r="IA73" s="5" t="str">
        <f t="shared" si="328"/>
        <v>NO APLICA</v>
      </c>
      <c r="IB73" s="6"/>
      <c r="IC73" s="6"/>
      <c r="ID73" s="6"/>
      <c r="IE73" s="6"/>
      <c r="IF73" s="5" t="str">
        <f t="shared" si="329"/>
        <v>NO APLICA</v>
      </c>
      <c r="IG73" s="6"/>
      <c r="IH73" s="6"/>
      <c r="II73" s="6"/>
      <c r="IJ73" s="6"/>
      <c r="IK73" s="5" t="str">
        <f t="shared" si="330"/>
        <v>NO APLICA</v>
      </c>
      <c r="IL73" s="6"/>
      <c r="IM73" s="6"/>
      <c r="IN73" s="6"/>
      <c r="IO73" s="6"/>
      <c r="IP73" s="5" t="str">
        <f t="shared" si="331"/>
        <v>NO APLICA</v>
      </c>
      <c r="IQ73" s="6"/>
      <c r="IR73" s="6"/>
      <c r="IS73" s="6"/>
      <c r="IT73" s="6"/>
      <c r="IU73" s="5" t="str">
        <f t="shared" si="332"/>
        <v>NO APLICA</v>
      </c>
      <c r="IV73" s="6"/>
      <c r="IW73" s="6"/>
      <c r="IX73" s="6"/>
      <c r="IY73" s="6"/>
      <c r="IZ73" s="5" t="str">
        <f t="shared" si="333"/>
        <v>NO APLICA</v>
      </c>
      <c r="JA73" s="6"/>
      <c r="JB73" s="6"/>
      <c r="JC73" s="6"/>
      <c r="JD73" s="6"/>
      <c r="JE73" s="5" t="str">
        <f t="shared" si="334"/>
        <v>NO APLICA</v>
      </c>
      <c r="JF73" s="6"/>
      <c r="JG73" s="6"/>
      <c r="JH73" s="6"/>
      <c r="JI73" s="6"/>
      <c r="JJ73" s="5" t="str">
        <f t="shared" si="335"/>
        <v>NO APLICA</v>
      </c>
      <c r="JK73" s="6"/>
      <c r="JL73" s="6"/>
      <c r="JM73" s="6"/>
      <c r="JN73" s="6"/>
      <c r="JO73" s="5" t="str">
        <f t="shared" si="336"/>
        <v>NO APLICA</v>
      </c>
      <c r="JP73" s="6"/>
      <c r="JQ73" s="6"/>
      <c r="JR73" s="6"/>
      <c r="JS73" s="6"/>
      <c r="JT73" s="5" t="str">
        <f t="shared" si="337"/>
        <v>NO APLICA</v>
      </c>
      <c r="JU73" s="5"/>
      <c r="JV73" s="5"/>
      <c r="JW73" s="5"/>
      <c r="JX73" s="5"/>
      <c r="JY73" s="5" t="str">
        <f t="shared" si="338"/>
        <v>NO APLICA</v>
      </c>
      <c r="JZ73" s="5"/>
      <c r="KA73" s="6"/>
      <c r="KB73" s="6"/>
      <c r="KC73" s="6"/>
      <c r="KD73" s="5" t="str">
        <f t="shared" si="339"/>
        <v>NO APLICA</v>
      </c>
      <c r="KE73" s="5"/>
      <c r="KF73" s="6"/>
      <c r="KG73" s="6"/>
      <c r="KH73" s="6"/>
      <c r="KI73" s="5" t="str">
        <f t="shared" si="365"/>
        <v>NO APLICA</v>
      </c>
      <c r="KJ73" s="5"/>
      <c r="KK73" s="6"/>
      <c r="KL73" s="6"/>
      <c r="KM73" s="6"/>
      <c r="KN73" s="5" t="str">
        <f t="shared" si="340"/>
        <v>NO APLICA</v>
      </c>
      <c r="KO73" s="5"/>
      <c r="KP73" s="6"/>
      <c r="KQ73" s="6"/>
      <c r="KR73" s="6"/>
      <c r="KS73" s="5" t="str">
        <f t="shared" si="366"/>
        <v>NO APLICA</v>
      </c>
      <c r="KT73" s="6"/>
      <c r="KU73" s="6"/>
      <c r="KV73" s="6"/>
      <c r="KW73" s="6"/>
      <c r="KX73" s="5" t="str">
        <f t="shared" si="375"/>
        <v>NO APLICA</v>
      </c>
      <c r="KY73" s="5"/>
      <c r="KZ73" s="6"/>
      <c r="LA73" s="6"/>
      <c r="LB73" s="6"/>
      <c r="LC73" s="5" t="str">
        <f t="shared" si="367"/>
        <v>NO APLICA</v>
      </c>
      <c r="LD73" s="6"/>
      <c r="LE73" s="6"/>
      <c r="LF73" s="6"/>
      <c r="LG73" s="6"/>
      <c r="LH73" s="5" t="str">
        <f t="shared" si="341"/>
        <v>NO APLICA</v>
      </c>
      <c r="LI73" s="5"/>
      <c r="LJ73" s="5"/>
      <c r="LK73" s="5"/>
      <c r="LL73" s="5"/>
      <c r="LM73" s="5" t="str">
        <f t="shared" si="376"/>
        <v>NO APLICA</v>
      </c>
      <c r="LN73" s="6"/>
      <c r="LO73" s="6"/>
      <c r="LP73" s="6"/>
      <c r="LQ73" s="6"/>
      <c r="LR73" s="5" t="str">
        <f t="shared" si="368"/>
        <v>NO APLICA</v>
      </c>
      <c r="LS73" s="6"/>
      <c r="LT73" s="6"/>
      <c r="LU73" s="6"/>
      <c r="LV73" s="6"/>
      <c r="LW73" s="5" t="str">
        <f t="shared" si="369"/>
        <v>NO APLICA</v>
      </c>
      <c r="LX73" s="6"/>
      <c r="LY73" s="6"/>
      <c r="LZ73" s="6"/>
      <c r="MA73" s="6"/>
      <c r="MB73" s="5" t="str">
        <f t="shared" si="370"/>
        <v>NO APLICA</v>
      </c>
      <c r="MC73" s="6"/>
      <c r="MD73" s="6"/>
      <c r="ME73" s="6"/>
      <c r="MF73" s="6"/>
      <c r="MG73" s="5" t="str">
        <f t="shared" si="342"/>
        <v>NO APLICA</v>
      </c>
      <c r="MH73" s="6"/>
      <c r="MI73" s="6"/>
      <c r="MJ73" s="6"/>
      <c r="MK73" s="6"/>
      <c r="ML73" s="5" t="str">
        <f t="shared" si="343"/>
        <v>NO APLICA</v>
      </c>
      <c r="MM73" s="5"/>
      <c r="MN73" s="6"/>
      <c r="MO73" s="6"/>
      <c r="MP73" s="6"/>
      <c r="MQ73" s="5" t="str">
        <f t="shared" si="344"/>
        <v>NO APLICA</v>
      </c>
      <c r="MR73" s="5"/>
      <c r="MS73" s="6"/>
      <c r="MT73" s="6"/>
      <c r="MU73" s="6"/>
      <c r="MV73" s="5" t="str">
        <f t="shared" si="345"/>
        <v>NO APLICA</v>
      </c>
      <c r="MW73" s="6"/>
      <c r="MX73" s="6"/>
      <c r="MY73" s="6"/>
      <c r="MZ73" s="6"/>
      <c r="NA73" s="5" t="str">
        <f t="shared" si="346"/>
        <v>NO APLICA</v>
      </c>
      <c r="NB73" s="6"/>
      <c r="NC73" s="6"/>
      <c r="ND73" s="6"/>
      <c r="NE73" s="6"/>
      <c r="NF73" s="5" t="str">
        <f t="shared" si="347"/>
        <v>NO APLICA</v>
      </c>
      <c r="NG73" s="6"/>
      <c r="NH73" s="6"/>
      <c r="NI73" s="6"/>
      <c r="NJ73" s="6"/>
      <c r="NK73" s="5" t="str">
        <f t="shared" si="348"/>
        <v>NO APLICA</v>
      </c>
      <c r="NL73" s="6"/>
      <c r="NM73" s="6"/>
      <c r="NN73" s="6"/>
      <c r="NO73" s="6"/>
      <c r="NP73" s="5" t="str">
        <f t="shared" si="349"/>
        <v>NO APLICA</v>
      </c>
      <c r="NQ73" s="6"/>
      <c r="NR73" s="6"/>
      <c r="NS73" s="6"/>
      <c r="NT73" s="6"/>
      <c r="NU73" s="5" t="str">
        <f t="shared" si="350"/>
        <v>NO APLICA</v>
      </c>
      <c r="NV73" s="6"/>
      <c r="NW73" s="6"/>
      <c r="NX73" s="6"/>
      <c r="NY73" s="6"/>
      <c r="NZ73" s="5" t="str">
        <f t="shared" si="351"/>
        <v>NO APLICA</v>
      </c>
      <c r="OA73" s="6"/>
      <c r="OB73" s="6"/>
      <c r="OC73" s="6"/>
      <c r="OD73" s="6"/>
      <c r="OE73" s="5" t="str">
        <f t="shared" si="352"/>
        <v>NO APLICA</v>
      </c>
      <c r="OF73" s="6"/>
      <c r="OG73" s="6"/>
      <c r="OH73" s="6"/>
      <c r="OI73" s="6"/>
      <c r="OJ73" s="5" t="str">
        <f t="shared" si="353"/>
        <v>NO APLICA</v>
      </c>
      <c r="OK73" s="6"/>
      <c r="OL73" s="6"/>
      <c r="OM73" s="6"/>
      <c r="ON73" s="6"/>
      <c r="OO73" s="5" t="str">
        <f t="shared" si="354"/>
        <v>NO APLICA</v>
      </c>
      <c r="OP73" s="6"/>
      <c r="OQ73" s="6"/>
      <c r="OR73" s="6"/>
      <c r="OS73" s="6"/>
      <c r="OT73" s="5" t="str">
        <f t="shared" si="355"/>
        <v>NO APLICA</v>
      </c>
      <c r="OU73" s="6"/>
      <c r="OV73" s="6"/>
      <c r="OW73" s="6"/>
      <c r="OX73" s="6"/>
      <c r="OY73" s="5" t="str">
        <f t="shared" si="356"/>
        <v>NO APLICA</v>
      </c>
      <c r="OZ73" s="6"/>
      <c r="PA73" s="6"/>
      <c r="PB73" s="6"/>
      <c r="PC73" s="6"/>
      <c r="PD73" s="5" t="str">
        <f t="shared" si="357"/>
        <v>NO APLICA</v>
      </c>
      <c r="PE73" s="6"/>
      <c r="PF73" s="6"/>
      <c r="PG73" s="6"/>
      <c r="PH73" s="6"/>
      <c r="PI73" s="5" t="str">
        <f t="shared" si="358"/>
        <v>NO APLICA</v>
      </c>
      <c r="PJ73" s="5"/>
      <c r="PK73" s="6"/>
      <c r="PL73" s="6"/>
      <c r="PM73" s="6"/>
      <c r="PN73" s="5" t="str">
        <f t="shared" si="359"/>
        <v>NO APLICA</v>
      </c>
      <c r="PO73" s="6"/>
      <c r="PP73" s="6"/>
      <c r="PQ73" s="6"/>
      <c r="PR73" s="6"/>
      <c r="PS73" s="5" t="str">
        <f t="shared" si="360"/>
        <v>NO APLICA</v>
      </c>
      <c r="PT73" s="5"/>
      <c r="PU73" s="6"/>
      <c r="PV73" s="6"/>
      <c r="PW73" s="6"/>
      <c r="PX73" s="5" t="str">
        <f t="shared" si="361"/>
        <v>NO APLICA</v>
      </c>
    </row>
    <row r="74" spans="1:440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353</v>
      </c>
      <c r="T74" s="5" t="str">
        <f t="shared" ca="1" si="362"/>
        <v>VIGENTE</v>
      </c>
      <c r="U74" s="2" t="s">
        <v>277</v>
      </c>
      <c r="V74" s="4">
        <v>45282</v>
      </c>
      <c r="W74" s="4">
        <f t="shared" si="248"/>
        <v>47109</v>
      </c>
      <c r="X74" s="8">
        <f t="shared" ca="1" si="249"/>
        <v>975</v>
      </c>
      <c r="Y74" s="5" t="str">
        <f t="shared" ca="1" si="250"/>
        <v>VIGENTE</v>
      </c>
      <c r="Z74" s="2" t="s">
        <v>278</v>
      </c>
      <c r="AA74" s="4">
        <v>45190</v>
      </c>
      <c r="AB74" s="4">
        <f t="shared" ref="AB74:AB83" si="385">DATE(YEAR(AA74)+5,MONTH(AA74),DAY(AA74))</f>
        <v>47017</v>
      </c>
      <c r="AC74" s="8">
        <f t="shared" ref="AC74:AC83" ca="1" si="386">AB74-TODAY()</f>
        <v>883</v>
      </c>
      <c r="AD74" s="5" t="str">
        <f t="shared" ref="AD74:AD93" ca="1" si="387">IF(AC74&gt;=91,"VIGENTE",IF(AC74&gt;=1,"POR VENCER",IF(AC74&lt;=-1,"VENCIDA",IF(AA74=0,"NO APLICA"))))</f>
        <v>VIGENTE</v>
      </c>
      <c r="AE74" s="3"/>
      <c r="AF74" s="4">
        <v>45902</v>
      </c>
      <c r="AG74" s="4">
        <f>DATE(YEAR(AF74)+2,MONTH(AF74),DAY(AF74))</f>
        <v>46632</v>
      </c>
      <c r="AH74" s="8">
        <f t="shared" ca="1" si="252"/>
        <v>498</v>
      </c>
      <c r="AI74" s="5" t="str">
        <f t="shared" ca="1" si="224"/>
        <v>VIGENTE</v>
      </c>
      <c r="AJ74" s="3"/>
      <c r="AK74" s="4">
        <v>45602</v>
      </c>
      <c r="AL74" s="4">
        <f>DATE(YEAR(AK74)+2,MONTH(AK74),DAY(AK74)-1)</f>
        <v>46331</v>
      </c>
      <c r="AM74" s="8">
        <f t="shared" ca="1" si="253"/>
        <v>197</v>
      </c>
      <c r="AN74" s="5" t="str">
        <f t="shared" ca="1" si="254"/>
        <v>VIGENTE</v>
      </c>
      <c r="AO74" s="2"/>
      <c r="AP74" s="4">
        <v>45740</v>
      </c>
      <c r="AQ74" s="4">
        <f>DATE(YEAR(AP74)+2,MONTH(AP74),DAY(AP74)-1)</f>
        <v>46469</v>
      </c>
      <c r="AR74" s="8">
        <f t="shared" ca="1" si="255"/>
        <v>335</v>
      </c>
      <c r="AS74" s="5" t="str">
        <f t="shared" ca="1" si="256"/>
        <v>VIGENTE</v>
      </c>
      <c r="AT74" s="3"/>
      <c r="AU74" s="4">
        <v>45702</v>
      </c>
      <c r="AV74" s="4">
        <f>DATE(YEAR(AU74)+2,MONTH(AU74),DAY(AU74)-1)</f>
        <v>46431</v>
      </c>
      <c r="AW74" s="8">
        <f t="shared" ca="1" si="257"/>
        <v>297</v>
      </c>
      <c r="AX74" s="5" t="str">
        <f t="shared" ca="1" si="258"/>
        <v>VIGENTE</v>
      </c>
      <c r="AY74" s="3"/>
      <c r="AZ74" s="4">
        <v>45603</v>
      </c>
      <c r="BA74" s="4">
        <f t="shared" si="371"/>
        <v>46332</v>
      </c>
      <c r="BB74" s="8">
        <f t="shared" ca="1" si="259"/>
        <v>198</v>
      </c>
      <c r="BC74" s="5" t="str">
        <f t="shared" ca="1" si="260"/>
        <v>VIGENTE</v>
      </c>
      <c r="BD74" s="3"/>
      <c r="BE74" s="4">
        <v>45698</v>
      </c>
      <c r="BF74" s="4">
        <f>DATE(YEAR(BE74)+2,MONTH(BE74),DAY(BE74)-1)</f>
        <v>46427</v>
      </c>
      <c r="BG74" s="8">
        <f t="shared" ca="1" si="261"/>
        <v>293</v>
      </c>
      <c r="BH74" s="5" t="str">
        <f t="shared" ca="1" si="262"/>
        <v>VIGENTE</v>
      </c>
      <c r="BI74" s="3"/>
      <c r="BJ74" s="4">
        <v>45600</v>
      </c>
      <c r="BK74" s="4">
        <f>DATE(YEAR(BJ74)+2,MONTH(BJ74),DAY(BJ74)-1)</f>
        <v>46329</v>
      </c>
      <c r="BL74" s="8">
        <f t="shared" ca="1" si="263"/>
        <v>195</v>
      </c>
      <c r="BM74" s="5" t="str">
        <f t="shared" ca="1" si="264"/>
        <v>VIGENTE</v>
      </c>
      <c r="BN74" s="3"/>
      <c r="BO74" s="4">
        <v>45701</v>
      </c>
      <c r="BP74" s="4">
        <f>DATE(YEAR(BO74)+2,MONTH(BO74),DAY(BO74)-1)</f>
        <v>46430</v>
      </c>
      <c r="BQ74" s="8">
        <f t="shared" ca="1" si="265"/>
        <v>296</v>
      </c>
      <c r="BR74" s="5" t="str">
        <f t="shared" ca="1" si="266"/>
        <v>VIGENTE</v>
      </c>
      <c r="BS74" s="3"/>
      <c r="BT74" s="4">
        <v>45568</v>
      </c>
      <c r="BU74" s="4">
        <f>DATE(YEAR(BT74)+2,MONTH(BT74),DAY(BT74)-1)</f>
        <v>46297</v>
      </c>
      <c r="BV74" s="8">
        <f t="shared" ca="1" si="267"/>
        <v>163</v>
      </c>
      <c r="BW74" s="5" t="str">
        <f t="shared" ca="1" si="268"/>
        <v>VIGENTE</v>
      </c>
      <c r="BX74" s="3"/>
      <c r="BY74" s="4">
        <v>45944</v>
      </c>
      <c r="BZ74" s="4">
        <f>DATE(YEAR(BY74)+2,MONTH(BY74),DAY(BY74))</f>
        <v>46674</v>
      </c>
      <c r="CA74" s="8">
        <f t="shared" ca="1" si="269"/>
        <v>540</v>
      </c>
      <c r="CB74" s="5" t="str">
        <f t="shared" ca="1" si="270"/>
        <v>VIGENTE</v>
      </c>
      <c r="CC74" s="6" t="s">
        <v>68</v>
      </c>
      <c r="CD74" s="4">
        <v>45828</v>
      </c>
      <c r="CE74" s="4">
        <f t="shared" si="271"/>
        <v>47289</v>
      </c>
      <c r="CF74" s="8">
        <f t="shared" ca="1" si="272"/>
        <v>1155</v>
      </c>
      <c r="CG74" s="5" t="str">
        <f t="shared" ca="1" si="273"/>
        <v>VIGENTE</v>
      </c>
      <c r="CH74" s="4"/>
      <c r="CI74" s="4">
        <v>45601</v>
      </c>
      <c r="CJ74" s="4">
        <f t="shared" si="384"/>
        <v>46330</v>
      </c>
      <c r="CK74" s="8">
        <f t="shared" ca="1" si="274"/>
        <v>196</v>
      </c>
      <c r="CL74" s="5" t="str">
        <f t="shared" ca="1" si="275"/>
        <v>VIGENTE</v>
      </c>
      <c r="CM74" s="3"/>
      <c r="CN74" s="4">
        <v>45684</v>
      </c>
      <c r="CO74" s="4">
        <f t="shared" si="377"/>
        <v>46413</v>
      </c>
      <c r="CP74" s="8">
        <f t="shared" ca="1" si="276"/>
        <v>279</v>
      </c>
      <c r="CQ74" s="5" t="str">
        <f t="shared" ca="1" si="277"/>
        <v>VIGENTE</v>
      </c>
      <c r="CR74" s="3"/>
      <c r="CS74" s="4">
        <v>45727</v>
      </c>
      <c r="CT74" s="4">
        <f t="shared" si="378"/>
        <v>46456</v>
      </c>
      <c r="CU74" s="8">
        <f t="shared" ca="1" si="278"/>
        <v>322</v>
      </c>
      <c r="CV74" s="5" t="str">
        <f t="shared" ca="1" si="279"/>
        <v>VIGENTE</v>
      </c>
      <c r="CW74" s="3"/>
      <c r="CX74" s="4">
        <v>45665</v>
      </c>
      <c r="CY74" s="4">
        <f t="shared" si="379"/>
        <v>46394</v>
      </c>
      <c r="CZ74" s="8">
        <f t="shared" ca="1" si="280"/>
        <v>260</v>
      </c>
      <c r="DA74" s="5" t="str">
        <f t="shared" ca="1" si="281"/>
        <v>VIGENTE</v>
      </c>
      <c r="DB74" s="3"/>
      <c r="DC74" s="4">
        <v>45761</v>
      </c>
      <c r="DD74" s="4">
        <f>DATE(YEAR(DC74)+2,MONTH(DC74),DAY(DC74))</f>
        <v>46491</v>
      </c>
      <c r="DE74" s="8">
        <f t="shared" ca="1" si="282"/>
        <v>357</v>
      </c>
      <c r="DF74" s="5" t="str">
        <f t="shared" ca="1" si="283"/>
        <v>VIGENTE</v>
      </c>
      <c r="DG74" s="2"/>
      <c r="DH74" s="4">
        <v>45734</v>
      </c>
      <c r="DI74" s="4">
        <f>DATE(YEAR(DH74)+2,MONTH(DH74),DAY(DH74)-1)</f>
        <v>46463</v>
      </c>
      <c r="DJ74" s="8">
        <f t="shared" ca="1" si="284"/>
        <v>329</v>
      </c>
      <c r="DK74" s="5" t="str">
        <f t="shared" ca="1" si="285"/>
        <v>VIGENTE</v>
      </c>
      <c r="DL74" s="3"/>
      <c r="DM74" s="4">
        <v>45731</v>
      </c>
      <c r="DN74" s="4">
        <f>DATE(YEAR(DM74)+2,MONTH(DM74),DAY(DM74)-1)</f>
        <v>46460</v>
      </c>
      <c r="DO74" s="8">
        <f t="shared" ca="1" si="286"/>
        <v>326</v>
      </c>
      <c r="DP74" s="5" t="str">
        <f t="shared" ca="1" si="287"/>
        <v>VIGENTE</v>
      </c>
      <c r="DQ74" s="3"/>
      <c r="DR74" s="4">
        <v>45608</v>
      </c>
      <c r="DS74" s="4">
        <f>DATE(YEAR(DR74)+2,MONTH(DR74),DAY(DR74)-1)</f>
        <v>46337</v>
      </c>
      <c r="DT74" s="8">
        <f t="shared" ca="1" si="288"/>
        <v>203</v>
      </c>
      <c r="DU74" s="5" t="str">
        <f t="shared" ca="1" si="289"/>
        <v>VIGENTE</v>
      </c>
      <c r="DV74" s="3"/>
      <c r="DW74" s="4">
        <v>45582</v>
      </c>
      <c r="DX74" s="4">
        <f t="shared" si="363"/>
        <v>46311</v>
      </c>
      <c r="DY74" s="8">
        <f t="shared" ca="1" si="290"/>
        <v>177</v>
      </c>
      <c r="DZ74" s="5" t="str">
        <f t="shared" ca="1" si="291"/>
        <v>VIGENTE</v>
      </c>
      <c r="EA74" s="3"/>
      <c r="EB74" s="4">
        <v>45768</v>
      </c>
      <c r="EC74" s="4">
        <f>DATE(YEAR(EB74)+2,MONTH(EB74),DAY(EB74))</f>
        <v>46498</v>
      </c>
      <c r="ED74" s="8">
        <f t="shared" ca="1" si="292"/>
        <v>364</v>
      </c>
      <c r="EE74" s="5" t="str">
        <f t="shared" ca="1" si="293"/>
        <v>VIGENTE</v>
      </c>
      <c r="EF74" s="3"/>
      <c r="EG74" s="3">
        <v>46107</v>
      </c>
      <c r="EH74" s="4">
        <f t="shared" si="364"/>
        <v>46472</v>
      </c>
      <c r="EI74" s="8">
        <f t="shared" ca="1" si="294"/>
        <v>338</v>
      </c>
      <c r="EJ74" s="5" t="str">
        <f t="shared" ca="1" si="295"/>
        <v>VIGENTE</v>
      </c>
      <c r="EK74" s="3"/>
      <c r="EL74" s="4">
        <v>45584</v>
      </c>
      <c r="EM74" s="4">
        <f t="shared" si="380"/>
        <v>46313</v>
      </c>
      <c r="EN74" s="8">
        <f t="shared" ca="1" si="296"/>
        <v>179</v>
      </c>
      <c r="EO74" s="5" t="str">
        <f t="shared" ca="1" si="297"/>
        <v>VIGENTE</v>
      </c>
      <c r="EP74" s="3"/>
      <c r="EQ74" s="4">
        <v>45575</v>
      </c>
      <c r="ER74" s="4">
        <f t="shared" si="372"/>
        <v>46304</v>
      </c>
      <c r="ES74" s="8">
        <f t="shared" ca="1" si="298"/>
        <v>170</v>
      </c>
      <c r="ET74" s="5" t="str">
        <f t="shared" ca="1" si="299"/>
        <v>VIGENTE</v>
      </c>
      <c r="EU74" s="3"/>
      <c r="EV74" s="4">
        <v>45917</v>
      </c>
      <c r="EW74" s="4">
        <f>DATE(YEAR(EV74)+2,MONTH(EV74),DAY(EV74))</f>
        <v>46647</v>
      </c>
      <c r="EX74" s="8">
        <f t="shared" ca="1" si="300"/>
        <v>513</v>
      </c>
      <c r="EY74" s="5" t="str">
        <f t="shared" ca="1" si="301"/>
        <v>VIGENTE</v>
      </c>
      <c r="EZ74" s="3"/>
      <c r="FA74" s="4">
        <v>45931</v>
      </c>
      <c r="FB74" s="4">
        <f>DATE(YEAR(FA74)+2,MONTH(FA74),DAY(FA74))</f>
        <v>46661</v>
      </c>
      <c r="FC74" s="8">
        <f t="shared" ca="1" si="302"/>
        <v>527</v>
      </c>
      <c r="FD74" s="5" t="str">
        <f t="shared" ca="1" si="303"/>
        <v>VIGENTE</v>
      </c>
      <c r="FE74" s="3"/>
      <c r="FF74" s="4">
        <v>45919</v>
      </c>
      <c r="FG74" s="4">
        <f>DATE(YEAR(FF74)+2,MONTH(FF74),DAY(FF74))</f>
        <v>46649</v>
      </c>
      <c r="FH74" s="8">
        <f t="shared" ca="1" si="304"/>
        <v>515</v>
      </c>
      <c r="FI74" s="5" t="str">
        <f t="shared" ca="1" si="305"/>
        <v>VIGENTE</v>
      </c>
      <c r="FJ74" s="3"/>
      <c r="FK74" s="4">
        <v>45588</v>
      </c>
      <c r="FL74" s="4">
        <f t="shared" si="373"/>
        <v>46317</v>
      </c>
      <c r="FM74" s="8">
        <f t="shared" ca="1" si="306"/>
        <v>183</v>
      </c>
      <c r="FN74" s="5" t="str">
        <f t="shared" ca="1" si="307"/>
        <v>VIGENTE</v>
      </c>
      <c r="FO74" s="3"/>
      <c r="FP74" s="4">
        <v>45724</v>
      </c>
      <c r="FQ74" s="4">
        <f t="shared" si="381"/>
        <v>46453</v>
      </c>
      <c r="FR74" s="8">
        <f t="shared" ca="1" si="308"/>
        <v>319</v>
      </c>
      <c r="FS74" s="5" t="str">
        <f t="shared" ca="1" si="309"/>
        <v>VIGENTE</v>
      </c>
      <c r="FT74" s="3"/>
      <c r="FU74" s="4">
        <v>45941</v>
      </c>
      <c r="FV74" s="4">
        <f>DATE(YEAR(FU74)+2,MONTH(FU74),DAY(FU74))</f>
        <v>46671</v>
      </c>
      <c r="FW74" s="8">
        <f t="shared" ca="1" si="310"/>
        <v>537</v>
      </c>
      <c r="FX74" s="5" t="str">
        <f t="shared" ca="1" si="311"/>
        <v>VIGENTE</v>
      </c>
      <c r="FY74" s="3"/>
      <c r="FZ74" s="4">
        <v>45667</v>
      </c>
      <c r="GA74" s="4">
        <f t="shared" si="374"/>
        <v>46396</v>
      </c>
      <c r="GB74" s="8">
        <f t="shared" ca="1" si="312"/>
        <v>262</v>
      </c>
      <c r="GC74" s="5" t="str">
        <f t="shared" ca="1" si="313"/>
        <v>VIGENTE</v>
      </c>
      <c r="GD74" s="3"/>
      <c r="GE74" s="4">
        <v>45752</v>
      </c>
      <c r="GF74" s="4">
        <f>DATE(YEAR(GE74)+2,MONTH(GE74),DAY(GE74))</f>
        <v>46482</v>
      </c>
      <c r="GG74" s="8">
        <f t="shared" ca="1" si="314"/>
        <v>348</v>
      </c>
      <c r="GH74" s="5" t="str">
        <f t="shared" ca="1" si="315"/>
        <v>VIGENTE</v>
      </c>
      <c r="GI74" s="3"/>
      <c r="GJ74" s="4">
        <v>45633</v>
      </c>
      <c r="GK74" s="4">
        <f>DATE(YEAR(GJ74)+2,MONTH(GJ74),DAY(GJ74)-1)</f>
        <v>46362</v>
      </c>
      <c r="GL74" s="8">
        <f t="shared" ca="1" si="316"/>
        <v>228</v>
      </c>
      <c r="GM74" s="5" t="str">
        <f t="shared" ca="1" si="317"/>
        <v>VIGENTE</v>
      </c>
      <c r="GN74" s="4"/>
      <c r="GO74" s="4">
        <v>44952</v>
      </c>
      <c r="GP74" s="4">
        <f t="shared" si="318"/>
        <v>46778</v>
      </c>
      <c r="GQ74" s="8">
        <f t="shared" ca="1" si="181"/>
        <v>644</v>
      </c>
      <c r="GR74" s="5" t="str">
        <f t="shared" ref="GR74:GR108" ca="1" si="388">IF(GQ74&gt;=91,"VIGENTE",IF(GQ74&gt;=1,"POR VENCER",IF(GQ74&lt;=-1,"VENCIDA",IF(GO74=0,"NO APLICA"))))</f>
        <v>VIGENTE</v>
      </c>
      <c r="GS74" s="3"/>
      <c r="GT74" s="4">
        <v>45099</v>
      </c>
      <c r="GU74" s="4">
        <f t="shared" si="320"/>
        <v>46926</v>
      </c>
      <c r="GV74" s="8">
        <f t="shared" ca="1" si="321"/>
        <v>792</v>
      </c>
      <c r="GW74" s="5" t="str">
        <f t="shared" ref="GW74:GW105" ca="1" si="389">IF(GV74&gt;=91,"VIGENTE",IF(GV74&gt;=1,"POR VENCER",IF(GV74&lt;=-1,"VENCIDA",IF(GT74=0,"NO APLICA"))))</f>
        <v>VIGENTE</v>
      </c>
      <c r="GX74" s="3"/>
      <c r="GY74" s="4">
        <v>45268</v>
      </c>
      <c r="GZ74" s="4">
        <f t="shared" si="323"/>
        <v>47095</v>
      </c>
      <c r="HA74" s="8">
        <f t="shared" ca="1" si="324"/>
        <v>961</v>
      </c>
      <c r="HB74" s="5" t="str">
        <f t="shared" ref="HB74:HB98" ca="1" si="390">IF(HA74&gt;=91,"VIGENTE",IF(HA74&gt;=1,"POR VENCER",IF(HA74&lt;=-1,"VENCIDA",IF(GY74=0,"NO APLICA"))))</f>
        <v>VIGENTE</v>
      </c>
      <c r="HC74" s="6"/>
      <c r="HD74" s="4">
        <v>44956</v>
      </c>
      <c r="HE74" s="4">
        <f t="shared" si="382"/>
        <v>46782</v>
      </c>
      <c r="HF74" s="8">
        <f t="shared" ca="1" si="383"/>
        <v>648</v>
      </c>
      <c r="HG74" s="5" t="str">
        <f t="shared" ref="HG74:HG84" ca="1" si="391">IF(HF74&gt;=61,"VIGENTE",IF(HF74&gt;=1,"POR VENCER",IF(HF74&lt;=-1,"VENCIDA",IF(HD74=0,"NO APLICA"))))</f>
        <v>VIGENTE</v>
      </c>
      <c r="HH74" s="2"/>
      <c r="HI74" s="6"/>
      <c r="HJ74" s="4"/>
      <c r="HK74" s="8"/>
      <c r="HL74" s="5" t="str">
        <f t="shared" si="232"/>
        <v>NO APLICA</v>
      </c>
      <c r="HM74" s="2"/>
      <c r="HN74" s="5"/>
      <c r="HO74" s="5"/>
      <c r="HP74" s="5"/>
      <c r="HQ74" s="5" t="str">
        <f t="shared" si="326"/>
        <v>NO APLICA</v>
      </c>
      <c r="HR74" s="2"/>
      <c r="HS74" s="4">
        <v>44939</v>
      </c>
      <c r="HT74" s="4">
        <f>DATE(YEAR(HS74)+5,MONTH(HS74),DAY(HS74))</f>
        <v>46765</v>
      </c>
      <c r="HU74" s="8">
        <f ca="1">HT74-TODAY()</f>
        <v>631</v>
      </c>
      <c r="HV74" s="5" t="str">
        <f t="shared" ca="1" si="327"/>
        <v>VIGENTE</v>
      </c>
      <c r="HW74" s="2"/>
      <c r="HX74" s="4">
        <v>45092</v>
      </c>
      <c r="HY74" s="4">
        <f>DATE(YEAR(HX74)+5,MONTH(HX74),DAY(HX74))</f>
        <v>46919</v>
      </c>
      <c r="HZ74" s="8">
        <f ca="1">HY74-TODAY()</f>
        <v>785</v>
      </c>
      <c r="IA74" s="5" t="str">
        <f t="shared" ca="1" si="328"/>
        <v>VIGENTE</v>
      </c>
      <c r="IB74" s="2"/>
      <c r="IC74" s="4">
        <v>45100</v>
      </c>
      <c r="ID74" s="4">
        <f>DATE(YEAR(IC74)+5,MONTH(IC74),DAY(IC74))</f>
        <v>46927</v>
      </c>
      <c r="IE74" s="8">
        <f ca="1">ID74-TODAY()</f>
        <v>793</v>
      </c>
      <c r="IF74" s="5" t="str">
        <f t="shared" ca="1" si="329"/>
        <v>VIGENTE</v>
      </c>
      <c r="IG74" s="6"/>
      <c r="IH74" s="4">
        <v>45105</v>
      </c>
      <c r="II74" s="4">
        <f>DATE(YEAR(IH74)+5,MONTH(IH74),DAY(IH74))</f>
        <v>46932</v>
      </c>
      <c r="IJ74" s="8">
        <f ca="1">II74-TODAY()</f>
        <v>798</v>
      </c>
      <c r="IK74" s="5" t="str">
        <f t="shared" ca="1" si="330"/>
        <v>VIGENTE</v>
      </c>
      <c r="IL74" s="2"/>
      <c r="IM74" s="4">
        <v>45064</v>
      </c>
      <c r="IN74" s="4">
        <f>DATE(YEAR(IM74)+5,MONTH(IM74),DAY(IM74))</f>
        <v>46891</v>
      </c>
      <c r="IO74" s="8">
        <f ca="1">IN74-TODAY()</f>
        <v>757</v>
      </c>
      <c r="IP74" s="5" t="str">
        <f t="shared" ca="1" si="331"/>
        <v>VIGENTE</v>
      </c>
      <c r="IQ74" s="2"/>
      <c r="IR74" s="4">
        <v>45062</v>
      </c>
      <c r="IS74" s="4">
        <f>DATE(YEAR(IR74)+5,MONTH(IR74),DAY(IR74))</f>
        <v>46889</v>
      </c>
      <c r="IT74" s="8">
        <f ca="1">IS74-TODAY()</f>
        <v>755</v>
      </c>
      <c r="IU74" s="5" t="str">
        <f t="shared" ca="1" si="332"/>
        <v>VIGENTE</v>
      </c>
      <c r="IV74" s="2"/>
      <c r="IW74" s="4">
        <v>45101</v>
      </c>
      <c r="IX74" s="4">
        <f>DATE(YEAR(IW74)+5,MONTH(IW74),DAY(IW74))</f>
        <v>46928</v>
      </c>
      <c r="IY74" s="8">
        <f ca="1">IX74-TODAY()</f>
        <v>794</v>
      </c>
      <c r="IZ74" s="5" t="str">
        <f t="shared" ca="1" si="333"/>
        <v>VIGENTE</v>
      </c>
      <c r="JA74" s="3"/>
      <c r="JB74" s="3"/>
      <c r="JC74" s="4"/>
      <c r="JD74" s="8"/>
      <c r="JE74" s="5" t="str">
        <f t="shared" si="334"/>
        <v>NO APLICA</v>
      </c>
      <c r="JF74" s="6"/>
      <c r="JG74" s="6"/>
      <c r="JH74" s="6"/>
      <c r="JI74" s="6"/>
      <c r="JJ74" s="5" t="str">
        <f t="shared" si="335"/>
        <v>NO APLICA</v>
      </c>
      <c r="JK74" s="6"/>
      <c r="JL74" s="6"/>
      <c r="JM74" s="6"/>
      <c r="JN74" s="6"/>
      <c r="JO74" s="5" t="str">
        <f t="shared" si="336"/>
        <v>NO APLICA</v>
      </c>
      <c r="JP74" s="6"/>
      <c r="JQ74" s="6"/>
      <c r="JR74" s="6"/>
      <c r="JS74" s="6"/>
      <c r="JT74" s="5" t="str">
        <f t="shared" si="337"/>
        <v>NO APLICA</v>
      </c>
      <c r="JU74" s="5"/>
      <c r="JV74" s="5"/>
      <c r="JW74" s="5"/>
      <c r="JX74" s="5"/>
      <c r="JY74" s="5" t="str">
        <f t="shared" si="338"/>
        <v>NO APLICA</v>
      </c>
      <c r="JZ74" s="5"/>
      <c r="KA74" s="5"/>
      <c r="KB74" s="4"/>
      <c r="KC74" s="8"/>
      <c r="KD74" s="5" t="str">
        <f t="shared" si="339"/>
        <v>NO APLICA</v>
      </c>
      <c r="KE74" s="5"/>
      <c r="KF74" s="5"/>
      <c r="KG74" s="4"/>
      <c r="KH74" s="8"/>
      <c r="KI74" s="5" t="str">
        <f t="shared" si="365"/>
        <v>NO APLICA</v>
      </c>
      <c r="KJ74" s="5"/>
      <c r="KK74" s="5"/>
      <c r="KL74" s="4"/>
      <c r="KM74" s="8"/>
      <c r="KN74" s="5" t="str">
        <f t="shared" si="340"/>
        <v>NO APLICA</v>
      </c>
      <c r="KO74" s="5"/>
      <c r="KP74" s="3">
        <v>45346</v>
      </c>
      <c r="KQ74" s="4">
        <f>DATE(YEAR(KP74)+5,MONTH(KP74),DAY(KP74))</f>
        <v>47173</v>
      </c>
      <c r="KR74" s="8">
        <f ca="1">KQ74-TODAY()</f>
        <v>1039</v>
      </c>
      <c r="KS74" s="5" t="str">
        <f t="shared" ca="1" si="366"/>
        <v>VIGENTE</v>
      </c>
      <c r="KT74" s="3"/>
      <c r="KU74" s="4">
        <v>44651</v>
      </c>
      <c r="KV74" s="4">
        <f>DATE(YEAR(KU74)+5,MONTH(KU74),DAY(KU74))</f>
        <v>46477</v>
      </c>
      <c r="KW74" s="8">
        <f ca="1">KV74-TODAY()</f>
        <v>343</v>
      </c>
      <c r="KX74" s="5" t="str">
        <f t="shared" ca="1" si="375"/>
        <v>VIGENTE</v>
      </c>
      <c r="KY74" s="5"/>
      <c r="KZ74" s="4">
        <v>44613</v>
      </c>
      <c r="LA74" s="4">
        <f>DATE(YEAR(KZ74)+5,MONTH(KZ74),DAY(KZ74))</f>
        <v>46439</v>
      </c>
      <c r="LB74" s="8">
        <f ca="1">LA74-TODAY()</f>
        <v>305</v>
      </c>
      <c r="LC74" s="5" t="str">
        <f t="shared" ca="1" si="367"/>
        <v>VIGENTE</v>
      </c>
      <c r="LD74" s="6"/>
      <c r="LE74" s="6"/>
      <c r="LF74" s="4"/>
      <c r="LG74" s="8"/>
      <c r="LH74" s="5" t="str">
        <f t="shared" si="341"/>
        <v>NO APLICA</v>
      </c>
      <c r="LI74" s="5"/>
      <c r="LJ74" s="5"/>
      <c r="LK74" s="5"/>
      <c r="LL74" s="5"/>
      <c r="LM74" s="5" t="str">
        <f t="shared" si="376"/>
        <v>NO APLICA</v>
      </c>
      <c r="LN74" s="5"/>
      <c r="LO74" s="6"/>
      <c r="LP74" s="4"/>
      <c r="LQ74" s="8"/>
      <c r="LR74" s="5" t="str">
        <f t="shared" si="368"/>
        <v>NO APLICA</v>
      </c>
      <c r="LS74" s="6"/>
      <c r="LT74" s="6"/>
      <c r="LU74" s="4"/>
      <c r="LV74" s="8"/>
      <c r="LW74" s="5" t="str">
        <f t="shared" si="369"/>
        <v>NO APLICA</v>
      </c>
      <c r="LX74" s="6"/>
      <c r="LY74" s="6"/>
      <c r="LZ74" s="4"/>
      <c r="MA74" s="8"/>
      <c r="MB74" s="5" t="str">
        <f t="shared" si="370"/>
        <v>NO APLICA</v>
      </c>
      <c r="MC74" s="5"/>
      <c r="MD74" s="5"/>
      <c r="ME74" s="4"/>
      <c r="MF74" s="8"/>
      <c r="MG74" s="5" t="str">
        <f t="shared" si="342"/>
        <v>NO APLICA</v>
      </c>
      <c r="MH74" s="5"/>
      <c r="MI74" s="5"/>
      <c r="MJ74" s="4"/>
      <c r="MK74" s="8"/>
      <c r="ML74" s="5" t="str">
        <f t="shared" si="343"/>
        <v>NO APLICA</v>
      </c>
      <c r="MM74" s="5"/>
      <c r="MN74" s="5"/>
      <c r="MO74" s="4"/>
      <c r="MP74" s="8"/>
      <c r="MQ74" s="5" t="str">
        <f t="shared" si="344"/>
        <v>NO APLICA</v>
      </c>
      <c r="MR74" s="5"/>
      <c r="MS74" s="5"/>
      <c r="MT74" s="4"/>
      <c r="MU74" s="5"/>
      <c r="MV74" s="5" t="str">
        <f t="shared" si="345"/>
        <v>NO APLICA</v>
      </c>
      <c r="MW74" s="5"/>
      <c r="MX74" s="6"/>
      <c r="MY74" s="4"/>
      <c r="MZ74" s="8"/>
      <c r="NA74" s="5" t="str">
        <f t="shared" si="346"/>
        <v>NO APLICA</v>
      </c>
      <c r="NB74" s="5"/>
      <c r="NC74" s="6"/>
      <c r="ND74" s="4"/>
      <c r="NE74" s="8"/>
      <c r="NF74" s="5" t="str">
        <f t="shared" si="347"/>
        <v>NO APLICA</v>
      </c>
      <c r="NG74" s="5"/>
      <c r="NH74" s="6"/>
      <c r="NI74" s="4"/>
      <c r="NJ74" s="8"/>
      <c r="NK74" s="5" t="str">
        <f t="shared" si="348"/>
        <v>NO APLICA</v>
      </c>
      <c r="NL74" s="5"/>
      <c r="NM74" s="5"/>
      <c r="NN74" s="5"/>
      <c r="NO74" s="5"/>
      <c r="NP74" s="5" t="str">
        <f t="shared" si="349"/>
        <v>NO APLICA</v>
      </c>
      <c r="NQ74" s="5"/>
      <c r="NR74" s="5"/>
      <c r="NS74" s="5"/>
      <c r="NT74" s="5"/>
      <c r="NU74" s="5" t="str">
        <f t="shared" si="350"/>
        <v>NO APLICA</v>
      </c>
      <c r="NV74" s="6"/>
      <c r="NW74" s="6"/>
      <c r="NX74" s="6"/>
      <c r="NY74" s="6"/>
      <c r="NZ74" s="5" t="str">
        <f t="shared" si="351"/>
        <v>NO APLICA</v>
      </c>
      <c r="OA74" s="6"/>
      <c r="OB74" s="6"/>
      <c r="OC74" s="6"/>
      <c r="OD74" s="6"/>
      <c r="OE74" s="5" t="str">
        <f t="shared" si="352"/>
        <v>NO APLICA</v>
      </c>
      <c r="OF74" s="6"/>
      <c r="OG74" s="6"/>
      <c r="OH74" s="4"/>
      <c r="OI74" s="8"/>
      <c r="OJ74" s="5" t="str">
        <f t="shared" si="353"/>
        <v>NO APLICA</v>
      </c>
      <c r="OK74" s="6"/>
      <c r="OL74" s="6"/>
      <c r="OM74" s="6"/>
      <c r="ON74" s="6"/>
      <c r="OO74" s="5" t="str">
        <f t="shared" si="354"/>
        <v>NO APLICA</v>
      </c>
      <c r="OP74" s="6"/>
      <c r="OQ74" s="6"/>
      <c r="OR74" s="6"/>
      <c r="OS74" s="6"/>
      <c r="OT74" s="5" t="str">
        <f t="shared" si="355"/>
        <v>NO APLICA</v>
      </c>
      <c r="OU74" s="6"/>
      <c r="OV74" s="6"/>
      <c r="OW74" s="6"/>
      <c r="OX74" s="6"/>
      <c r="OY74" s="5" t="str">
        <f t="shared" si="356"/>
        <v>NO APLICA</v>
      </c>
      <c r="OZ74" s="6"/>
      <c r="PA74" s="6"/>
      <c r="PB74" s="6"/>
      <c r="PC74" s="6"/>
      <c r="PD74" s="5" t="str">
        <f t="shared" si="357"/>
        <v>NO APLICA</v>
      </c>
      <c r="PE74" s="6"/>
      <c r="PF74" s="6"/>
      <c r="PG74" s="6"/>
      <c r="PH74" s="6"/>
      <c r="PI74" s="5" t="str">
        <f t="shared" si="358"/>
        <v>NO APLICA</v>
      </c>
      <c r="PJ74" s="5"/>
      <c r="PK74" s="6"/>
      <c r="PL74" s="4"/>
      <c r="PM74" s="8"/>
      <c r="PN74" s="5" t="str">
        <f t="shared" si="359"/>
        <v>NO APLICA</v>
      </c>
      <c r="PO74" s="6"/>
      <c r="PP74" s="6"/>
      <c r="PQ74" s="6"/>
      <c r="PR74" s="6"/>
      <c r="PS74" s="5" t="str">
        <f t="shared" si="360"/>
        <v>NO APLICA</v>
      </c>
      <c r="PT74" s="5"/>
      <c r="PU74" s="6"/>
      <c r="PV74" s="6"/>
      <c r="PW74" s="6"/>
      <c r="PX74" s="5" t="str">
        <f t="shared" si="361"/>
        <v>NO APLICA</v>
      </c>
    </row>
    <row r="75" spans="1:440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280</v>
      </c>
      <c r="V75" s="4">
        <v>44786</v>
      </c>
      <c r="W75" s="4">
        <f t="shared" si="248"/>
        <v>46612</v>
      </c>
      <c r="X75" s="8">
        <f t="shared" ca="1" si="249"/>
        <v>478</v>
      </c>
      <c r="Y75" s="5" t="str">
        <f t="shared" ca="1" si="250"/>
        <v>VIGENTE</v>
      </c>
      <c r="Z75" s="2" t="s">
        <v>281</v>
      </c>
      <c r="AA75" s="4">
        <v>45499</v>
      </c>
      <c r="AB75" s="4">
        <f t="shared" si="385"/>
        <v>47325</v>
      </c>
      <c r="AC75" s="8">
        <f t="shared" ca="1" si="386"/>
        <v>1191</v>
      </c>
      <c r="AD75" s="5" t="str">
        <f t="shared" ca="1" si="387"/>
        <v>VIGENTE</v>
      </c>
      <c r="AE75" s="3"/>
      <c r="AF75" s="4">
        <v>45594</v>
      </c>
      <c r="AG75" s="4">
        <f>DATE(YEAR(AF75)+2,MONTH(AF75),DAY(AF75)-1)</f>
        <v>46323</v>
      </c>
      <c r="AH75" s="8">
        <f t="shared" ca="1" si="252"/>
        <v>189</v>
      </c>
      <c r="AI75" s="5" t="str">
        <f t="shared" ca="1" si="224"/>
        <v>VIGENTE</v>
      </c>
      <c r="AJ75" s="3"/>
      <c r="AK75" s="4">
        <v>45926</v>
      </c>
      <c r="AL75" s="4">
        <f>DATE(YEAR(AK75)+2,MONTH(AK75),DAY(AK75))</f>
        <v>46656</v>
      </c>
      <c r="AM75" s="8">
        <f t="shared" ca="1" si="253"/>
        <v>522</v>
      </c>
      <c r="AN75" s="5" t="str">
        <f t="shared" ca="1" si="254"/>
        <v>VIGENTE</v>
      </c>
      <c r="AO75" s="3"/>
      <c r="AP75" s="4">
        <v>45971</v>
      </c>
      <c r="AQ75" s="4">
        <f>DATE(YEAR(AP75)+2,MONTH(AP75),DAY(AP75))</f>
        <v>46701</v>
      </c>
      <c r="AR75" s="8">
        <f t="shared" ca="1" si="255"/>
        <v>567</v>
      </c>
      <c r="AS75" s="5" t="str">
        <f t="shared" ca="1" si="256"/>
        <v>VIGENTE</v>
      </c>
      <c r="AT75" s="3"/>
      <c r="AU75" s="4">
        <v>45972</v>
      </c>
      <c r="AV75" s="4">
        <f>DATE(YEAR(AU75)+2,MONTH(AU75),DAY(AU75))</f>
        <v>46702</v>
      </c>
      <c r="AW75" s="8">
        <f t="shared" ca="1" si="257"/>
        <v>568</v>
      </c>
      <c r="AX75" s="5" t="str">
        <f t="shared" ca="1" si="258"/>
        <v>VIGENTE</v>
      </c>
      <c r="AY75" s="3"/>
      <c r="AZ75" s="4">
        <v>45742</v>
      </c>
      <c r="BA75" s="4">
        <f t="shared" si="371"/>
        <v>46471</v>
      </c>
      <c r="BB75" s="8">
        <f t="shared" ca="1" si="259"/>
        <v>337</v>
      </c>
      <c r="BC75" s="5" t="str">
        <f t="shared" ca="1" si="260"/>
        <v>VIGENTE</v>
      </c>
      <c r="BD75" s="3"/>
      <c r="BE75" s="4">
        <v>45987</v>
      </c>
      <c r="BF75" s="4">
        <f>DATE(YEAR(BE75)+2,MONTH(BE75),DAY(BE75))</f>
        <v>46717</v>
      </c>
      <c r="BG75" s="8">
        <f t="shared" ca="1" si="261"/>
        <v>583</v>
      </c>
      <c r="BH75" s="5" t="str">
        <f t="shared" ca="1" si="262"/>
        <v>VIGENTE</v>
      </c>
      <c r="BI75" s="3"/>
      <c r="BJ75" s="4">
        <v>46035</v>
      </c>
      <c r="BK75" s="4">
        <f>DATE(YEAR(BJ75)+2,MONTH(BJ75),DAY(BJ75))</f>
        <v>46765</v>
      </c>
      <c r="BL75" s="8">
        <f t="shared" ca="1" si="263"/>
        <v>631</v>
      </c>
      <c r="BM75" s="5" t="str">
        <f t="shared" ca="1" si="264"/>
        <v>VIGENTE</v>
      </c>
      <c r="BN75" s="3"/>
      <c r="BO75" s="4">
        <v>46069</v>
      </c>
      <c r="BP75" s="4">
        <f>DATE(YEAR(BO75)+2,MONTH(BO75),DAY(BO75))</f>
        <v>46799</v>
      </c>
      <c r="BQ75" s="8">
        <f t="shared" ca="1" si="265"/>
        <v>665</v>
      </c>
      <c r="BR75" s="5" t="str">
        <f t="shared" ca="1" si="266"/>
        <v>VIGENTE</v>
      </c>
      <c r="BS75" s="3"/>
      <c r="BT75" s="4">
        <v>45455</v>
      </c>
      <c r="BU75" s="4">
        <f>DATE(YEAR(BT75)+2,MONTH(BT75),DAY(BT75)-1)</f>
        <v>46184</v>
      </c>
      <c r="BV75" s="8">
        <f t="shared" ca="1" si="267"/>
        <v>50</v>
      </c>
      <c r="BW75" s="5" t="str">
        <f t="shared" ca="1" si="268"/>
        <v>POR VENCER</v>
      </c>
      <c r="BX75" s="3"/>
      <c r="BY75" s="4">
        <v>45974</v>
      </c>
      <c r="BZ75" s="4">
        <f>DATE(YEAR(BY75)+2,MONTH(BY75),DAY(BY75))</f>
        <v>46704</v>
      </c>
      <c r="CA75" s="8">
        <f t="shared" ca="1" si="269"/>
        <v>570</v>
      </c>
      <c r="CB75" s="5" t="str">
        <f t="shared" ca="1" si="270"/>
        <v>VIGENTE</v>
      </c>
      <c r="CC75" s="6" t="s">
        <v>73</v>
      </c>
      <c r="CD75" s="4">
        <v>45227</v>
      </c>
      <c r="CE75" s="4">
        <f t="shared" si="271"/>
        <v>46688</v>
      </c>
      <c r="CF75" s="8">
        <f t="shared" ca="1" si="272"/>
        <v>554</v>
      </c>
      <c r="CG75" s="5" t="str">
        <f t="shared" ca="1" si="273"/>
        <v>VIGENTE</v>
      </c>
      <c r="CH75" s="4"/>
      <c r="CI75" s="4">
        <v>45504</v>
      </c>
      <c r="CJ75" s="4">
        <f t="shared" si="384"/>
        <v>46233</v>
      </c>
      <c r="CK75" s="8">
        <f t="shared" ca="1" si="274"/>
        <v>99</v>
      </c>
      <c r="CL75" s="5" t="str">
        <f t="shared" ca="1" si="275"/>
        <v>VIGENTE</v>
      </c>
      <c r="CM75" s="4"/>
      <c r="CN75" s="4">
        <v>45726</v>
      </c>
      <c r="CO75" s="4">
        <f t="shared" si="377"/>
        <v>46455</v>
      </c>
      <c r="CP75" s="8">
        <f t="shared" ca="1" si="276"/>
        <v>321</v>
      </c>
      <c r="CQ75" s="5" t="str">
        <f t="shared" ca="1" si="277"/>
        <v>VIGENTE</v>
      </c>
      <c r="CR75" s="3"/>
      <c r="CS75" s="4">
        <v>45639</v>
      </c>
      <c r="CT75" s="4">
        <f t="shared" si="378"/>
        <v>46368</v>
      </c>
      <c r="CU75" s="8">
        <f t="shared" ca="1" si="278"/>
        <v>234</v>
      </c>
      <c r="CV75" s="5" t="str">
        <f t="shared" ca="1" si="279"/>
        <v>VIGENTE</v>
      </c>
      <c r="CW75" s="3"/>
      <c r="CX75" s="4">
        <v>45665</v>
      </c>
      <c r="CY75" s="4">
        <f t="shared" si="379"/>
        <v>46394</v>
      </c>
      <c r="CZ75" s="8">
        <f t="shared" ca="1" si="280"/>
        <v>260</v>
      </c>
      <c r="DA75" s="5" t="str">
        <f t="shared" ca="1" si="281"/>
        <v>VIGENTE</v>
      </c>
      <c r="DB75" s="4"/>
      <c r="DC75" s="4">
        <v>45689</v>
      </c>
      <c r="DD75" s="4">
        <f t="shared" ref="DD75:DD80" si="392">DATE(YEAR(DC75)+2,MONTH(DC75),DAY(DC75)-1)</f>
        <v>46418</v>
      </c>
      <c r="DE75" s="8">
        <f t="shared" ca="1" si="282"/>
        <v>284</v>
      </c>
      <c r="DF75" s="5" t="str">
        <f t="shared" ca="1" si="283"/>
        <v>VIGENTE</v>
      </c>
      <c r="DG75" s="4"/>
      <c r="DH75" s="4">
        <v>45696</v>
      </c>
      <c r="DI75" s="4">
        <f>DATE(YEAR(DH75)+2,MONTH(DH75),DAY(DH75)-1)</f>
        <v>46425</v>
      </c>
      <c r="DJ75" s="8">
        <f t="shared" ca="1" si="284"/>
        <v>291</v>
      </c>
      <c r="DK75" s="5" t="str">
        <f t="shared" ca="1" si="285"/>
        <v>VIGENTE</v>
      </c>
      <c r="DL75" s="3"/>
      <c r="DM75" s="4">
        <v>46046</v>
      </c>
      <c r="DN75" s="4">
        <f>DATE(YEAR(DM75)+2,MONTH(DM75),DAY(DM75))</f>
        <v>46776</v>
      </c>
      <c r="DO75" s="8">
        <f t="shared" ca="1" si="286"/>
        <v>642</v>
      </c>
      <c r="DP75" s="5" t="str">
        <f t="shared" ca="1" si="287"/>
        <v>VIGENTE</v>
      </c>
      <c r="DQ75" s="3"/>
      <c r="DR75" s="4">
        <v>45728</v>
      </c>
      <c r="DS75" s="4">
        <f>DATE(YEAR(DR75)+2,MONTH(DR75),DAY(DR75)-1)</f>
        <v>46457</v>
      </c>
      <c r="DT75" s="8">
        <f t="shared" ca="1" si="288"/>
        <v>323</v>
      </c>
      <c r="DU75" s="5" t="str">
        <f t="shared" ca="1" si="289"/>
        <v>VIGENTE</v>
      </c>
      <c r="DV75" s="4"/>
      <c r="DW75" s="4">
        <v>45709</v>
      </c>
      <c r="DX75" s="4">
        <f t="shared" si="363"/>
        <v>46438</v>
      </c>
      <c r="DY75" s="8">
        <f t="shared" ca="1" si="290"/>
        <v>304</v>
      </c>
      <c r="DZ75" s="5" t="str">
        <f t="shared" ca="1" si="291"/>
        <v>VIGENTE</v>
      </c>
      <c r="EA75" s="4"/>
      <c r="EB75" s="4">
        <v>45674</v>
      </c>
      <c r="EC75" s="4">
        <f>DATE(YEAR(EB75)+2,MONTH(EB75),DAY(EB75)-1)</f>
        <v>46403</v>
      </c>
      <c r="ED75" s="8">
        <f t="shared" ca="1" si="292"/>
        <v>269</v>
      </c>
      <c r="EE75" s="5" t="str">
        <f t="shared" ca="1" si="293"/>
        <v>VIGENTE</v>
      </c>
      <c r="EF75" s="3"/>
      <c r="EG75" s="3">
        <v>46085</v>
      </c>
      <c r="EH75" s="4">
        <f t="shared" si="364"/>
        <v>46450</v>
      </c>
      <c r="EI75" s="8">
        <f t="shared" ca="1" si="294"/>
        <v>316</v>
      </c>
      <c r="EJ75" s="5" t="str">
        <f t="shared" ca="1" si="295"/>
        <v>VIGENTE</v>
      </c>
      <c r="EK75" s="4"/>
      <c r="EL75" s="4">
        <v>45671</v>
      </c>
      <c r="EM75" s="4">
        <f t="shared" si="380"/>
        <v>46400</v>
      </c>
      <c r="EN75" s="8">
        <f t="shared" ca="1" si="296"/>
        <v>266</v>
      </c>
      <c r="EO75" s="5" t="str">
        <f t="shared" ca="1" si="297"/>
        <v>VIGENTE</v>
      </c>
      <c r="EP75" s="4"/>
      <c r="EQ75" s="4">
        <v>45755</v>
      </c>
      <c r="ER75" s="4">
        <f t="shared" si="372"/>
        <v>46484</v>
      </c>
      <c r="ES75" s="8">
        <f t="shared" ca="1" si="298"/>
        <v>350</v>
      </c>
      <c r="ET75" s="5" t="str">
        <f t="shared" ca="1" si="299"/>
        <v>VIGENTE</v>
      </c>
      <c r="EU75" s="3"/>
      <c r="EV75" s="4">
        <v>45964</v>
      </c>
      <c r="EW75" s="4">
        <f>DATE(YEAR(EV75)+2,MONTH(EV75),DAY(EV75))</f>
        <v>46694</v>
      </c>
      <c r="EX75" s="8">
        <f t="shared" ca="1" si="300"/>
        <v>560</v>
      </c>
      <c r="EY75" s="5" t="str">
        <f t="shared" ca="1" si="301"/>
        <v>VIGENTE</v>
      </c>
      <c r="EZ75" s="3"/>
      <c r="FA75" s="4">
        <v>45988</v>
      </c>
      <c r="FB75" s="4">
        <f>DATE(YEAR(FA75)+2,MONTH(FA75),DAY(FA75))</f>
        <v>46718</v>
      </c>
      <c r="FC75" s="8">
        <f t="shared" ca="1" si="302"/>
        <v>584</v>
      </c>
      <c r="FD75" s="5" t="str">
        <f t="shared" ca="1" si="303"/>
        <v>VIGENTE</v>
      </c>
      <c r="FE75" s="3"/>
      <c r="FF75" s="4">
        <v>45969</v>
      </c>
      <c r="FG75" s="4">
        <f>DATE(YEAR(FF75)+2,MONTH(FF75),DAY(FF75))</f>
        <v>46699</v>
      </c>
      <c r="FH75" s="8">
        <f t="shared" ca="1" si="304"/>
        <v>565</v>
      </c>
      <c r="FI75" s="5" t="str">
        <f t="shared" ca="1" si="305"/>
        <v>VIGENTE</v>
      </c>
      <c r="FJ75" s="3"/>
      <c r="FK75" s="4">
        <v>45738</v>
      </c>
      <c r="FL75" s="4">
        <f t="shared" si="373"/>
        <v>46467</v>
      </c>
      <c r="FM75" s="8">
        <f t="shared" ca="1" si="306"/>
        <v>333</v>
      </c>
      <c r="FN75" s="5" t="str">
        <f t="shared" ca="1" si="307"/>
        <v>VIGENTE</v>
      </c>
      <c r="FO75" s="4"/>
      <c r="FP75" s="4">
        <v>45678</v>
      </c>
      <c r="FQ75" s="4">
        <f t="shared" si="381"/>
        <v>46407</v>
      </c>
      <c r="FR75" s="8">
        <f t="shared" ca="1" si="308"/>
        <v>273</v>
      </c>
      <c r="FS75" s="5" t="str">
        <f t="shared" ca="1" si="309"/>
        <v>VIGENTE</v>
      </c>
      <c r="FT75" s="3"/>
      <c r="FU75" s="4">
        <v>45993</v>
      </c>
      <c r="FV75" s="4">
        <f>DATE(YEAR(FU75)+2,MONTH(FU75),DAY(FU75))</f>
        <v>46723</v>
      </c>
      <c r="FW75" s="8">
        <f t="shared" ca="1" si="310"/>
        <v>589</v>
      </c>
      <c r="FX75" s="5" t="str">
        <f t="shared" ca="1" si="311"/>
        <v>VIGENTE</v>
      </c>
      <c r="FY75" s="3"/>
      <c r="FZ75" s="4">
        <v>45741</v>
      </c>
      <c r="GA75" s="4">
        <f t="shared" si="374"/>
        <v>46470</v>
      </c>
      <c r="GB75" s="8">
        <f t="shared" ca="1" si="312"/>
        <v>336</v>
      </c>
      <c r="GC75" s="5" t="str">
        <f t="shared" ca="1" si="313"/>
        <v>VIGENTE</v>
      </c>
      <c r="GD75" s="3"/>
      <c r="GE75" s="4">
        <v>45752</v>
      </c>
      <c r="GF75" s="4">
        <f>DATE(YEAR(GE75)+2,MONTH(GE75),DAY(GE75)-1)</f>
        <v>46481</v>
      </c>
      <c r="GG75" s="8">
        <f t="shared" ca="1" si="314"/>
        <v>347</v>
      </c>
      <c r="GH75" s="5" t="str">
        <f t="shared" ca="1" si="315"/>
        <v>VIGENTE</v>
      </c>
      <c r="GI75" s="3"/>
      <c r="GJ75" s="4">
        <v>45848</v>
      </c>
      <c r="GK75" s="4">
        <f>DATE(YEAR(GJ75)+2,MONTH(GJ75),DAY(GJ75))</f>
        <v>46578</v>
      </c>
      <c r="GL75" s="8">
        <f t="shared" ca="1" si="316"/>
        <v>444</v>
      </c>
      <c r="GM75" s="5" t="str">
        <f t="shared" ca="1" si="317"/>
        <v>VIGENTE</v>
      </c>
      <c r="GN75" s="4"/>
      <c r="GO75" s="4">
        <v>45164</v>
      </c>
      <c r="GP75" s="4">
        <f t="shared" si="318"/>
        <v>46991</v>
      </c>
      <c r="GQ75" s="8">
        <f t="shared" ca="1" si="181"/>
        <v>857</v>
      </c>
      <c r="GR75" s="5" t="str">
        <f t="shared" ca="1" si="388"/>
        <v>VIGENTE</v>
      </c>
      <c r="GS75" s="3"/>
      <c r="GT75" s="4">
        <v>45200</v>
      </c>
      <c r="GU75" s="4">
        <f t="shared" si="320"/>
        <v>47027</v>
      </c>
      <c r="GV75" s="8">
        <f t="shared" ca="1" si="321"/>
        <v>893</v>
      </c>
      <c r="GW75" s="5" t="str">
        <f t="shared" ca="1" si="389"/>
        <v>VIGENTE</v>
      </c>
      <c r="GX75" s="3"/>
      <c r="GY75" s="4">
        <v>45163</v>
      </c>
      <c r="GZ75" s="4">
        <f t="shared" si="323"/>
        <v>46990</v>
      </c>
      <c r="HA75" s="8">
        <f t="shared" ca="1" si="324"/>
        <v>856</v>
      </c>
      <c r="HB75" s="5" t="str">
        <f t="shared" ca="1" si="390"/>
        <v>VIGENTE</v>
      </c>
      <c r="HC75" s="6"/>
      <c r="HD75" s="4">
        <v>44865</v>
      </c>
      <c r="HE75" s="4">
        <f t="shared" si="382"/>
        <v>46691</v>
      </c>
      <c r="HF75" s="8">
        <f t="shared" ca="1" si="383"/>
        <v>557</v>
      </c>
      <c r="HG75" s="5" t="str">
        <f t="shared" ca="1" si="391"/>
        <v>VIGENTE</v>
      </c>
      <c r="HH75" s="3"/>
      <c r="HI75" s="4">
        <v>45368</v>
      </c>
      <c r="HJ75" s="4">
        <f>DATE(YEAR(HI75)+5,MONTH(HI75),DAY(HI75))</f>
        <v>47194</v>
      </c>
      <c r="HK75" s="8">
        <f ca="1">HJ75-TODAY()</f>
        <v>1060</v>
      </c>
      <c r="HL75" s="5" t="str">
        <f t="shared" ca="1" si="232"/>
        <v>VIGENTE</v>
      </c>
      <c r="HM75" s="2"/>
      <c r="HN75" s="3">
        <v>45386</v>
      </c>
      <c r="HO75" s="4">
        <f>DATE(YEAR(HN75)+5,MONTH(HN75),DAY(HN75))</f>
        <v>47212</v>
      </c>
      <c r="HP75" s="8">
        <f ca="1">HO75-TODAY()</f>
        <v>1078</v>
      </c>
      <c r="HQ75" s="5" t="str">
        <f t="shared" ca="1" si="326"/>
        <v>VIGENTE</v>
      </c>
      <c r="HR75" s="3"/>
      <c r="HS75" s="4">
        <v>45243</v>
      </c>
      <c r="HT75" s="4">
        <f>DATE(YEAR(HS75)+5,MONTH(HS75),DAY(HS75))</f>
        <v>47070</v>
      </c>
      <c r="HU75" s="8">
        <f ca="1">HT75-TODAY()</f>
        <v>936</v>
      </c>
      <c r="HV75" s="5" t="str">
        <f t="shared" ca="1" si="327"/>
        <v>VIGENTE</v>
      </c>
      <c r="HW75" s="3"/>
      <c r="HX75" s="4">
        <v>45241</v>
      </c>
      <c r="HY75" s="4">
        <f>DATE(YEAR(HX75)+5,MONTH(HX75),DAY(HX75))</f>
        <v>47068</v>
      </c>
      <c r="HZ75" s="8">
        <f ca="1">HY75-TODAY()</f>
        <v>934</v>
      </c>
      <c r="IA75" s="5" t="str">
        <f t="shared" ca="1" si="328"/>
        <v>VIGENTE</v>
      </c>
      <c r="IB75" s="3"/>
      <c r="IC75" s="4">
        <v>45192</v>
      </c>
      <c r="ID75" s="4">
        <f>DATE(YEAR(IC75)+5,MONTH(IC75),DAY(IC75))</f>
        <v>47019</v>
      </c>
      <c r="IE75" s="8">
        <f ca="1">ID75-TODAY()</f>
        <v>885</v>
      </c>
      <c r="IF75" s="5" t="str">
        <f t="shared" ca="1" si="329"/>
        <v>VIGENTE</v>
      </c>
      <c r="IG75" s="4"/>
      <c r="IH75" s="4">
        <v>45238</v>
      </c>
      <c r="II75" s="4">
        <f>DATE(YEAR(IH75)+5,MONTH(IH75),DAY(IH75))</f>
        <v>47065</v>
      </c>
      <c r="IJ75" s="8">
        <f ca="1">II75-TODAY()</f>
        <v>931</v>
      </c>
      <c r="IK75" s="5" t="str">
        <f t="shared" ca="1" si="330"/>
        <v>VIGENTE</v>
      </c>
      <c r="IL75" s="3"/>
      <c r="IM75" s="4">
        <v>45239</v>
      </c>
      <c r="IN75" s="4">
        <f>DATE(YEAR(IM75)+5,MONTH(IM75),DAY(IM75))</f>
        <v>47066</v>
      </c>
      <c r="IO75" s="8">
        <f ca="1">IN75-TODAY()</f>
        <v>932</v>
      </c>
      <c r="IP75" s="5" t="str">
        <f t="shared" ca="1" si="331"/>
        <v>VIGENTE</v>
      </c>
      <c r="IQ75" s="3"/>
      <c r="IR75" s="4">
        <v>45240</v>
      </c>
      <c r="IS75" s="4">
        <f>DATE(YEAR(IR75)+5,MONTH(IR75),DAY(IR75))</f>
        <v>47067</v>
      </c>
      <c r="IT75" s="8">
        <f ca="1">IS75-TODAY()</f>
        <v>933</v>
      </c>
      <c r="IU75" s="5" t="str">
        <f t="shared" ca="1" si="332"/>
        <v>VIGENTE</v>
      </c>
      <c r="IV75" s="3"/>
      <c r="IW75" s="4">
        <v>45251</v>
      </c>
      <c r="IX75" s="4">
        <f>DATE(YEAR(IW75)+5,MONTH(IW75),DAY(IW75))</f>
        <v>47078</v>
      </c>
      <c r="IY75" s="8">
        <f ca="1">IX75-TODAY()</f>
        <v>944</v>
      </c>
      <c r="IZ75" s="5" t="str">
        <f t="shared" ca="1" si="333"/>
        <v>VIGENTE</v>
      </c>
      <c r="JA75" s="3"/>
      <c r="JB75" s="3"/>
      <c r="JC75" s="4"/>
      <c r="JD75" s="8"/>
      <c r="JE75" s="5" t="str">
        <f t="shared" si="334"/>
        <v>NO APLICA</v>
      </c>
      <c r="JF75" s="6"/>
      <c r="JG75" s="6"/>
      <c r="JH75" s="6"/>
      <c r="JI75" s="6"/>
      <c r="JJ75" s="5" t="str">
        <f t="shared" si="335"/>
        <v>NO APLICA</v>
      </c>
      <c r="JK75" s="6"/>
      <c r="JL75" s="6"/>
      <c r="JM75" s="6"/>
      <c r="JN75" s="6"/>
      <c r="JO75" s="5" t="str">
        <f t="shared" si="336"/>
        <v>NO APLICA</v>
      </c>
      <c r="JP75" s="6"/>
      <c r="JQ75" s="6"/>
      <c r="JR75" s="6"/>
      <c r="JS75" s="6"/>
      <c r="JT75" s="5" t="str">
        <f t="shared" si="337"/>
        <v>NO APLICA</v>
      </c>
      <c r="JU75" s="5"/>
      <c r="JV75" s="5"/>
      <c r="JW75" s="5"/>
      <c r="JX75" s="5"/>
      <c r="JY75" s="5" t="str">
        <f t="shared" si="338"/>
        <v>NO APLICA</v>
      </c>
      <c r="JZ75" s="5"/>
      <c r="KA75" s="2"/>
      <c r="KB75" s="4"/>
      <c r="KC75" s="8"/>
      <c r="KD75" s="5" t="str">
        <f t="shared" si="339"/>
        <v>NO APLICA</v>
      </c>
      <c r="KE75" s="5"/>
      <c r="KF75" s="2"/>
      <c r="KG75" s="4"/>
      <c r="KH75" s="8"/>
      <c r="KI75" s="5" t="str">
        <f t="shared" si="365"/>
        <v>NO APLICA</v>
      </c>
      <c r="KJ75" s="5"/>
      <c r="KK75" s="2"/>
      <c r="KL75" s="4"/>
      <c r="KM75" s="8"/>
      <c r="KN75" s="5" t="str">
        <f t="shared" si="340"/>
        <v>NO APLICA</v>
      </c>
      <c r="KO75" s="5"/>
      <c r="KP75" s="2"/>
      <c r="KQ75" s="4"/>
      <c r="KR75" s="8"/>
      <c r="KS75" s="5" t="str">
        <f t="shared" si="366"/>
        <v>NO APLICA</v>
      </c>
      <c r="KT75" s="3"/>
      <c r="KU75" s="4">
        <v>44651</v>
      </c>
      <c r="KV75" s="4">
        <f>DATE(YEAR(KU75)+5,MONTH(KU75),DAY(KU75))</f>
        <v>46477</v>
      </c>
      <c r="KW75" s="8">
        <f ca="1">KV75-TODAY()</f>
        <v>343</v>
      </c>
      <c r="KX75" s="5" t="str">
        <f t="shared" ca="1" si="375"/>
        <v>VIGENTE</v>
      </c>
      <c r="KY75" s="5"/>
      <c r="KZ75" s="4">
        <v>44603</v>
      </c>
      <c r="LA75" s="4">
        <f>DATE(YEAR(KZ75)+5,MONTH(KZ75),DAY(KZ75))</f>
        <v>46429</v>
      </c>
      <c r="LB75" s="8">
        <f ca="1">LA75-TODAY()</f>
        <v>295</v>
      </c>
      <c r="LC75" s="5" t="str">
        <f t="shared" ca="1" si="367"/>
        <v>VIGENTE</v>
      </c>
      <c r="LD75" s="6"/>
      <c r="LE75" s="4">
        <v>45611</v>
      </c>
      <c r="LF75" s="4">
        <f>DATE(YEAR(LE75)+2,MONTH(LE75),DAY(LE75))</f>
        <v>46341</v>
      </c>
      <c r="LG75" s="8">
        <f ca="1">LF75-TODAY()</f>
        <v>207</v>
      </c>
      <c r="LH75" s="5" t="str">
        <f t="shared" ca="1" si="341"/>
        <v>VIGENTE</v>
      </c>
      <c r="LI75" s="5"/>
      <c r="LJ75" s="5"/>
      <c r="LK75" s="4"/>
      <c r="LL75" s="8"/>
      <c r="LM75" s="5" t="str">
        <f t="shared" si="376"/>
        <v>NO APLICA</v>
      </c>
      <c r="LN75" s="2"/>
      <c r="LO75" s="6"/>
      <c r="LP75" s="4"/>
      <c r="LQ75" s="8"/>
      <c r="LR75" s="5" t="str">
        <f t="shared" si="368"/>
        <v>NO APLICA</v>
      </c>
      <c r="LS75" s="4"/>
      <c r="LT75" s="4">
        <v>44986</v>
      </c>
      <c r="LU75" s="4">
        <f>DATE(YEAR(LT75)+5,MONTH(LT75),DAY(LT75))</f>
        <v>46813</v>
      </c>
      <c r="LV75" s="8">
        <f ca="1">LU75-TODAY()</f>
        <v>679</v>
      </c>
      <c r="LW75" s="5" t="str">
        <f t="shared" ca="1" si="369"/>
        <v>VIGENTE</v>
      </c>
      <c r="LX75" s="4"/>
      <c r="LY75" s="4">
        <v>44988</v>
      </c>
      <c r="LZ75" s="4">
        <f>DATE(YEAR(LY75)+5,MONTH(LY75),DAY(LY75))</f>
        <v>46815</v>
      </c>
      <c r="MA75" s="8">
        <f ca="1">LZ75-TODAY()</f>
        <v>681</v>
      </c>
      <c r="MB75" s="5" t="str">
        <f t="shared" ca="1" si="370"/>
        <v>VIGENTE</v>
      </c>
      <c r="MC75" s="2"/>
      <c r="MD75" s="2"/>
      <c r="ME75" s="4"/>
      <c r="MF75" s="8"/>
      <c r="MG75" s="5" t="str">
        <f t="shared" si="342"/>
        <v>NO APLICA</v>
      </c>
      <c r="MH75" s="2"/>
      <c r="MI75" s="2"/>
      <c r="MJ75" s="4"/>
      <c r="MK75" s="8"/>
      <c r="ML75" s="5" t="str">
        <f t="shared" si="343"/>
        <v>NO APLICA</v>
      </c>
      <c r="MM75" s="5"/>
      <c r="MN75" s="2"/>
      <c r="MO75" s="4"/>
      <c r="MP75" s="8"/>
      <c r="MQ75" s="5" t="str">
        <f t="shared" si="344"/>
        <v>NO APLICA</v>
      </c>
      <c r="MR75" s="5"/>
      <c r="MS75" s="2"/>
      <c r="MT75" s="4"/>
      <c r="MU75" s="2"/>
      <c r="MV75" s="5" t="str">
        <f t="shared" si="345"/>
        <v>NO APLICA</v>
      </c>
      <c r="MW75" s="2"/>
      <c r="MX75" s="4">
        <v>44834</v>
      </c>
      <c r="MY75" s="4">
        <f>DATE(YEAR(MX75)+5,MONTH(MX75),DAY(MX75))</f>
        <v>46660</v>
      </c>
      <c r="MZ75" s="8">
        <f ca="1">MY75-TODAY()</f>
        <v>526</v>
      </c>
      <c r="NA75" s="5" t="str">
        <f t="shared" ca="1" si="346"/>
        <v>VIGENTE</v>
      </c>
      <c r="NB75" s="2"/>
      <c r="NC75" s="4">
        <v>44835</v>
      </c>
      <c r="ND75" s="4">
        <f>DATE(YEAR(NC75)+5,MONTH(NC75),DAY(NC75))</f>
        <v>46661</v>
      </c>
      <c r="NE75" s="8">
        <f ca="1">ND75-TODAY()</f>
        <v>527</v>
      </c>
      <c r="NF75" s="5" t="str">
        <f t="shared" ca="1" si="347"/>
        <v>VIGENTE</v>
      </c>
      <c r="NG75" s="2"/>
      <c r="NH75" s="4">
        <v>44751</v>
      </c>
      <c r="NI75" s="4">
        <f>DATE(YEAR(NH75)+5,MONTH(NH75),DAY(NH75))</f>
        <v>46577</v>
      </c>
      <c r="NJ75" s="8">
        <f ca="1">NI75-TODAY()</f>
        <v>443</v>
      </c>
      <c r="NK75" s="5" t="str">
        <f t="shared" ca="1" si="348"/>
        <v>VIGENTE</v>
      </c>
      <c r="NL75" s="2"/>
      <c r="NM75" s="2"/>
      <c r="NN75" s="4"/>
      <c r="NO75" s="8"/>
      <c r="NP75" s="5" t="str">
        <f t="shared" si="349"/>
        <v>NO APLICA</v>
      </c>
      <c r="NQ75" s="2"/>
      <c r="NR75" s="2"/>
      <c r="NS75" s="4"/>
      <c r="NT75" s="2"/>
      <c r="NU75" s="5" t="str">
        <f t="shared" si="350"/>
        <v>NO APLICA</v>
      </c>
      <c r="NV75" s="6"/>
      <c r="NW75" s="6"/>
      <c r="NX75" s="4"/>
      <c r="NY75" s="8"/>
      <c r="NZ75" s="5" t="str">
        <f t="shared" si="351"/>
        <v>NO APLICA</v>
      </c>
      <c r="OA75" s="6"/>
      <c r="OB75" s="6"/>
      <c r="OC75" s="6"/>
      <c r="OD75" s="6"/>
      <c r="OE75" s="5" t="str">
        <f t="shared" si="352"/>
        <v>NO APLICA</v>
      </c>
      <c r="OF75" s="2"/>
      <c r="OG75" s="2"/>
      <c r="OH75" s="4"/>
      <c r="OI75" s="8"/>
      <c r="OJ75" s="5" t="str">
        <f t="shared" si="353"/>
        <v>NO APLICA</v>
      </c>
      <c r="OK75" s="6"/>
      <c r="OL75" s="6"/>
      <c r="OM75" s="6"/>
      <c r="ON75" s="6"/>
      <c r="OO75" s="5" t="str">
        <f t="shared" si="354"/>
        <v>NO APLICA</v>
      </c>
      <c r="OP75" s="6"/>
      <c r="OQ75" s="6"/>
      <c r="OR75" s="6"/>
      <c r="OS75" s="6"/>
      <c r="OT75" s="5" t="str">
        <f t="shared" si="355"/>
        <v>NO APLICA</v>
      </c>
      <c r="OU75" s="6"/>
      <c r="OV75" s="6"/>
      <c r="OW75" s="6"/>
      <c r="OX75" s="6"/>
      <c r="OY75" s="5" t="str">
        <f t="shared" si="356"/>
        <v>NO APLICA</v>
      </c>
      <c r="OZ75" s="6"/>
      <c r="PA75" s="6"/>
      <c r="PB75" s="6"/>
      <c r="PC75" s="6"/>
      <c r="PD75" s="5" t="str">
        <f t="shared" si="357"/>
        <v>NO APLICA</v>
      </c>
      <c r="PE75" s="6"/>
      <c r="PF75" s="6"/>
      <c r="PG75" s="6"/>
      <c r="PH75" s="6"/>
      <c r="PI75" s="5" t="str">
        <f t="shared" si="358"/>
        <v>NO APLICA</v>
      </c>
      <c r="PJ75" s="5"/>
      <c r="PK75" s="6"/>
      <c r="PL75" s="4"/>
      <c r="PM75" s="8"/>
      <c r="PN75" s="5" t="str">
        <f t="shared" si="359"/>
        <v>NO APLICA</v>
      </c>
      <c r="PO75" s="6"/>
      <c r="PP75" s="6"/>
      <c r="PQ75" s="6"/>
      <c r="PR75" s="6"/>
      <c r="PS75" s="5" t="str">
        <f t="shared" si="360"/>
        <v>NO APLICA</v>
      </c>
      <c r="PT75" s="5"/>
      <c r="PU75" s="6"/>
      <c r="PV75" s="6"/>
      <c r="PW75" s="6"/>
      <c r="PX75" s="5" t="str">
        <f t="shared" si="361"/>
        <v>NO APLICA</v>
      </c>
    </row>
    <row r="76" spans="1:440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283</v>
      </c>
      <c r="V76" s="4">
        <v>44801</v>
      </c>
      <c r="W76" s="4">
        <f t="shared" si="248"/>
        <v>46627</v>
      </c>
      <c r="X76" s="8">
        <f t="shared" ca="1" si="249"/>
        <v>493</v>
      </c>
      <c r="Y76" s="5" t="str">
        <f t="shared" ca="1" si="250"/>
        <v>VIGENTE</v>
      </c>
      <c r="Z76" s="2" t="s">
        <v>284</v>
      </c>
      <c r="AA76" s="4">
        <v>44831</v>
      </c>
      <c r="AB76" s="4">
        <f t="shared" si="385"/>
        <v>46657</v>
      </c>
      <c r="AC76" s="8">
        <f t="shared" ca="1" si="386"/>
        <v>523</v>
      </c>
      <c r="AD76" s="5" t="str">
        <f t="shared" ca="1" si="387"/>
        <v>VIGENTE</v>
      </c>
      <c r="AE76" s="3"/>
      <c r="AF76" s="4">
        <v>46006</v>
      </c>
      <c r="AG76" s="4">
        <f>DATE(YEAR(AF76)+2,MONTH(AF76),DAY(AF76))</f>
        <v>46736</v>
      </c>
      <c r="AH76" s="8">
        <f t="shared" ca="1" si="252"/>
        <v>602</v>
      </c>
      <c r="AI76" s="5" t="str">
        <f t="shared" ca="1" si="224"/>
        <v>VIGENTE</v>
      </c>
      <c r="AJ76" s="3"/>
      <c r="AK76" s="4">
        <v>45937</v>
      </c>
      <c r="AL76" s="4">
        <f>DATE(YEAR(AK76)+2,MONTH(AK76),DAY(AK76))</f>
        <v>46667</v>
      </c>
      <c r="AM76" s="8">
        <f t="shared" ca="1" si="253"/>
        <v>533</v>
      </c>
      <c r="AN76" s="5" t="str">
        <f t="shared" ca="1" si="254"/>
        <v>VIGENTE</v>
      </c>
      <c r="AO76" s="3"/>
      <c r="AP76" s="4">
        <v>45967</v>
      </c>
      <c r="AQ76" s="4">
        <f>DATE(YEAR(AP76)+2,MONTH(AP76),DAY(AP76))</f>
        <v>46697</v>
      </c>
      <c r="AR76" s="8">
        <f t="shared" ca="1" si="255"/>
        <v>563</v>
      </c>
      <c r="AS76" s="5" t="str">
        <f t="shared" ca="1" si="256"/>
        <v>VIGENTE</v>
      </c>
      <c r="AT76" s="3"/>
      <c r="AU76" s="4">
        <v>45952</v>
      </c>
      <c r="AV76" s="4">
        <f>DATE(YEAR(AU76)+2,MONTH(AU76),DAY(AU76))</f>
        <v>46682</v>
      </c>
      <c r="AW76" s="8">
        <f t="shared" ca="1" si="257"/>
        <v>548</v>
      </c>
      <c r="AX76" s="5" t="str">
        <f t="shared" ca="1" si="258"/>
        <v>VIGENTE</v>
      </c>
      <c r="AY76" s="3"/>
      <c r="AZ76" s="4">
        <v>46071</v>
      </c>
      <c r="BA76" s="4">
        <f>DATE(YEAR(AZ76)+2,MONTH(AZ76),DAY(AZ76))</f>
        <v>46801</v>
      </c>
      <c r="BB76" s="8">
        <f t="shared" ca="1" si="259"/>
        <v>667</v>
      </c>
      <c r="BC76" s="5" t="str">
        <f t="shared" ca="1" si="260"/>
        <v>VIGENTE</v>
      </c>
      <c r="BD76" s="3"/>
      <c r="BE76" s="4">
        <v>45987</v>
      </c>
      <c r="BF76" s="4">
        <f>DATE(YEAR(BE76)+2,MONTH(BE76),DAY(BE76))</f>
        <v>46717</v>
      </c>
      <c r="BG76" s="8">
        <f t="shared" ca="1" si="261"/>
        <v>583</v>
      </c>
      <c r="BH76" s="5" t="str">
        <f t="shared" ca="1" si="262"/>
        <v>VIGENTE</v>
      </c>
      <c r="BI76" s="3"/>
      <c r="BJ76" s="4">
        <v>46051</v>
      </c>
      <c r="BK76" s="4">
        <f>DATE(YEAR(BJ76)+2,MONTH(BJ76),DAY(BJ76))</f>
        <v>46781</v>
      </c>
      <c r="BL76" s="8">
        <f t="shared" ca="1" si="263"/>
        <v>647</v>
      </c>
      <c r="BM76" s="5" t="str">
        <f t="shared" ca="1" si="264"/>
        <v>VIGENTE</v>
      </c>
      <c r="BN76" s="3"/>
      <c r="BO76" s="4">
        <v>45478</v>
      </c>
      <c r="BP76" s="4">
        <f>DATE(YEAR(BO76)+2,MONTH(BO76),DAY(BO76)-1)</f>
        <v>46207</v>
      </c>
      <c r="BQ76" s="8">
        <f t="shared" ca="1" si="265"/>
        <v>73</v>
      </c>
      <c r="BR76" s="5" t="str">
        <f t="shared" ca="1" si="266"/>
        <v>POR VENCER</v>
      </c>
      <c r="BS76" s="3"/>
      <c r="BT76" s="4">
        <v>45455</v>
      </c>
      <c r="BU76" s="4">
        <f>DATE(YEAR(BT76)+2,MONTH(BT76),DAY(BT76)-1)</f>
        <v>46184</v>
      </c>
      <c r="BV76" s="8">
        <f t="shared" ca="1" si="267"/>
        <v>50</v>
      </c>
      <c r="BW76" s="5" t="str">
        <f t="shared" ca="1" si="268"/>
        <v>POR VENCER</v>
      </c>
      <c r="BX76" s="3"/>
      <c r="BY76" s="4">
        <v>45954</v>
      </c>
      <c r="BZ76" s="4">
        <f>DATE(YEAR(BY76)+2,MONTH(BY76),DAY(BY76))</f>
        <v>46684</v>
      </c>
      <c r="CA76" s="8">
        <f t="shared" ca="1" si="269"/>
        <v>550</v>
      </c>
      <c r="CB76" s="5" t="str">
        <f t="shared" ca="1" si="270"/>
        <v>VIGENTE</v>
      </c>
      <c r="CC76" s="6" t="s">
        <v>73</v>
      </c>
      <c r="CD76" s="4">
        <v>45262</v>
      </c>
      <c r="CE76" s="4">
        <f t="shared" si="271"/>
        <v>46723</v>
      </c>
      <c r="CF76" s="8">
        <f t="shared" ca="1" si="272"/>
        <v>589</v>
      </c>
      <c r="CG76" s="5" t="str">
        <f t="shared" ca="1" si="273"/>
        <v>VIGENTE</v>
      </c>
      <c r="CH76" s="4"/>
      <c r="CI76" s="4">
        <v>45504</v>
      </c>
      <c r="CJ76" s="4">
        <f t="shared" si="384"/>
        <v>46233</v>
      </c>
      <c r="CK76" s="8">
        <f t="shared" ca="1" si="274"/>
        <v>99</v>
      </c>
      <c r="CL76" s="5" t="str">
        <f t="shared" ca="1" si="275"/>
        <v>VIGENTE</v>
      </c>
      <c r="CM76" s="3"/>
      <c r="CN76" s="4">
        <v>45517</v>
      </c>
      <c r="CO76" s="4">
        <f t="shared" si="377"/>
        <v>46246</v>
      </c>
      <c r="CP76" s="8">
        <f t="shared" ca="1" si="276"/>
        <v>112</v>
      </c>
      <c r="CQ76" s="5" t="str">
        <f t="shared" ca="1" si="277"/>
        <v>VIGENTE</v>
      </c>
      <c r="CR76" s="3"/>
      <c r="CS76" s="4">
        <v>45631</v>
      </c>
      <c r="CT76" s="4">
        <f t="shared" si="378"/>
        <v>46360</v>
      </c>
      <c r="CU76" s="8">
        <f t="shared" ca="1" si="278"/>
        <v>226</v>
      </c>
      <c r="CV76" s="5" t="str">
        <f t="shared" ca="1" si="279"/>
        <v>VIGENTE</v>
      </c>
      <c r="CW76" s="3"/>
      <c r="CX76" s="4">
        <v>45665</v>
      </c>
      <c r="CY76" s="4">
        <f t="shared" si="379"/>
        <v>46394</v>
      </c>
      <c r="CZ76" s="8">
        <f t="shared" ca="1" si="280"/>
        <v>260</v>
      </c>
      <c r="DA76" s="5" t="str">
        <f t="shared" ca="1" si="281"/>
        <v>VIGENTE</v>
      </c>
      <c r="DB76" s="3"/>
      <c r="DC76" s="4">
        <v>45689</v>
      </c>
      <c r="DD76" s="4">
        <f t="shared" si="392"/>
        <v>46418</v>
      </c>
      <c r="DE76" s="8">
        <f t="shared" ca="1" si="282"/>
        <v>284</v>
      </c>
      <c r="DF76" s="5" t="str">
        <f t="shared" ca="1" si="283"/>
        <v>VIGENTE</v>
      </c>
      <c r="DG76" s="3"/>
      <c r="DH76" s="4">
        <v>46029</v>
      </c>
      <c r="DI76" s="4">
        <f>DATE(YEAR(DH76)+2,MONTH(DH76),DAY(DH76))</f>
        <v>46759</v>
      </c>
      <c r="DJ76" s="8">
        <f t="shared" ca="1" si="284"/>
        <v>625</v>
      </c>
      <c r="DK76" s="5" t="str">
        <f t="shared" ca="1" si="285"/>
        <v>VIGENTE</v>
      </c>
      <c r="DL76" s="3"/>
      <c r="DM76" s="4">
        <v>45473</v>
      </c>
      <c r="DN76" s="4">
        <f>DATE(YEAR(DM76)+2,MONTH(DM76),DAY(DM76)-1)</f>
        <v>46202</v>
      </c>
      <c r="DO76" s="8">
        <f t="shared" ca="1" si="286"/>
        <v>68</v>
      </c>
      <c r="DP76" s="5" t="str">
        <f t="shared" ca="1" si="287"/>
        <v>POR VENCER</v>
      </c>
      <c r="DQ76" s="3"/>
      <c r="DR76" s="4">
        <v>46053</v>
      </c>
      <c r="DS76" s="4">
        <f>DATE(YEAR(DR76)+2,MONTH(DR76),DAY(DR76))</f>
        <v>46783</v>
      </c>
      <c r="DT76" s="8">
        <f t="shared" ca="1" si="288"/>
        <v>649</v>
      </c>
      <c r="DU76" s="5" t="str">
        <f t="shared" ca="1" si="289"/>
        <v>VIGENTE</v>
      </c>
      <c r="DV76" s="3"/>
      <c r="DW76" s="4">
        <v>45474</v>
      </c>
      <c r="DX76" s="4">
        <f t="shared" si="363"/>
        <v>46203</v>
      </c>
      <c r="DY76" s="8">
        <f t="shared" ca="1" si="290"/>
        <v>69</v>
      </c>
      <c r="DZ76" s="5" t="str">
        <f t="shared" ca="1" si="291"/>
        <v>POR VENCER</v>
      </c>
      <c r="EA76" s="3"/>
      <c r="EB76" s="4">
        <v>45462</v>
      </c>
      <c r="EC76" s="4">
        <f>DATE(YEAR(EB76)+2,MONTH(EB76),DAY(EB76)-1)</f>
        <v>46191</v>
      </c>
      <c r="ED76" s="8">
        <f t="shared" ca="1" si="292"/>
        <v>57</v>
      </c>
      <c r="EE76" s="5" t="str">
        <f t="shared" ca="1" si="293"/>
        <v>POR VENCER</v>
      </c>
      <c r="EF76" s="3"/>
      <c r="EG76" s="3">
        <v>46015</v>
      </c>
      <c r="EH76" s="4">
        <f t="shared" si="364"/>
        <v>46380</v>
      </c>
      <c r="EI76" s="8">
        <f t="shared" ca="1" si="294"/>
        <v>246</v>
      </c>
      <c r="EJ76" s="5" t="str">
        <f t="shared" ca="1" si="295"/>
        <v>VIGENTE</v>
      </c>
      <c r="EK76" s="3"/>
      <c r="EL76" s="4">
        <v>45460</v>
      </c>
      <c r="EM76" s="4">
        <f t="shared" si="380"/>
        <v>46189</v>
      </c>
      <c r="EN76" s="8">
        <f t="shared" ca="1" si="296"/>
        <v>55</v>
      </c>
      <c r="EO76" s="5" t="str">
        <f t="shared" ca="1" si="297"/>
        <v>POR VENCER</v>
      </c>
      <c r="EP76" s="3"/>
      <c r="EQ76" s="4">
        <v>45467</v>
      </c>
      <c r="ER76" s="4">
        <f t="shared" si="372"/>
        <v>46196</v>
      </c>
      <c r="ES76" s="8">
        <f t="shared" ca="1" si="298"/>
        <v>62</v>
      </c>
      <c r="ET76" s="5" t="str">
        <f t="shared" ca="1" si="299"/>
        <v>POR VENCER</v>
      </c>
      <c r="EU76" s="3"/>
      <c r="EV76" s="4">
        <v>45953</v>
      </c>
      <c r="EW76" s="4">
        <f>DATE(YEAR(EV76)+2,MONTH(EV76),DAY(EV76))</f>
        <v>46683</v>
      </c>
      <c r="EX76" s="8">
        <f t="shared" ca="1" si="300"/>
        <v>549</v>
      </c>
      <c r="EY76" s="5" t="str">
        <f t="shared" ca="1" si="301"/>
        <v>VIGENTE</v>
      </c>
      <c r="EZ76" s="3"/>
      <c r="FA76" s="4">
        <v>45951</v>
      </c>
      <c r="FB76" s="4">
        <f>DATE(YEAR(FA76)+2,MONTH(FA76),DAY(FA76))</f>
        <v>46681</v>
      </c>
      <c r="FC76" s="8">
        <f t="shared" ca="1" si="302"/>
        <v>547</v>
      </c>
      <c r="FD76" s="5" t="str">
        <f t="shared" ca="1" si="303"/>
        <v>VIGENTE</v>
      </c>
      <c r="FE76" s="3"/>
      <c r="FF76" s="4">
        <v>45962</v>
      </c>
      <c r="FG76" s="4">
        <f>DATE(YEAR(FF76)+2,MONTH(FF76),DAY(FF76))</f>
        <v>46692</v>
      </c>
      <c r="FH76" s="8">
        <f t="shared" ca="1" si="304"/>
        <v>558</v>
      </c>
      <c r="FI76" s="5" t="str">
        <f t="shared" ca="1" si="305"/>
        <v>VIGENTE</v>
      </c>
      <c r="FJ76" s="3"/>
      <c r="FK76" s="4">
        <v>45686</v>
      </c>
      <c r="FL76" s="4">
        <f t="shared" si="373"/>
        <v>46415</v>
      </c>
      <c r="FM76" s="8">
        <f t="shared" ca="1" si="306"/>
        <v>281</v>
      </c>
      <c r="FN76" s="5" t="str">
        <f t="shared" ca="1" si="307"/>
        <v>VIGENTE</v>
      </c>
      <c r="FO76" s="3"/>
      <c r="FP76" s="4">
        <v>45466</v>
      </c>
      <c r="FQ76" s="4">
        <f t="shared" si="381"/>
        <v>46195</v>
      </c>
      <c r="FR76" s="8">
        <f t="shared" ca="1" si="308"/>
        <v>61</v>
      </c>
      <c r="FS76" s="5" t="str">
        <f t="shared" ca="1" si="309"/>
        <v>POR VENCER</v>
      </c>
      <c r="FT76" s="4"/>
      <c r="FU76" s="4">
        <v>45587</v>
      </c>
      <c r="FV76" s="4">
        <f t="shared" ref="FV76:FV81" si="393">DATE(YEAR(FU76)+2,MONTH(FU76),DAY(FU76)-1)</f>
        <v>46316</v>
      </c>
      <c r="FW76" s="8">
        <f t="shared" ca="1" si="310"/>
        <v>182</v>
      </c>
      <c r="FX76" s="5" t="str">
        <f t="shared" ca="1" si="311"/>
        <v>VIGENTE</v>
      </c>
      <c r="FY76" s="3"/>
      <c r="FZ76" s="4">
        <v>46030</v>
      </c>
      <c r="GA76" s="4">
        <f>DATE(YEAR(FZ76)+2,MONTH(FZ76),DAY(FZ76))</f>
        <v>46760</v>
      </c>
      <c r="GB76" s="8">
        <f t="shared" ca="1" si="312"/>
        <v>626</v>
      </c>
      <c r="GC76" s="5" t="str">
        <f t="shared" ca="1" si="313"/>
        <v>VIGENTE</v>
      </c>
      <c r="GD76" s="3"/>
      <c r="GE76" s="4">
        <v>45472</v>
      </c>
      <c r="GF76" s="4">
        <f>DATE(YEAR(GE76)+2,MONTH(GE76),DAY(GE76)-1)</f>
        <v>46201</v>
      </c>
      <c r="GG76" s="8">
        <f t="shared" ca="1" si="314"/>
        <v>67</v>
      </c>
      <c r="GH76" s="5" t="str">
        <f t="shared" ca="1" si="315"/>
        <v>POR VENCER</v>
      </c>
      <c r="GI76" s="3"/>
      <c r="GJ76" s="4">
        <v>45923</v>
      </c>
      <c r="GK76" s="4">
        <f>DATE(YEAR(GJ76)+2,MONTH(GJ76),DAY(GJ76))</f>
        <v>46653</v>
      </c>
      <c r="GL76" s="8">
        <f t="shared" ca="1" si="316"/>
        <v>519</v>
      </c>
      <c r="GM76" s="5" t="str">
        <f t="shared" ca="1" si="317"/>
        <v>VIGENTE</v>
      </c>
      <c r="GN76" s="4"/>
      <c r="GO76" s="4">
        <v>45244</v>
      </c>
      <c r="GP76" s="4">
        <f t="shared" si="318"/>
        <v>47071</v>
      </c>
      <c r="GQ76" s="8">
        <f t="shared" ca="1" si="181"/>
        <v>937</v>
      </c>
      <c r="GR76" s="5" t="str">
        <f t="shared" ca="1" si="388"/>
        <v>VIGENTE</v>
      </c>
      <c r="GS76" s="3"/>
      <c r="GT76" s="4">
        <v>45245</v>
      </c>
      <c r="GU76" s="4">
        <f t="shared" si="320"/>
        <v>47072</v>
      </c>
      <c r="GV76" s="8">
        <f t="shared" ca="1" si="321"/>
        <v>938</v>
      </c>
      <c r="GW76" s="5" t="str">
        <f t="shared" ca="1" si="389"/>
        <v>VIGENTE</v>
      </c>
      <c r="GX76" s="3"/>
      <c r="GY76" s="4">
        <v>45251</v>
      </c>
      <c r="GZ76" s="4">
        <f t="shared" si="323"/>
        <v>47078</v>
      </c>
      <c r="HA76" s="8">
        <f t="shared" ca="1" si="324"/>
        <v>944</v>
      </c>
      <c r="HB76" s="5" t="str">
        <f t="shared" ca="1" si="390"/>
        <v>VIGENTE</v>
      </c>
      <c r="HC76" s="6"/>
      <c r="HD76" s="4">
        <v>44862</v>
      </c>
      <c r="HE76" s="4">
        <f t="shared" si="382"/>
        <v>46688</v>
      </c>
      <c r="HF76" s="8">
        <f t="shared" ca="1" si="383"/>
        <v>554</v>
      </c>
      <c r="HG76" s="5" t="str">
        <f t="shared" ca="1" si="391"/>
        <v>VIGENTE</v>
      </c>
      <c r="HH76" s="3"/>
      <c r="HI76" s="4">
        <v>45341</v>
      </c>
      <c r="HJ76" s="4">
        <f>DATE(YEAR(HI76)+5,MONTH(HI76),DAY(HI76))</f>
        <v>47168</v>
      </c>
      <c r="HK76" s="8">
        <f ca="1">HJ76-TODAY()</f>
        <v>1034</v>
      </c>
      <c r="HL76" s="5" t="str">
        <f t="shared" ca="1" si="232"/>
        <v>VIGENTE</v>
      </c>
      <c r="HM76" s="2"/>
      <c r="HN76" s="3">
        <v>45374</v>
      </c>
      <c r="HO76" s="4">
        <f>DATE(YEAR(HN76)+5,MONTH(HN76),DAY(HN76))</f>
        <v>47200</v>
      </c>
      <c r="HP76" s="8">
        <f ca="1">HO76-TODAY()</f>
        <v>1066</v>
      </c>
      <c r="HQ76" s="5" t="str">
        <f t="shared" ca="1" si="326"/>
        <v>VIGENTE</v>
      </c>
      <c r="HR76" s="3"/>
      <c r="HS76" s="4">
        <v>45440</v>
      </c>
      <c r="HT76" s="4">
        <f>DATE(YEAR(HS76)+5,MONTH(HS76),DAY(HS76))</f>
        <v>47266</v>
      </c>
      <c r="HU76" s="8">
        <f ca="1">HT76-TODAY()</f>
        <v>1132</v>
      </c>
      <c r="HV76" s="5" t="str">
        <f t="shared" ca="1" si="327"/>
        <v>VIGENTE</v>
      </c>
      <c r="HW76" s="3"/>
      <c r="HX76" s="4">
        <v>45475</v>
      </c>
      <c r="HY76" s="4">
        <f>DATE(YEAR(HX76)+5,MONTH(HX76),DAY(HX76))</f>
        <v>47301</v>
      </c>
      <c r="HZ76" s="8">
        <f ca="1">HY76-TODAY()</f>
        <v>1167</v>
      </c>
      <c r="IA76" s="5" t="str">
        <f t="shared" ca="1" si="328"/>
        <v>VIGENTE</v>
      </c>
      <c r="IB76" s="3"/>
      <c r="IC76" s="4">
        <v>45444</v>
      </c>
      <c r="ID76" s="4">
        <f>DATE(YEAR(IC76)+5,MONTH(IC76),DAY(IC76))</f>
        <v>47270</v>
      </c>
      <c r="IE76" s="8">
        <f ca="1">ID76-TODAY()</f>
        <v>1136</v>
      </c>
      <c r="IF76" s="5" t="str">
        <f t="shared" ca="1" si="329"/>
        <v>VIGENTE</v>
      </c>
      <c r="IG76" s="4"/>
      <c r="IH76" s="4">
        <v>45476</v>
      </c>
      <c r="II76" s="4">
        <f>DATE(YEAR(IH76)+5,MONTH(IH76),DAY(IH76))</f>
        <v>47302</v>
      </c>
      <c r="IJ76" s="8">
        <f ca="1">II76-TODAY()</f>
        <v>1168</v>
      </c>
      <c r="IK76" s="5" t="str">
        <f t="shared" ca="1" si="330"/>
        <v>VIGENTE</v>
      </c>
      <c r="IL76" s="3"/>
      <c r="IM76" s="4">
        <v>45490</v>
      </c>
      <c r="IN76" s="4">
        <f>DATE(YEAR(IM76)+5,MONTH(IM76),DAY(IM76))</f>
        <v>47316</v>
      </c>
      <c r="IO76" s="8">
        <f ca="1">IN76-TODAY()</f>
        <v>1182</v>
      </c>
      <c r="IP76" s="5" t="str">
        <f t="shared" ca="1" si="331"/>
        <v>VIGENTE</v>
      </c>
      <c r="IQ76" s="3"/>
      <c r="IR76" s="4">
        <v>45471</v>
      </c>
      <c r="IS76" s="4">
        <f>DATE(YEAR(IR76)+5,MONTH(IR76),DAY(IR76))</f>
        <v>47297</v>
      </c>
      <c r="IT76" s="8">
        <f ca="1">IS76-TODAY()</f>
        <v>1163</v>
      </c>
      <c r="IU76" s="5" t="str">
        <f t="shared" ca="1" si="332"/>
        <v>VIGENTE</v>
      </c>
      <c r="IV76" s="3"/>
      <c r="IW76" s="4">
        <v>45491</v>
      </c>
      <c r="IX76" s="4">
        <f>DATE(YEAR(IW76)+5,MONTH(IW76),DAY(IW76))</f>
        <v>47317</v>
      </c>
      <c r="IY76" s="8">
        <f ca="1">IX76-TODAY()</f>
        <v>1183</v>
      </c>
      <c r="IZ76" s="5" t="str">
        <f t="shared" ca="1" si="333"/>
        <v>VIGENTE</v>
      </c>
      <c r="JA76" s="3"/>
      <c r="JB76" s="3"/>
      <c r="JC76" s="4"/>
      <c r="JD76" s="8"/>
      <c r="JE76" s="5" t="str">
        <f t="shared" si="334"/>
        <v>NO APLICA</v>
      </c>
      <c r="JF76" s="6"/>
      <c r="JG76" s="6"/>
      <c r="JH76" s="6"/>
      <c r="JI76" s="6"/>
      <c r="JJ76" s="5" t="str">
        <f t="shared" si="335"/>
        <v>NO APLICA</v>
      </c>
      <c r="JK76" s="6"/>
      <c r="JL76" s="6"/>
      <c r="JM76" s="6"/>
      <c r="JN76" s="6"/>
      <c r="JO76" s="5" t="str">
        <f t="shared" si="336"/>
        <v>NO APLICA</v>
      </c>
      <c r="JP76" s="6"/>
      <c r="JQ76" s="6"/>
      <c r="JR76" s="6"/>
      <c r="JS76" s="6"/>
      <c r="JT76" s="5" t="str">
        <f t="shared" si="337"/>
        <v>NO APLICA</v>
      </c>
      <c r="JU76" s="5"/>
      <c r="JV76" s="5"/>
      <c r="JW76" s="5"/>
      <c r="JX76" s="5"/>
      <c r="JY76" s="5" t="str">
        <f t="shared" si="338"/>
        <v>NO APLICA</v>
      </c>
      <c r="JZ76" s="5"/>
      <c r="KA76" s="2"/>
      <c r="KB76" s="4"/>
      <c r="KC76" s="8"/>
      <c r="KD76" s="5" t="str">
        <f t="shared" si="339"/>
        <v>NO APLICA</v>
      </c>
      <c r="KE76" s="5"/>
      <c r="KF76" s="2"/>
      <c r="KG76" s="4"/>
      <c r="KH76" s="8"/>
      <c r="KI76" s="5" t="str">
        <f t="shared" si="365"/>
        <v>NO APLICA</v>
      </c>
      <c r="KJ76" s="5"/>
      <c r="KK76" s="2"/>
      <c r="KL76" s="4"/>
      <c r="KM76" s="8"/>
      <c r="KN76" s="5" t="str">
        <f t="shared" si="340"/>
        <v>NO APLICA</v>
      </c>
      <c r="KO76" s="5"/>
      <c r="KP76" s="3">
        <v>45346</v>
      </c>
      <c r="KQ76" s="4">
        <f>DATE(YEAR(KP76)+5,MONTH(KP76),DAY(KP76))</f>
        <v>47173</v>
      </c>
      <c r="KR76" s="8">
        <f ca="1">KQ76-TODAY()</f>
        <v>1039</v>
      </c>
      <c r="KS76" s="5" t="str">
        <f t="shared" ca="1" si="366"/>
        <v>VIGENTE</v>
      </c>
      <c r="KT76" s="3"/>
      <c r="KU76" s="4">
        <v>44651</v>
      </c>
      <c r="KV76" s="4">
        <f>DATE(YEAR(KU76)+5,MONTH(KU76),DAY(KU76))</f>
        <v>46477</v>
      </c>
      <c r="KW76" s="8">
        <f ca="1">KV76-TODAY()</f>
        <v>343</v>
      </c>
      <c r="KX76" s="5" t="str">
        <f t="shared" ca="1" si="375"/>
        <v>VIGENTE</v>
      </c>
      <c r="KY76" s="5"/>
      <c r="KZ76" s="6"/>
      <c r="LA76" s="4"/>
      <c r="LB76" s="8"/>
      <c r="LC76" s="5" t="str">
        <f t="shared" si="367"/>
        <v>NO APLICA</v>
      </c>
      <c r="LD76" s="4"/>
      <c r="LE76" s="4"/>
      <c r="LF76" s="4"/>
      <c r="LG76" s="8"/>
      <c r="LH76" s="5" t="str">
        <f t="shared" si="341"/>
        <v>NO APLICA</v>
      </c>
      <c r="LI76" s="5"/>
      <c r="LJ76" s="5"/>
      <c r="LK76" s="4"/>
      <c r="LL76" s="8"/>
      <c r="LM76" s="5" t="str">
        <f t="shared" si="376"/>
        <v>NO APLICA</v>
      </c>
      <c r="LN76" s="2"/>
      <c r="LO76" s="6"/>
      <c r="LP76" s="4"/>
      <c r="LQ76" s="8"/>
      <c r="LR76" s="5" t="str">
        <f t="shared" si="368"/>
        <v>NO APLICA</v>
      </c>
      <c r="LS76" s="6"/>
      <c r="LT76" s="6"/>
      <c r="LU76" s="4"/>
      <c r="LV76" s="8"/>
      <c r="LW76" s="5" t="str">
        <f t="shared" si="369"/>
        <v>NO APLICA</v>
      </c>
      <c r="LX76" s="6"/>
      <c r="LY76" s="6"/>
      <c r="LZ76" s="4"/>
      <c r="MA76" s="8"/>
      <c r="MB76" s="5" t="str">
        <f t="shared" si="370"/>
        <v>NO APLICA</v>
      </c>
      <c r="MC76" s="2"/>
      <c r="MD76" s="2"/>
      <c r="ME76" s="4"/>
      <c r="MF76" s="8"/>
      <c r="MG76" s="5" t="str">
        <f t="shared" si="342"/>
        <v>NO APLICA</v>
      </c>
      <c r="MH76" s="2"/>
      <c r="MI76" s="2"/>
      <c r="MJ76" s="4"/>
      <c r="MK76" s="8"/>
      <c r="ML76" s="5" t="str">
        <f t="shared" si="343"/>
        <v>NO APLICA</v>
      </c>
      <c r="MM76" s="5"/>
      <c r="MN76" s="2"/>
      <c r="MO76" s="4"/>
      <c r="MP76" s="8"/>
      <c r="MQ76" s="5" t="str">
        <f t="shared" si="344"/>
        <v>NO APLICA</v>
      </c>
      <c r="MR76" s="5"/>
      <c r="MS76" s="2"/>
      <c r="MT76" s="4"/>
      <c r="MU76" s="2"/>
      <c r="MV76" s="5" t="str">
        <f t="shared" si="345"/>
        <v>NO APLICA</v>
      </c>
      <c r="MW76" s="2"/>
      <c r="MX76" s="6"/>
      <c r="MY76" s="4"/>
      <c r="MZ76" s="8"/>
      <c r="NA76" s="5" t="str">
        <f t="shared" si="346"/>
        <v>NO APLICA</v>
      </c>
      <c r="NB76" s="2"/>
      <c r="NC76" s="6"/>
      <c r="ND76" s="4"/>
      <c r="NE76" s="8"/>
      <c r="NF76" s="5" t="str">
        <f t="shared" si="347"/>
        <v>NO APLICA</v>
      </c>
      <c r="NG76" s="2"/>
      <c r="NH76" s="6"/>
      <c r="NI76" s="4"/>
      <c r="NJ76" s="8"/>
      <c r="NK76" s="5" t="str">
        <f t="shared" si="348"/>
        <v>NO APLICA</v>
      </c>
      <c r="NL76" s="2"/>
      <c r="NM76" s="2"/>
      <c r="NN76" s="4"/>
      <c r="NO76" s="8"/>
      <c r="NP76" s="5" t="str">
        <f t="shared" si="349"/>
        <v>NO APLICA</v>
      </c>
      <c r="NQ76" s="2"/>
      <c r="NR76" s="2"/>
      <c r="NS76" s="2"/>
      <c r="NT76" s="2"/>
      <c r="NU76" s="5" t="str">
        <f t="shared" si="350"/>
        <v>NO APLICA</v>
      </c>
      <c r="NV76" s="6"/>
      <c r="NW76" s="6"/>
      <c r="NX76" s="4"/>
      <c r="NY76" s="8"/>
      <c r="NZ76" s="5" t="str">
        <f t="shared" si="351"/>
        <v>NO APLICA</v>
      </c>
      <c r="OA76" s="6"/>
      <c r="OB76" s="6"/>
      <c r="OC76" s="6"/>
      <c r="OD76" s="6"/>
      <c r="OE76" s="5" t="str">
        <f t="shared" si="352"/>
        <v>NO APLICA</v>
      </c>
      <c r="OF76" s="6"/>
      <c r="OG76" s="6"/>
      <c r="OH76" s="4"/>
      <c r="OI76" s="8"/>
      <c r="OJ76" s="5" t="str">
        <f t="shared" si="353"/>
        <v>NO APLICA</v>
      </c>
      <c r="OK76" s="6"/>
      <c r="OL76" s="6"/>
      <c r="OM76" s="6"/>
      <c r="ON76" s="6"/>
      <c r="OO76" s="5" t="str">
        <f t="shared" si="354"/>
        <v>NO APLICA</v>
      </c>
      <c r="OP76" s="6"/>
      <c r="OQ76" s="6"/>
      <c r="OR76" s="6"/>
      <c r="OS76" s="6"/>
      <c r="OT76" s="5" t="str">
        <f t="shared" si="355"/>
        <v>NO APLICA</v>
      </c>
      <c r="OU76" s="6"/>
      <c r="OV76" s="6"/>
      <c r="OW76" s="6"/>
      <c r="OX76" s="6"/>
      <c r="OY76" s="5" t="str">
        <f t="shared" si="356"/>
        <v>NO APLICA</v>
      </c>
      <c r="OZ76" s="6"/>
      <c r="PA76" s="6"/>
      <c r="PB76" s="6"/>
      <c r="PC76" s="6"/>
      <c r="PD76" s="5" t="str">
        <f t="shared" si="357"/>
        <v>NO APLICA</v>
      </c>
      <c r="PE76" s="6"/>
      <c r="PF76" s="6"/>
      <c r="PG76" s="6"/>
      <c r="PH76" s="6"/>
      <c r="PI76" s="5" t="str">
        <f t="shared" si="358"/>
        <v>NO APLICA</v>
      </c>
      <c r="PJ76" s="5"/>
      <c r="PK76" s="6"/>
      <c r="PL76" s="4"/>
      <c r="PM76" s="8"/>
      <c r="PN76" s="5" t="str">
        <f t="shared" si="359"/>
        <v>NO APLICA</v>
      </c>
      <c r="PO76" s="6"/>
      <c r="PP76" s="6"/>
      <c r="PQ76" s="6"/>
      <c r="PR76" s="6"/>
      <c r="PS76" s="5" t="str">
        <f t="shared" si="360"/>
        <v>NO APLICA</v>
      </c>
      <c r="PT76" s="5"/>
      <c r="PU76" s="6"/>
      <c r="PV76" s="6"/>
      <c r="PW76" s="6"/>
      <c r="PX76" s="5" t="str">
        <f t="shared" si="361"/>
        <v>NO APLICA</v>
      </c>
    </row>
    <row r="77" spans="1:440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286</v>
      </c>
      <c r="V77" s="4">
        <v>45500</v>
      </c>
      <c r="W77" s="4">
        <f t="shared" si="248"/>
        <v>47326</v>
      </c>
      <c r="X77" s="8">
        <f t="shared" ca="1" si="249"/>
        <v>1192</v>
      </c>
      <c r="Y77" s="5" t="str">
        <f t="shared" ca="1" si="250"/>
        <v>VIGENTE</v>
      </c>
      <c r="Z77" s="2" t="s">
        <v>287</v>
      </c>
      <c r="AA77" s="4">
        <v>44988</v>
      </c>
      <c r="AB77" s="4">
        <f t="shared" si="385"/>
        <v>46815</v>
      </c>
      <c r="AC77" s="8">
        <f t="shared" ca="1" si="386"/>
        <v>681</v>
      </c>
      <c r="AD77" s="5" t="str">
        <f t="shared" ca="1" si="387"/>
        <v>VIGENTE</v>
      </c>
      <c r="AE77" s="3"/>
      <c r="AF77" s="4">
        <v>45617</v>
      </c>
      <c r="AG77" s="4">
        <f>DATE(YEAR(AF77)+2,MONTH(AF77),DAY(AF77)-1)</f>
        <v>46346</v>
      </c>
      <c r="AH77" s="8">
        <f t="shared" ca="1" si="252"/>
        <v>212</v>
      </c>
      <c r="AI77" s="5" t="str">
        <f t="shared" ca="1" si="224"/>
        <v>VIGENTE</v>
      </c>
      <c r="AJ77" s="3"/>
      <c r="AK77" s="3">
        <v>45518</v>
      </c>
      <c r="AL77" s="4">
        <f>DATE(YEAR(AK77)+2,MONTH(AK77),DAY(AK77)-1)</f>
        <v>46247</v>
      </c>
      <c r="AM77" s="8">
        <f t="shared" ca="1" si="253"/>
        <v>113</v>
      </c>
      <c r="AN77" s="5" t="str">
        <f t="shared" ca="1" si="254"/>
        <v>VIGENTE</v>
      </c>
      <c r="AO77" s="3"/>
      <c r="AP77" s="4">
        <v>46083</v>
      </c>
      <c r="AQ77" s="4">
        <f>DATE(YEAR(AP77)+2,MONTH(AP77),DAY(AP77))</f>
        <v>46814</v>
      </c>
      <c r="AR77" s="8">
        <f t="shared" ca="1" si="255"/>
        <v>680</v>
      </c>
      <c r="AS77" s="5" t="str">
        <f t="shared" ca="1" si="256"/>
        <v>VIGENTE</v>
      </c>
      <c r="AT77" s="3"/>
      <c r="AU77" s="4">
        <v>46070</v>
      </c>
      <c r="AV77" s="4">
        <f>DATE(YEAR(AU77)+2,MONTH(AU77),DAY(AU77))</f>
        <v>46800</v>
      </c>
      <c r="AW77" s="8">
        <f t="shared" ca="1" si="257"/>
        <v>666</v>
      </c>
      <c r="AX77" s="5" t="str">
        <f t="shared" ca="1" si="258"/>
        <v>VIGENTE</v>
      </c>
      <c r="AY77" s="3"/>
      <c r="AZ77" s="4">
        <v>45454</v>
      </c>
      <c r="BA77" s="4">
        <f>DATE(YEAR(AZ77)+2,MONTH(AZ77),DAY(AZ77)-1)</f>
        <v>46183</v>
      </c>
      <c r="BB77" s="8">
        <f t="shared" ca="1" si="259"/>
        <v>49</v>
      </c>
      <c r="BC77" s="5" t="str">
        <f t="shared" ca="1" si="260"/>
        <v>POR VENCER</v>
      </c>
      <c r="BD77" s="3"/>
      <c r="BE77" s="4">
        <v>46067</v>
      </c>
      <c r="BF77" s="4">
        <f>DATE(YEAR(BE77)+2,MONTH(BE77),DAY(BE77))</f>
        <v>46797</v>
      </c>
      <c r="BG77" s="8">
        <f t="shared" ca="1" si="261"/>
        <v>663</v>
      </c>
      <c r="BH77" s="5" t="str">
        <f t="shared" ca="1" si="262"/>
        <v>VIGENTE</v>
      </c>
      <c r="BI77" s="3"/>
      <c r="BJ77" s="4">
        <v>46051</v>
      </c>
      <c r="BK77" s="4">
        <f>DATE(YEAR(BJ77)+2,MONTH(BJ77),DAY(BJ77))</f>
        <v>46781</v>
      </c>
      <c r="BL77" s="8">
        <f t="shared" ca="1" si="263"/>
        <v>647</v>
      </c>
      <c r="BM77" s="5" t="str">
        <f t="shared" ca="1" si="264"/>
        <v>VIGENTE</v>
      </c>
      <c r="BN77" s="3"/>
      <c r="BO77" s="4">
        <v>45478</v>
      </c>
      <c r="BP77" s="4">
        <f>DATE(YEAR(BO77)+2,MONTH(BO77),DAY(BO77)-1)</f>
        <v>46207</v>
      </c>
      <c r="BQ77" s="8">
        <f t="shared" ca="1" si="265"/>
        <v>73</v>
      </c>
      <c r="BR77" s="5" t="str">
        <f t="shared" ca="1" si="266"/>
        <v>POR VENCER</v>
      </c>
      <c r="BS77" s="3"/>
      <c r="BT77" s="4">
        <v>46063</v>
      </c>
      <c r="BU77" s="4">
        <f>DATE(YEAR(BT77)+2,MONTH(BT77),DAY(BT77))</f>
        <v>46793</v>
      </c>
      <c r="BV77" s="8">
        <f t="shared" ca="1" si="267"/>
        <v>659</v>
      </c>
      <c r="BW77" s="5" t="str">
        <f t="shared" ca="1" si="268"/>
        <v>VIGENTE</v>
      </c>
      <c r="BX77" s="3"/>
      <c r="BY77" s="4">
        <v>45480</v>
      </c>
      <c r="BZ77" s="4">
        <f>DATE(YEAR(BY77)+2,MONTH(BY77),DAY(BY77)-1)</f>
        <v>46209</v>
      </c>
      <c r="CA77" s="8">
        <f t="shared" ca="1" si="269"/>
        <v>75</v>
      </c>
      <c r="CB77" s="5" t="str">
        <f t="shared" ca="1" si="270"/>
        <v>POR VENCER</v>
      </c>
      <c r="CC77" s="6" t="s">
        <v>73</v>
      </c>
      <c r="CD77" s="4">
        <v>45241</v>
      </c>
      <c r="CE77" s="4">
        <f t="shared" si="271"/>
        <v>46702</v>
      </c>
      <c r="CF77" s="8">
        <f t="shared" ca="1" si="272"/>
        <v>568</v>
      </c>
      <c r="CG77" s="5" t="str">
        <f t="shared" ca="1" si="273"/>
        <v>VIGENTE</v>
      </c>
      <c r="CH77" s="4"/>
      <c r="CI77" s="4">
        <v>45511</v>
      </c>
      <c r="CJ77" s="4">
        <f t="shared" si="384"/>
        <v>46240</v>
      </c>
      <c r="CK77" s="8">
        <f t="shared" ca="1" si="274"/>
        <v>106</v>
      </c>
      <c r="CL77" s="5" t="str">
        <f t="shared" ca="1" si="275"/>
        <v>VIGENTE</v>
      </c>
      <c r="CM77" s="3"/>
      <c r="CN77" s="4">
        <v>45481</v>
      </c>
      <c r="CO77" s="4">
        <f t="shared" si="377"/>
        <v>46210</v>
      </c>
      <c r="CP77" s="8">
        <f t="shared" ca="1" si="276"/>
        <v>76</v>
      </c>
      <c r="CQ77" s="5" t="str">
        <f t="shared" ca="1" si="277"/>
        <v>POR VENCER</v>
      </c>
      <c r="CR77" s="3"/>
      <c r="CS77" s="4">
        <v>45645</v>
      </c>
      <c r="CT77" s="4">
        <f t="shared" si="378"/>
        <v>46374</v>
      </c>
      <c r="CU77" s="8">
        <f t="shared" ca="1" si="278"/>
        <v>240</v>
      </c>
      <c r="CV77" s="5" t="str">
        <f t="shared" ca="1" si="279"/>
        <v>VIGENTE</v>
      </c>
      <c r="CW77" s="3"/>
      <c r="CX77" s="4">
        <v>45665</v>
      </c>
      <c r="CY77" s="4">
        <f t="shared" si="379"/>
        <v>46394</v>
      </c>
      <c r="CZ77" s="8">
        <f t="shared" ca="1" si="280"/>
        <v>260</v>
      </c>
      <c r="DA77" s="5" t="str">
        <f t="shared" ca="1" si="281"/>
        <v>VIGENTE</v>
      </c>
      <c r="DB77" s="3"/>
      <c r="DC77" s="4">
        <v>45689</v>
      </c>
      <c r="DD77" s="4">
        <f t="shared" si="392"/>
        <v>46418</v>
      </c>
      <c r="DE77" s="8">
        <f t="shared" ca="1" si="282"/>
        <v>284</v>
      </c>
      <c r="DF77" s="5" t="str">
        <f t="shared" ca="1" si="283"/>
        <v>VIGENTE</v>
      </c>
      <c r="DG77" s="3"/>
      <c r="DH77" s="4">
        <v>45509</v>
      </c>
      <c r="DI77" s="4">
        <f>DATE(YEAR(DH77)+2,MONTH(DH77),DAY(DH77)-1)</f>
        <v>46238</v>
      </c>
      <c r="DJ77" s="8">
        <f t="shared" ca="1" si="284"/>
        <v>104</v>
      </c>
      <c r="DK77" s="5" t="str">
        <f t="shared" ca="1" si="285"/>
        <v>VIGENTE</v>
      </c>
      <c r="DL77" s="3"/>
      <c r="DM77" s="4">
        <v>45520</v>
      </c>
      <c r="DN77" s="4">
        <f>DATE(YEAR(DM77)+2,MONTH(DM77),DAY(DM77)-1)</f>
        <v>46249</v>
      </c>
      <c r="DO77" s="8">
        <f t="shared" ca="1" si="286"/>
        <v>115</v>
      </c>
      <c r="DP77" s="5" t="str">
        <f t="shared" ca="1" si="287"/>
        <v>VIGENTE</v>
      </c>
      <c r="DQ77" s="3"/>
      <c r="DR77" s="4">
        <v>46072</v>
      </c>
      <c r="DS77" s="4">
        <f>DATE(YEAR(DR77)+2,MONTH(DR77),DAY(DR77))</f>
        <v>46802</v>
      </c>
      <c r="DT77" s="8">
        <f t="shared" ca="1" si="288"/>
        <v>668</v>
      </c>
      <c r="DU77" s="5" t="str">
        <f t="shared" ca="1" si="289"/>
        <v>VIGENTE</v>
      </c>
      <c r="DV77" s="3"/>
      <c r="DW77" s="4">
        <v>45510</v>
      </c>
      <c r="DX77" s="4">
        <f t="shared" si="363"/>
        <v>46239</v>
      </c>
      <c r="DY77" s="8">
        <f t="shared" ca="1" si="290"/>
        <v>105</v>
      </c>
      <c r="DZ77" s="5" t="str">
        <f t="shared" ca="1" si="291"/>
        <v>VIGENTE</v>
      </c>
      <c r="EA77" s="3"/>
      <c r="EB77" s="4">
        <v>46104</v>
      </c>
      <c r="EC77" s="4">
        <f>DATE(YEAR(EB77)+2,MONTH(EB77),DAY(EB77))</f>
        <v>46835</v>
      </c>
      <c r="ED77" s="8">
        <f t="shared" ca="1" si="292"/>
        <v>701</v>
      </c>
      <c r="EE77" s="5" t="str">
        <f t="shared" ca="1" si="293"/>
        <v>VIGENTE</v>
      </c>
      <c r="EF77" s="3"/>
      <c r="EG77" s="4">
        <v>45812</v>
      </c>
      <c r="EH77" s="4">
        <f t="shared" si="364"/>
        <v>46177</v>
      </c>
      <c r="EI77" s="8">
        <f t="shared" ca="1" si="294"/>
        <v>43</v>
      </c>
      <c r="EJ77" s="5" t="str">
        <f t="shared" ca="1" si="295"/>
        <v>POR VENCER</v>
      </c>
      <c r="EK77" s="3"/>
      <c r="EL77" s="4">
        <v>45468</v>
      </c>
      <c r="EM77" s="4">
        <f t="shared" si="380"/>
        <v>46197</v>
      </c>
      <c r="EN77" s="8">
        <f t="shared" ca="1" si="296"/>
        <v>63</v>
      </c>
      <c r="EO77" s="5" t="str">
        <f t="shared" ca="1" si="297"/>
        <v>POR VENCER</v>
      </c>
      <c r="EP77" s="3"/>
      <c r="EQ77" s="4">
        <v>46094</v>
      </c>
      <c r="ER77" s="4">
        <f>DATE(YEAR(EQ77)+2,MONTH(EQ77),DAY(EQ77))</f>
        <v>46825</v>
      </c>
      <c r="ES77" s="8">
        <f t="shared" ca="1" si="298"/>
        <v>691</v>
      </c>
      <c r="ET77" s="5" t="str">
        <f t="shared" ca="1" si="299"/>
        <v>VIGENTE</v>
      </c>
      <c r="EU77" s="3"/>
      <c r="EV77" s="4">
        <v>45502</v>
      </c>
      <c r="EW77" s="4">
        <f>DATE(YEAR(EV77)+2,MONTH(EV77),DAY(EV77)-1)</f>
        <v>46231</v>
      </c>
      <c r="EX77" s="8">
        <f t="shared" ca="1" si="300"/>
        <v>97</v>
      </c>
      <c r="EY77" s="5" t="str">
        <f t="shared" ca="1" si="301"/>
        <v>VIGENTE</v>
      </c>
      <c r="EZ77" s="3"/>
      <c r="FA77" s="4">
        <v>45482</v>
      </c>
      <c r="FB77" s="4">
        <f>DATE(YEAR(FA77)+2,MONTH(FA77),DAY(FA77)-1)</f>
        <v>46211</v>
      </c>
      <c r="FC77" s="8">
        <f t="shared" ca="1" si="302"/>
        <v>77</v>
      </c>
      <c r="FD77" s="5" t="str">
        <f t="shared" ca="1" si="303"/>
        <v>POR VENCER</v>
      </c>
      <c r="FE77" s="3"/>
      <c r="FF77" s="4">
        <v>46066</v>
      </c>
      <c r="FG77" s="4">
        <f>DATE(YEAR(FF77)+2,MONTH(FF77),DAY(FF77))</f>
        <v>46796</v>
      </c>
      <c r="FH77" s="8">
        <f t="shared" ca="1" si="304"/>
        <v>662</v>
      </c>
      <c r="FI77" s="5" t="str">
        <f t="shared" ca="1" si="305"/>
        <v>VIGENTE</v>
      </c>
      <c r="FJ77" s="3"/>
      <c r="FK77" s="4">
        <v>46039</v>
      </c>
      <c r="FL77" s="4">
        <f>DATE(YEAR(FK77)+2,MONTH(FK77),DAY(FK77))</f>
        <v>46769</v>
      </c>
      <c r="FM77" s="8">
        <f t="shared" ca="1" si="306"/>
        <v>635</v>
      </c>
      <c r="FN77" s="5" t="str">
        <f t="shared" ca="1" si="307"/>
        <v>VIGENTE</v>
      </c>
      <c r="FO77" s="3"/>
      <c r="FP77" s="4">
        <v>45483</v>
      </c>
      <c r="FQ77" s="4">
        <f t="shared" si="381"/>
        <v>46212</v>
      </c>
      <c r="FR77" s="8">
        <f t="shared" ca="1" si="308"/>
        <v>78</v>
      </c>
      <c r="FS77" s="5" t="str">
        <f t="shared" ca="1" si="309"/>
        <v>POR VENCER</v>
      </c>
      <c r="FT77" s="4"/>
      <c r="FU77" s="4">
        <v>45574</v>
      </c>
      <c r="FV77" s="4">
        <f t="shared" si="393"/>
        <v>46303</v>
      </c>
      <c r="FW77" s="8">
        <f t="shared" ca="1" si="310"/>
        <v>169</v>
      </c>
      <c r="FX77" s="5" t="str">
        <f t="shared" ca="1" si="311"/>
        <v>VIGENTE</v>
      </c>
      <c r="FY77" s="3"/>
      <c r="FZ77" s="4">
        <v>46030</v>
      </c>
      <c r="GA77" s="4">
        <f>DATE(YEAR(FZ77)+2,MONTH(FZ77),DAY(FZ77))</f>
        <v>46760</v>
      </c>
      <c r="GB77" s="8">
        <f t="shared" ca="1" si="312"/>
        <v>626</v>
      </c>
      <c r="GC77" s="5" t="str">
        <f t="shared" ca="1" si="313"/>
        <v>VIGENTE</v>
      </c>
      <c r="GD77" s="3"/>
      <c r="GE77" s="4">
        <v>46092</v>
      </c>
      <c r="GF77" s="4">
        <f>DATE(YEAR(GE77)+2,MONTH(GE77),DAY(GE77))</f>
        <v>46823</v>
      </c>
      <c r="GG77" s="8">
        <f t="shared" ca="1" si="314"/>
        <v>689</v>
      </c>
      <c r="GH77" s="5" t="str">
        <f t="shared" ca="1" si="315"/>
        <v>VIGENTE</v>
      </c>
      <c r="GI77" s="3"/>
      <c r="GJ77" s="4">
        <v>45493</v>
      </c>
      <c r="GK77" s="4">
        <f>DATE(YEAR(GJ77)+2,MONTH(GJ77),DAY(GJ77)-1)</f>
        <v>46222</v>
      </c>
      <c r="GL77" s="8">
        <f t="shared" ca="1" si="316"/>
        <v>88</v>
      </c>
      <c r="GM77" s="5" t="str">
        <f t="shared" ca="1" si="317"/>
        <v>VIGENTE</v>
      </c>
      <c r="GN77" s="4"/>
      <c r="GO77" s="4">
        <v>45459</v>
      </c>
      <c r="GP77" s="4">
        <f t="shared" si="318"/>
        <v>47285</v>
      </c>
      <c r="GQ77" s="8">
        <f t="shared" ca="1" si="181"/>
        <v>1151</v>
      </c>
      <c r="GR77" s="5" t="str">
        <f t="shared" ca="1" si="388"/>
        <v>VIGENTE</v>
      </c>
      <c r="GS77" s="3"/>
      <c r="GT77" s="4">
        <v>45507</v>
      </c>
      <c r="GU77" s="4">
        <f t="shared" si="320"/>
        <v>47333</v>
      </c>
      <c r="GV77" s="8">
        <f t="shared" ca="1" si="321"/>
        <v>1199</v>
      </c>
      <c r="GW77" s="5" t="str">
        <f t="shared" ca="1" si="389"/>
        <v>VIGENTE</v>
      </c>
      <c r="GX77" s="3"/>
      <c r="GY77" s="4">
        <v>45479</v>
      </c>
      <c r="GZ77" s="4">
        <f t="shared" si="323"/>
        <v>47305</v>
      </c>
      <c r="HA77" s="8">
        <f t="shared" ca="1" si="324"/>
        <v>1171</v>
      </c>
      <c r="HB77" s="5" t="str">
        <f t="shared" ca="1" si="390"/>
        <v>VIGENTE</v>
      </c>
      <c r="HC77" s="6"/>
      <c r="HD77" s="4">
        <v>44879</v>
      </c>
      <c r="HE77" s="4">
        <f t="shared" si="382"/>
        <v>46705</v>
      </c>
      <c r="HF77" s="8">
        <f t="shared" ca="1" si="383"/>
        <v>571</v>
      </c>
      <c r="HG77" s="5" t="str">
        <f t="shared" ca="1" si="391"/>
        <v>VIGENTE</v>
      </c>
      <c r="HH77" s="2"/>
      <c r="HI77" s="4">
        <v>45331</v>
      </c>
      <c r="HJ77" s="4">
        <f>DATE(YEAR(HI77)+5,MONTH(HI77),DAY(HI77))</f>
        <v>47158</v>
      </c>
      <c r="HK77" s="8">
        <f ca="1">HJ77-TODAY()</f>
        <v>1024</v>
      </c>
      <c r="HL77" s="5" t="str">
        <f t="shared" ca="1" si="232"/>
        <v>VIGENTE</v>
      </c>
      <c r="HM77" s="2"/>
      <c r="HN77" s="3">
        <v>45386</v>
      </c>
      <c r="HO77" s="4">
        <f>DATE(YEAR(HN77)+5,MONTH(HN77),DAY(HN77))</f>
        <v>47212</v>
      </c>
      <c r="HP77" s="8">
        <f ca="1">HO77-TODAY()</f>
        <v>1078</v>
      </c>
      <c r="HQ77" s="5" t="str">
        <f t="shared" ca="1" si="326"/>
        <v>VIGENTE</v>
      </c>
      <c r="HR77" s="3"/>
      <c r="HS77" s="4">
        <v>45469</v>
      </c>
      <c r="HT77" s="4">
        <f>DATE(YEAR(HS77)+5,MONTH(HS77),DAY(HS77))</f>
        <v>47295</v>
      </c>
      <c r="HU77" s="8">
        <f ca="1">HT77-TODAY()</f>
        <v>1161</v>
      </c>
      <c r="HV77" s="5" t="str">
        <f t="shared" ca="1" si="327"/>
        <v>VIGENTE</v>
      </c>
      <c r="HW77" s="3"/>
      <c r="HX77" s="4">
        <v>45428</v>
      </c>
      <c r="HY77" s="4">
        <f>DATE(YEAR(HX77)+5,MONTH(HX77),DAY(HX77))</f>
        <v>47254</v>
      </c>
      <c r="HZ77" s="8">
        <f ca="1">HY77-TODAY()</f>
        <v>1120</v>
      </c>
      <c r="IA77" s="5" t="str">
        <f t="shared" ca="1" si="328"/>
        <v>VIGENTE</v>
      </c>
      <c r="IB77" s="3"/>
      <c r="IC77" s="4">
        <v>45505</v>
      </c>
      <c r="ID77" s="4">
        <f>DATE(YEAR(IC77)+5,MONTH(IC77),DAY(IC77))</f>
        <v>47331</v>
      </c>
      <c r="IE77" s="8">
        <f ca="1">ID77-TODAY()</f>
        <v>1197</v>
      </c>
      <c r="IF77" s="5" t="str">
        <f t="shared" ca="1" si="329"/>
        <v>VIGENTE</v>
      </c>
      <c r="IG77" s="4"/>
      <c r="IH77" s="4">
        <v>45449</v>
      </c>
      <c r="II77" s="4">
        <f>DATE(YEAR(IH77)+5,MONTH(IH77),DAY(IH77))</f>
        <v>47275</v>
      </c>
      <c r="IJ77" s="8">
        <f ca="1">II77-TODAY()</f>
        <v>1141</v>
      </c>
      <c r="IK77" s="5" t="str">
        <f t="shared" ca="1" si="330"/>
        <v>VIGENTE</v>
      </c>
      <c r="IL77" s="3"/>
      <c r="IM77" s="4">
        <v>45490</v>
      </c>
      <c r="IN77" s="4">
        <f>DATE(YEAR(IM77)+5,MONTH(IM77),DAY(IM77))</f>
        <v>47316</v>
      </c>
      <c r="IO77" s="8">
        <f ca="1">IN77-TODAY()</f>
        <v>1182</v>
      </c>
      <c r="IP77" s="5" t="str">
        <f t="shared" ca="1" si="331"/>
        <v>VIGENTE</v>
      </c>
      <c r="IQ77" s="3"/>
      <c r="IR77" s="4">
        <v>45484</v>
      </c>
      <c r="IS77" s="4">
        <f>DATE(YEAR(IR77)+5,MONTH(IR77),DAY(IR77))</f>
        <v>47310</v>
      </c>
      <c r="IT77" s="8">
        <f ca="1">IS77-TODAY()</f>
        <v>1176</v>
      </c>
      <c r="IU77" s="5" t="str">
        <f t="shared" ca="1" si="332"/>
        <v>VIGENTE</v>
      </c>
      <c r="IV77" s="3"/>
      <c r="IW77" s="4">
        <v>45491</v>
      </c>
      <c r="IX77" s="4">
        <f>DATE(YEAR(IW77)+5,MONTH(IW77),DAY(IW77))</f>
        <v>47317</v>
      </c>
      <c r="IY77" s="8">
        <f ca="1">IX77-TODAY()</f>
        <v>1183</v>
      </c>
      <c r="IZ77" s="5" t="str">
        <f t="shared" ca="1" si="333"/>
        <v>VIGENTE</v>
      </c>
      <c r="JA77" s="3"/>
      <c r="JB77" s="3"/>
      <c r="JC77" s="4"/>
      <c r="JD77" s="8"/>
      <c r="JE77" s="5" t="str">
        <f t="shared" si="334"/>
        <v>NO APLICA</v>
      </c>
      <c r="JF77" s="6"/>
      <c r="JG77" s="6"/>
      <c r="JH77" s="6"/>
      <c r="JI77" s="6"/>
      <c r="JJ77" s="5" t="str">
        <f t="shared" si="335"/>
        <v>NO APLICA</v>
      </c>
      <c r="JK77" s="6"/>
      <c r="JL77" s="6"/>
      <c r="JM77" s="6"/>
      <c r="JN77" s="6"/>
      <c r="JO77" s="5" t="str">
        <f t="shared" si="336"/>
        <v>NO APLICA</v>
      </c>
      <c r="JP77" s="6"/>
      <c r="JQ77" s="6"/>
      <c r="JR77" s="6"/>
      <c r="JS77" s="6"/>
      <c r="JT77" s="5" t="str">
        <f t="shared" si="337"/>
        <v>NO APLICA</v>
      </c>
      <c r="JU77" s="5"/>
      <c r="JV77" s="5"/>
      <c r="JW77" s="5"/>
      <c r="JX77" s="5"/>
      <c r="JY77" s="5" t="str">
        <f t="shared" si="338"/>
        <v>NO APLICA</v>
      </c>
      <c r="JZ77" s="5"/>
      <c r="KA77" s="2"/>
      <c r="KB77" s="4"/>
      <c r="KC77" s="8"/>
      <c r="KD77" s="5" t="str">
        <f t="shared" si="339"/>
        <v>NO APLICA</v>
      </c>
      <c r="KE77" s="5"/>
      <c r="KF77" s="2"/>
      <c r="KG77" s="4"/>
      <c r="KH77" s="8"/>
      <c r="KI77" s="5" t="str">
        <f t="shared" si="365"/>
        <v>NO APLICA</v>
      </c>
      <c r="KJ77" s="5"/>
      <c r="KK77" s="2"/>
      <c r="KL77" s="4"/>
      <c r="KM77" s="8"/>
      <c r="KN77" s="5" t="str">
        <f t="shared" si="340"/>
        <v>NO APLICA</v>
      </c>
      <c r="KO77" s="5"/>
      <c r="KP77" s="2"/>
      <c r="KQ77" s="4"/>
      <c r="KR77" s="8"/>
      <c r="KS77" s="5" t="str">
        <f t="shared" si="366"/>
        <v>NO APLICA</v>
      </c>
      <c r="KT77" s="2"/>
      <c r="KU77" s="6"/>
      <c r="KV77" s="4"/>
      <c r="KW77" s="8"/>
      <c r="KX77" s="5" t="str">
        <f t="shared" si="375"/>
        <v>NO APLICA</v>
      </c>
      <c r="KY77" s="5"/>
      <c r="KZ77" s="6"/>
      <c r="LA77" s="4"/>
      <c r="LB77" s="8"/>
      <c r="LC77" s="5" t="str">
        <f t="shared" si="367"/>
        <v>NO APLICA</v>
      </c>
      <c r="LD77" s="6"/>
      <c r="LE77" s="6"/>
      <c r="LF77" s="4"/>
      <c r="LG77" s="8"/>
      <c r="LH77" s="5" t="str">
        <f t="shared" si="341"/>
        <v>NO APLICA</v>
      </c>
      <c r="LI77" s="5"/>
      <c r="LJ77" s="5"/>
      <c r="LK77" s="4"/>
      <c r="LL77" s="8"/>
      <c r="LM77" s="5" t="str">
        <f t="shared" si="376"/>
        <v>NO APLICA</v>
      </c>
      <c r="LN77" s="2"/>
      <c r="LO77" s="6"/>
      <c r="LP77" s="4"/>
      <c r="LQ77" s="8"/>
      <c r="LR77" s="5" t="str">
        <f t="shared" si="368"/>
        <v>NO APLICA</v>
      </c>
      <c r="LS77" s="6"/>
      <c r="LT77" s="6"/>
      <c r="LU77" s="4"/>
      <c r="LV77" s="8"/>
      <c r="LW77" s="5" t="str">
        <f t="shared" si="369"/>
        <v>NO APLICA</v>
      </c>
      <c r="LX77" s="6"/>
      <c r="LY77" s="6"/>
      <c r="LZ77" s="4"/>
      <c r="MA77" s="8"/>
      <c r="MB77" s="5" t="str">
        <f t="shared" si="370"/>
        <v>NO APLICA</v>
      </c>
      <c r="MC77" s="2"/>
      <c r="MD77" s="2"/>
      <c r="ME77" s="4"/>
      <c r="MF77" s="8"/>
      <c r="MG77" s="5" t="str">
        <f t="shared" si="342"/>
        <v>NO APLICA</v>
      </c>
      <c r="MH77" s="2"/>
      <c r="MI77" s="2"/>
      <c r="MJ77" s="4"/>
      <c r="MK77" s="8"/>
      <c r="ML77" s="5" t="str">
        <f t="shared" si="343"/>
        <v>NO APLICA</v>
      </c>
      <c r="MM77" s="5"/>
      <c r="MN77" s="2"/>
      <c r="MO77" s="4"/>
      <c r="MP77" s="8"/>
      <c r="MQ77" s="5" t="str">
        <f t="shared" si="344"/>
        <v>NO APLICA</v>
      </c>
      <c r="MR77" s="5"/>
      <c r="MS77" s="2"/>
      <c r="MT77" s="4"/>
      <c r="MU77" s="2"/>
      <c r="MV77" s="5" t="str">
        <f t="shared" si="345"/>
        <v>NO APLICA</v>
      </c>
      <c r="MW77" s="2"/>
      <c r="MX77" s="6"/>
      <c r="MY77" s="4"/>
      <c r="MZ77" s="8"/>
      <c r="NA77" s="5" t="str">
        <f t="shared" si="346"/>
        <v>NO APLICA</v>
      </c>
      <c r="NB77" s="2"/>
      <c r="NC77" s="6"/>
      <c r="ND77" s="4"/>
      <c r="NE77" s="8"/>
      <c r="NF77" s="5" t="str">
        <f t="shared" si="347"/>
        <v>NO APLICA</v>
      </c>
      <c r="NG77" s="2"/>
      <c r="NH77" s="6"/>
      <c r="NI77" s="4"/>
      <c r="NJ77" s="8"/>
      <c r="NK77" s="5" t="str">
        <f t="shared" si="348"/>
        <v>NO APLICA</v>
      </c>
      <c r="NL77" s="2"/>
      <c r="NM77" s="2"/>
      <c r="NN77" s="4"/>
      <c r="NO77" s="8"/>
      <c r="NP77" s="5" t="str">
        <f t="shared" si="349"/>
        <v>NO APLICA</v>
      </c>
      <c r="NQ77" s="2"/>
      <c r="NR77" s="2"/>
      <c r="NS77" s="4"/>
      <c r="NT77" s="2"/>
      <c r="NU77" s="5" t="str">
        <f t="shared" si="350"/>
        <v>NO APLICA</v>
      </c>
      <c r="NV77" s="6"/>
      <c r="NW77" s="6"/>
      <c r="NX77" s="4"/>
      <c r="NY77" s="8"/>
      <c r="NZ77" s="5" t="str">
        <f t="shared" si="351"/>
        <v>NO APLICA</v>
      </c>
      <c r="OA77" s="6"/>
      <c r="OB77" s="6"/>
      <c r="OC77" s="6"/>
      <c r="OD77" s="6"/>
      <c r="OE77" s="5" t="str">
        <f t="shared" si="352"/>
        <v>NO APLICA</v>
      </c>
      <c r="OF77" s="2"/>
      <c r="OG77" s="2"/>
      <c r="OH77" s="4"/>
      <c r="OI77" s="8"/>
      <c r="OJ77" s="5" t="str">
        <f t="shared" si="353"/>
        <v>NO APLICA</v>
      </c>
      <c r="OK77" s="6"/>
      <c r="OL77" s="6"/>
      <c r="OM77" s="6"/>
      <c r="ON77" s="6"/>
      <c r="OO77" s="5" t="str">
        <f t="shared" si="354"/>
        <v>NO APLICA</v>
      </c>
      <c r="OP77" s="6"/>
      <c r="OQ77" s="6"/>
      <c r="OR77" s="6"/>
      <c r="OS77" s="6"/>
      <c r="OT77" s="5" t="str">
        <f t="shared" si="355"/>
        <v>NO APLICA</v>
      </c>
      <c r="OU77" s="6"/>
      <c r="OV77" s="6"/>
      <c r="OW77" s="6"/>
      <c r="OX77" s="6"/>
      <c r="OY77" s="5" t="str">
        <f t="shared" si="356"/>
        <v>NO APLICA</v>
      </c>
      <c r="OZ77" s="6"/>
      <c r="PA77" s="6"/>
      <c r="PB77" s="6"/>
      <c r="PC77" s="6"/>
      <c r="PD77" s="5" t="str">
        <f t="shared" si="357"/>
        <v>NO APLICA</v>
      </c>
      <c r="PE77" s="6"/>
      <c r="PF77" s="6"/>
      <c r="PG77" s="6"/>
      <c r="PH77" s="6"/>
      <c r="PI77" s="5" t="str">
        <f t="shared" si="358"/>
        <v>NO APLICA</v>
      </c>
      <c r="PJ77" s="5"/>
      <c r="PK77" s="6"/>
      <c r="PL77" s="4"/>
      <c r="PM77" s="8"/>
      <c r="PN77" s="5" t="str">
        <f t="shared" si="359"/>
        <v>NO APLICA</v>
      </c>
      <c r="PO77" s="6"/>
      <c r="PP77" s="6"/>
      <c r="PQ77" s="6"/>
      <c r="PR77" s="6"/>
      <c r="PS77" s="5" t="str">
        <f t="shared" si="360"/>
        <v>NO APLICA</v>
      </c>
      <c r="PT77" s="5"/>
      <c r="PU77" s="6"/>
      <c r="PV77" s="6"/>
      <c r="PW77" s="6"/>
      <c r="PX77" s="5" t="str">
        <f t="shared" si="361"/>
        <v>NO APLICA</v>
      </c>
    </row>
    <row r="78" spans="1:440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178</v>
      </c>
      <c r="T78" s="5" t="str">
        <f t="shared" ca="1" si="362"/>
        <v>VIGENTE</v>
      </c>
      <c r="U78" s="2" t="s">
        <v>289</v>
      </c>
      <c r="V78" s="4">
        <v>44701</v>
      </c>
      <c r="W78" s="4">
        <f t="shared" si="248"/>
        <v>46527</v>
      </c>
      <c r="X78" s="8">
        <f t="shared" ca="1" si="249"/>
        <v>393</v>
      </c>
      <c r="Y78" s="5" t="str">
        <f t="shared" ca="1" si="250"/>
        <v>VIGENTE</v>
      </c>
      <c r="Z78" s="2" t="s">
        <v>290</v>
      </c>
      <c r="AA78" s="4">
        <v>45162</v>
      </c>
      <c r="AB78" s="4">
        <f t="shared" si="385"/>
        <v>46989</v>
      </c>
      <c r="AC78" s="8">
        <f t="shared" ca="1" si="386"/>
        <v>855</v>
      </c>
      <c r="AD78" s="5" t="str">
        <f t="shared" ca="1" si="387"/>
        <v>VIGENTE</v>
      </c>
      <c r="AE78" s="3"/>
      <c r="AF78" s="4">
        <v>45680</v>
      </c>
      <c r="AG78" s="4">
        <f>DATE(YEAR(AF78)+2,MONTH(AF78),DAY(AF78)-1)</f>
        <v>46409</v>
      </c>
      <c r="AH78" s="8">
        <f t="shared" ca="1" si="252"/>
        <v>275</v>
      </c>
      <c r="AI78" s="5" t="str">
        <f t="shared" ca="1" si="224"/>
        <v>VIGENTE</v>
      </c>
      <c r="AJ78" s="3"/>
      <c r="AK78" s="4">
        <v>45602</v>
      </c>
      <c r="AL78" s="4">
        <f>DATE(YEAR(AK78)+2,MONTH(AK78),DAY(AK78)-1)</f>
        <v>46331</v>
      </c>
      <c r="AM78" s="8">
        <f t="shared" ca="1" si="253"/>
        <v>197</v>
      </c>
      <c r="AN78" s="5" t="str">
        <f t="shared" ca="1" si="254"/>
        <v>VIGENTE</v>
      </c>
      <c r="AO78" s="3"/>
      <c r="AP78" s="4">
        <v>45904</v>
      </c>
      <c r="AQ78" s="4">
        <f>DATE(YEAR(AP78)+2,MONTH(AP78),DAY(AP78))</f>
        <v>46634</v>
      </c>
      <c r="AR78" s="8">
        <f t="shared" ca="1" si="255"/>
        <v>500</v>
      </c>
      <c r="AS78" s="5" t="str">
        <f t="shared" ca="1" si="256"/>
        <v>VIGENTE</v>
      </c>
      <c r="AT78" s="3"/>
      <c r="AU78" s="4">
        <v>45927</v>
      </c>
      <c r="AV78" s="4">
        <f>DATE(YEAR(AU78)+2,MONTH(AU78),DAY(AU78))</f>
        <v>46657</v>
      </c>
      <c r="AW78" s="8">
        <f t="shared" ca="1" si="257"/>
        <v>523</v>
      </c>
      <c r="AX78" s="5" t="str">
        <f t="shared" ca="1" si="258"/>
        <v>VIGENTE</v>
      </c>
      <c r="AY78" s="3"/>
      <c r="AZ78" s="4">
        <v>46041</v>
      </c>
      <c r="BA78" s="4">
        <f>DATE(YEAR(AZ78)+2,MONTH(AZ78),DAY(AZ78))</f>
        <v>46771</v>
      </c>
      <c r="BB78" s="8">
        <f t="shared" ca="1" si="259"/>
        <v>637</v>
      </c>
      <c r="BC78" s="5" t="str">
        <f t="shared" ca="1" si="260"/>
        <v>VIGENTE</v>
      </c>
      <c r="BD78" s="3"/>
      <c r="BE78" s="4">
        <v>46027</v>
      </c>
      <c r="BF78" s="4">
        <f>DATE(YEAR(BE78)+2,MONTH(BE78),DAY(BE78))</f>
        <v>46757</v>
      </c>
      <c r="BG78" s="8">
        <f t="shared" ca="1" si="261"/>
        <v>623</v>
      </c>
      <c r="BH78" s="5" t="str">
        <f t="shared" ca="1" si="262"/>
        <v>VIGENTE</v>
      </c>
      <c r="BI78" s="3"/>
      <c r="BJ78" s="4">
        <v>45600</v>
      </c>
      <c r="BK78" s="4">
        <f>DATE(YEAR(BJ78)+2,MONTH(BJ78),DAY(BJ78)-1)</f>
        <v>46329</v>
      </c>
      <c r="BL78" s="8">
        <f t="shared" ca="1" si="263"/>
        <v>195</v>
      </c>
      <c r="BM78" s="5" t="str">
        <f t="shared" ca="1" si="264"/>
        <v>VIGENTE</v>
      </c>
      <c r="BN78" s="3"/>
      <c r="BO78" s="4">
        <v>45701</v>
      </c>
      <c r="BP78" s="4">
        <f>DATE(YEAR(BO78)+2,MONTH(BO78),DAY(BO78)-1)</f>
        <v>46430</v>
      </c>
      <c r="BQ78" s="8">
        <f t="shared" ca="1" si="265"/>
        <v>296</v>
      </c>
      <c r="BR78" s="5" t="str">
        <f t="shared" ca="1" si="266"/>
        <v>VIGENTE</v>
      </c>
      <c r="BS78" s="3"/>
      <c r="BT78" s="4">
        <v>45449</v>
      </c>
      <c r="BU78" s="4">
        <f>DATE(YEAR(BT78)+2,MONTH(BT78),DAY(BT78)-1)</f>
        <v>46178</v>
      </c>
      <c r="BV78" s="8">
        <f t="shared" ca="1" si="267"/>
        <v>44</v>
      </c>
      <c r="BW78" s="5" t="str">
        <f t="shared" ca="1" si="268"/>
        <v>POR VENCER</v>
      </c>
      <c r="BX78" s="3"/>
      <c r="BY78" s="4">
        <v>45629</v>
      </c>
      <c r="BZ78" s="4">
        <f>DATE(YEAR(BY78)+2,MONTH(BY78),DAY(BY78)-1)</f>
        <v>46358</v>
      </c>
      <c r="CA78" s="8">
        <f t="shared" ca="1" si="269"/>
        <v>224</v>
      </c>
      <c r="CB78" s="5" t="str">
        <f t="shared" ca="1" si="270"/>
        <v>VIGENTE</v>
      </c>
      <c r="CC78" s="6" t="s">
        <v>68</v>
      </c>
      <c r="CD78" s="4">
        <v>45832</v>
      </c>
      <c r="CE78" s="4">
        <f t="shared" si="271"/>
        <v>47293</v>
      </c>
      <c r="CF78" s="8">
        <f t="shared" ca="1" si="272"/>
        <v>1159</v>
      </c>
      <c r="CG78" s="5" t="str">
        <f t="shared" ca="1" si="273"/>
        <v>VIGENTE</v>
      </c>
      <c r="CH78" s="4"/>
      <c r="CI78" s="4">
        <v>45601</v>
      </c>
      <c r="CJ78" s="4">
        <f t="shared" si="384"/>
        <v>46330</v>
      </c>
      <c r="CK78" s="8">
        <f t="shared" ca="1" si="274"/>
        <v>196</v>
      </c>
      <c r="CL78" s="5" t="str">
        <f t="shared" ca="1" si="275"/>
        <v>VIGENTE</v>
      </c>
      <c r="CM78" s="3"/>
      <c r="CN78" s="4">
        <v>45726</v>
      </c>
      <c r="CO78" s="4">
        <f t="shared" si="377"/>
        <v>46455</v>
      </c>
      <c r="CP78" s="8">
        <f t="shared" ca="1" si="276"/>
        <v>321</v>
      </c>
      <c r="CQ78" s="5" t="str">
        <f t="shared" ca="1" si="277"/>
        <v>VIGENTE</v>
      </c>
      <c r="CR78" s="3"/>
      <c r="CS78" s="4">
        <v>45905</v>
      </c>
      <c r="CT78" s="4">
        <f>DATE(YEAR(CS78)+2,MONTH(CS78),DAY(CS78))</f>
        <v>46635</v>
      </c>
      <c r="CU78" s="8">
        <f t="shared" ca="1" si="278"/>
        <v>501</v>
      </c>
      <c r="CV78" s="5" t="str">
        <f t="shared" ca="1" si="279"/>
        <v>VIGENTE</v>
      </c>
      <c r="CW78" s="3"/>
      <c r="CX78" s="4">
        <v>46000</v>
      </c>
      <c r="CY78" s="4">
        <f>DATE(YEAR(CX78)+2,MONTH(CX78),DAY(CX78))</f>
        <v>46730</v>
      </c>
      <c r="CZ78" s="8">
        <f t="shared" ca="1" si="280"/>
        <v>596</v>
      </c>
      <c r="DA78" s="5" t="str">
        <f t="shared" ca="1" si="281"/>
        <v>VIGENTE</v>
      </c>
      <c r="DB78" s="3"/>
      <c r="DC78" s="4">
        <v>45596</v>
      </c>
      <c r="DD78" s="4">
        <f t="shared" si="392"/>
        <v>46325</v>
      </c>
      <c r="DE78" s="8">
        <f t="shared" ca="1" si="282"/>
        <v>191</v>
      </c>
      <c r="DF78" s="5" t="str">
        <f t="shared" ca="1" si="283"/>
        <v>VIGENTE</v>
      </c>
      <c r="DG78" s="3"/>
      <c r="DH78" s="4">
        <v>45975</v>
      </c>
      <c r="DI78" s="4">
        <f>DATE(YEAR(DH78)+2,MONTH(DH78),DAY(DH78))</f>
        <v>46705</v>
      </c>
      <c r="DJ78" s="8">
        <f t="shared" ca="1" si="284"/>
        <v>571</v>
      </c>
      <c r="DK78" s="5" t="str">
        <f t="shared" ca="1" si="285"/>
        <v>VIGENTE</v>
      </c>
      <c r="DL78" s="3"/>
      <c r="DM78" s="4">
        <v>46007</v>
      </c>
      <c r="DN78" s="4">
        <f>DATE(YEAR(DM78)+2,MONTH(DM78),DAY(DM78))</f>
        <v>46737</v>
      </c>
      <c r="DO78" s="8">
        <f t="shared" ca="1" si="286"/>
        <v>603</v>
      </c>
      <c r="DP78" s="5" t="str">
        <f t="shared" ca="1" si="287"/>
        <v>VIGENTE</v>
      </c>
      <c r="DQ78" s="3"/>
      <c r="DR78" s="4">
        <v>46053</v>
      </c>
      <c r="DS78" s="4">
        <f>DATE(YEAR(DR78)+2,MONTH(DR78),DAY(DR78))</f>
        <v>46783</v>
      </c>
      <c r="DT78" s="8">
        <f t="shared" ca="1" si="288"/>
        <v>649</v>
      </c>
      <c r="DU78" s="5" t="str">
        <f t="shared" ca="1" si="289"/>
        <v>VIGENTE</v>
      </c>
      <c r="DV78" s="3"/>
      <c r="DW78" s="4">
        <v>45612</v>
      </c>
      <c r="DX78" s="4">
        <f t="shared" si="363"/>
        <v>46341</v>
      </c>
      <c r="DY78" s="8">
        <f t="shared" ca="1" si="290"/>
        <v>207</v>
      </c>
      <c r="DZ78" s="5" t="str">
        <f t="shared" ca="1" si="291"/>
        <v>VIGENTE</v>
      </c>
      <c r="EA78" s="3"/>
      <c r="EB78" s="4">
        <v>45730</v>
      </c>
      <c r="EC78" s="4">
        <f>DATE(YEAR(EB78)+2,MONTH(EB78),DAY(EB78)-1)</f>
        <v>46459</v>
      </c>
      <c r="ED78" s="8">
        <f t="shared" ca="1" si="292"/>
        <v>325</v>
      </c>
      <c r="EE78" s="5" t="str">
        <f t="shared" ca="1" si="293"/>
        <v>VIGENTE</v>
      </c>
      <c r="EF78" s="3"/>
      <c r="EG78" s="3">
        <v>46107</v>
      </c>
      <c r="EH78" s="4">
        <f t="shared" si="364"/>
        <v>46472</v>
      </c>
      <c r="EI78" s="8">
        <f t="shared" ca="1" si="294"/>
        <v>338</v>
      </c>
      <c r="EJ78" s="5" t="str">
        <f t="shared" ca="1" si="295"/>
        <v>VIGENTE</v>
      </c>
      <c r="EK78" s="3"/>
      <c r="EL78" s="4">
        <v>45584</v>
      </c>
      <c r="EM78" s="4">
        <f t="shared" si="380"/>
        <v>46313</v>
      </c>
      <c r="EN78" s="8">
        <f t="shared" ca="1" si="296"/>
        <v>179</v>
      </c>
      <c r="EO78" s="5" t="str">
        <f t="shared" ca="1" si="297"/>
        <v>VIGENTE</v>
      </c>
      <c r="EP78" s="3"/>
      <c r="EQ78" s="4">
        <v>46042</v>
      </c>
      <c r="ER78" s="4">
        <f>DATE(YEAR(EQ78)+2,MONTH(EQ78),DAY(EQ78))</f>
        <v>46772</v>
      </c>
      <c r="ES78" s="8">
        <f t="shared" ca="1" si="298"/>
        <v>638</v>
      </c>
      <c r="ET78" s="5" t="str">
        <f t="shared" ca="1" si="299"/>
        <v>VIGENTE</v>
      </c>
      <c r="EU78" s="3"/>
      <c r="EV78" s="4">
        <v>45610</v>
      </c>
      <c r="EW78" s="4">
        <f>DATE(YEAR(EV78)+2,MONTH(EV78),DAY(EV78)-1)</f>
        <v>46339</v>
      </c>
      <c r="EX78" s="8">
        <f t="shared" ca="1" si="300"/>
        <v>205</v>
      </c>
      <c r="EY78" s="5" t="str">
        <f t="shared" ca="1" si="301"/>
        <v>VIGENTE</v>
      </c>
      <c r="EZ78" s="3"/>
      <c r="FA78" s="4">
        <v>45611</v>
      </c>
      <c r="FB78" s="4">
        <f>DATE(YEAR(FA78)+2,MONTH(FA78),DAY(FA78)-1)</f>
        <v>46340</v>
      </c>
      <c r="FC78" s="8">
        <f t="shared" ca="1" si="302"/>
        <v>206</v>
      </c>
      <c r="FD78" s="5" t="str">
        <f t="shared" ca="1" si="303"/>
        <v>VIGENTE</v>
      </c>
      <c r="FE78" s="3"/>
      <c r="FF78" s="4">
        <v>45668</v>
      </c>
      <c r="FG78" s="4">
        <f>DATE(YEAR(FF78)+2,MONTH(FF78),DAY(FF78)-1)</f>
        <v>46397</v>
      </c>
      <c r="FH78" s="8">
        <f t="shared" ca="1" si="304"/>
        <v>263</v>
      </c>
      <c r="FI78" s="5" t="str">
        <f t="shared" ca="1" si="305"/>
        <v>VIGENTE</v>
      </c>
      <c r="FJ78" s="3"/>
      <c r="FK78" s="4">
        <v>45588</v>
      </c>
      <c r="FL78" s="4">
        <f>DATE(YEAR(FK78)+2,MONTH(FK78),DAY(FK78)-1)</f>
        <v>46317</v>
      </c>
      <c r="FM78" s="8">
        <f t="shared" ca="1" si="306"/>
        <v>183</v>
      </c>
      <c r="FN78" s="5" t="str">
        <f t="shared" ca="1" si="307"/>
        <v>VIGENTE</v>
      </c>
      <c r="FO78" s="3"/>
      <c r="FP78" s="4">
        <v>45664</v>
      </c>
      <c r="FQ78" s="4">
        <f t="shared" si="381"/>
        <v>46393</v>
      </c>
      <c r="FR78" s="8">
        <f t="shared" ca="1" si="308"/>
        <v>259</v>
      </c>
      <c r="FS78" s="5" t="str">
        <f t="shared" ca="1" si="309"/>
        <v>VIGENTE</v>
      </c>
      <c r="FT78" s="3"/>
      <c r="FU78" s="4">
        <v>45700</v>
      </c>
      <c r="FV78" s="4">
        <f t="shared" si="393"/>
        <v>46429</v>
      </c>
      <c r="FW78" s="8">
        <f t="shared" ca="1" si="310"/>
        <v>295</v>
      </c>
      <c r="FX78" s="5" t="str">
        <f t="shared" ca="1" si="311"/>
        <v>VIGENTE</v>
      </c>
      <c r="FY78" s="3"/>
      <c r="FZ78" s="4">
        <v>46030</v>
      </c>
      <c r="GA78" s="4">
        <f>DATE(YEAR(FZ78)+2,MONTH(FZ78),DAY(FZ78))</f>
        <v>46760</v>
      </c>
      <c r="GB78" s="8">
        <f t="shared" ca="1" si="312"/>
        <v>626</v>
      </c>
      <c r="GC78" s="5" t="str">
        <f t="shared" ca="1" si="313"/>
        <v>VIGENTE</v>
      </c>
      <c r="GD78" s="3"/>
      <c r="GE78" s="4">
        <v>45672</v>
      </c>
      <c r="GF78" s="4">
        <f>DATE(YEAR(GE78)+2,MONTH(GE78),DAY(GE78)-1)</f>
        <v>46401</v>
      </c>
      <c r="GG78" s="8">
        <f t="shared" ca="1" si="314"/>
        <v>267</v>
      </c>
      <c r="GH78" s="5" t="str">
        <f t="shared" ca="1" si="315"/>
        <v>VIGENTE</v>
      </c>
      <c r="GI78" s="3"/>
      <c r="GJ78" s="4">
        <v>45608</v>
      </c>
      <c r="GK78" s="4">
        <f>DATE(YEAR(GJ78)+2,MONTH(GJ78),DAY(GJ78)-1)</f>
        <v>46337</v>
      </c>
      <c r="GL78" s="8">
        <f t="shared" ca="1" si="316"/>
        <v>203</v>
      </c>
      <c r="GM78" s="5" t="str">
        <f t="shared" ca="1" si="317"/>
        <v>VIGENTE</v>
      </c>
      <c r="GN78" s="4"/>
      <c r="GO78" s="4">
        <v>44966</v>
      </c>
      <c r="GP78" s="4">
        <f t="shared" si="318"/>
        <v>46792</v>
      </c>
      <c r="GQ78" s="8">
        <f t="shared" ca="1" si="181"/>
        <v>658</v>
      </c>
      <c r="GR78" s="5" t="str">
        <f t="shared" ca="1" si="388"/>
        <v>VIGENTE</v>
      </c>
      <c r="GS78" s="3"/>
      <c r="GT78" s="4">
        <v>44952</v>
      </c>
      <c r="GU78" s="4">
        <f t="shared" si="320"/>
        <v>46778</v>
      </c>
      <c r="GV78" s="8">
        <f t="shared" ca="1" si="321"/>
        <v>644</v>
      </c>
      <c r="GW78" s="5" t="str">
        <f t="shared" ca="1" si="389"/>
        <v>VIGENTE</v>
      </c>
      <c r="GX78" s="2"/>
      <c r="GY78" s="4">
        <v>44980</v>
      </c>
      <c r="GZ78" s="4">
        <f t="shared" si="323"/>
        <v>46806</v>
      </c>
      <c r="HA78" s="8">
        <f t="shared" ca="1" si="324"/>
        <v>672</v>
      </c>
      <c r="HB78" s="5" t="str">
        <f t="shared" ca="1" si="390"/>
        <v>VIGENTE</v>
      </c>
      <c r="HC78" s="6"/>
      <c r="HD78" s="4">
        <v>44956</v>
      </c>
      <c r="HE78" s="4">
        <f t="shared" si="382"/>
        <v>46782</v>
      </c>
      <c r="HF78" s="8">
        <f t="shared" ca="1" si="383"/>
        <v>648</v>
      </c>
      <c r="HG78" s="5" t="str">
        <f t="shared" ca="1" si="391"/>
        <v>VIGENTE</v>
      </c>
      <c r="HH78" s="2"/>
      <c r="HI78" s="6"/>
      <c r="HJ78" s="4"/>
      <c r="HK78" s="8"/>
      <c r="HL78" s="5" t="str">
        <f t="shared" si="232"/>
        <v>NO APLICA</v>
      </c>
      <c r="HM78" s="2"/>
      <c r="HN78" s="2"/>
      <c r="HO78" s="4"/>
      <c r="HP78" s="2"/>
      <c r="HQ78" s="5" t="str">
        <f t="shared" si="326"/>
        <v>NO APLICA</v>
      </c>
      <c r="HR78" s="2"/>
      <c r="HS78" s="4">
        <v>44961</v>
      </c>
      <c r="HT78" s="4">
        <f>DATE(YEAR(HS78)+5,MONTH(HS78),DAY(HS78))</f>
        <v>46787</v>
      </c>
      <c r="HU78" s="8">
        <f ca="1">HT78-TODAY()</f>
        <v>653</v>
      </c>
      <c r="HV78" s="5" t="str">
        <f t="shared" ca="1" si="327"/>
        <v>VIGENTE</v>
      </c>
      <c r="HW78" s="2"/>
      <c r="HX78" s="4">
        <v>44932</v>
      </c>
      <c r="HY78" s="4">
        <f>DATE(YEAR(HX78)+5,MONTH(HX78),DAY(HX78))</f>
        <v>46758</v>
      </c>
      <c r="HZ78" s="8">
        <f ca="1">HY78-TODAY()</f>
        <v>624</v>
      </c>
      <c r="IA78" s="5" t="str">
        <f t="shared" ca="1" si="328"/>
        <v>VIGENTE</v>
      </c>
      <c r="IB78" s="2"/>
      <c r="IC78" s="4">
        <v>44971</v>
      </c>
      <c r="ID78" s="4">
        <f>DATE(YEAR(IC78)+5,MONTH(IC78),DAY(IC78))</f>
        <v>46797</v>
      </c>
      <c r="IE78" s="8">
        <f ca="1">ID78-TODAY()</f>
        <v>663</v>
      </c>
      <c r="IF78" s="5" t="str">
        <f t="shared" ca="1" si="329"/>
        <v>VIGENTE</v>
      </c>
      <c r="IG78" s="6"/>
      <c r="IH78" s="4">
        <v>44965</v>
      </c>
      <c r="II78" s="4">
        <f>DATE(YEAR(IH78)+5,MONTH(IH78),DAY(IH78))</f>
        <v>46791</v>
      </c>
      <c r="IJ78" s="8">
        <f ca="1">II78-TODAY()</f>
        <v>657</v>
      </c>
      <c r="IK78" s="5" t="str">
        <f t="shared" ca="1" si="330"/>
        <v>VIGENTE</v>
      </c>
      <c r="IL78" s="2"/>
      <c r="IM78" s="4">
        <v>44977</v>
      </c>
      <c r="IN78" s="4">
        <f>DATE(YEAR(IM78)+5,MONTH(IM78),DAY(IM78))</f>
        <v>46803</v>
      </c>
      <c r="IO78" s="8">
        <f ca="1">IN78-TODAY()</f>
        <v>669</v>
      </c>
      <c r="IP78" s="5" t="str">
        <f t="shared" ca="1" si="331"/>
        <v>VIGENTE</v>
      </c>
      <c r="IQ78" s="2"/>
      <c r="IR78" s="4">
        <v>44970</v>
      </c>
      <c r="IS78" s="4">
        <f>DATE(YEAR(IR78)+5,MONTH(IR78),DAY(IR78))</f>
        <v>46796</v>
      </c>
      <c r="IT78" s="8">
        <f ca="1">IS78-TODAY()</f>
        <v>662</v>
      </c>
      <c r="IU78" s="5" t="str">
        <f t="shared" ca="1" si="332"/>
        <v>VIGENTE</v>
      </c>
      <c r="IV78" s="2"/>
      <c r="IW78" s="4">
        <v>44933</v>
      </c>
      <c r="IX78" s="4">
        <f>DATE(YEAR(IW78)+5,MONTH(IW78),DAY(IW78))</f>
        <v>46759</v>
      </c>
      <c r="IY78" s="8">
        <f ca="1">IX78-TODAY()</f>
        <v>625</v>
      </c>
      <c r="IZ78" s="5" t="str">
        <f t="shared" ca="1" si="333"/>
        <v>VIGENTE</v>
      </c>
      <c r="JA78" s="3"/>
      <c r="JB78" s="3"/>
      <c r="JC78" s="4"/>
      <c r="JD78" s="8"/>
      <c r="JE78" s="5" t="str">
        <f t="shared" si="334"/>
        <v>NO APLICA</v>
      </c>
      <c r="JF78" s="6"/>
      <c r="JG78" s="6"/>
      <c r="JH78" s="6"/>
      <c r="JI78" s="6"/>
      <c r="JJ78" s="5" t="str">
        <f t="shared" si="335"/>
        <v>NO APLICA</v>
      </c>
      <c r="JK78" s="6"/>
      <c r="JL78" s="6"/>
      <c r="JM78" s="6"/>
      <c r="JN78" s="6"/>
      <c r="JO78" s="5" t="str">
        <f t="shared" si="336"/>
        <v>NO APLICA</v>
      </c>
      <c r="JP78" s="6"/>
      <c r="JQ78" s="6"/>
      <c r="JR78" s="6"/>
      <c r="JS78" s="6"/>
      <c r="JT78" s="5" t="str">
        <f t="shared" si="337"/>
        <v>NO APLICA</v>
      </c>
      <c r="JU78" s="5"/>
      <c r="JV78" s="5"/>
      <c r="JW78" s="5"/>
      <c r="JX78" s="5"/>
      <c r="JY78" s="5" t="str">
        <f t="shared" si="338"/>
        <v>NO APLICA</v>
      </c>
      <c r="JZ78" s="5"/>
      <c r="KA78" s="2"/>
      <c r="KB78" s="4"/>
      <c r="KC78" s="8"/>
      <c r="KD78" s="5" t="str">
        <f t="shared" si="339"/>
        <v>NO APLICA</v>
      </c>
      <c r="KE78" s="5"/>
      <c r="KF78" s="2"/>
      <c r="KG78" s="4"/>
      <c r="KH78" s="8"/>
      <c r="KI78" s="5" t="str">
        <f t="shared" si="365"/>
        <v>NO APLICA</v>
      </c>
      <c r="KJ78" s="5"/>
      <c r="KK78" s="2"/>
      <c r="KL78" s="4"/>
      <c r="KM78" s="8"/>
      <c r="KN78" s="5" t="str">
        <f t="shared" si="340"/>
        <v>NO APLICA</v>
      </c>
      <c r="KO78" s="5"/>
      <c r="KP78" s="3">
        <v>45346</v>
      </c>
      <c r="KQ78" s="4">
        <f>DATE(YEAR(KP78)+5,MONTH(KP78),DAY(KP78))</f>
        <v>47173</v>
      </c>
      <c r="KR78" s="8">
        <f ca="1">KQ78-TODAY()</f>
        <v>1039</v>
      </c>
      <c r="KS78" s="5" t="str">
        <f t="shared" ca="1" si="366"/>
        <v>VIGENTE</v>
      </c>
      <c r="KT78" s="2"/>
      <c r="KU78" s="6"/>
      <c r="KV78" s="4"/>
      <c r="KW78" s="8"/>
      <c r="KX78" s="5" t="str">
        <f t="shared" si="375"/>
        <v>NO APLICA</v>
      </c>
      <c r="KY78" s="5"/>
      <c r="KZ78" s="6"/>
      <c r="LA78" s="4"/>
      <c r="LB78" s="8"/>
      <c r="LC78" s="5" t="str">
        <f t="shared" si="367"/>
        <v>NO APLICA</v>
      </c>
      <c r="LD78" s="6"/>
      <c r="LE78" s="6"/>
      <c r="LF78" s="4"/>
      <c r="LG78" s="8"/>
      <c r="LH78" s="5" t="str">
        <f t="shared" si="341"/>
        <v>NO APLICA</v>
      </c>
      <c r="LI78" s="5"/>
      <c r="LJ78" s="5"/>
      <c r="LK78" s="5"/>
      <c r="LL78" s="5"/>
      <c r="LM78" s="5" t="str">
        <f t="shared" si="376"/>
        <v>NO APLICA</v>
      </c>
      <c r="LN78" s="2"/>
      <c r="LO78" s="6"/>
      <c r="LP78" s="4"/>
      <c r="LQ78" s="8"/>
      <c r="LR78" s="5" t="str">
        <f t="shared" si="368"/>
        <v>NO APLICA</v>
      </c>
      <c r="LS78" s="6"/>
      <c r="LT78" s="6"/>
      <c r="LU78" s="4"/>
      <c r="LV78" s="8"/>
      <c r="LW78" s="5" t="str">
        <f t="shared" si="369"/>
        <v>NO APLICA</v>
      </c>
      <c r="LX78" s="6"/>
      <c r="LY78" s="6"/>
      <c r="LZ78" s="4"/>
      <c r="MA78" s="8"/>
      <c r="MB78" s="5" t="str">
        <f t="shared" si="370"/>
        <v>NO APLICA</v>
      </c>
      <c r="MC78" s="2"/>
      <c r="MD78" s="2"/>
      <c r="ME78" s="4"/>
      <c r="MF78" s="8"/>
      <c r="MG78" s="5" t="str">
        <f t="shared" si="342"/>
        <v>NO APLICA</v>
      </c>
      <c r="MH78" s="2"/>
      <c r="MI78" s="2"/>
      <c r="MJ78" s="4"/>
      <c r="MK78" s="8"/>
      <c r="ML78" s="5" t="str">
        <f t="shared" si="343"/>
        <v>NO APLICA</v>
      </c>
      <c r="MM78" s="5"/>
      <c r="MN78" s="2"/>
      <c r="MO78" s="4"/>
      <c r="MP78" s="8"/>
      <c r="MQ78" s="5" t="str">
        <f t="shared" si="344"/>
        <v>NO APLICA</v>
      </c>
      <c r="MR78" s="5"/>
      <c r="MS78" s="2"/>
      <c r="MT78" s="4"/>
      <c r="MU78" s="2"/>
      <c r="MV78" s="5" t="str">
        <f t="shared" si="345"/>
        <v>NO APLICA</v>
      </c>
      <c r="MW78" s="2"/>
      <c r="MX78" s="6"/>
      <c r="MY78" s="4"/>
      <c r="MZ78" s="8"/>
      <c r="NA78" s="5" t="str">
        <f t="shared" si="346"/>
        <v>NO APLICA</v>
      </c>
      <c r="NB78" s="2"/>
      <c r="NC78" s="6"/>
      <c r="ND78" s="4"/>
      <c r="NE78" s="8"/>
      <c r="NF78" s="5" t="str">
        <f t="shared" si="347"/>
        <v>NO APLICA</v>
      </c>
      <c r="NG78" s="2"/>
      <c r="NH78" s="6"/>
      <c r="NI78" s="4"/>
      <c r="NJ78" s="8"/>
      <c r="NK78" s="5" t="str">
        <f t="shared" si="348"/>
        <v>NO APLICA</v>
      </c>
      <c r="NL78" s="2"/>
      <c r="NM78" s="2"/>
      <c r="NN78" s="4"/>
      <c r="NO78" s="2"/>
      <c r="NP78" s="5" t="str">
        <f t="shared" si="349"/>
        <v>NO APLICA</v>
      </c>
      <c r="NQ78" s="2"/>
      <c r="NR78" s="2"/>
      <c r="NS78" s="4"/>
      <c r="NT78" s="2"/>
      <c r="NU78" s="5" t="str">
        <f t="shared" si="350"/>
        <v>NO APLICA</v>
      </c>
      <c r="NV78" s="6"/>
      <c r="NW78" s="6"/>
      <c r="NX78" s="4"/>
      <c r="NY78" s="8"/>
      <c r="NZ78" s="5" t="str">
        <f t="shared" si="351"/>
        <v>NO APLICA</v>
      </c>
      <c r="OA78" s="6"/>
      <c r="OB78" s="6"/>
      <c r="OC78" s="6"/>
      <c r="OD78" s="6"/>
      <c r="OE78" s="5" t="str">
        <f t="shared" si="352"/>
        <v>NO APLICA</v>
      </c>
      <c r="OF78" s="6"/>
      <c r="OG78" s="6"/>
      <c r="OH78" s="4"/>
      <c r="OI78" s="8"/>
      <c r="OJ78" s="5" t="str">
        <f t="shared" si="353"/>
        <v>NO APLICA</v>
      </c>
      <c r="OK78" s="6"/>
      <c r="OL78" s="6"/>
      <c r="OM78" s="6"/>
      <c r="ON78" s="6"/>
      <c r="OO78" s="5" t="str">
        <f t="shared" si="354"/>
        <v>NO APLICA</v>
      </c>
      <c r="OP78" s="6"/>
      <c r="OQ78" s="6"/>
      <c r="OR78" s="6"/>
      <c r="OS78" s="6"/>
      <c r="OT78" s="5" t="str">
        <f t="shared" si="355"/>
        <v>NO APLICA</v>
      </c>
      <c r="OU78" s="6"/>
      <c r="OV78" s="6"/>
      <c r="OW78" s="6"/>
      <c r="OX78" s="6"/>
      <c r="OY78" s="5" t="str">
        <f t="shared" si="356"/>
        <v>NO APLICA</v>
      </c>
      <c r="OZ78" s="6"/>
      <c r="PA78" s="6"/>
      <c r="PB78" s="6"/>
      <c r="PC78" s="6"/>
      <c r="PD78" s="5" t="str">
        <f t="shared" si="357"/>
        <v>NO APLICA</v>
      </c>
      <c r="PE78" s="6"/>
      <c r="PF78" s="6"/>
      <c r="PG78" s="6"/>
      <c r="PH78" s="6"/>
      <c r="PI78" s="5" t="str">
        <f t="shared" si="358"/>
        <v>NO APLICA</v>
      </c>
      <c r="PJ78" s="5"/>
      <c r="PK78" s="6"/>
      <c r="PL78" s="4"/>
      <c r="PM78" s="8"/>
      <c r="PN78" s="5" t="str">
        <f t="shared" si="359"/>
        <v>NO APLICA</v>
      </c>
      <c r="PO78" s="6"/>
      <c r="PP78" s="6"/>
      <c r="PQ78" s="6"/>
      <c r="PR78" s="6"/>
      <c r="PS78" s="5" t="str">
        <f t="shared" si="360"/>
        <v>NO APLICA</v>
      </c>
      <c r="PT78" s="5"/>
      <c r="PU78" s="6"/>
      <c r="PV78" s="6"/>
      <c r="PW78" s="6"/>
      <c r="PX78" s="5" t="str">
        <f t="shared" si="361"/>
        <v>NO APLICA</v>
      </c>
    </row>
    <row r="79" spans="1:440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292</v>
      </c>
      <c r="V79" s="4">
        <v>45159</v>
      </c>
      <c r="W79" s="4">
        <f t="shared" si="248"/>
        <v>46986</v>
      </c>
      <c r="X79" s="8">
        <f t="shared" ca="1" si="249"/>
        <v>852</v>
      </c>
      <c r="Y79" s="5" t="str">
        <f t="shared" ca="1" si="250"/>
        <v>VIGENTE</v>
      </c>
      <c r="Z79" s="6" t="s">
        <v>293</v>
      </c>
      <c r="AA79" s="4">
        <v>45161</v>
      </c>
      <c r="AB79" s="4">
        <f t="shared" si="385"/>
        <v>46988</v>
      </c>
      <c r="AC79" s="8">
        <f t="shared" ca="1" si="386"/>
        <v>854</v>
      </c>
      <c r="AD79" s="5" t="str">
        <f t="shared" ca="1" si="387"/>
        <v>VIGENTE</v>
      </c>
      <c r="AE79" s="4"/>
      <c r="AF79" s="4">
        <v>45609</v>
      </c>
      <c r="AG79" s="4">
        <f>DATE(YEAR(AF79)+2,MONTH(AF79),DAY(AF79)-1)</f>
        <v>46338</v>
      </c>
      <c r="AH79" s="8">
        <f t="shared" ca="1" si="252"/>
        <v>204</v>
      </c>
      <c r="AI79" s="5" t="str">
        <f t="shared" ca="1" si="224"/>
        <v>VIGENTE</v>
      </c>
      <c r="AJ79" s="4"/>
      <c r="AK79" s="4">
        <v>45710</v>
      </c>
      <c r="AL79" s="4">
        <f>DATE(YEAR(AK79)+2,MONTH(AK79),DAY(AK79)-1)</f>
        <v>46439</v>
      </c>
      <c r="AM79" s="8">
        <f t="shared" ca="1" si="253"/>
        <v>305</v>
      </c>
      <c r="AN79" s="5" t="str">
        <f t="shared" ca="1" si="254"/>
        <v>VIGENTE</v>
      </c>
      <c r="AO79" s="4"/>
      <c r="AP79" s="4">
        <v>45640</v>
      </c>
      <c r="AQ79" s="4">
        <f>DATE(YEAR(AP79)+2,MONTH(AP79),DAY(AP79)-1)</f>
        <v>46369</v>
      </c>
      <c r="AR79" s="8">
        <f t="shared" ca="1" si="255"/>
        <v>235</v>
      </c>
      <c r="AS79" s="5" t="str">
        <f t="shared" ca="1" si="256"/>
        <v>VIGENTE</v>
      </c>
      <c r="AT79" s="4"/>
      <c r="AU79" s="4">
        <v>45644</v>
      </c>
      <c r="AV79" s="4">
        <f>DATE(YEAR(AU79)+2,MONTH(AU79),DAY(AU79)-1)</f>
        <v>46373</v>
      </c>
      <c r="AW79" s="8">
        <f t="shared" ca="1" si="257"/>
        <v>239</v>
      </c>
      <c r="AX79" s="5" t="str">
        <f t="shared" ca="1" si="258"/>
        <v>VIGENTE</v>
      </c>
      <c r="AY79" s="4"/>
      <c r="AZ79" s="4">
        <v>45622</v>
      </c>
      <c r="BA79" s="4">
        <f>DATE(YEAR(AZ79)+2,MONTH(AZ79),DAY(AZ79)-1)</f>
        <v>46351</v>
      </c>
      <c r="BB79" s="8">
        <f t="shared" ca="1" si="259"/>
        <v>217</v>
      </c>
      <c r="BC79" s="5" t="str">
        <f t="shared" ca="1" si="260"/>
        <v>VIGENTE</v>
      </c>
      <c r="BD79" s="4"/>
      <c r="BE79" s="4">
        <v>45643</v>
      </c>
      <c r="BF79" s="4">
        <f>DATE(YEAR(BE79)+2,MONTH(BE79),DAY(BE79)-1)</f>
        <v>46372</v>
      </c>
      <c r="BG79" s="8">
        <f t="shared" ca="1" si="261"/>
        <v>238</v>
      </c>
      <c r="BH79" s="5" t="str">
        <f t="shared" ca="1" si="262"/>
        <v>VIGENTE</v>
      </c>
      <c r="BI79" s="4"/>
      <c r="BJ79" s="4">
        <v>45699</v>
      </c>
      <c r="BK79" s="4">
        <f>DATE(YEAR(BJ79)+2,MONTH(BJ79),DAY(BJ79)-1)</f>
        <v>46428</v>
      </c>
      <c r="BL79" s="8">
        <f t="shared" ca="1" si="263"/>
        <v>294</v>
      </c>
      <c r="BM79" s="5" t="str">
        <f t="shared" ca="1" si="264"/>
        <v>VIGENTE</v>
      </c>
      <c r="BN79" s="4"/>
      <c r="BO79" s="4">
        <v>45621</v>
      </c>
      <c r="BP79" s="4">
        <f>DATE(YEAR(BO79)+2,MONTH(BO79),DAY(BO79)-1)</f>
        <v>46350</v>
      </c>
      <c r="BQ79" s="8">
        <f t="shared" ca="1" si="265"/>
        <v>216</v>
      </c>
      <c r="BR79" s="5" t="str">
        <f t="shared" ca="1" si="266"/>
        <v>VIGENTE</v>
      </c>
      <c r="BS79" s="4"/>
      <c r="BT79" s="4">
        <v>45695</v>
      </c>
      <c r="BU79" s="4">
        <f>DATE(YEAR(BT79)+2,MONTH(BT79),DAY(BT79)-1)</f>
        <v>46424</v>
      </c>
      <c r="BV79" s="8">
        <f t="shared" ca="1" si="267"/>
        <v>290</v>
      </c>
      <c r="BW79" s="5" t="str">
        <f t="shared" ca="1" si="268"/>
        <v>VIGENTE</v>
      </c>
      <c r="BX79" s="4"/>
      <c r="BY79" s="4">
        <v>45629</v>
      </c>
      <c r="BZ79" s="4">
        <f>DATE(YEAR(BY79)+2,MONTH(BY79),DAY(BY79)-1)</f>
        <v>46358</v>
      </c>
      <c r="CA79" s="8">
        <f t="shared" ca="1" si="269"/>
        <v>224</v>
      </c>
      <c r="CB79" s="5" t="str">
        <f t="shared" ca="1" si="270"/>
        <v>VIGENTE</v>
      </c>
      <c r="CC79" s="6" t="s">
        <v>68</v>
      </c>
      <c r="CD79" s="4">
        <v>45723</v>
      </c>
      <c r="CE79" s="4">
        <f t="shared" si="271"/>
        <v>47184</v>
      </c>
      <c r="CF79" s="8">
        <f t="shared" ca="1" si="272"/>
        <v>1050</v>
      </c>
      <c r="CG79" s="5" t="str">
        <f t="shared" ca="1" si="273"/>
        <v>VIGENTE</v>
      </c>
      <c r="CH79" s="4"/>
      <c r="CI79" s="4">
        <v>45688</v>
      </c>
      <c r="CJ79" s="4">
        <f t="shared" si="384"/>
        <v>46417</v>
      </c>
      <c r="CK79" s="8">
        <f t="shared" ca="1" si="274"/>
        <v>283</v>
      </c>
      <c r="CL79" s="5" t="str">
        <f t="shared" ca="1" si="275"/>
        <v>VIGENTE</v>
      </c>
      <c r="CM79" s="4"/>
      <c r="CN79" s="4">
        <v>45684</v>
      </c>
      <c r="CO79" s="4">
        <f t="shared" si="377"/>
        <v>46413</v>
      </c>
      <c r="CP79" s="8">
        <f t="shared" ca="1" si="276"/>
        <v>279</v>
      </c>
      <c r="CQ79" s="5" t="str">
        <f t="shared" ca="1" si="277"/>
        <v>VIGENTE</v>
      </c>
      <c r="CR79" s="4"/>
      <c r="CS79" s="4">
        <v>45639</v>
      </c>
      <c r="CT79" s="4">
        <f>DATE(YEAR(CS79)+2,MONTH(CS79),DAY(CS79)-1)</f>
        <v>46368</v>
      </c>
      <c r="CU79" s="8">
        <f t="shared" ca="1" si="278"/>
        <v>234</v>
      </c>
      <c r="CV79" s="5" t="str">
        <f t="shared" ca="1" si="279"/>
        <v>VIGENTE</v>
      </c>
      <c r="CW79" s="4"/>
      <c r="CX79" s="4">
        <v>45681</v>
      </c>
      <c r="CY79" s="4">
        <f>DATE(YEAR(CX79)+2,MONTH(CX79),DAY(CX79)-1)</f>
        <v>46410</v>
      </c>
      <c r="CZ79" s="8">
        <f t="shared" ca="1" si="280"/>
        <v>276</v>
      </c>
      <c r="DA79" s="5" t="str">
        <f t="shared" ca="1" si="281"/>
        <v>VIGENTE</v>
      </c>
      <c r="DB79" s="4"/>
      <c r="DC79" s="4">
        <v>45689</v>
      </c>
      <c r="DD79" s="4">
        <f t="shared" si="392"/>
        <v>46418</v>
      </c>
      <c r="DE79" s="8">
        <f t="shared" ca="1" si="282"/>
        <v>284</v>
      </c>
      <c r="DF79" s="5" t="str">
        <f t="shared" ca="1" si="283"/>
        <v>VIGENTE</v>
      </c>
      <c r="DG79" s="4"/>
      <c r="DH79" s="4">
        <v>45696</v>
      </c>
      <c r="DI79" s="4">
        <f>DATE(YEAR(DH79)+2,MONTH(DH79),DAY(DH79)-1)</f>
        <v>46425</v>
      </c>
      <c r="DJ79" s="8">
        <f t="shared" ca="1" si="284"/>
        <v>291</v>
      </c>
      <c r="DK79" s="5" t="str">
        <f t="shared" ca="1" si="285"/>
        <v>VIGENTE</v>
      </c>
      <c r="DL79" s="4"/>
      <c r="DM79" s="4">
        <v>45731</v>
      </c>
      <c r="DN79" s="4">
        <f>DATE(YEAR(DM79)+2,MONTH(DM79),DAY(DM79)-1)</f>
        <v>46460</v>
      </c>
      <c r="DO79" s="8">
        <f t="shared" ca="1" si="286"/>
        <v>326</v>
      </c>
      <c r="DP79" s="5" t="str">
        <f t="shared" ca="1" si="287"/>
        <v>VIGENTE</v>
      </c>
      <c r="DQ79" s="4"/>
      <c r="DR79" s="4">
        <v>45728</v>
      </c>
      <c r="DS79" s="4">
        <f>DATE(YEAR(DR79)+2,MONTH(DR79),DAY(DR79)-1)</f>
        <v>46457</v>
      </c>
      <c r="DT79" s="8">
        <f t="shared" ca="1" si="288"/>
        <v>323</v>
      </c>
      <c r="DU79" s="5" t="str">
        <f t="shared" ca="1" si="289"/>
        <v>VIGENTE</v>
      </c>
      <c r="DV79" s="4"/>
      <c r="DW79" s="4">
        <v>45709</v>
      </c>
      <c r="DX79" s="4">
        <f t="shared" si="363"/>
        <v>46438</v>
      </c>
      <c r="DY79" s="8">
        <f t="shared" ca="1" si="290"/>
        <v>304</v>
      </c>
      <c r="DZ79" s="5" t="str">
        <f t="shared" ca="1" si="291"/>
        <v>VIGENTE</v>
      </c>
      <c r="EA79" s="4"/>
      <c r="EB79" s="4">
        <v>45642</v>
      </c>
      <c r="EC79" s="4">
        <f>DATE(YEAR(EB79)+2,MONTH(EB79),DAY(EB79)-1)</f>
        <v>46371</v>
      </c>
      <c r="ED79" s="8">
        <f t="shared" ca="1" si="292"/>
        <v>237</v>
      </c>
      <c r="EE79" s="5" t="str">
        <f t="shared" ca="1" si="293"/>
        <v>VIGENTE</v>
      </c>
      <c r="EF79" s="4"/>
      <c r="EG79" s="4">
        <v>45808</v>
      </c>
      <c r="EH79" s="4">
        <f t="shared" si="364"/>
        <v>46173</v>
      </c>
      <c r="EI79" s="8">
        <f t="shared" ca="1" si="294"/>
        <v>39</v>
      </c>
      <c r="EJ79" s="5" t="str">
        <f t="shared" ca="1" si="295"/>
        <v>POR VENCER</v>
      </c>
      <c r="EK79" s="4"/>
      <c r="EL79" s="4">
        <v>45660</v>
      </c>
      <c r="EM79" s="4">
        <f t="shared" si="380"/>
        <v>46389</v>
      </c>
      <c r="EN79" s="8">
        <f t="shared" ca="1" si="296"/>
        <v>255</v>
      </c>
      <c r="EO79" s="5" t="str">
        <f t="shared" ca="1" si="297"/>
        <v>VIGENTE</v>
      </c>
      <c r="EP79" s="4"/>
      <c r="EQ79" s="4">
        <v>45623</v>
      </c>
      <c r="ER79" s="4">
        <f>DATE(YEAR(EQ79)+2,MONTH(EQ79),DAY(EQ79)-1)</f>
        <v>46352</v>
      </c>
      <c r="ES79" s="8">
        <f t="shared" ca="1" si="298"/>
        <v>218</v>
      </c>
      <c r="ET79" s="5" t="str">
        <f t="shared" ca="1" si="299"/>
        <v>VIGENTE</v>
      </c>
      <c r="EU79" s="4"/>
      <c r="EV79" s="4">
        <v>45610</v>
      </c>
      <c r="EW79" s="4">
        <f>DATE(YEAR(EV79)+2,MONTH(EV79),DAY(EV79)-1)</f>
        <v>46339</v>
      </c>
      <c r="EX79" s="8">
        <f t="shared" ca="1" si="300"/>
        <v>205</v>
      </c>
      <c r="EY79" s="5" t="str">
        <f t="shared" ca="1" si="301"/>
        <v>VIGENTE</v>
      </c>
      <c r="EZ79" s="4"/>
      <c r="FA79" s="4">
        <v>45666</v>
      </c>
      <c r="FB79" s="4">
        <f>DATE(YEAR(FA79)+2,MONTH(FA79),DAY(FA79)-1)</f>
        <v>46395</v>
      </c>
      <c r="FC79" s="8">
        <f t="shared" ca="1" si="302"/>
        <v>261</v>
      </c>
      <c r="FD79" s="5" t="str">
        <f t="shared" ca="1" si="303"/>
        <v>VIGENTE</v>
      </c>
      <c r="FE79" s="6"/>
      <c r="FF79" s="4">
        <v>45756</v>
      </c>
      <c r="FG79" s="4">
        <f>DATE(YEAR(FF79)+2,MONTH(FF79),DAY(FF79))</f>
        <v>46486</v>
      </c>
      <c r="FH79" s="8">
        <f t="shared" ca="1" si="304"/>
        <v>352</v>
      </c>
      <c r="FI79" s="5" t="str">
        <f t="shared" ca="1" si="305"/>
        <v>VIGENTE</v>
      </c>
      <c r="FJ79" s="4"/>
      <c r="FK79" s="4">
        <v>45637</v>
      </c>
      <c r="FL79" s="4">
        <f>DATE(YEAR(FK79)+2,MONTH(FK79),DAY(FK79)-1)</f>
        <v>46366</v>
      </c>
      <c r="FM79" s="8">
        <f t="shared" ca="1" si="306"/>
        <v>232</v>
      </c>
      <c r="FN79" s="5" t="str">
        <f t="shared" ca="1" si="307"/>
        <v>VIGENTE</v>
      </c>
      <c r="FO79" s="4"/>
      <c r="FP79" s="4">
        <v>45605</v>
      </c>
      <c r="FQ79" s="4">
        <f t="shared" si="381"/>
        <v>46334</v>
      </c>
      <c r="FR79" s="8">
        <f t="shared" ca="1" si="308"/>
        <v>200</v>
      </c>
      <c r="FS79" s="5" t="str">
        <f t="shared" ca="1" si="309"/>
        <v>VIGENTE</v>
      </c>
      <c r="FT79" s="4"/>
      <c r="FU79" s="4">
        <v>45616</v>
      </c>
      <c r="FV79" s="4">
        <f t="shared" si="393"/>
        <v>46345</v>
      </c>
      <c r="FW79" s="8">
        <f t="shared" ca="1" si="310"/>
        <v>211</v>
      </c>
      <c r="FX79" s="5" t="str">
        <f t="shared" ca="1" si="311"/>
        <v>VIGENTE</v>
      </c>
      <c r="FY79" s="4"/>
      <c r="FZ79" s="4">
        <v>45626</v>
      </c>
      <c r="GA79" s="4">
        <f>DATE(YEAR(FZ79)+2,MONTH(FZ79),DAY(FZ79)-1)</f>
        <v>46355</v>
      </c>
      <c r="GB79" s="8">
        <f t="shared" ca="1" si="312"/>
        <v>221</v>
      </c>
      <c r="GC79" s="5" t="str">
        <f t="shared" ca="1" si="313"/>
        <v>VIGENTE</v>
      </c>
      <c r="GD79" s="4"/>
      <c r="GE79" s="4">
        <v>45672</v>
      </c>
      <c r="GF79" s="4">
        <f>DATE(YEAR(GE79)+2,MONTH(GE79),DAY(GE79)-1)</f>
        <v>46401</v>
      </c>
      <c r="GG79" s="8">
        <f t="shared" ca="1" si="314"/>
        <v>267</v>
      </c>
      <c r="GH79" s="5" t="str">
        <f t="shared" ca="1" si="315"/>
        <v>VIGENTE</v>
      </c>
      <c r="GI79" s="4"/>
      <c r="GJ79" s="4">
        <v>45608</v>
      </c>
      <c r="GK79" s="4">
        <f>DATE(YEAR(GJ79)+2,MONTH(GJ79),DAY(GJ79)-1)</f>
        <v>46337</v>
      </c>
      <c r="GL79" s="8">
        <f t="shared" ca="1" si="316"/>
        <v>203</v>
      </c>
      <c r="GM79" s="5" t="str">
        <f t="shared" ca="1" si="317"/>
        <v>VIGENTE</v>
      </c>
      <c r="GN79" s="4"/>
      <c r="GO79" s="4">
        <v>45677</v>
      </c>
      <c r="GP79" s="4">
        <f t="shared" si="318"/>
        <v>47503</v>
      </c>
      <c r="GQ79" s="8">
        <f t="shared" ref="GQ79:GQ105" ca="1" si="394">GP79-TODAY()</f>
        <v>1369</v>
      </c>
      <c r="GR79" s="5" t="str">
        <f t="shared" ca="1" si="388"/>
        <v>VIGENTE</v>
      </c>
      <c r="GS79" s="4"/>
      <c r="GT79" s="4">
        <v>45680</v>
      </c>
      <c r="GU79" s="4">
        <f t="shared" si="320"/>
        <v>47506</v>
      </c>
      <c r="GV79" s="8">
        <f t="shared" ca="1" si="321"/>
        <v>1372</v>
      </c>
      <c r="GW79" s="5" t="str">
        <f t="shared" ca="1" si="389"/>
        <v>VIGENTE</v>
      </c>
      <c r="GX79" s="6"/>
      <c r="GY79" s="4">
        <v>45678</v>
      </c>
      <c r="GZ79" s="4">
        <f t="shared" si="323"/>
        <v>47504</v>
      </c>
      <c r="HA79" s="8">
        <f t="shared" ca="1" si="324"/>
        <v>1370</v>
      </c>
      <c r="HB79" s="5" t="str">
        <f t="shared" ca="1" si="390"/>
        <v>VIGENTE</v>
      </c>
      <c r="HC79" s="6"/>
      <c r="HD79" s="4">
        <v>45679</v>
      </c>
      <c r="HE79" s="4">
        <f t="shared" si="382"/>
        <v>47505</v>
      </c>
      <c r="HF79" s="8">
        <f t="shared" ca="1" si="383"/>
        <v>1371</v>
      </c>
      <c r="HG79" s="5" t="str">
        <f t="shared" ca="1" si="391"/>
        <v>VIGENTE</v>
      </c>
      <c r="HH79" s="6"/>
      <c r="HI79" s="6"/>
      <c r="HJ79" s="6"/>
      <c r="HK79" s="6"/>
      <c r="HL79" s="5" t="str">
        <f t="shared" si="232"/>
        <v>NO APLICA</v>
      </c>
      <c r="HM79" s="6"/>
      <c r="HN79" s="6"/>
      <c r="HO79" s="6"/>
      <c r="HP79" s="6"/>
      <c r="HQ79" s="5" t="str">
        <f t="shared" si="326"/>
        <v>NO APLICA</v>
      </c>
      <c r="HR79" s="6"/>
      <c r="HS79" s="6"/>
      <c r="HT79" s="6"/>
      <c r="HU79" s="6"/>
      <c r="HV79" s="5" t="str">
        <f t="shared" si="327"/>
        <v>NO APLICA</v>
      </c>
      <c r="HW79" s="6"/>
      <c r="HX79" s="6"/>
      <c r="HY79" s="6"/>
      <c r="HZ79" s="6"/>
      <c r="IA79" s="5" t="str">
        <f t="shared" si="328"/>
        <v>NO APLICA</v>
      </c>
      <c r="IB79" s="6"/>
      <c r="IC79" s="6"/>
      <c r="ID79" s="6"/>
      <c r="IE79" s="6"/>
      <c r="IF79" s="5" t="str">
        <f t="shared" si="329"/>
        <v>NO APLICA</v>
      </c>
      <c r="IG79" s="6"/>
      <c r="IH79" s="6"/>
      <c r="II79" s="6"/>
      <c r="IJ79" s="6"/>
      <c r="IK79" s="5" t="str">
        <f t="shared" si="330"/>
        <v>NO APLICA</v>
      </c>
      <c r="IL79" s="6"/>
      <c r="IM79" s="6"/>
      <c r="IN79" s="6"/>
      <c r="IO79" s="6"/>
      <c r="IP79" s="5" t="str">
        <f t="shared" si="331"/>
        <v>NO APLICA</v>
      </c>
      <c r="IQ79" s="6"/>
      <c r="IR79" s="6"/>
      <c r="IS79" s="6"/>
      <c r="IT79" s="6"/>
      <c r="IU79" s="5" t="str">
        <f t="shared" si="332"/>
        <v>NO APLICA</v>
      </c>
      <c r="IV79" s="6"/>
      <c r="IW79" s="6"/>
      <c r="IX79" s="6"/>
      <c r="IY79" s="6"/>
      <c r="IZ79" s="5" t="str">
        <f t="shared" si="333"/>
        <v>NO APLICA</v>
      </c>
      <c r="JA79" s="6"/>
      <c r="JB79" s="6"/>
      <c r="JC79" s="6"/>
      <c r="JD79" s="6"/>
      <c r="JE79" s="5" t="str">
        <f t="shared" si="334"/>
        <v>NO APLICA</v>
      </c>
      <c r="JF79" s="6"/>
      <c r="JG79" s="6"/>
      <c r="JH79" s="6"/>
      <c r="JI79" s="6"/>
      <c r="JJ79" s="5" t="str">
        <f t="shared" si="335"/>
        <v>NO APLICA</v>
      </c>
      <c r="JK79" s="6"/>
      <c r="JL79" s="6"/>
      <c r="JM79" s="6"/>
      <c r="JN79" s="6"/>
      <c r="JO79" s="5" t="str">
        <f t="shared" si="336"/>
        <v>NO APLICA</v>
      </c>
      <c r="JP79" s="6"/>
      <c r="JQ79" s="6"/>
      <c r="JR79" s="6"/>
      <c r="JS79" s="6"/>
      <c r="JT79" s="5" t="str">
        <f t="shared" si="337"/>
        <v>NO APLICA</v>
      </c>
      <c r="JU79" s="5"/>
      <c r="JV79" s="5"/>
      <c r="JW79" s="5"/>
      <c r="JX79" s="5"/>
      <c r="JY79" s="5" t="str">
        <f t="shared" si="338"/>
        <v>NO APLICA</v>
      </c>
      <c r="JZ79" s="5"/>
      <c r="KA79" s="6"/>
      <c r="KB79" s="6"/>
      <c r="KC79" s="6"/>
      <c r="KD79" s="5" t="str">
        <f t="shared" si="339"/>
        <v>NO APLICA</v>
      </c>
      <c r="KE79" s="5"/>
      <c r="KF79" s="6"/>
      <c r="KG79" s="6"/>
      <c r="KH79" s="6"/>
      <c r="KI79" s="5" t="str">
        <f t="shared" si="365"/>
        <v>NO APLICA</v>
      </c>
      <c r="KJ79" s="5"/>
      <c r="KK79" s="6"/>
      <c r="KL79" s="6"/>
      <c r="KM79" s="6"/>
      <c r="KN79" s="5" t="str">
        <f t="shared" si="340"/>
        <v>NO APLICA</v>
      </c>
      <c r="KO79" s="5"/>
      <c r="KP79" s="6"/>
      <c r="KQ79" s="6"/>
      <c r="KR79" s="6"/>
      <c r="KS79" s="5" t="str">
        <f t="shared" si="366"/>
        <v>NO APLICA</v>
      </c>
      <c r="KT79" s="6"/>
      <c r="KU79" s="6"/>
      <c r="KV79" s="6"/>
      <c r="KW79" s="6"/>
      <c r="KX79" s="5" t="str">
        <f t="shared" si="375"/>
        <v>NO APLICA</v>
      </c>
      <c r="KY79" s="5"/>
      <c r="KZ79" s="6"/>
      <c r="LA79" s="6"/>
      <c r="LB79" s="6"/>
      <c r="LC79" s="5" t="str">
        <f t="shared" si="367"/>
        <v>NO APLICA</v>
      </c>
      <c r="LD79" s="6"/>
      <c r="LE79" s="4"/>
      <c r="LF79" s="4"/>
      <c r="LG79" s="8"/>
      <c r="LH79" s="5" t="str">
        <f t="shared" si="341"/>
        <v>NO APLICA</v>
      </c>
      <c r="LI79" s="5"/>
      <c r="LJ79" s="5"/>
      <c r="LK79" s="5"/>
      <c r="LL79" s="5"/>
      <c r="LM79" s="5" t="str">
        <f t="shared" si="376"/>
        <v>NO APLICA</v>
      </c>
      <c r="LN79" s="6"/>
      <c r="LO79" s="6"/>
      <c r="LP79" s="6"/>
      <c r="LQ79" s="6"/>
      <c r="LR79" s="5" t="str">
        <f t="shared" si="368"/>
        <v>NO APLICA</v>
      </c>
      <c r="LS79" s="6"/>
      <c r="LT79" s="6"/>
      <c r="LU79" s="6"/>
      <c r="LV79" s="6"/>
      <c r="LW79" s="5" t="str">
        <f t="shared" si="369"/>
        <v>NO APLICA</v>
      </c>
      <c r="LX79" s="6"/>
      <c r="LY79" s="6"/>
      <c r="LZ79" s="6"/>
      <c r="MA79" s="6"/>
      <c r="MB79" s="5" t="str">
        <f t="shared" si="370"/>
        <v>NO APLICA</v>
      </c>
      <c r="MC79" s="6"/>
      <c r="MD79" s="6"/>
      <c r="ME79" s="6"/>
      <c r="MF79" s="6"/>
      <c r="MG79" s="5" t="str">
        <f t="shared" si="342"/>
        <v>NO APLICA</v>
      </c>
      <c r="MH79" s="6"/>
      <c r="MI79" s="6"/>
      <c r="MJ79" s="6"/>
      <c r="MK79" s="6"/>
      <c r="ML79" s="5" t="str">
        <f t="shared" si="343"/>
        <v>NO APLICA</v>
      </c>
      <c r="MM79" s="5"/>
      <c r="MN79" s="6"/>
      <c r="MO79" s="6"/>
      <c r="MP79" s="6"/>
      <c r="MQ79" s="5" t="str">
        <f t="shared" si="344"/>
        <v>NO APLICA</v>
      </c>
      <c r="MR79" s="5"/>
      <c r="MS79" s="6"/>
      <c r="MT79" s="6"/>
      <c r="MU79" s="6"/>
      <c r="MV79" s="5" t="str">
        <f t="shared" si="345"/>
        <v>NO APLICA</v>
      </c>
      <c r="MW79" s="6"/>
      <c r="MX79" s="6"/>
      <c r="MY79" s="6"/>
      <c r="MZ79" s="6"/>
      <c r="NA79" s="5" t="str">
        <f t="shared" si="346"/>
        <v>NO APLICA</v>
      </c>
      <c r="NB79" s="6"/>
      <c r="NC79" s="6"/>
      <c r="ND79" s="6"/>
      <c r="NE79" s="6"/>
      <c r="NF79" s="5" t="str">
        <f t="shared" si="347"/>
        <v>NO APLICA</v>
      </c>
      <c r="NG79" s="6"/>
      <c r="NH79" s="6"/>
      <c r="NI79" s="6"/>
      <c r="NJ79" s="6"/>
      <c r="NK79" s="5" t="str">
        <f t="shared" si="348"/>
        <v>NO APLICA</v>
      </c>
      <c r="NL79" s="6"/>
      <c r="NM79" s="6"/>
      <c r="NN79" s="6"/>
      <c r="NO79" s="6"/>
      <c r="NP79" s="5" t="str">
        <f t="shared" si="349"/>
        <v>NO APLICA</v>
      </c>
      <c r="NQ79" s="6"/>
      <c r="NR79" s="6"/>
      <c r="NS79" s="6"/>
      <c r="NT79" s="6"/>
      <c r="NU79" s="5" t="str">
        <f t="shared" si="350"/>
        <v>NO APLICA</v>
      </c>
      <c r="NV79" s="6"/>
      <c r="NW79" s="6"/>
      <c r="NX79" s="6"/>
      <c r="NY79" s="6"/>
      <c r="NZ79" s="5" t="str">
        <f t="shared" si="351"/>
        <v>NO APLICA</v>
      </c>
      <c r="OA79" s="6"/>
      <c r="OB79" s="6"/>
      <c r="OC79" s="6"/>
      <c r="OD79" s="6"/>
      <c r="OE79" s="5" t="str">
        <f t="shared" si="352"/>
        <v>NO APLICA</v>
      </c>
      <c r="OF79" s="6"/>
      <c r="OG79" s="6"/>
      <c r="OH79" s="6"/>
      <c r="OI79" s="6"/>
      <c r="OJ79" s="5" t="str">
        <f t="shared" si="353"/>
        <v>NO APLICA</v>
      </c>
      <c r="OK79" s="6"/>
      <c r="OL79" s="6"/>
      <c r="OM79" s="6"/>
      <c r="ON79" s="6"/>
      <c r="OO79" s="5" t="str">
        <f t="shared" si="354"/>
        <v>NO APLICA</v>
      </c>
      <c r="OP79" s="6"/>
      <c r="OQ79" s="6"/>
      <c r="OR79" s="6"/>
      <c r="OS79" s="6"/>
      <c r="OT79" s="5" t="str">
        <f t="shared" si="355"/>
        <v>NO APLICA</v>
      </c>
      <c r="OU79" s="6"/>
      <c r="OV79" s="6"/>
      <c r="OW79" s="6"/>
      <c r="OX79" s="6"/>
      <c r="OY79" s="5" t="str">
        <f t="shared" si="356"/>
        <v>NO APLICA</v>
      </c>
      <c r="OZ79" s="6"/>
      <c r="PA79" s="6"/>
      <c r="PB79" s="6"/>
      <c r="PC79" s="6"/>
      <c r="PD79" s="5" t="str">
        <f t="shared" si="357"/>
        <v>NO APLICA</v>
      </c>
      <c r="PE79" s="6"/>
      <c r="PF79" s="6"/>
      <c r="PG79" s="6"/>
      <c r="PH79" s="6"/>
      <c r="PI79" s="5" t="str">
        <f t="shared" si="358"/>
        <v>NO APLICA</v>
      </c>
      <c r="PJ79" s="5"/>
      <c r="PK79" s="6"/>
      <c r="PL79" s="6"/>
      <c r="PM79" s="6"/>
      <c r="PN79" s="5" t="str">
        <f t="shared" si="359"/>
        <v>NO APLICA</v>
      </c>
      <c r="PO79" s="6"/>
      <c r="PP79" s="6"/>
      <c r="PQ79" s="6"/>
      <c r="PR79" s="6"/>
      <c r="PS79" s="5" t="str">
        <f t="shared" si="360"/>
        <v>NO APLICA</v>
      </c>
      <c r="PT79" s="5"/>
      <c r="PU79" s="6"/>
      <c r="PV79" s="6"/>
      <c r="PW79" s="6"/>
      <c r="PX79" s="5" t="str">
        <f t="shared" si="361"/>
        <v>NO APLICA</v>
      </c>
    </row>
    <row r="80" spans="1:440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295</v>
      </c>
      <c r="V80" s="4">
        <v>44918</v>
      </c>
      <c r="W80" s="4">
        <f t="shared" si="248"/>
        <v>46744</v>
      </c>
      <c r="X80" s="8">
        <f t="shared" ca="1" si="249"/>
        <v>610</v>
      </c>
      <c r="Y80" s="5" t="str">
        <f t="shared" ca="1" si="250"/>
        <v>VIGENTE</v>
      </c>
      <c r="Z80" s="2" t="s">
        <v>296</v>
      </c>
      <c r="AA80" s="4">
        <v>44988</v>
      </c>
      <c r="AB80" s="4">
        <f t="shared" si="385"/>
        <v>46815</v>
      </c>
      <c r="AC80" s="8">
        <f t="shared" ca="1" si="386"/>
        <v>681</v>
      </c>
      <c r="AD80" s="5" t="str">
        <f t="shared" ca="1" si="387"/>
        <v>VIGENTE</v>
      </c>
      <c r="AE80" s="3"/>
      <c r="AF80" s="4">
        <v>45589</v>
      </c>
      <c r="AG80" s="4">
        <f>DATE(YEAR(AF80)+2,MONTH(AF80),DAY(AF80)-1)</f>
        <v>46318</v>
      </c>
      <c r="AH80" s="8">
        <f t="shared" ca="1" si="252"/>
        <v>184</v>
      </c>
      <c r="AI80" s="5" t="str">
        <f t="shared" ca="1" si="224"/>
        <v>VIGENTE</v>
      </c>
      <c r="AJ80" s="3"/>
      <c r="AK80" s="4">
        <v>45748</v>
      </c>
      <c r="AL80" s="4">
        <f>DATE(YEAR(AK80)+2,MONTH(AK80),DAY(AK80)-1)</f>
        <v>46477</v>
      </c>
      <c r="AM80" s="8">
        <f t="shared" ca="1" si="253"/>
        <v>343</v>
      </c>
      <c r="AN80" s="5" t="str">
        <f t="shared" ca="1" si="254"/>
        <v>VIGENTE</v>
      </c>
      <c r="AO80" s="3"/>
      <c r="AP80" s="4">
        <v>45529</v>
      </c>
      <c r="AQ80" s="4">
        <f>DATE(YEAR(AP80)+2,MONTH(AP80),DAY(AP80)-1)</f>
        <v>46258</v>
      </c>
      <c r="AR80" s="8">
        <f t="shared" ca="1" si="255"/>
        <v>124</v>
      </c>
      <c r="AS80" s="5" t="str">
        <f t="shared" ca="1" si="256"/>
        <v>VIGENTE</v>
      </c>
      <c r="AT80" s="3"/>
      <c r="AU80" s="4">
        <v>45514</v>
      </c>
      <c r="AV80" s="4">
        <f>DATE(YEAR(AU80)+2,MONTH(AU80),DAY(AU80)-1)</f>
        <v>46243</v>
      </c>
      <c r="AW80" s="8">
        <f t="shared" ca="1" si="257"/>
        <v>109</v>
      </c>
      <c r="AX80" s="5" t="str">
        <f t="shared" ca="1" si="258"/>
        <v>VIGENTE</v>
      </c>
      <c r="AY80" s="3"/>
      <c r="AZ80" s="4">
        <v>45476</v>
      </c>
      <c r="BA80" s="4">
        <f>DATE(YEAR(AZ80)+2,MONTH(AZ80),DAY(AZ80)-1)</f>
        <v>46205</v>
      </c>
      <c r="BB80" s="8">
        <f t="shared" ca="1" si="259"/>
        <v>71</v>
      </c>
      <c r="BC80" s="5" t="str">
        <f t="shared" ca="1" si="260"/>
        <v>POR VENCER</v>
      </c>
      <c r="BD80" s="3"/>
      <c r="BE80" s="4">
        <v>45488</v>
      </c>
      <c r="BF80" s="4">
        <f>DATE(YEAR(BE80)+2,MONTH(BE80),DAY(BE80)-1)</f>
        <v>46217</v>
      </c>
      <c r="BG80" s="8">
        <f t="shared" ca="1" si="261"/>
        <v>83</v>
      </c>
      <c r="BH80" s="5" t="str">
        <f t="shared" ca="1" si="262"/>
        <v>POR VENCER</v>
      </c>
      <c r="BI80" s="3"/>
      <c r="BJ80" s="4">
        <v>45519</v>
      </c>
      <c r="BK80" s="4">
        <f>DATE(YEAR(BJ80)+2,MONTH(BJ80),DAY(BJ80)-1)</f>
        <v>46248</v>
      </c>
      <c r="BL80" s="8">
        <f t="shared" ca="1" si="263"/>
        <v>114</v>
      </c>
      <c r="BM80" s="5" t="str">
        <f t="shared" ca="1" si="264"/>
        <v>VIGENTE</v>
      </c>
      <c r="BN80" s="3"/>
      <c r="BO80" s="4">
        <v>45701</v>
      </c>
      <c r="BP80" s="4">
        <f>DATE(YEAR(BO80)+2,MONTH(BO80),DAY(BO80)-1)</f>
        <v>46430</v>
      </c>
      <c r="BQ80" s="8">
        <f t="shared" ca="1" si="265"/>
        <v>296</v>
      </c>
      <c r="BR80" s="5" t="str">
        <f t="shared" ca="1" si="266"/>
        <v>VIGENTE</v>
      </c>
      <c r="BS80" s="3"/>
      <c r="BT80" s="4">
        <v>45484</v>
      </c>
      <c r="BU80" s="4">
        <f>DATE(YEAR(BT80)+2,MONTH(BT80),DAY(BT80)-1)</f>
        <v>46213</v>
      </c>
      <c r="BV80" s="8">
        <f t="shared" ca="1" si="267"/>
        <v>79</v>
      </c>
      <c r="BW80" s="5" t="str">
        <f t="shared" ca="1" si="268"/>
        <v>POR VENCER</v>
      </c>
      <c r="BX80" s="3"/>
      <c r="BY80" s="4">
        <v>46065</v>
      </c>
      <c r="BZ80" s="4">
        <f>DATE(YEAR(BY80)+2,MONTH(BY80),DAY(BY80))</f>
        <v>46795</v>
      </c>
      <c r="CA80" s="8">
        <f t="shared" ca="1" si="269"/>
        <v>661</v>
      </c>
      <c r="CB80" s="5" t="str">
        <f t="shared" ca="1" si="270"/>
        <v>VIGENTE</v>
      </c>
      <c r="CC80" s="6" t="s">
        <v>73</v>
      </c>
      <c r="CD80" s="4">
        <v>45262</v>
      </c>
      <c r="CE80" s="4">
        <f t="shared" si="271"/>
        <v>46723</v>
      </c>
      <c r="CF80" s="8">
        <f t="shared" ca="1" si="272"/>
        <v>589</v>
      </c>
      <c r="CG80" s="5" t="str">
        <f t="shared" ca="1" si="273"/>
        <v>VIGENTE</v>
      </c>
      <c r="CH80" s="4"/>
      <c r="CI80" s="4">
        <v>45500</v>
      </c>
      <c r="CJ80" s="4">
        <f t="shared" si="384"/>
        <v>46229</v>
      </c>
      <c r="CK80" s="8">
        <f t="shared" ca="1" si="274"/>
        <v>95</v>
      </c>
      <c r="CL80" s="5" t="str">
        <f t="shared" ca="1" si="275"/>
        <v>VIGENTE</v>
      </c>
      <c r="CM80" s="3"/>
      <c r="CN80" s="4">
        <v>45684</v>
      </c>
      <c r="CO80" s="4">
        <f t="shared" si="377"/>
        <v>46413</v>
      </c>
      <c r="CP80" s="8">
        <f t="shared" ca="1" si="276"/>
        <v>279</v>
      </c>
      <c r="CQ80" s="5" t="str">
        <f t="shared" ca="1" si="277"/>
        <v>VIGENTE</v>
      </c>
      <c r="CR80" s="3"/>
      <c r="CS80" s="4">
        <v>45645</v>
      </c>
      <c r="CT80" s="4">
        <f>DATE(YEAR(CS80)+2,MONTH(CS80),DAY(CS80)-1)</f>
        <v>46374</v>
      </c>
      <c r="CU80" s="8">
        <f t="shared" ca="1" si="278"/>
        <v>240</v>
      </c>
      <c r="CV80" s="5" t="str">
        <f t="shared" ca="1" si="279"/>
        <v>VIGENTE</v>
      </c>
      <c r="CW80" s="3"/>
      <c r="CX80" s="4">
        <v>45665</v>
      </c>
      <c r="CY80" s="4">
        <f>DATE(YEAR(CX80)+2,MONTH(CX80),DAY(CX80)-1)</f>
        <v>46394</v>
      </c>
      <c r="CZ80" s="8">
        <f t="shared" ca="1" si="280"/>
        <v>260</v>
      </c>
      <c r="DA80" s="5" t="str">
        <f t="shared" ca="1" si="281"/>
        <v>VIGENTE</v>
      </c>
      <c r="DB80" s="3"/>
      <c r="DC80" s="4">
        <v>45689</v>
      </c>
      <c r="DD80" s="4">
        <f t="shared" si="392"/>
        <v>46418</v>
      </c>
      <c r="DE80" s="8">
        <f t="shared" ca="1" si="282"/>
        <v>284</v>
      </c>
      <c r="DF80" s="5" t="str">
        <f t="shared" ca="1" si="283"/>
        <v>VIGENTE</v>
      </c>
      <c r="DG80" s="3"/>
      <c r="DH80" s="4">
        <v>45569</v>
      </c>
      <c r="DI80" s="4">
        <f>DATE(YEAR(DH80)+2,MONTH(DH80),DAY(DH80)-1)</f>
        <v>46298</v>
      </c>
      <c r="DJ80" s="8">
        <f t="shared" ca="1" si="284"/>
        <v>164</v>
      </c>
      <c r="DK80" s="5" t="str">
        <f t="shared" ca="1" si="285"/>
        <v>VIGENTE</v>
      </c>
      <c r="DL80" s="3"/>
      <c r="DM80" s="4">
        <v>45520</v>
      </c>
      <c r="DN80" s="4">
        <f>DATE(YEAR(DM80)+2,MONTH(DM80),DAY(DM80)-1)</f>
        <v>46249</v>
      </c>
      <c r="DO80" s="8">
        <f t="shared" ca="1" si="286"/>
        <v>115</v>
      </c>
      <c r="DP80" s="5" t="str">
        <f t="shared" ca="1" si="287"/>
        <v>VIGENTE</v>
      </c>
      <c r="DQ80" s="3"/>
      <c r="DR80" s="4">
        <v>45619</v>
      </c>
      <c r="DS80" s="4">
        <f>DATE(YEAR(DR80)+2,MONTH(DR80),DAY(DR80)-1)</f>
        <v>46348</v>
      </c>
      <c r="DT80" s="8">
        <f t="shared" ca="1" si="288"/>
        <v>214</v>
      </c>
      <c r="DU80" s="5" t="str">
        <f t="shared" ca="1" si="289"/>
        <v>VIGENTE</v>
      </c>
      <c r="DV80" s="3"/>
      <c r="DW80" s="4">
        <v>45582</v>
      </c>
      <c r="DX80" s="4">
        <f t="shared" si="363"/>
        <v>46311</v>
      </c>
      <c r="DY80" s="8">
        <f t="shared" ca="1" si="290"/>
        <v>177</v>
      </c>
      <c r="DZ80" s="5" t="str">
        <f t="shared" ca="1" si="291"/>
        <v>VIGENTE</v>
      </c>
      <c r="EA80" s="3"/>
      <c r="EB80" s="4">
        <v>45674</v>
      </c>
      <c r="EC80" s="4">
        <f>DATE(YEAR(EB80)+2,MONTH(EB80),DAY(EB80)-1)</f>
        <v>46403</v>
      </c>
      <c r="ED80" s="8">
        <f t="shared" ca="1" si="292"/>
        <v>269</v>
      </c>
      <c r="EE80" s="5" t="str">
        <f t="shared" ca="1" si="293"/>
        <v>VIGENTE</v>
      </c>
      <c r="EF80" s="3"/>
      <c r="EG80" s="4">
        <v>45948</v>
      </c>
      <c r="EH80" s="4">
        <f t="shared" si="364"/>
        <v>46313</v>
      </c>
      <c r="EI80" s="8">
        <f t="shared" ca="1" si="294"/>
        <v>179</v>
      </c>
      <c r="EJ80" s="5" t="str">
        <f t="shared" ca="1" si="295"/>
        <v>VIGENTE</v>
      </c>
      <c r="EK80" s="3"/>
      <c r="EL80" s="4">
        <v>45660</v>
      </c>
      <c r="EM80" s="4">
        <f t="shared" si="380"/>
        <v>46389</v>
      </c>
      <c r="EN80" s="8">
        <f t="shared" ca="1" si="296"/>
        <v>255</v>
      </c>
      <c r="EO80" s="5" t="str">
        <f t="shared" ca="1" si="297"/>
        <v>VIGENTE</v>
      </c>
      <c r="EP80" s="3"/>
      <c r="EQ80" s="4">
        <v>45539</v>
      </c>
      <c r="ER80" s="4">
        <f>DATE(YEAR(EQ80)+2,MONTH(EQ80),DAY(EQ80)-1)</f>
        <v>46268</v>
      </c>
      <c r="ES80" s="8">
        <f t="shared" ca="1" si="298"/>
        <v>134</v>
      </c>
      <c r="ET80" s="5" t="str">
        <f t="shared" ca="1" si="299"/>
        <v>VIGENTE</v>
      </c>
      <c r="EU80" s="3"/>
      <c r="EV80" s="4">
        <v>45610</v>
      </c>
      <c r="EW80" s="4">
        <f>DATE(YEAR(EV80)+2,MONTH(EV80),DAY(EV80)-1)</f>
        <v>46339</v>
      </c>
      <c r="EX80" s="8">
        <f t="shared" ca="1" si="300"/>
        <v>205</v>
      </c>
      <c r="EY80" s="5" t="str">
        <f t="shared" ca="1" si="301"/>
        <v>VIGENTE</v>
      </c>
      <c r="EZ80" s="3"/>
      <c r="FA80" s="4">
        <v>45666</v>
      </c>
      <c r="FB80" s="4">
        <f>DATE(YEAR(FA80)+2,MONTH(FA80),DAY(FA80)-1)</f>
        <v>46395</v>
      </c>
      <c r="FC80" s="8">
        <f t="shared" ca="1" si="302"/>
        <v>261</v>
      </c>
      <c r="FD80" s="5" t="str">
        <f t="shared" ca="1" si="303"/>
        <v>VIGENTE</v>
      </c>
      <c r="FE80" s="3"/>
      <c r="FF80" s="4">
        <v>45668</v>
      </c>
      <c r="FG80" s="4">
        <f>DATE(YEAR(FF80)+2,MONTH(FF80),DAY(FF80)-1)</f>
        <v>46397</v>
      </c>
      <c r="FH80" s="8">
        <f t="shared" ca="1" si="304"/>
        <v>263</v>
      </c>
      <c r="FI80" s="5" t="str">
        <f t="shared" ca="1" si="305"/>
        <v>VIGENTE</v>
      </c>
      <c r="FJ80" s="3"/>
      <c r="FK80" s="4">
        <v>45528</v>
      </c>
      <c r="FL80" s="4">
        <f>DATE(YEAR(FK80)+2,MONTH(FK80),DAY(FK80)-1)</f>
        <v>46257</v>
      </c>
      <c r="FM80" s="8">
        <f t="shared" ca="1" si="306"/>
        <v>123</v>
      </c>
      <c r="FN80" s="5" t="str">
        <f t="shared" ca="1" si="307"/>
        <v>VIGENTE</v>
      </c>
      <c r="FO80" s="3"/>
      <c r="FP80" s="4">
        <v>45556</v>
      </c>
      <c r="FQ80" s="4">
        <f t="shared" si="381"/>
        <v>46285</v>
      </c>
      <c r="FR80" s="8">
        <f t="shared" ca="1" si="308"/>
        <v>151</v>
      </c>
      <c r="FS80" s="5" t="str">
        <f t="shared" ca="1" si="309"/>
        <v>VIGENTE</v>
      </c>
      <c r="FT80" s="4"/>
      <c r="FU80" s="4">
        <v>45574</v>
      </c>
      <c r="FV80" s="4">
        <f t="shared" si="393"/>
        <v>46303</v>
      </c>
      <c r="FW80" s="8">
        <f t="shared" ca="1" si="310"/>
        <v>169</v>
      </c>
      <c r="FX80" s="5" t="str">
        <f t="shared" ca="1" si="311"/>
        <v>VIGENTE</v>
      </c>
      <c r="FY80" s="3"/>
      <c r="FZ80" s="4">
        <v>45560</v>
      </c>
      <c r="GA80" s="4">
        <f>DATE(YEAR(FZ80)+2,MONTH(FZ80),DAY(FZ80)-1)</f>
        <v>46289</v>
      </c>
      <c r="GB80" s="8">
        <f t="shared" ca="1" si="312"/>
        <v>155</v>
      </c>
      <c r="GC80" s="5" t="str">
        <f t="shared" ca="1" si="313"/>
        <v>VIGENTE</v>
      </c>
      <c r="GD80" s="3"/>
      <c r="GE80" s="4">
        <v>45570</v>
      </c>
      <c r="GF80" s="4">
        <f>DATE(YEAR(GE80)+2,MONTH(GE80),DAY(GE80)-1)</f>
        <v>46299</v>
      </c>
      <c r="GG80" s="8">
        <f t="shared" ca="1" si="314"/>
        <v>165</v>
      </c>
      <c r="GH80" s="5" t="str">
        <f t="shared" ca="1" si="315"/>
        <v>VIGENTE</v>
      </c>
      <c r="GI80" s="3"/>
      <c r="GJ80" s="4">
        <v>45557</v>
      </c>
      <c r="GK80" s="4">
        <f>DATE(YEAR(GJ80)+2,MONTH(GJ80),DAY(GJ80)-1)</f>
        <v>46286</v>
      </c>
      <c r="GL80" s="8">
        <f t="shared" ca="1" si="316"/>
        <v>152</v>
      </c>
      <c r="GM80" s="5" t="str">
        <f t="shared" ca="1" si="317"/>
        <v>VIGENTE</v>
      </c>
      <c r="GN80" s="4"/>
      <c r="GO80" s="4">
        <v>44912</v>
      </c>
      <c r="GP80" s="4">
        <f t="shared" si="318"/>
        <v>46738</v>
      </c>
      <c r="GQ80" s="8">
        <f t="shared" ca="1" si="394"/>
        <v>604</v>
      </c>
      <c r="GR80" s="5" t="str">
        <f t="shared" ca="1" si="388"/>
        <v>VIGENTE</v>
      </c>
      <c r="GS80" s="3"/>
      <c r="GT80" s="4">
        <v>44979</v>
      </c>
      <c r="GU80" s="4">
        <f t="shared" si="320"/>
        <v>46805</v>
      </c>
      <c r="GV80" s="8">
        <f t="shared" ca="1" si="321"/>
        <v>671</v>
      </c>
      <c r="GW80" s="5" t="str">
        <f t="shared" ca="1" si="389"/>
        <v>VIGENTE</v>
      </c>
      <c r="GX80" s="2"/>
      <c r="GY80" s="4">
        <v>44911</v>
      </c>
      <c r="GZ80" s="4">
        <f t="shared" si="323"/>
        <v>46737</v>
      </c>
      <c r="HA80" s="8">
        <f t="shared" ca="1" si="324"/>
        <v>603</v>
      </c>
      <c r="HB80" s="5" t="str">
        <f t="shared" ca="1" si="390"/>
        <v>VIGENTE</v>
      </c>
      <c r="HC80" s="6"/>
      <c r="HD80" s="4">
        <v>44956</v>
      </c>
      <c r="HE80" s="4">
        <f t="shared" si="382"/>
        <v>46782</v>
      </c>
      <c r="HF80" s="8">
        <f t="shared" ca="1" si="383"/>
        <v>648</v>
      </c>
      <c r="HG80" s="5" t="str">
        <f t="shared" ca="1" si="391"/>
        <v>VIGENTE</v>
      </c>
      <c r="HH80" s="2"/>
      <c r="HI80" s="6"/>
      <c r="HJ80" s="4">
        <f>DATE(YEAR(HI80)+5,MONTH(HI80),DAY(HI80))</f>
        <v>1827</v>
      </c>
      <c r="HK80" s="8">
        <f ca="1">HJ80-TODAY()</f>
        <v>-44307</v>
      </c>
      <c r="HL80" s="5" t="str">
        <f ca="1">IF(HK80&gt;=61,"VIGENTE",IF(HK80&gt;=1,"POR VENCER",IF(HK80&lt;=-1,"PROGRAMAR",IF(HI80=0,"NO APLICA"))))</f>
        <v>PROGRAMAR</v>
      </c>
      <c r="HM80" s="2"/>
      <c r="HN80" s="2"/>
      <c r="HO80" s="4"/>
      <c r="HP80" s="2"/>
      <c r="HQ80" s="5" t="str">
        <f t="shared" si="326"/>
        <v>NO APLICA</v>
      </c>
      <c r="HR80" s="2"/>
      <c r="HS80" s="4">
        <v>45193</v>
      </c>
      <c r="HT80" s="4">
        <f>DATE(YEAR(HS80)+5,MONTH(HS80),DAY(HS80))</f>
        <v>47020</v>
      </c>
      <c r="HU80" s="8">
        <f ca="1">HT80-TODAY()</f>
        <v>886</v>
      </c>
      <c r="HV80" s="5" t="str">
        <f t="shared" ca="1" si="327"/>
        <v>VIGENTE</v>
      </c>
      <c r="HW80" s="2"/>
      <c r="HX80" s="4">
        <v>45194</v>
      </c>
      <c r="HY80" s="4">
        <f>DATE(YEAR(HX80)+5,MONTH(HX80),DAY(HX80))</f>
        <v>47021</v>
      </c>
      <c r="HZ80" s="8">
        <f ca="1">HY80-TODAY()</f>
        <v>887</v>
      </c>
      <c r="IA80" s="5" t="str">
        <f t="shared" ca="1" si="328"/>
        <v>VIGENTE</v>
      </c>
      <c r="IB80" s="2"/>
      <c r="IC80" s="4">
        <v>45192</v>
      </c>
      <c r="ID80" s="4">
        <f>DATE(YEAR(IC80)+5,MONTH(IC80),DAY(IC80))</f>
        <v>47019</v>
      </c>
      <c r="IE80" s="8">
        <f ca="1">ID80-TODAY()</f>
        <v>885</v>
      </c>
      <c r="IF80" s="5" t="str">
        <f t="shared" ca="1" si="329"/>
        <v>VIGENTE</v>
      </c>
      <c r="IG80" s="6"/>
      <c r="IH80" s="4">
        <v>45156</v>
      </c>
      <c r="II80" s="4">
        <f>DATE(YEAR(IH80)+5,MONTH(IH80),DAY(IH80))</f>
        <v>46983</v>
      </c>
      <c r="IJ80" s="8">
        <f ca="1">II80-TODAY()</f>
        <v>849</v>
      </c>
      <c r="IK80" s="5" t="str">
        <f t="shared" ca="1" si="330"/>
        <v>VIGENTE</v>
      </c>
      <c r="IL80" s="2"/>
      <c r="IM80" s="4">
        <v>45157</v>
      </c>
      <c r="IN80" s="4">
        <f>DATE(YEAR(IM80)+5,MONTH(IM80),DAY(IM80))</f>
        <v>46984</v>
      </c>
      <c r="IO80" s="8">
        <f ca="1">IN80-TODAY()</f>
        <v>850</v>
      </c>
      <c r="IP80" s="5" t="str">
        <f t="shared" ca="1" si="331"/>
        <v>VIGENTE</v>
      </c>
      <c r="IQ80" s="2"/>
      <c r="IR80" s="4">
        <v>45171</v>
      </c>
      <c r="IS80" s="4">
        <f>DATE(YEAR(IR80)+5,MONTH(IR80),DAY(IR80))</f>
        <v>46998</v>
      </c>
      <c r="IT80" s="8">
        <f ca="1">IS80-TODAY()</f>
        <v>864</v>
      </c>
      <c r="IU80" s="5" t="str">
        <f t="shared" ca="1" si="332"/>
        <v>VIGENTE</v>
      </c>
      <c r="IV80" s="2"/>
      <c r="IW80" s="4">
        <v>45198</v>
      </c>
      <c r="IX80" s="4">
        <f>DATE(YEAR(IW80)+5,MONTH(IW80),DAY(IW80))</f>
        <v>47025</v>
      </c>
      <c r="IY80" s="8">
        <f ca="1">IX80-TODAY()</f>
        <v>891</v>
      </c>
      <c r="IZ80" s="5" t="str">
        <f t="shared" ca="1" si="333"/>
        <v>VIGENTE</v>
      </c>
      <c r="JA80" s="3"/>
      <c r="JB80" s="3"/>
      <c r="JC80" s="4"/>
      <c r="JD80" s="8"/>
      <c r="JE80" s="5" t="str">
        <f t="shared" si="334"/>
        <v>NO APLICA</v>
      </c>
      <c r="JF80" s="6"/>
      <c r="JG80" s="6"/>
      <c r="JH80" s="6"/>
      <c r="JI80" s="6"/>
      <c r="JJ80" s="5" t="str">
        <f t="shared" si="335"/>
        <v>NO APLICA</v>
      </c>
      <c r="JK80" s="6"/>
      <c r="JL80" s="6"/>
      <c r="JM80" s="6"/>
      <c r="JN80" s="6"/>
      <c r="JO80" s="5" t="str">
        <f t="shared" si="336"/>
        <v>NO APLICA</v>
      </c>
      <c r="JP80" s="6"/>
      <c r="JQ80" s="6"/>
      <c r="JR80" s="6"/>
      <c r="JS80" s="6"/>
      <c r="JT80" s="5" t="str">
        <f t="shared" si="337"/>
        <v>NO APLICA</v>
      </c>
      <c r="JU80" s="5"/>
      <c r="JV80" s="5"/>
      <c r="JW80" s="5"/>
      <c r="JX80" s="5"/>
      <c r="JY80" s="5" t="str">
        <f t="shared" si="338"/>
        <v>NO APLICA</v>
      </c>
      <c r="JZ80" s="5"/>
      <c r="KA80" s="2"/>
      <c r="KB80" s="4"/>
      <c r="KC80" s="8"/>
      <c r="KD80" s="5" t="str">
        <f t="shared" si="339"/>
        <v>NO APLICA</v>
      </c>
      <c r="KE80" s="5"/>
      <c r="KF80" s="2"/>
      <c r="KG80" s="4"/>
      <c r="KH80" s="8"/>
      <c r="KI80" s="5" t="str">
        <f t="shared" si="365"/>
        <v>NO APLICA</v>
      </c>
      <c r="KJ80" s="5"/>
      <c r="KK80" s="2"/>
      <c r="KL80" s="4"/>
      <c r="KM80" s="8"/>
      <c r="KN80" s="5" t="str">
        <f t="shared" si="340"/>
        <v>NO APLICA</v>
      </c>
      <c r="KO80" s="5"/>
      <c r="KP80" s="3">
        <v>45346</v>
      </c>
      <c r="KQ80" s="4">
        <f>DATE(YEAR(KP80)+5,MONTH(KP80),DAY(KP80))</f>
        <v>47173</v>
      </c>
      <c r="KR80" s="8">
        <f ca="1">KQ80-TODAY()</f>
        <v>1039</v>
      </c>
      <c r="KS80" s="5" t="str">
        <f t="shared" ca="1" si="366"/>
        <v>VIGENTE</v>
      </c>
      <c r="KT80" s="2"/>
      <c r="KU80" s="6"/>
      <c r="KV80" s="4"/>
      <c r="KW80" s="8"/>
      <c r="KX80" s="5" t="str">
        <f t="shared" si="375"/>
        <v>NO APLICA</v>
      </c>
      <c r="KY80" s="5"/>
      <c r="KZ80" s="6"/>
      <c r="LA80" s="4"/>
      <c r="LB80" s="8"/>
      <c r="LC80" s="5" t="str">
        <f t="shared" si="367"/>
        <v>NO APLICA</v>
      </c>
      <c r="LD80" s="6"/>
      <c r="LE80" s="4">
        <v>45611</v>
      </c>
      <c r="LF80" s="4">
        <f>DATE(YEAR(LE80)+2,MONTH(LE80),DAY(LE80))</f>
        <v>46341</v>
      </c>
      <c r="LG80" s="8">
        <f ca="1">LF80-TODAY()</f>
        <v>207</v>
      </c>
      <c r="LH80" s="5" t="str">
        <f t="shared" ca="1" si="341"/>
        <v>VIGENTE</v>
      </c>
      <c r="LI80" s="5"/>
      <c r="LJ80" s="5"/>
      <c r="LK80" s="4"/>
      <c r="LL80" s="8"/>
      <c r="LM80" s="5" t="str">
        <f t="shared" si="376"/>
        <v>NO APLICA</v>
      </c>
      <c r="LN80" s="2"/>
      <c r="LO80" s="6"/>
      <c r="LP80" s="4"/>
      <c r="LQ80" s="8"/>
      <c r="LR80" s="5" t="str">
        <f t="shared" si="368"/>
        <v>NO APLICA</v>
      </c>
      <c r="LS80" s="6"/>
      <c r="LT80" s="6"/>
      <c r="LU80" s="4"/>
      <c r="LV80" s="8"/>
      <c r="LW80" s="5" t="str">
        <f t="shared" si="369"/>
        <v>NO APLICA</v>
      </c>
      <c r="LX80" s="6"/>
      <c r="LY80" s="6"/>
      <c r="LZ80" s="4"/>
      <c r="MA80" s="8"/>
      <c r="MB80" s="5" t="str">
        <f t="shared" si="370"/>
        <v>NO APLICA</v>
      </c>
      <c r="MC80" s="2"/>
      <c r="MD80" s="2"/>
      <c r="ME80" s="4"/>
      <c r="MF80" s="8"/>
      <c r="MG80" s="5" t="str">
        <f t="shared" si="342"/>
        <v>NO APLICA</v>
      </c>
      <c r="MH80" s="2"/>
      <c r="MI80" s="2"/>
      <c r="MJ80" s="4"/>
      <c r="MK80" s="8"/>
      <c r="ML80" s="5" t="str">
        <f t="shared" si="343"/>
        <v>NO APLICA</v>
      </c>
      <c r="MM80" s="5"/>
      <c r="MN80" s="2"/>
      <c r="MO80" s="4"/>
      <c r="MP80" s="8"/>
      <c r="MQ80" s="5" t="str">
        <f t="shared" si="344"/>
        <v>NO APLICA</v>
      </c>
      <c r="MR80" s="5"/>
      <c r="MS80" s="2"/>
      <c r="MT80" s="4"/>
      <c r="MU80" s="2"/>
      <c r="MV80" s="5" t="str">
        <f t="shared" si="345"/>
        <v>NO APLICA</v>
      </c>
      <c r="MW80" s="2"/>
      <c r="MX80" s="6"/>
      <c r="MY80" s="4"/>
      <c r="MZ80" s="8"/>
      <c r="NA80" s="5" t="str">
        <f t="shared" si="346"/>
        <v>NO APLICA</v>
      </c>
      <c r="NB80" s="2"/>
      <c r="NC80" s="6"/>
      <c r="ND80" s="4"/>
      <c r="NE80" s="8"/>
      <c r="NF80" s="5" t="str">
        <f t="shared" si="347"/>
        <v>NO APLICA</v>
      </c>
      <c r="NG80" s="2"/>
      <c r="NH80" s="6"/>
      <c r="NI80" s="4"/>
      <c r="NJ80" s="8"/>
      <c r="NK80" s="5" t="str">
        <f t="shared" si="348"/>
        <v>NO APLICA</v>
      </c>
      <c r="NL80" s="2"/>
      <c r="NM80" s="2"/>
      <c r="NN80" s="4"/>
      <c r="NO80" s="8"/>
      <c r="NP80" s="5" t="str">
        <f t="shared" si="349"/>
        <v>NO APLICA</v>
      </c>
      <c r="NQ80" s="2"/>
      <c r="NR80" s="2"/>
      <c r="NS80" s="4"/>
      <c r="NT80" s="2"/>
      <c r="NU80" s="5" t="str">
        <f t="shared" si="350"/>
        <v>NO APLICA</v>
      </c>
      <c r="NV80" s="6"/>
      <c r="NW80" s="6"/>
      <c r="NX80" s="4"/>
      <c r="NY80" s="8"/>
      <c r="NZ80" s="5" t="str">
        <f t="shared" si="351"/>
        <v>NO APLICA</v>
      </c>
      <c r="OA80" s="6"/>
      <c r="OB80" s="6"/>
      <c r="OC80" s="6"/>
      <c r="OD80" s="6"/>
      <c r="OE80" s="5" t="str">
        <f t="shared" si="352"/>
        <v>NO APLICA</v>
      </c>
      <c r="OF80" s="2"/>
      <c r="OG80" s="2"/>
      <c r="OH80" s="4"/>
      <c r="OI80" s="8"/>
      <c r="OJ80" s="5" t="str">
        <f t="shared" si="353"/>
        <v>NO APLICA</v>
      </c>
      <c r="OK80" s="6"/>
      <c r="OL80" s="6"/>
      <c r="OM80" s="6"/>
      <c r="ON80" s="6"/>
      <c r="OO80" s="5" t="str">
        <f t="shared" si="354"/>
        <v>NO APLICA</v>
      </c>
      <c r="OP80" s="6"/>
      <c r="OQ80" s="6"/>
      <c r="OR80" s="6"/>
      <c r="OS80" s="6"/>
      <c r="OT80" s="5" t="str">
        <f t="shared" si="355"/>
        <v>NO APLICA</v>
      </c>
      <c r="OU80" s="6"/>
      <c r="OV80" s="6"/>
      <c r="OW80" s="6"/>
      <c r="OX80" s="6"/>
      <c r="OY80" s="5" t="str">
        <f t="shared" si="356"/>
        <v>NO APLICA</v>
      </c>
      <c r="OZ80" s="6"/>
      <c r="PA80" s="6"/>
      <c r="PB80" s="6"/>
      <c r="PC80" s="6"/>
      <c r="PD80" s="5" t="str">
        <f t="shared" si="357"/>
        <v>NO APLICA</v>
      </c>
      <c r="PE80" s="6"/>
      <c r="PF80" s="6"/>
      <c r="PG80" s="6"/>
      <c r="PH80" s="6"/>
      <c r="PI80" s="5" t="str">
        <f t="shared" si="358"/>
        <v>NO APLICA</v>
      </c>
      <c r="PJ80" s="5"/>
      <c r="PK80" s="6"/>
      <c r="PL80" s="4"/>
      <c r="PM80" s="8"/>
      <c r="PN80" s="5" t="str">
        <f t="shared" si="359"/>
        <v>NO APLICA</v>
      </c>
      <c r="PO80" s="6"/>
      <c r="PP80" s="6"/>
      <c r="PQ80" s="6"/>
      <c r="PR80" s="6"/>
      <c r="PS80" s="5" t="str">
        <f t="shared" si="360"/>
        <v>NO APLICA</v>
      </c>
      <c r="PT80" s="5"/>
      <c r="PU80" s="6"/>
      <c r="PV80" s="6"/>
      <c r="PW80" s="6"/>
      <c r="PX80" s="5" t="str">
        <f t="shared" si="361"/>
        <v>NO APLICA</v>
      </c>
    </row>
    <row r="81" spans="1:440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298</v>
      </c>
      <c r="V81" s="4">
        <v>45097</v>
      </c>
      <c r="W81" s="4">
        <f t="shared" si="248"/>
        <v>46924</v>
      </c>
      <c r="X81" s="8">
        <f t="shared" ca="1" si="249"/>
        <v>790</v>
      </c>
      <c r="Y81" s="5" t="str">
        <f t="shared" ca="1" si="250"/>
        <v>VIGENTE</v>
      </c>
      <c r="Z81" s="2" t="s">
        <v>299</v>
      </c>
      <c r="AA81" s="4">
        <v>45113</v>
      </c>
      <c r="AB81" s="4">
        <f t="shared" si="385"/>
        <v>46940</v>
      </c>
      <c r="AC81" s="8">
        <f t="shared" ca="1" si="386"/>
        <v>806</v>
      </c>
      <c r="AD81" s="5" t="str">
        <f t="shared" ca="1" si="387"/>
        <v>VIGENTE</v>
      </c>
      <c r="AE81" s="4"/>
      <c r="AF81" s="4">
        <v>45902</v>
      </c>
      <c r="AG81" s="4">
        <f>DATE(YEAR(AF81)+2,MONTH(AF81),DAY(AF81))</f>
        <v>46632</v>
      </c>
      <c r="AH81" s="8">
        <f t="shared" ca="1" si="252"/>
        <v>498</v>
      </c>
      <c r="AI81" s="5" t="str">
        <f t="shared" ca="1" si="224"/>
        <v>VIGENTE</v>
      </c>
      <c r="AJ81" s="4"/>
      <c r="AK81" s="4">
        <v>45748</v>
      </c>
      <c r="AL81" s="4">
        <f>DATE(YEAR(AK81)+2,MONTH(AK81),DAY(AK81)-1)</f>
        <v>46477</v>
      </c>
      <c r="AM81" s="8">
        <f t="shared" ca="1" si="253"/>
        <v>343</v>
      </c>
      <c r="AN81" s="5" t="str">
        <f t="shared" ca="1" si="254"/>
        <v>VIGENTE</v>
      </c>
      <c r="AO81" s="4"/>
      <c r="AP81" s="4">
        <v>45775</v>
      </c>
      <c r="AQ81" s="4">
        <f>DATE(YEAR(AP81)+2,MONTH(AP81),DAY(AP81))</f>
        <v>46505</v>
      </c>
      <c r="AR81" s="8">
        <f t="shared" ca="1" si="255"/>
        <v>371</v>
      </c>
      <c r="AS81" s="5" t="str">
        <f t="shared" ca="1" si="256"/>
        <v>VIGENTE</v>
      </c>
      <c r="AT81" s="4"/>
      <c r="AU81" s="4">
        <v>45720</v>
      </c>
      <c r="AV81" s="4">
        <f>DATE(YEAR(AU81)+2,MONTH(AU81),DAY(AU81)-1)</f>
        <v>46449</v>
      </c>
      <c r="AW81" s="8">
        <f t="shared" ca="1" si="257"/>
        <v>315</v>
      </c>
      <c r="AX81" s="5" t="str">
        <f t="shared" ca="1" si="258"/>
        <v>VIGENTE</v>
      </c>
      <c r="AY81" s="4"/>
      <c r="AZ81" s="4">
        <v>45717</v>
      </c>
      <c r="BA81" s="4">
        <f>DATE(YEAR(AZ81)+2,MONTH(AZ81),DAY(AZ81)-1)</f>
        <v>46446</v>
      </c>
      <c r="BB81" s="8">
        <f t="shared" ca="1" si="259"/>
        <v>312</v>
      </c>
      <c r="BC81" s="5" t="str">
        <f t="shared" ca="1" si="260"/>
        <v>VIGENTE</v>
      </c>
      <c r="BD81" s="4"/>
      <c r="BE81" s="4">
        <v>45880</v>
      </c>
      <c r="BF81" s="4">
        <f>DATE(YEAR(BE81)+2,MONTH(BE81),DAY(BE81))</f>
        <v>46610</v>
      </c>
      <c r="BG81" s="8">
        <f t="shared" ca="1" si="261"/>
        <v>476</v>
      </c>
      <c r="BH81" s="5" t="str">
        <f t="shared" ca="1" si="262"/>
        <v>VIGENTE</v>
      </c>
      <c r="BI81" s="4"/>
      <c r="BJ81" s="4">
        <v>45759</v>
      </c>
      <c r="BK81" s="4">
        <f>DATE(YEAR(BJ81)+2,MONTH(BJ81),DAY(BJ81)-1)</f>
        <v>46488</v>
      </c>
      <c r="BL81" s="8">
        <f t="shared" ca="1" si="263"/>
        <v>354</v>
      </c>
      <c r="BM81" s="5" t="str">
        <f t="shared" ca="1" si="264"/>
        <v>VIGENTE</v>
      </c>
      <c r="BN81" s="4"/>
      <c r="BO81" s="4">
        <v>45772</v>
      </c>
      <c r="BP81" s="4">
        <f>DATE(YEAR(BO81)+2,MONTH(BO81),DAY(BO81))</f>
        <v>46502</v>
      </c>
      <c r="BQ81" s="8">
        <f t="shared" ca="1" si="265"/>
        <v>368</v>
      </c>
      <c r="BR81" s="5" t="str">
        <f t="shared" ca="1" si="266"/>
        <v>VIGENTE</v>
      </c>
      <c r="BS81" s="4"/>
      <c r="BT81" s="4">
        <v>45776</v>
      </c>
      <c r="BU81" s="4">
        <f>DATE(YEAR(BT81)+2,MONTH(BT81),DAY(BT81))</f>
        <v>46506</v>
      </c>
      <c r="BV81" s="8">
        <f t="shared" ca="1" si="267"/>
        <v>372</v>
      </c>
      <c r="BW81" s="5" t="str">
        <f t="shared" ca="1" si="268"/>
        <v>VIGENTE</v>
      </c>
      <c r="BX81" s="6"/>
      <c r="BY81" s="4">
        <v>45770</v>
      </c>
      <c r="BZ81" s="4">
        <f>DATE(YEAR(BY81)+2,MONTH(BY81),DAY(BY81))</f>
        <v>46500</v>
      </c>
      <c r="CA81" s="8">
        <f t="shared" ca="1" si="269"/>
        <v>366</v>
      </c>
      <c r="CB81" s="5" t="str">
        <f t="shared" ca="1" si="270"/>
        <v>VIGENTE</v>
      </c>
      <c r="CC81" s="6" t="s">
        <v>73</v>
      </c>
      <c r="CD81" s="4">
        <v>45301</v>
      </c>
      <c r="CE81" s="4">
        <f t="shared" si="271"/>
        <v>46762</v>
      </c>
      <c r="CF81" s="8">
        <f t="shared" ca="1" si="272"/>
        <v>628</v>
      </c>
      <c r="CG81" s="5" t="str">
        <f t="shared" ca="1" si="273"/>
        <v>VIGENTE</v>
      </c>
      <c r="CH81" s="4"/>
      <c r="CI81" s="4">
        <v>45723</v>
      </c>
      <c r="CJ81" s="4">
        <f t="shared" si="384"/>
        <v>46452</v>
      </c>
      <c r="CK81" s="8">
        <f t="shared" ca="1" si="274"/>
        <v>318</v>
      </c>
      <c r="CL81" s="5" t="str">
        <f t="shared" ca="1" si="275"/>
        <v>VIGENTE</v>
      </c>
      <c r="CM81" s="6"/>
      <c r="CN81" s="4">
        <v>45769</v>
      </c>
      <c r="CO81" s="4">
        <f>DATE(YEAR(CN81)+2,MONTH(CN81),DAY(CN81))</f>
        <v>46499</v>
      </c>
      <c r="CP81" s="8">
        <f t="shared" ca="1" si="276"/>
        <v>365</v>
      </c>
      <c r="CQ81" s="5" t="str">
        <f t="shared" ca="1" si="277"/>
        <v>VIGENTE</v>
      </c>
      <c r="CR81" s="4"/>
      <c r="CS81" s="4">
        <v>45727</v>
      </c>
      <c r="CT81" s="4">
        <f>DATE(YEAR(CS81)+2,MONTH(CS81),DAY(CS81)-1)</f>
        <v>46456</v>
      </c>
      <c r="CU81" s="8">
        <f t="shared" ca="1" si="278"/>
        <v>322</v>
      </c>
      <c r="CV81" s="5" t="str">
        <f t="shared" ca="1" si="279"/>
        <v>VIGENTE</v>
      </c>
      <c r="CW81" s="4"/>
      <c r="CX81" s="4">
        <v>45785</v>
      </c>
      <c r="CY81" s="4">
        <f>DATE(YEAR(CX81)+2,MONTH(CX81),DAY(CX81))</f>
        <v>46515</v>
      </c>
      <c r="CZ81" s="8">
        <f t="shared" ca="1" si="280"/>
        <v>381</v>
      </c>
      <c r="DA81" s="5" t="str">
        <f t="shared" ca="1" si="281"/>
        <v>VIGENTE</v>
      </c>
      <c r="DB81" s="4"/>
      <c r="DC81" s="4">
        <v>45761</v>
      </c>
      <c r="DD81" s="4">
        <f>DATE(YEAR(DC81)+2,MONTH(DC81),DAY(DC81))</f>
        <v>46491</v>
      </c>
      <c r="DE81" s="8">
        <f t="shared" ca="1" si="282"/>
        <v>357</v>
      </c>
      <c r="DF81" s="5" t="str">
        <f t="shared" ca="1" si="283"/>
        <v>VIGENTE</v>
      </c>
      <c r="DG81" s="6"/>
      <c r="DH81" s="4">
        <v>45734</v>
      </c>
      <c r="DI81" s="4">
        <f>DATE(YEAR(DH81)+2,MONTH(DH81),DAY(DH81)-1)</f>
        <v>46463</v>
      </c>
      <c r="DJ81" s="8">
        <f t="shared" ca="1" si="284"/>
        <v>329</v>
      </c>
      <c r="DK81" s="5" t="str">
        <f t="shared" ca="1" si="285"/>
        <v>VIGENTE</v>
      </c>
      <c r="DL81" s="4"/>
      <c r="DM81" s="4">
        <v>45857</v>
      </c>
      <c r="DN81" s="4">
        <f>DATE(YEAR(DM81)+2,MONTH(DM81),DAY(DM81))</f>
        <v>46587</v>
      </c>
      <c r="DO81" s="8">
        <f t="shared" ca="1" si="286"/>
        <v>453</v>
      </c>
      <c r="DP81" s="5" t="str">
        <f t="shared" ca="1" si="287"/>
        <v>VIGENTE</v>
      </c>
      <c r="DQ81" s="4"/>
      <c r="DR81" s="4">
        <v>45800</v>
      </c>
      <c r="DS81" s="4">
        <f>DATE(YEAR(DR81)+2,MONTH(DR81),DAY(DR81))</f>
        <v>46530</v>
      </c>
      <c r="DT81" s="8">
        <f t="shared" ca="1" si="288"/>
        <v>396</v>
      </c>
      <c r="DU81" s="5" t="str">
        <f t="shared" ca="1" si="289"/>
        <v>VIGENTE</v>
      </c>
      <c r="DV81" s="4"/>
      <c r="DW81" s="4">
        <v>45751</v>
      </c>
      <c r="DX81" s="4">
        <f t="shared" si="363"/>
        <v>46480</v>
      </c>
      <c r="DY81" s="8">
        <f t="shared" ca="1" si="290"/>
        <v>346</v>
      </c>
      <c r="DZ81" s="5" t="str">
        <f t="shared" ca="1" si="291"/>
        <v>VIGENTE</v>
      </c>
      <c r="EA81" s="4"/>
      <c r="EB81" s="4">
        <v>45829</v>
      </c>
      <c r="EC81" s="4">
        <f>DATE(YEAR(EB81)+2,MONTH(EB81),DAY(EB81))</f>
        <v>46559</v>
      </c>
      <c r="ED81" s="8">
        <f t="shared" ca="1" si="292"/>
        <v>425</v>
      </c>
      <c r="EE81" s="5" t="str">
        <f t="shared" ca="1" si="293"/>
        <v>VIGENTE</v>
      </c>
      <c r="EF81" s="3"/>
      <c r="EG81" s="3">
        <v>46085</v>
      </c>
      <c r="EH81" s="4">
        <f t="shared" si="364"/>
        <v>46450</v>
      </c>
      <c r="EI81" s="8">
        <f t="shared" ca="1" si="294"/>
        <v>316</v>
      </c>
      <c r="EJ81" s="5" t="str">
        <f t="shared" ca="1" si="295"/>
        <v>VIGENTE</v>
      </c>
      <c r="EK81" s="4"/>
      <c r="EL81" s="4">
        <v>45737</v>
      </c>
      <c r="EM81" s="4">
        <f t="shared" si="380"/>
        <v>46466</v>
      </c>
      <c r="EN81" s="8">
        <f t="shared" ca="1" si="296"/>
        <v>332</v>
      </c>
      <c r="EO81" s="5" t="str">
        <f t="shared" ca="1" si="297"/>
        <v>VIGENTE</v>
      </c>
      <c r="EP81" s="4"/>
      <c r="EQ81" s="4">
        <v>45749</v>
      </c>
      <c r="ER81" s="4">
        <f>DATE(YEAR(EQ81)+2,MONTH(EQ81),DAY(EQ81)-1)</f>
        <v>46478</v>
      </c>
      <c r="ES81" s="8">
        <f t="shared" ca="1" si="298"/>
        <v>344</v>
      </c>
      <c r="ET81" s="5" t="str">
        <f t="shared" ca="1" si="299"/>
        <v>VIGENTE</v>
      </c>
      <c r="EU81" s="4"/>
      <c r="EV81" s="4">
        <v>45917</v>
      </c>
      <c r="EW81" s="4">
        <f>DATE(YEAR(EV81)+2,MONTH(EV81),DAY(EV81))</f>
        <v>46647</v>
      </c>
      <c r="EX81" s="8">
        <f t="shared" ca="1" si="300"/>
        <v>513</v>
      </c>
      <c r="EY81" s="5" t="str">
        <f t="shared" ca="1" si="301"/>
        <v>VIGENTE</v>
      </c>
      <c r="EZ81" s="4"/>
      <c r="FA81" s="4">
        <v>45922</v>
      </c>
      <c r="FB81" s="4">
        <f>DATE(YEAR(FA81)+2,MONTH(FA81),DAY(FA81))</f>
        <v>46652</v>
      </c>
      <c r="FC81" s="8">
        <f t="shared" ca="1" si="302"/>
        <v>518</v>
      </c>
      <c r="FD81" s="5" t="str">
        <f t="shared" ca="1" si="303"/>
        <v>VIGENTE</v>
      </c>
      <c r="FE81" s="4"/>
      <c r="FF81" s="4">
        <v>45790</v>
      </c>
      <c r="FG81" s="4">
        <f>DATE(YEAR(FF81)+2,MONTH(FF81),DAY(FF81))</f>
        <v>46520</v>
      </c>
      <c r="FH81" s="8">
        <f t="shared" ca="1" si="304"/>
        <v>386</v>
      </c>
      <c r="FI81" s="5" t="str">
        <f t="shared" ca="1" si="305"/>
        <v>VIGENTE</v>
      </c>
      <c r="FJ81" s="4"/>
      <c r="FK81" s="4">
        <v>45850</v>
      </c>
      <c r="FL81" s="4">
        <f>DATE(YEAR(FK81)+2,MONTH(FK81),DAY(FK81))</f>
        <v>46580</v>
      </c>
      <c r="FM81" s="8">
        <f t="shared" ca="1" si="306"/>
        <v>446</v>
      </c>
      <c r="FN81" s="5" t="str">
        <f t="shared" ca="1" si="307"/>
        <v>VIGENTE</v>
      </c>
      <c r="FO81" s="4"/>
      <c r="FP81" s="4">
        <v>45846</v>
      </c>
      <c r="FQ81" s="4">
        <f>DATE(YEAR(FP81)+2,MONTH(FP81),DAY(FP81))</f>
        <v>46576</v>
      </c>
      <c r="FR81" s="8">
        <f t="shared" ca="1" si="308"/>
        <v>442</v>
      </c>
      <c r="FS81" s="5" t="str">
        <f t="shared" ca="1" si="309"/>
        <v>VIGENTE</v>
      </c>
      <c r="FT81" s="4"/>
      <c r="FU81" s="4">
        <v>45758</v>
      </c>
      <c r="FV81" s="4">
        <f t="shared" si="393"/>
        <v>46487</v>
      </c>
      <c r="FW81" s="8">
        <f t="shared" ca="1" si="310"/>
        <v>353</v>
      </c>
      <c r="FX81" s="5" t="str">
        <f t="shared" ca="1" si="311"/>
        <v>VIGENTE</v>
      </c>
      <c r="FY81" s="4"/>
      <c r="FZ81" s="4">
        <v>45757</v>
      </c>
      <c r="GA81" s="4">
        <f>DATE(YEAR(FZ81)+2,MONTH(FZ81),DAY(FZ81)-1)</f>
        <v>46486</v>
      </c>
      <c r="GB81" s="8">
        <f t="shared" ca="1" si="312"/>
        <v>352</v>
      </c>
      <c r="GC81" s="5" t="str">
        <f t="shared" ca="1" si="313"/>
        <v>VIGENTE</v>
      </c>
      <c r="GD81" s="4"/>
      <c r="GE81" s="4">
        <v>45849</v>
      </c>
      <c r="GF81" s="4">
        <f>DATE(YEAR(GE81)+2,MONTH(GE81),DAY(GE81))</f>
        <v>46579</v>
      </c>
      <c r="GG81" s="8">
        <f t="shared" ca="1" si="314"/>
        <v>445</v>
      </c>
      <c r="GH81" s="5" t="str">
        <f t="shared" ca="1" si="315"/>
        <v>VIGENTE</v>
      </c>
      <c r="GI81" s="4"/>
      <c r="GJ81" s="4">
        <v>45848</v>
      </c>
      <c r="GK81" s="4">
        <f>DATE(YEAR(GJ81)+2,MONTH(GJ81),DAY(GJ81))</f>
        <v>46578</v>
      </c>
      <c r="GL81" s="8">
        <f t="shared" ca="1" si="316"/>
        <v>444</v>
      </c>
      <c r="GM81" s="5" t="str">
        <f t="shared" ca="1" si="317"/>
        <v>VIGENTE</v>
      </c>
      <c r="GN81" s="4"/>
      <c r="GO81" s="4">
        <v>45159</v>
      </c>
      <c r="GP81" s="4">
        <f t="shared" si="318"/>
        <v>46986</v>
      </c>
      <c r="GQ81" s="8">
        <f t="shared" ca="1" si="394"/>
        <v>852</v>
      </c>
      <c r="GR81" s="5" t="str">
        <f t="shared" ca="1" si="388"/>
        <v>VIGENTE</v>
      </c>
      <c r="GS81" s="4"/>
      <c r="GT81" s="4">
        <v>45117</v>
      </c>
      <c r="GU81" s="4">
        <f t="shared" si="320"/>
        <v>46944</v>
      </c>
      <c r="GV81" s="8">
        <f t="shared" ca="1" si="321"/>
        <v>810</v>
      </c>
      <c r="GW81" s="5" t="str">
        <f t="shared" ca="1" si="389"/>
        <v>VIGENTE</v>
      </c>
      <c r="GX81" s="6"/>
      <c r="GY81" s="4">
        <v>45160</v>
      </c>
      <c r="GZ81" s="4">
        <f t="shared" si="323"/>
        <v>46987</v>
      </c>
      <c r="HA81" s="8">
        <f t="shared" ca="1" si="324"/>
        <v>853</v>
      </c>
      <c r="HB81" s="5" t="str">
        <f t="shared" ca="1" si="390"/>
        <v>VIGENTE</v>
      </c>
      <c r="HC81" s="6"/>
      <c r="HD81" s="4">
        <v>45222</v>
      </c>
      <c r="HE81" s="4">
        <f t="shared" si="382"/>
        <v>47049</v>
      </c>
      <c r="HF81" s="8">
        <f t="shared" ca="1" si="383"/>
        <v>915</v>
      </c>
      <c r="HG81" s="5" t="str">
        <f t="shared" ca="1" si="391"/>
        <v>VIGENTE</v>
      </c>
      <c r="HH81" s="6"/>
      <c r="HI81" s="6"/>
      <c r="HJ81" s="4"/>
      <c r="HK81" s="8"/>
      <c r="HL81" s="5" t="str">
        <f>IF(HK81&gt;=61,"VIGENTE",IF(HK81&gt;=1,"POR VENCER",IF(HK81&lt;=-1,"VENCIDA",IF(HI81=0,"NO APLICA"))))</f>
        <v>NO APLICA</v>
      </c>
      <c r="HM81" s="2"/>
      <c r="HN81" s="2"/>
      <c r="HO81" s="4"/>
      <c r="HP81" s="2"/>
      <c r="HQ81" s="5" t="str">
        <f t="shared" si="326"/>
        <v>NO APLICA</v>
      </c>
      <c r="HR81" s="6"/>
      <c r="HS81" s="4">
        <v>45193</v>
      </c>
      <c r="HT81" s="4">
        <f>DATE(YEAR(HS81)+5,MONTH(HS81),DAY(HS81))</f>
        <v>47020</v>
      </c>
      <c r="HU81" s="8">
        <f ca="1">HT81-TODAY()</f>
        <v>886</v>
      </c>
      <c r="HV81" s="5" t="str">
        <f t="shared" ca="1" si="327"/>
        <v>VIGENTE</v>
      </c>
      <c r="HW81" s="6"/>
      <c r="HX81" s="4">
        <v>45194</v>
      </c>
      <c r="HY81" s="4">
        <f>DATE(YEAR(HX81)+5,MONTH(HX81),DAY(HX81))</f>
        <v>47021</v>
      </c>
      <c r="HZ81" s="8">
        <f ca="1">HY81-TODAY()</f>
        <v>887</v>
      </c>
      <c r="IA81" s="5" t="str">
        <f t="shared" ca="1" si="328"/>
        <v>VIGENTE</v>
      </c>
      <c r="IB81" s="6"/>
      <c r="IC81" s="4">
        <v>45192</v>
      </c>
      <c r="ID81" s="4">
        <f>DATE(YEAR(IC81)+5,MONTH(IC81),DAY(IC81))</f>
        <v>47019</v>
      </c>
      <c r="IE81" s="8">
        <f ca="1">ID81-TODAY()</f>
        <v>885</v>
      </c>
      <c r="IF81" s="5" t="str">
        <f t="shared" ca="1" si="329"/>
        <v>VIGENTE</v>
      </c>
      <c r="IG81" s="6"/>
      <c r="IH81" s="4">
        <v>45105</v>
      </c>
      <c r="II81" s="4">
        <f>DATE(YEAR(IH81)+5,MONTH(IH81),DAY(IH81))</f>
        <v>46932</v>
      </c>
      <c r="IJ81" s="8">
        <f ca="1">II81-TODAY()</f>
        <v>798</v>
      </c>
      <c r="IK81" s="5" t="str">
        <f t="shared" ca="1" si="330"/>
        <v>VIGENTE</v>
      </c>
      <c r="IL81" s="6"/>
      <c r="IM81" s="4">
        <v>45144</v>
      </c>
      <c r="IN81" s="4">
        <f>DATE(YEAR(IM81)+5,MONTH(IM81),DAY(IM81))</f>
        <v>46971</v>
      </c>
      <c r="IO81" s="8">
        <f ca="1">IN81-TODAY()</f>
        <v>837</v>
      </c>
      <c r="IP81" s="5" t="str">
        <f t="shared" ca="1" si="331"/>
        <v>VIGENTE</v>
      </c>
      <c r="IQ81" s="6"/>
      <c r="IR81" s="4">
        <v>45191</v>
      </c>
      <c r="IS81" s="4">
        <f>DATE(YEAR(IR81)+5,MONTH(IR81),DAY(IR81))</f>
        <v>47018</v>
      </c>
      <c r="IT81" s="8">
        <f ca="1">IS81-TODAY()</f>
        <v>884</v>
      </c>
      <c r="IU81" s="5" t="str">
        <f t="shared" ca="1" si="332"/>
        <v>VIGENTE</v>
      </c>
      <c r="IV81" s="6"/>
      <c r="IW81" s="4">
        <v>45107</v>
      </c>
      <c r="IX81" s="4">
        <f>DATE(YEAR(IW81)+5,MONTH(IW81),DAY(IW81))</f>
        <v>46934</v>
      </c>
      <c r="IY81" s="8">
        <f ca="1">IX81-TODAY()</f>
        <v>800</v>
      </c>
      <c r="IZ81" s="5" t="str">
        <f t="shared" ca="1" si="333"/>
        <v>VIGENTE</v>
      </c>
      <c r="JA81" s="3"/>
      <c r="JB81" s="3"/>
      <c r="JC81" s="4"/>
      <c r="JD81" s="8"/>
      <c r="JE81" s="5" t="str">
        <f t="shared" si="334"/>
        <v>NO APLICA</v>
      </c>
      <c r="JF81" s="6"/>
      <c r="JG81" s="6"/>
      <c r="JH81" s="6"/>
      <c r="JI81" s="6"/>
      <c r="JJ81" s="5" t="str">
        <f t="shared" si="335"/>
        <v>NO APLICA</v>
      </c>
      <c r="JK81" s="6"/>
      <c r="JL81" s="6"/>
      <c r="JM81" s="6"/>
      <c r="JN81" s="6"/>
      <c r="JO81" s="5" t="str">
        <f t="shared" si="336"/>
        <v>NO APLICA</v>
      </c>
      <c r="JP81" s="6"/>
      <c r="JQ81" s="6"/>
      <c r="JR81" s="6"/>
      <c r="JS81" s="6"/>
      <c r="JT81" s="5" t="str">
        <f t="shared" si="337"/>
        <v>NO APLICA</v>
      </c>
      <c r="JU81" s="5"/>
      <c r="JV81" s="5"/>
      <c r="JW81" s="5"/>
      <c r="JX81" s="5"/>
      <c r="JY81" s="5" t="str">
        <f t="shared" si="338"/>
        <v>NO APLICA</v>
      </c>
      <c r="JZ81" s="5"/>
      <c r="KA81" s="2"/>
      <c r="KB81" s="4"/>
      <c r="KC81" s="8"/>
      <c r="KD81" s="5" t="str">
        <f t="shared" si="339"/>
        <v>NO APLICA</v>
      </c>
      <c r="KE81" s="5"/>
      <c r="KF81" s="2"/>
      <c r="KG81" s="4"/>
      <c r="KH81" s="8"/>
      <c r="KI81" s="5" t="str">
        <f t="shared" si="365"/>
        <v>NO APLICA</v>
      </c>
      <c r="KJ81" s="5"/>
      <c r="KK81" s="2"/>
      <c r="KL81" s="4"/>
      <c r="KM81" s="8"/>
      <c r="KN81" s="5" t="str">
        <f t="shared" si="340"/>
        <v>NO APLICA</v>
      </c>
      <c r="KO81" s="5"/>
      <c r="KP81" s="2"/>
      <c r="KQ81" s="4"/>
      <c r="KR81" s="8"/>
      <c r="KS81" s="5" t="str">
        <f t="shared" si="366"/>
        <v>NO APLICA</v>
      </c>
      <c r="KT81" s="6"/>
      <c r="KU81" s="6"/>
      <c r="KV81" s="4"/>
      <c r="KW81" s="8"/>
      <c r="KX81" s="5" t="str">
        <f t="shared" si="375"/>
        <v>NO APLICA</v>
      </c>
      <c r="KY81" s="5"/>
      <c r="KZ81" s="6"/>
      <c r="LA81" s="4"/>
      <c r="LB81" s="8"/>
      <c r="LC81" s="5" t="str">
        <f t="shared" si="367"/>
        <v>NO APLICA</v>
      </c>
      <c r="LD81" s="6"/>
      <c r="LE81" s="6"/>
      <c r="LF81" s="4"/>
      <c r="LG81" s="8"/>
      <c r="LH81" s="5" t="str">
        <f t="shared" si="341"/>
        <v>NO APLICA</v>
      </c>
      <c r="LI81" s="5"/>
      <c r="LJ81" s="5"/>
      <c r="LK81" s="4"/>
      <c r="LL81" s="8"/>
      <c r="LM81" s="5" t="str">
        <f t="shared" si="376"/>
        <v>NO APLICA</v>
      </c>
      <c r="LN81" s="6"/>
      <c r="LO81" s="6"/>
      <c r="LP81" s="4"/>
      <c r="LQ81" s="8"/>
      <c r="LR81" s="5" t="str">
        <f t="shared" si="368"/>
        <v>NO APLICA</v>
      </c>
      <c r="LS81" s="6"/>
      <c r="LT81" s="6"/>
      <c r="LU81" s="4"/>
      <c r="LV81" s="8"/>
      <c r="LW81" s="5" t="str">
        <f t="shared" si="369"/>
        <v>NO APLICA</v>
      </c>
      <c r="LX81" s="6"/>
      <c r="LY81" s="6"/>
      <c r="LZ81" s="4"/>
      <c r="MA81" s="8"/>
      <c r="MB81" s="5" t="str">
        <f t="shared" si="370"/>
        <v>NO APLICA</v>
      </c>
      <c r="MC81" s="2"/>
      <c r="MD81" s="2"/>
      <c r="ME81" s="4"/>
      <c r="MF81" s="8"/>
      <c r="MG81" s="5" t="str">
        <f t="shared" si="342"/>
        <v>NO APLICA</v>
      </c>
      <c r="MH81" s="2"/>
      <c r="MI81" s="2"/>
      <c r="MJ81" s="4"/>
      <c r="MK81" s="8"/>
      <c r="ML81" s="5" t="str">
        <f t="shared" si="343"/>
        <v>NO APLICA</v>
      </c>
      <c r="MM81" s="5"/>
      <c r="MN81" s="2"/>
      <c r="MO81" s="4"/>
      <c r="MP81" s="8"/>
      <c r="MQ81" s="5" t="str">
        <f t="shared" si="344"/>
        <v>NO APLICA</v>
      </c>
      <c r="MR81" s="5"/>
      <c r="MS81" s="2"/>
      <c r="MT81" s="4"/>
      <c r="MU81" s="2"/>
      <c r="MV81" s="5" t="str">
        <f t="shared" si="345"/>
        <v>NO APLICA</v>
      </c>
      <c r="MW81" s="6"/>
      <c r="MX81" s="6"/>
      <c r="MY81" s="4"/>
      <c r="MZ81" s="8"/>
      <c r="NA81" s="5" t="str">
        <f t="shared" si="346"/>
        <v>NO APLICA</v>
      </c>
      <c r="NB81" s="6"/>
      <c r="NC81" s="6"/>
      <c r="ND81" s="4"/>
      <c r="NE81" s="8"/>
      <c r="NF81" s="5" t="str">
        <f t="shared" si="347"/>
        <v>NO APLICA</v>
      </c>
      <c r="NG81" s="6"/>
      <c r="NH81" s="6"/>
      <c r="NI81" s="4"/>
      <c r="NJ81" s="8"/>
      <c r="NK81" s="5" t="str">
        <f t="shared" si="348"/>
        <v>NO APLICA</v>
      </c>
      <c r="NL81" s="2"/>
      <c r="NM81" s="2"/>
      <c r="NN81" s="4"/>
      <c r="NO81" s="8"/>
      <c r="NP81" s="5" t="str">
        <f t="shared" si="349"/>
        <v>NO APLICA</v>
      </c>
      <c r="NQ81" s="2"/>
      <c r="NR81" s="2"/>
      <c r="NS81" s="4"/>
      <c r="NT81" s="2"/>
      <c r="NU81" s="5" t="str">
        <f t="shared" si="350"/>
        <v>NO APLICA</v>
      </c>
      <c r="NV81" s="6"/>
      <c r="NW81" s="6"/>
      <c r="NX81" s="4"/>
      <c r="NY81" s="8"/>
      <c r="NZ81" s="5" t="str">
        <f t="shared" si="351"/>
        <v>NO APLICA</v>
      </c>
      <c r="OA81" s="6"/>
      <c r="OB81" s="6"/>
      <c r="OC81" s="6"/>
      <c r="OD81" s="6"/>
      <c r="OE81" s="5" t="str">
        <f t="shared" si="352"/>
        <v>NO APLICA</v>
      </c>
      <c r="OF81" s="2"/>
      <c r="OG81" s="2"/>
      <c r="OH81" s="4"/>
      <c r="OI81" s="8"/>
      <c r="OJ81" s="5" t="str">
        <f t="shared" si="353"/>
        <v>NO APLICA</v>
      </c>
      <c r="OK81" s="6"/>
      <c r="OL81" s="6"/>
      <c r="OM81" s="6"/>
      <c r="ON81" s="6"/>
      <c r="OO81" s="5" t="str">
        <f t="shared" si="354"/>
        <v>NO APLICA</v>
      </c>
      <c r="OP81" s="6"/>
      <c r="OQ81" s="6"/>
      <c r="OR81" s="6"/>
      <c r="OS81" s="6"/>
      <c r="OT81" s="5" t="str">
        <f t="shared" si="355"/>
        <v>NO APLICA</v>
      </c>
      <c r="OU81" s="6"/>
      <c r="OV81" s="6"/>
      <c r="OW81" s="6"/>
      <c r="OX81" s="6"/>
      <c r="OY81" s="5" t="str">
        <f t="shared" si="356"/>
        <v>NO APLICA</v>
      </c>
      <c r="OZ81" s="6"/>
      <c r="PA81" s="6"/>
      <c r="PB81" s="6"/>
      <c r="PC81" s="6"/>
      <c r="PD81" s="5" t="str">
        <f t="shared" si="357"/>
        <v>NO APLICA</v>
      </c>
      <c r="PE81" s="6"/>
      <c r="PF81" s="6"/>
      <c r="PG81" s="6"/>
      <c r="PH81" s="6"/>
      <c r="PI81" s="5" t="str">
        <f t="shared" si="358"/>
        <v>NO APLICA</v>
      </c>
      <c r="PJ81" s="5"/>
      <c r="PK81" s="6"/>
      <c r="PL81" s="4"/>
      <c r="PM81" s="8"/>
      <c r="PN81" s="5" t="str">
        <f t="shared" si="359"/>
        <v>NO APLICA</v>
      </c>
      <c r="PO81" s="6"/>
      <c r="PP81" s="6"/>
      <c r="PQ81" s="6"/>
      <c r="PR81" s="6"/>
      <c r="PS81" s="5" t="str">
        <f t="shared" si="360"/>
        <v>NO APLICA</v>
      </c>
      <c r="PT81" s="5"/>
      <c r="PU81" s="6"/>
      <c r="PV81" s="6"/>
      <c r="PW81" s="6"/>
      <c r="PX81" s="5" t="str">
        <f t="shared" si="361"/>
        <v>NO APLICA</v>
      </c>
    </row>
    <row r="82" spans="1:440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301</v>
      </c>
      <c r="V82" s="4">
        <v>45156</v>
      </c>
      <c r="W82" s="4">
        <f t="shared" si="248"/>
        <v>46983</v>
      </c>
      <c r="X82" s="8">
        <f t="shared" ca="1" si="249"/>
        <v>849</v>
      </c>
      <c r="Y82" s="5" t="str">
        <f t="shared" ca="1" si="250"/>
        <v>VIGENTE</v>
      </c>
      <c r="Z82" s="2" t="s">
        <v>302</v>
      </c>
      <c r="AA82" s="4">
        <v>45162</v>
      </c>
      <c r="AB82" s="4">
        <f t="shared" si="385"/>
        <v>46989</v>
      </c>
      <c r="AC82" s="8">
        <f t="shared" ca="1" si="386"/>
        <v>855</v>
      </c>
      <c r="AD82" s="5" t="str">
        <f t="shared" ca="1" si="387"/>
        <v>VIGENTE</v>
      </c>
      <c r="AE82" s="3"/>
      <c r="AF82" s="4">
        <v>45902</v>
      </c>
      <c r="AG82" s="4">
        <f>DATE(YEAR(AF82)+2,MONTH(AF82),DAY(AF82))</f>
        <v>46632</v>
      </c>
      <c r="AH82" s="8">
        <f t="shared" ca="1" si="252"/>
        <v>498</v>
      </c>
      <c r="AI82" s="5" t="str">
        <f t="shared" ca="1" si="224"/>
        <v>VIGENTE</v>
      </c>
      <c r="AJ82" s="3"/>
      <c r="AK82" s="4">
        <v>45903</v>
      </c>
      <c r="AL82" s="4">
        <f>DATE(YEAR(AK82)+2,MONTH(AK82),DAY(AK82))</f>
        <v>46633</v>
      </c>
      <c r="AM82" s="8">
        <f t="shared" ca="1" si="253"/>
        <v>499</v>
      </c>
      <c r="AN82" s="5" t="str">
        <f t="shared" ca="1" si="254"/>
        <v>VIGENTE</v>
      </c>
      <c r="AO82" s="3"/>
      <c r="AP82" s="4">
        <v>45820</v>
      </c>
      <c r="AQ82" s="4">
        <f>DATE(YEAR(AP82)+2,MONTH(AP82),DAY(AP82))</f>
        <v>46550</v>
      </c>
      <c r="AR82" s="8">
        <f t="shared" ca="1" si="255"/>
        <v>416</v>
      </c>
      <c r="AS82" s="5" t="str">
        <f t="shared" ca="1" si="256"/>
        <v>VIGENTE</v>
      </c>
      <c r="AT82" s="2"/>
      <c r="AU82" s="4">
        <v>45952</v>
      </c>
      <c r="AV82" s="4">
        <f>DATE(YEAR(AU82)+2,MONTH(AU82),DAY(AU82))</f>
        <v>46682</v>
      </c>
      <c r="AW82" s="8">
        <f t="shared" ca="1" si="257"/>
        <v>548</v>
      </c>
      <c r="AX82" s="5" t="str">
        <f t="shared" ca="1" si="258"/>
        <v>VIGENTE</v>
      </c>
      <c r="AY82" s="3"/>
      <c r="AZ82" s="4">
        <v>45855</v>
      </c>
      <c r="BA82" s="4">
        <f>DATE(YEAR(AZ82)+2,MONTH(AZ82),DAY(AZ82))</f>
        <v>46585</v>
      </c>
      <c r="BB82" s="8">
        <f t="shared" ca="1" si="259"/>
        <v>451</v>
      </c>
      <c r="BC82" s="5" t="str">
        <f t="shared" ca="1" si="260"/>
        <v>VIGENTE</v>
      </c>
      <c r="BD82" s="3"/>
      <c r="BE82" s="4">
        <v>45968</v>
      </c>
      <c r="BF82" s="4">
        <f>DATE(YEAR(BE82)+2,MONTH(BE82),DAY(BE82))</f>
        <v>46698</v>
      </c>
      <c r="BG82" s="8">
        <f t="shared" ca="1" si="261"/>
        <v>564</v>
      </c>
      <c r="BH82" s="5" t="str">
        <f t="shared" ca="1" si="262"/>
        <v>VIGENTE</v>
      </c>
      <c r="BI82" s="3"/>
      <c r="BJ82" s="4">
        <v>45976</v>
      </c>
      <c r="BK82" s="4">
        <f>DATE(YEAR(BJ82)+2,MONTH(BJ82),DAY(BJ82))</f>
        <v>46706</v>
      </c>
      <c r="BL82" s="8">
        <f t="shared" ca="1" si="263"/>
        <v>572</v>
      </c>
      <c r="BM82" s="5" t="str">
        <f t="shared" ca="1" si="264"/>
        <v>VIGENTE</v>
      </c>
      <c r="BN82" s="3"/>
      <c r="BO82" s="4">
        <v>45981</v>
      </c>
      <c r="BP82" s="4">
        <f>DATE(YEAR(BO82)+2,MONTH(BO82),DAY(BO82))</f>
        <v>46711</v>
      </c>
      <c r="BQ82" s="8">
        <f t="shared" ca="1" si="265"/>
        <v>577</v>
      </c>
      <c r="BR82" s="5" t="str">
        <f t="shared" ca="1" si="266"/>
        <v>VIGENTE</v>
      </c>
      <c r="BS82" s="2"/>
      <c r="BT82" s="4">
        <v>45950</v>
      </c>
      <c r="BU82" s="4">
        <f>DATE(YEAR(BT82)+2,MONTH(BT82),DAY(BT82))</f>
        <v>46680</v>
      </c>
      <c r="BV82" s="8">
        <f t="shared" ca="1" si="267"/>
        <v>546</v>
      </c>
      <c r="BW82" s="5" t="str">
        <f t="shared" ca="1" si="268"/>
        <v>VIGENTE</v>
      </c>
      <c r="BX82" s="2"/>
      <c r="BY82" s="4">
        <v>45944</v>
      </c>
      <c r="BZ82" s="4">
        <f>DATE(YEAR(BY82)+2,MONTH(BY82),DAY(BY82))</f>
        <v>46674</v>
      </c>
      <c r="CA82" s="8">
        <f t="shared" ca="1" si="269"/>
        <v>540</v>
      </c>
      <c r="CB82" s="5" t="str">
        <f t="shared" ca="1" si="270"/>
        <v>VIGENTE</v>
      </c>
      <c r="CC82" s="6" t="s">
        <v>73</v>
      </c>
      <c r="CD82" s="4">
        <v>45164</v>
      </c>
      <c r="CE82" s="4">
        <f t="shared" si="271"/>
        <v>46625</v>
      </c>
      <c r="CF82" s="8">
        <f t="shared" ca="1" si="272"/>
        <v>491</v>
      </c>
      <c r="CG82" s="5" t="str">
        <f t="shared" ca="1" si="273"/>
        <v>VIGENTE</v>
      </c>
      <c r="CH82" s="4"/>
      <c r="CI82" s="4">
        <v>45895</v>
      </c>
      <c r="CJ82" s="4">
        <f>DATE(YEAR(CI82)+2,MONTH(CI82),DAY(CI82))</f>
        <v>46625</v>
      </c>
      <c r="CK82" s="8">
        <f t="shared" ca="1" si="274"/>
        <v>491</v>
      </c>
      <c r="CL82" s="5" t="str">
        <f t="shared" ca="1" si="275"/>
        <v>VIGENTE</v>
      </c>
      <c r="CM82" s="4"/>
      <c r="CN82" s="4">
        <v>45979</v>
      </c>
      <c r="CO82" s="4">
        <f>DATE(YEAR(CN82)+2,MONTH(CN82),DAY(CN82))</f>
        <v>46709</v>
      </c>
      <c r="CP82" s="8">
        <f t="shared" ca="1" si="276"/>
        <v>575</v>
      </c>
      <c r="CQ82" s="5" t="str">
        <f t="shared" ca="1" si="277"/>
        <v>VIGENTE</v>
      </c>
      <c r="CR82" s="2"/>
      <c r="CS82" s="4">
        <v>45939</v>
      </c>
      <c r="CT82" s="4">
        <f>DATE(YEAR(CS82)+2,MONTH(CS82),DAY(CS82))</f>
        <v>46669</v>
      </c>
      <c r="CU82" s="8">
        <f t="shared" ca="1" si="278"/>
        <v>535</v>
      </c>
      <c r="CV82" s="5" t="str">
        <f t="shared" ca="1" si="279"/>
        <v>VIGENTE</v>
      </c>
      <c r="CW82" s="3"/>
      <c r="CX82" s="4">
        <v>45878</v>
      </c>
      <c r="CY82" s="4">
        <f>DATE(YEAR(CX82)+2,MONTH(CX82),DAY(CX82))</f>
        <v>46608</v>
      </c>
      <c r="CZ82" s="8">
        <f t="shared" ca="1" si="280"/>
        <v>474</v>
      </c>
      <c r="DA82" s="5" t="str">
        <f t="shared" ca="1" si="281"/>
        <v>VIGENTE</v>
      </c>
      <c r="DB82" s="3"/>
      <c r="DC82" s="4">
        <v>46066</v>
      </c>
      <c r="DD82" s="4">
        <f>DATE(YEAR(DC82)+2,MONTH(DC82),DAY(DC82))</f>
        <v>46796</v>
      </c>
      <c r="DE82" s="8">
        <f t="shared" ca="1" si="282"/>
        <v>662</v>
      </c>
      <c r="DF82" s="5" t="str">
        <f t="shared" ca="1" si="283"/>
        <v>VIGENTE</v>
      </c>
      <c r="DG82" s="3"/>
      <c r="DH82" s="4">
        <v>45779</v>
      </c>
      <c r="DI82" s="4">
        <f>DATE(YEAR(DH82)+2,MONTH(DH82),DAY(DH82))</f>
        <v>46509</v>
      </c>
      <c r="DJ82" s="8">
        <f t="shared" ca="1" si="284"/>
        <v>375</v>
      </c>
      <c r="DK82" s="5" t="str">
        <f t="shared" ca="1" si="285"/>
        <v>VIGENTE</v>
      </c>
      <c r="DL82" s="4"/>
      <c r="DM82" s="4">
        <v>45873</v>
      </c>
      <c r="DN82" s="4">
        <f>DATE(YEAR(DM82)+2,MONTH(DM82),DAY(DM82))</f>
        <v>46603</v>
      </c>
      <c r="DO82" s="8">
        <f t="shared" ca="1" si="286"/>
        <v>469</v>
      </c>
      <c r="DP82" s="5" t="str">
        <f t="shared" ca="1" si="287"/>
        <v>VIGENTE</v>
      </c>
      <c r="DQ82" s="4"/>
      <c r="DR82" s="4">
        <v>46018</v>
      </c>
      <c r="DS82" s="4">
        <f>DATE(YEAR(DR82)+2,MONTH(DR82),DAY(DR82))</f>
        <v>46748</v>
      </c>
      <c r="DT82" s="8">
        <f t="shared" ca="1" si="288"/>
        <v>614</v>
      </c>
      <c r="DU82" s="5" t="str">
        <f t="shared" ca="1" si="289"/>
        <v>VIGENTE</v>
      </c>
      <c r="DV82" s="4"/>
      <c r="DW82" s="4">
        <v>46032</v>
      </c>
      <c r="DX82" s="4">
        <f>DATE(YEAR(DW82)+2,MONTH(DW82),DAY(DW82))</f>
        <v>46762</v>
      </c>
      <c r="DY82" s="8">
        <f t="shared" ca="1" si="290"/>
        <v>628</v>
      </c>
      <c r="DZ82" s="5" t="str">
        <f t="shared" ca="1" si="291"/>
        <v>VIGENTE</v>
      </c>
      <c r="EA82" s="3"/>
      <c r="EB82" s="4">
        <v>45829</v>
      </c>
      <c r="EC82" s="4">
        <f>DATE(YEAR(EB82)+2,MONTH(EB82),DAY(EB82))</f>
        <v>46559</v>
      </c>
      <c r="ED82" s="8">
        <f t="shared" ca="1" si="292"/>
        <v>425</v>
      </c>
      <c r="EE82" s="5" t="str">
        <f t="shared" ca="1" si="293"/>
        <v>VIGENTE</v>
      </c>
      <c r="EF82" s="3"/>
      <c r="EG82" s="3">
        <v>46015</v>
      </c>
      <c r="EH82" s="4">
        <f t="shared" si="364"/>
        <v>46380</v>
      </c>
      <c r="EI82" s="8">
        <f t="shared" ca="1" si="294"/>
        <v>246</v>
      </c>
      <c r="EJ82" s="5" t="str">
        <f t="shared" ca="1" si="295"/>
        <v>VIGENTE</v>
      </c>
      <c r="EK82" s="3"/>
      <c r="EL82" s="4">
        <v>45966</v>
      </c>
      <c r="EM82" s="4">
        <f>DATE(YEAR(EL82)+2,MONTH(EL82),DAY(EL82))</f>
        <v>46696</v>
      </c>
      <c r="EN82" s="8">
        <f t="shared" ca="1" si="296"/>
        <v>562</v>
      </c>
      <c r="EO82" s="5" t="str">
        <f t="shared" ca="1" si="297"/>
        <v>VIGENTE</v>
      </c>
      <c r="EP82" s="3"/>
      <c r="EQ82" s="4">
        <v>45824</v>
      </c>
      <c r="ER82" s="4">
        <f>DATE(YEAR(EQ82)+2,MONTH(EQ82),DAY(EQ82))</f>
        <v>46554</v>
      </c>
      <c r="ES82" s="8">
        <f t="shared" ca="1" si="298"/>
        <v>420</v>
      </c>
      <c r="ET82" s="5" t="str">
        <f t="shared" ca="1" si="299"/>
        <v>VIGENTE</v>
      </c>
      <c r="EU82" s="2"/>
      <c r="EV82" s="4">
        <v>45953</v>
      </c>
      <c r="EW82" s="4">
        <f>DATE(YEAR(EV82)+2,MONTH(EV82),DAY(EV82))</f>
        <v>46683</v>
      </c>
      <c r="EX82" s="8">
        <f t="shared" ca="1" si="300"/>
        <v>549</v>
      </c>
      <c r="EY82" s="5" t="str">
        <f t="shared" ca="1" si="301"/>
        <v>VIGENTE</v>
      </c>
      <c r="EZ82" s="3"/>
      <c r="FA82" s="4">
        <v>45922</v>
      </c>
      <c r="FB82" s="4">
        <f>DATE(YEAR(FA82)+2,MONTH(FA82),DAY(FA82))</f>
        <v>46652</v>
      </c>
      <c r="FC82" s="8">
        <f t="shared" ca="1" si="302"/>
        <v>518</v>
      </c>
      <c r="FD82" s="5" t="str">
        <f t="shared" ca="1" si="303"/>
        <v>VIGENTE</v>
      </c>
      <c r="FE82" s="3"/>
      <c r="FF82" s="4">
        <v>45932</v>
      </c>
      <c r="FG82" s="4">
        <f>DATE(YEAR(FF82)+2,MONTH(FF82),DAY(FF82))</f>
        <v>46662</v>
      </c>
      <c r="FH82" s="8">
        <f t="shared" ca="1" si="304"/>
        <v>528</v>
      </c>
      <c r="FI82" s="5" t="str">
        <f t="shared" ca="1" si="305"/>
        <v>VIGENTE</v>
      </c>
      <c r="FJ82" s="3"/>
      <c r="FK82" s="4">
        <v>45850</v>
      </c>
      <c r="FL82" s="4">
        <f>DATE(YEAR(FK82)+2,MONTH(FK82),DAY(FK82))</f>
        <v>46580</v>
      </c>
      <c r="FM82" s="8">
        <f t="shared" ca="1" si="306"/>
        <v>446</v>
      </c>
      <c r="FN82" s="5" t="str">
        <f t="shared" ca="1" si="307"/>
        <v>VIGENTE</v>
      </c>
      <c r="FO82" s="3"/>
      <c r="FP82" s="4">
        <v>45846</v>
      </c>
      <c r="FQ82" s="4">
        <f>DATE(YEAR(FP82)+2,MONTH(FP82),DAY(FP82))</f>
        <v>46576</v>
      </c>
      <c r="FR82" s="8">
        <f t="shared" ca="1" si="308"/>
        <v>442</v>
      </c>
      <c r="FS82" s="5" t="str">
        <f t="shared" ca="1" si="309"/>
        <v>VIGENTE</v>
      </c>
      <c r="FT82" s="3"/>
      <c r="FU82" s="4">
        <v>45961</v>
      </c>
      <c r="FV82" s="4">
        <f>DATE(YEAR(FU82)+2,MONTH(FU82),DAY(FU82))</f>
        <v>46691</v>
      </c>
      <c r="FW82" s="8">
        <f t="shared" ca="1" si="310"/>
        <v>557</v>
      </c>
      <c r="FX82" s="5" t="str">
        <f t="shared" ca="1" si="311"/>
        <v>VIGENTE</v>
      </c>
      <c r="FY82" s="3"/>
      <c r="FZ82" s="4">
        <v>45925</v>
      </c>
      <c r="GA82" s="4">
        <f>DATE(YEAR(FZ82)+2,MONTH(FZ82),DAY(FZ82))</f>
        <v>46655</v>
      </c>
      <c r="GB82" s="8">
        <f t="shared" ca="1" si="312"/>
        <v>521</v>
      </c>
      <c r="GC82" s="5" t="str">
        <f t="shared" ca="1" si="313"/>
        <v>VIGENTE</v>
      </c>
      <c r="GD82" s="3"/>
      <c r="GE82" s="4">
        <v>45912</v>
      </c>
      <c r="GF82" s="4">
        <f>DATE(YEAR(GE82)+2,MONTH(GE82),DAY(GE82))</f>
        <v>46642</v>
      </c>
      <c r="GG82" s="8">
        <f t="shared" ca="1" si="314"/>
        <v>508</v>
      </c>
      <c r="GH82" s="5" t="str">
        <f t="shared" ca="1" si="315"/>
        <v>VIGENTE</v>
      </c>
      <c r="GI82" s="3"/>
      <c r="GJ82" s="4">
        <v>45848</v>
      </c>
      <c r="GK82" s="4">
        <f>DATE(YEAR(GJ82)+2,MONTH(GJ82),DAY(GJ82))</f>
        <v>46578</v>
      </c>
      <c r="GL82" s="8">
        <f t="shared" ca="1" si="316"/>
        <v>444</v>
      </c>
      <c r="GM82" s="5" t="str">
        <f t="shared" ca="1" si="317"/>
        <v>VIGENTE</v>
      </c>
      <c r="GN82" s="4"/>
      <c r="GO82" s="4">
        <v>45181</v>
      </c>
      <c r="GP82" s="4">
        <f t="shared" si="318"/>
        <v>47008</v>
      </c>
      <c r="GQ82" s="8">
        <f t="shared" ca="1" si="394"/>
        <v>874</v>
      </c>
      <c r="GR82" s="5" t="str">
        <f t="shared" ca="1" si="388"/>
        <v>VIGENTE</v>
      </c>
      <c r="GS82" s="3"/>
      <c r="GT82" s="4">
        <v>45245</v>
      </c>
      <c r="GU82" s="4">
        <f t="shared" si="320"/>
        <v>47072</v>
      </c>
      <c r="GV82" s="8">
        <f t="shared" ca="1" si="321"/>
        <v>938</v>
      </c>
      <c r="GW82" s="5" t="str">
        <f t="shared" ca="1" si="389"/>
        <v>VIGENTE</v>
      </c>
      <c r="GX82" s="2"/>
      <c r="GY82" s="4">
        <v>45251</v>
      </c>
      <c r="GZ82" s="4">
        <f t="shared" si="323"/>
        <v>47078</v>
      </c>
      <c r="HA82" s="8">
        <f t="shared" ca="1" si="324"/>
        <v>944</v>
      </c>
      <c r="HB82" s="5" t="str">
        <f t="shared" ca="1" si="390"/>
        <v>VIGENTE</v>
      </c>
      <c r="HC82" s="6"/>
      <c r="HD82" s="4">
        <v>45317</v>
      </c>
      <c r="HE82" s="4">
        <f t="shared" si="382"/>
        <v>47144</v>
      </c>
      <c r="HF82" s="8">
        <f t="shared" ca="1" si="383"/>
        <v>1010</v>
      </c>
      <c r="HG82" s="5" t="str">
        <f t="shared" ca="1" si="391"/>
        <v>VIGENTE</v>
      </c>
      <c r="HH82" s="2"/>
      <c r="HI82" s="6"/>
      <c r="HJ82" s="4">
        <f>DATE(YEAR(HI82)+5,MONTH(HI82),DAY(HI82))</f>
        <v>1827</v>
      </c>
      <c r="HK82" s="8">
        <f ca="1">HJ82-TODAY()</f>
        <v>-44307</v>
      </c>
      <c r="HL82" s="5" t="str">
        <f ca="1">IF(HK82&gt;=61,"VIGENTE",IF(HK82&gt;=1,"POR VENCER",IF(HK82&lt;=-1,"PROGRAMAR",IF(HI82=0,"NO APLICA"))))</f>
        <v>PROGRAMAR</v>
      </c>
      <c r="HM82" s="2"/>
      <c r="HN82" s="2"/>
      <c r="HO82" s="4"/>
      <c r="HP82" s="2"/>
      <c r="HQ82" s="5" t="str">
        <f t="shared" si="326"/>
        <v>NO APLICA</v>
      </c>
      <c r="HR82" s="2"/>
      <c r="HS82" s="6"/>
      <c r="HT82" s="4"/>
      <c r="HU82" s="8"/>
      <c r="HV82" s="5" t="str">
        <f t="shared" si="327"/>
        <v>NO APLICA</v>
      </c>
      <c r="HW82" s="2"/>
      <c r="HX82" s="4">
        <v>45395</v>
      </c>
      <c r="HY82" s="4">
        <f>DATE(YEAR(HX82)+5,MONTH(HX82),DAY(HX82))</f>
        <v>47221</v>
      </c>
      <c r="HZ82" s="8">
        <f ca="1">HY82-TODAY()</f>
        <v>1087</v>
      </c>
      <c r="IA82" s="5" t="str">
        <f t="shared" ca="1" si="328"/>
        <v>VIGENTE</v>
      </c>
      <c r="IB82" s="2"/>
      <c r="IC82" s="4"/>
      <c r="ID82" s="4"/>
      <c r="IE82" s="8"/>
      <c r="IF82" s="5" t="str">
        <f t="shared" si="329"/>
        <v>NO APLICA</v>
      </c>
      <c r="IG82" s="6"/>
      <c r="IH82" s="6"/>
      <c r="II82" s="4"/>
      <c r="IJ82" s="8"/>
      <c r="IK82" s="5" t="str">
        <f t="shared" si="330"/>
        <v>NO APLICA</v>
      </c>
      <c r="IL82" s="2"/>
      <c r="IM82" s="6"/>
      <c r="IN82" s="4"/>
      <c r="IO82" s="8"/>
      <c r="IP82" s="5" t="str">
        <f t="shared" si="331"/>
        <v>NO APLICA</v>
      </c>
      <c r="IQ82" s="2"/>
      <c r="IR82" s="4">
        <v>45350</v>
      </c>
      <c r="IS82" s="4">
        <f>DATE(YEAR(IR82)+5,MONTH(IR82),DAY(IR82))</f>
        <v>47177</v>
      </c>
      <c r="IT82" s="8">
        <f ca="1">IS82-TODAY()</f>
        <v>1043</v>
      </c>
      <c r="IU82" s="5" t="str">
        <f t="shared" ca="1" si="332"/>
        <v>VIGENTE</v>
      </c>
      <c r="IV82" s="2"/>
      <c r="IW82" s="6"/>
      <c r="IX82" s="4"/>
      <c r="IY82" s="8"/>
      <c r="IZ82" s="5" t="str">
        <f t="shared" si="333"/>
        <v>NO APLICA</v>
      </c>
      <c r="JA82" s="3"/>
      <c r="JB82" s="3"/>
      <c r="JC82" s="4"/>
      <c r="JD82" s="8"/>
      <c r="JE82" s="5" t="str">
        <f t="shared" si="334"/>
        <v>NO APLICA</v>
      </c>
      <c r="JF82" s="6"/>
      <c r="JG82" s="6"/>
      <c r="JH82" s="6"/>
      <c r="JI82" s="6"/>
      <c r="JJ82" s="5" t="str">
        <f t="shared" si="335"/>
        <v>NO APLICA</v>
      </c>
      <c r="JK82" s="6"/>
      <c r="JL82" s="6"/>
      <c r="JM82" s="6"/>
      <c r="JN82" s="6"/>
      <c r="JO82" s="5" t="str">
        <f t="shared" si="336"/>
        <v>NO APLICA</v>
      </c>
      <c r="JP82" s="6"/>
      <c r="JQ82" s="6"/>
      <c r="JR82" s="6"/>
      <c r="JS82" s="6"/>
      <c r="JT82" s="5" t="str">
        <f t="shared" si="337"/>
        <v>NO APLICA</v>
      </c>
      <c r="JU82" s="5"/>
      <c r="JV82" s="5"/>
      <c r="JW82" s="5"/>
      <c r="JX82" s="5"/>
      <c r="JY82" s="5" t="str">
        <f t="shared" si="338"/>
        <v>NO APLICA</v>
      </c>
      <c r="JZ82" s="5"/>
      <c r="KA82" s="2"/>
      <c r="KB82" s="4"/>
      <c r="KC82" s="8"/>
      <c r="KD82" s="5" t="str">
        <f t="shared" si="339"/>
        <v>NO APLICA</v>
      </c>
      <c r="KE82" s="5"/>
      <c r="KF82" s="2"/>
      <c r="KG82" s="4"/>
      <c r="KH82" s="8"/>
      <c r="KI82" s="5" t="str">
        <f t="shared" si="365"/>
        <v>NO APLICA</v>
      </c>
      <c r="KJ82" s="5"/>
      <c r="KK82" s="2"/>
      <c r="KL82" s="4"/>
      <c r="KM82" s="8"/>
      <c r="KN82" s="5" t="str">
        <f t="shared" si="340"/>
        <v>NO APLICA</v>
      </c>
      <c r="KO82" s="5"/>
      <c r="KP82" s="2"/>
      <c r="KQ82" s="4"/>
      <c r="KR82" s="8"/>
      <c r="KS82" s="5" t="str">
        <f t="shared" si="366"/>
        <v>NO APLICA</v>
      </c>
      <c r="KT82" s="2"/>
      <c r="KU82" s="6"/>
      <c r="KV82" s="4"/>
      <c r="KW82" s="8"/>
      <c r="KX82" s="5" t="str">
        <f t="shared" si="375"/>
        <v>NO APLICA</v>
      </c>
      <c r="KY82" s="5"/>
      <c r="KZ82" s="6"/>
      <c r="LA82" s="4"/>
      <c r="LB82" s="8"/>
      <c r="LC82" s="5" t="str">
        <f t="shared" si="367"/>
        <v>NO APLICA</v>
      </c>
      <c r="LD82" s="6"/>
      <c r="LE82" s="6"/>
      <c r="LF82" s="4"/>
      <c r="LG82" s="8"/>
      <c r="LH82" s="5" t="str">
        <f t="shared" si="341"/>
        <v>NO APLICA</v>
      </c>
      <c r="LI82" s="5"/>
      <c r="LJ82" s="5"/>
      <c r="LK82" s="4"/>
      <c r="LL82" s="8"/>
      <c r="LM82" s="5" t="str">
        <f t="shared" si="376"/>
        <v>NO APLICA</v>
      </c>
      <c r="LN82" s="2"/>
      <c r="LO82" s="6"/>
      <c r="LP82" s="4"/>
      <c r="LQ82" s="8"/>
      <c r="LR82" s="5" t="str">
        <f t="shared" si="368"/>
        <v>NO APLICA</v>
      </c>
      <c r="LS82" s="6"/>
      <c r="LT82" s="6"/>
      <c r="LU82" s="4"/>
      <c r="LV82" s="8"/>
      <c r="LW82" s="5" t="str">
        <f t="shared" si="369"/>
        <v>NO APLICA</v>
      </c>
      <c r="LX82" s="6"/>
      <c r="LY82" s="6"/>
      <c r="LZ82" s="4"/>
      <c r="MA82" s="8"/>
      <c r="MB82" s="5" t="str">
        <f t="shared" si="370"/>
        <v>NO APLICA</v>
      </c>
      <c r="MC82" s="2"/>
      <c r="MD82" s="2"/>
      <c r="ME82" s="4"/>
      <c r="MF82" s="8"/>
      <c r="MG82" s="5" t="str">
        <f t="shared" si="342"/>
        <v>NO APLICA</v>
      </c>
      <c r="MH82" s="2"/>
      <c r="MI82" s="2"/>
      <c r="MJ82" s="4"/>
      <c r="MK82" s="8"/>
      <c r="ML82" s="5" t="str">
        <f t="shared" si="343"/>
        <v>NO APLICA</v>
      </c>
      <c r="MM82" s="5"/>
      <c r="MN82" s="2"/>
      <c r="MO82" s="4"/>
      <c r="MP82" s="8"/>
      <c r="MQ82" s="5" t="str">
        <f t="shared" si="344"/>
        <v>NO APLICA</v>
      </c>
      <c r="MR82" s="5"/>
      <c r="MS82" s="2"/>
      <c r="MT82" s="4"/>
      <c r="MU82" s="2"/>
      <c r="MV82" s="5" t="str">
        <f t="shared" si="345"/>
        <v>NO APLICA</v>
      </c>
      <c r="MW82" s="2"/>
      <c r="MX82" s="6"/>
      <c r="MY82" s="4"/>
      <c r="MZ82" s="8"/>
      <c r="NA82" s="5" t="str">
        <f t="shared" si="346"/>
        <v>NO APLICA</v>
      </c>
      <c r="NB82" s="2"/>
      <c r="NC82" s="6"/>
      <c r="ND82" s="4"/>
      <c r="NE82" s="8"/>
      <c r="NF82" s="5" t="str">
        <f t="shared" si="347"/>
        <v>NO APLICA</v>
      </c>
      <c r="NG82" s="2"/>
      <c r="NH82" s="6"/>
      <c r="NI82" s="4"/>
      <c r="NJ82" s="8"/>
      <c r="NK82" s="5" t="str">
        <f t="shared" si="348"/>
        <v>NO APLICA</v>
      </c>
      <c r="NL82" s="2"/>
      <c r="NM82" s="2"/>
      <c r="NN82" s="4"/>
      <c r="NO82" s="8"/>
      <c r="NP82" s="5" t="str">
        <f t="shared" si="349"/>
        <v>NO APLICA</v>
      </c>
      <c r="NQ82" s="2"/>
      <c r="NR82" s="2"/>
      <c r="NS82" s="4"/>
      <c r="NT82" s="2"/>
      <c r="NU82" s="5" t="str">
        <f t="shared" si="350"/>
        <v>NO APLICA</v>
      </c>
      <c r="NV82" s="6"/>
      <c r="NW82" s="6"/>
      <c r="NX82" s="4"/>
      <c r="NY82" s="8"/>
      <c r="NZ82" s="5" t="str">
        <f t="shared" si="351"/>
        <v>NO APLICA</v>
      </c>
      <c r="OA82" s="6"/>
      <c r="OB82" s="6"/>
      <c r="OC82" s="6"/>
      <c r="OD82" s="6"/>
      <c r="OE82" s="5" t="str">
        <f t="shared" si="352"/>
        <v>NO APLICA</v>
      </c>
      <c r="OF82" s="6"/>
      <c r="OG82" s="6"/>
      <c r="OH82" s="4"/>
      <c r="OI82" s="8"/>
      <c r="OJ82" s="5" t="str">
        <f t="shared" si="353"/>
        <v>NO APLICA</v>
      </c>
      <c r="OK82" s="6"/>
      <c r="OL82" s="6"/>
      <c r="OM82" s="6"/>
      <c r="ON82" s="6"/>
      <c r="OO82" s="5" t="str">
        <f t="shared" si="354"/>
        <v>NO APLICA</v>
      </c>
      <c r="OP82" s="6"/>
      <c r="OQ82" s="6"/>
      <c r="OR82" s="6"/>
      <c r="OS82" s="6"/>
      <c r="OT82" s="5" t="str">
        <f t="shared" si="355"/>
        <v>NO APLICA</v>
      </c>
      <c r="OU82" s="6"/>
      <c r="OV82" s="6"/>
      <c r="OW82" s="6"/>
      <c r="OX82" s="6"/>
      <c r="OY82" s="5" t="str">
        <f t="shared" si="356"/>
        <v>NO APLICA</v>
      </c>
      <c r="OZ82" s="6"/>
      <c r="PA82" s="6"/>
      <c r="PB82" s="6"/>
      <c r="PC82" s="6"/>
      <c r="PD82" s="5" t="str">
        <f t="shared" si="357"/>
        <v>NO APLICA</v>
      </c>
      <c r="PE82" s="6"/>
      <c r="PF82" s="6"/>
      <c r="PG82" s="6"/>
      <c r="PH82" s="6"/>
      <c r="PI82" s="5" t="str">
        <f t="shared" si="358"/>
        <v>NO APLICA</v>
      </c>
      <c r="PJ82" s="5"/>
      <c r="PK82" s="6"/>
      <c r="PL82" s="4"/>
      <c r="PM82" s="8"/>
      <c r="PN82" s="5" t="str">
        <f t="shared" si="359"/>
        <v>NO APLICA</v>
      </c>
      <c r="PO82" s="6"/>
      <c r="PP82" s="6"/>
      <c r="PQ82" s="6"/>
      <c r="PR82" s="6"/>
      <c r="PS82" s="5" t="str">
        <f t="shared" si="360"/>
        <v>NO APLICA</v>
      </c>
      <c r="PT82" s="5"/>
      <c r="PU82" s="6"/>
      <c r="PV82" s="6"/>
      <c r="PW82" s="6"/>
      <c r="PX82" s="5" t="str">
        <f t="shared" si="361"/>
        <v>NO APLICA</v>
      </c>
    </row>
    <row r="83" spans="1:440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192</v>
      </c>
      <c r="T83" s="5" t="str">
        <f t="shared" ca="1" si="362"/>
        <v>VIGENTE</v>
      </c>
      <c r="U83" s="2" t="s">
        <v>304</v>
      </c>
      <c r="V83" s="4">
        <v>45142</v>
      </c>
      <c r="W83" s="4">
        <f t="shared" si="248"/>
        <v>46969</v>
      </c>
      <c r="X83" s="8">
        <f t="shared" ca="1" si="249"/>
        <v>835</v>
      </c>
      <c r="Y83" s="5" t="str">
        <f t="shared" ca="1" si="250"/>
        <v>VIGENTE</v>
      </c>
      <c r="Z83" s="2" t="s">
        <v>305</v>
      </c>
      <c r="AA83" s="4">
        <v>45192</v>
      </c>
      <c r="AB83" s="4">
        <f t="shared" si="385"/>
        <v>47019</v>
      </c>
      <c r="AC83" s="8">
        <f t="shared" ca="1" si="386"/>
        <v>885</v>
      </c>
      <c r="AD83" s="5" t="str">
        <f t="shared" ca="1" si="387"/>
        <v>VIGENTE</v>
      </c>
      <c r="AE83" s="2"/>
      <c r="AF83" s="4">
        <v>45936</v>
      </c>
      <c r="AG83" s="4">
        <f>DATE(YEAR(AF83)+2,MONTH(AF83),DAY(AF83))</f>
        <v>46666</v>
      </c>
      <c r="AH83" s="8">
        <f t="shared" ca="1" si="252"/>
        <v>532</v>
      </c>
      <c r="AI83" s="5" t="str">
        <f t="shared" ca="1" si="224"/>
        <v>VIGENTE</v>
      </c>
      <c r="AJ83" s="2"/>
      <c r="AK83" s="4">
        <v>45937</v>
      </c>
      <c r="AL83" s="4">
        <f>DATE(YEAR(AK83)+2,MONTH(AK83),DAY(AK83))</f>
        <v>46667</v>
      </c>
      <c r="AM83" s="8">
        <f t="shared" ca="1" si="253"/>
        <v>533</v>
      </c>
      <c r="AN83" s="5" t="str">
        <f t="shared" ca="1" si="254"/>
        <v>VIGENTE</v>
      </c>
      <c r="AO83" s="2"/>
      <c r="AP83" s="4">
        <v>45904</v>
      </c>
      <c r="AQ83" s="4">
        <f>DATE(YEAR(AP83)+2,MONTH(AP83),DAY(AP83))</f>
        <v>46634</v>
      </c>
      <c r="AR83" s="8">
        <f t="shared" ca="1" si="255"/>
        <v>500</v>
      </c>
      <c r="AS83" s="5" t="str">
        <f t="shared" ca="1" si="256"/>
        <v>VIGENTE</v>
      </c>
      <c r="AT83" s="2"/>
      <c r="AU83" s="4">
        <v>45927</v>
      </c>
      <c r="AV83" s="4">
        <f>DATE(YEAR(AU83)+2,MONTH(AU83),DAY(AU83))</f>
        <v>46657</v>
      </c>
      <c r="AW83" s="8">
        <f t="shared" ca="1" si="257"/>
        <v>523</v>
      </c>
      <c r="AX83" s="5" t="str">
        <f t="shared" ca="1" si="258"/>
        <v>VIGENTE</v>
      </c>
      <c r="AY83" s="3"/>
      <c r="AZ83" s="4">
        <v>46041</v>
      </c>
      <c r="BA83" s="4">
        <f>DATE(YEAR(AZ83)+2,MONTH(AZ83),DAY(AZ83))</f>
        <v>46771</v>
      </c>
      <c r="BB83" s="8">
        <f t="shared" ca="1" si="259"/>
        <v>637</v>
      </c>
      <c r="BC83" s="5" t="str">
        <f t="shared" ca="1" si="260"/>
        <v>VIGENTE</v>
      </c>
      <c r="BD83" s="2"/>
      <c r="BE83" s="4">
        <v>45997</v>
      </c>
      <c r="BF83" s="4">
        <f>DATE(YEAR(BE83)+2,MONTH(BE83),DAY(BE83))</f>
        <v>46727</v>
      </c>
      <c r="BG83" s="8">
        <f t="shared" ca="1" si="261"/>
        <v>593</v>
      </c>
      <c r="BH83" s="5" t="str">
        <f t="shared" ca="1" si="262"/>
        <v>VIGENTE</v>
      </c>
      <c r="BI83" s="3"/>
      <c r="BJ83" s="4">
        <v>46017</v>
      </c>
      <c r="BK83" s="4">
        <f>DATE(YEAR(BJ83)+2,MONTH(BJ83),DAY(BJ83))</f>
        <v>46747</v>
      </c>
      <c r="BL83" s="8">
        <f t="shared" ca="1" si="263"/>
        <v>613</v>
      </c>
      <c r="BM83" s="5" t="str">
        <f t="shared" ca="1" si="264"/>
        <v>VIGENTE</v>
      </c>
      <c r="BN83" s="3"/>
      <c r="BO83" s="4">
        <v>45988</v>
      </c>
      <c r="BP83" s="4">
        <f>DATE(YEAR(BO83)+2,MONTH(BO83),DAY(BO83))</f>
        <v>46718</v>
      </c>
      <c r="BQ83" s="8">
        <f t="shared" ca="1" si="265"/>
        <v>584</v>
      </c>
      <c r="BR83" s="5" t="str">
        <f t="shared" ca="1" si="266"/>
        <v>VIGENTE</v>
      </c>
      <c r="BS83" s="3"/>
      <c r="BT83" s="4">
        <v>46031</v>
      </c>
      <c r="BU83" s="4">
        <f>DATE(YEAR(BT83)+2,MONTH(BT83),DAY(BT83))</f>
        <v>46761</v>
      </c>
      <c r="BV83" s="8">
        <f t="shared" ca="1" si="267"/>
        <v>627</v>
      </c>
      <c r="BW83" s="5" t="str">
        <f t="shared" ca="1" si="268"/>
        <v>VIGENTE</v>
      </c>
      <c r="BX83" s="2"/>
      <c r="BY83" s="4">
        <v>45986</v>
      </c>
      <c r="BZ83" s="4">
        <f>DATE(YEAR(BY83)+2,MONTH(BY83),DAY(BY83))</f>
        <v>46716</v>
      </c>
      <c r="CA83" s="8">
        <f t="shared" ca="1" si="269"/>
        <v>582</v>
      </c>
      <c r="CB83" s="5" t="str">
        <f t="shared" ca="1" si="270"/>
        <v>VIGENTE</v>
      </c>
      <c r="CC83" s="6" t="s">
        <v>73</v>
      </c>
      <c r="CD83" s="4">
        <v>45164</v>
      </c>
      <c r="CE83" s="4">
        <f t="shared" si="271"/>
        <v>46625</v>
      </c>
      <c r="CF83" s="8">
        <f t="shared" ca="1" si="272"/>
        <v>491</v>
      </c>
      <c r="CG83" s="5" t="str">
        <f t="shared" ca="1" si="273"/>
        <v>VIGENTE</v>
      </c>
      <c r="CH83" s="4"/>
      <c r="CI83" s="4">
        <v>46018</v>
      </c>
      <c r="CJ83" s="4">
        <f>DATE(YEAR(CI83)+2,MONTH(CI83),DAY(CI83))</f>
        <v>46748</v>
      </c>
      <c r="CK83" s="8">
        <f t="shared" ca="1" si="274"/>
        <v>614</v>
      </c>
      <c r="CL83" s="5" t="str">
        <f t="shared" ca="1" si="275"/>
        <v>VIGENTE</v>
      </c>
      <c r="CM83" s="3"/>
      <c r="CN83" s="4">
        <v>45994</v>
      </c>
      <c r="CO83" s="4">
        <f>DATE(YEAR(CN83)+2,MONTH(CN83),DAY(CN83))</f>
        <v>46724</v>
      </c>
      <c r="CP83" s="8">
        <f t="shared" ca="1" si="276"/>
        <v>590</v>
      </c>
      <c r="CQ83" s="5" t="str">
        <f t="shared" ca="1" si="277"/>
        <v>VIGENTE</v>
      </c>
      <c r="CR83" s="2"/>
      <c r="CS83" s="4">
        <v>45905</v>
      </c>
      <c r="CT83" s="4">
        <f>DATE(YEAR(CS83)+2,MONTH(CS83),DAY(CS83))</f>
        <v>46635</v>
      </c>
      <c r="CU83" s="8">
        <f t="shared" ca="1" si="278"/>
        <v>501</v>
      </c>
      <c r="CV83" s="5" t="str">
        <f t="shared" ca="1" si="279"/>
        <v>VIGENTE</v>
      </c>
      <c r="CW83" s="3"/>
      <c r="CX83" s="4">
        <v>46000</v>
      </c>
      <c r="CY83" s="4">
        <f>DATE(YEAR(CX83)+2,MONTH(CX83),DAY(CX83))</f>
        <v>46730</v>
      </c>
      <c r="CZ83" s="8">
        <f t="shared" ca="1" si="280"/>
        <v>596</v>
      </c>
      <c r="DA83" s="5" t="str">
        <f t="shared" ca="1" si="281"/>
        <v>VIGENTE</v>
      </c>
      <c r="DB83" s="3"/>
      <c r="DC83" s="4">
        <v>45996</v>
      </c>
      <c r="DD83" s="4">
        <f>DATE(YEAR(DC83)+2,MONTH(DC83),DAY(DC83))</f>
        <v>46726</v>
      </c>
      <c r="DE83" s="8">
        <f t="shared" ca="1" si="282"/>
        <v>592</v>
      </c>
      <c r="DF83" s="5" t="str">
        <f t="shared" ca="1" si="283"/>
        <v>VIGENTE</v>
      </c>
      <c r="DG83" s="2"/>
      <c r="DH83" s="4">
        <v>45975</v>
      </c>
      <c r="DI83" s="4">
        <f>DATE(YEAR(DH83)+2,MONTH(DH83),DAY(DH83))</f>
        <v>46705</v>
      </c>
      <c r="DJ83" s="8">
        <f t="shared" ca="1" si="284"/>
        <v>571</v>
      </c>
      <c r="DK83" s="5" t="str">
        <f t="shared" ca="1" si="285"/>
        <v>VIGENTE</v>
      </c>
      <c r="DL83" s="3"/>
      <c r="DM83" s="4">
        <v>46007</v>
      </c>
      <c r="DN83" s="4">
        <f>DATE(YEAR(DM83)+2,MONTH(DM83),DAY(DM83))</f>
        <v>46737</v>
      </c>
      <c r="DO83" s="8">
        <f t="shared" ca="1" si="286"/>
        <v>603</v>
      </c>
      <c r="DP83" s="5" t="str">
        <f t="shared" ca="1" si="287"/>
        <v>VIGENTE</v>
      </c>
      <c r="DQ83" s="4"/>
      <c r="DR83" s="3">
        <v>46009</v>
      </c>
      <c r="DS83" s="4">
        <f>DATE(YEAR(DR83)+2,MONTH(DR83),DAY(DR83))</f>
        <v>46739</v>
      </c>
      <c r="DT83" s="8">
        <f t="shared" ca="1" si="288"/>
        <v>605</v>
      </c>
      <c r="DU83" s="5" t="str">
        <f t="shared" ca="1" si="289"/>
        <v>VIGENTE</v>
      </c>
      <c r="DV83" s="4"/>
      <c r="DW83" s="4">
        <v>46032</v>
      </c>
      <c r="DX83" s="4">
        <f>DATE(YEAR(DW83)+2,MONTH(DW83),DAY(DW83))</f>
        <v>46762</v>
      </c>
      <c r="DY83" s="8">
        <f t="shared" ca="1" si="290"/>
        <v>628</v>
      </c>
      <c r="DZ83" s="5" t="str">
        <f t="shared" ca="1" si="291"/>
        <v>VIGENTE</v>
      </c>
      <c r="EA83" s="4"/>
      <c r="EB83" s="4">
        <v>45985</v>
      </c>
      <c r="EC83" s="4">
        <f>DATE(YEAR(EB83)+2,MONTH(EB83),DAY(EB83))</f>
        <v>46715</v>
      </c>
      <c r="ED83" s="8">
        <f t="shared" ca="1" si="292"/>
        <v>581</v>
      </c>
      <c r="EE83" s="5" t="str">
        <f t="shared" ca="1" si="293"/>
        <v>VIGENTE</v>
      </c>
      <c r="EF83" s="3"/>
      <c r="EG83" s="3">
        <v>46015</v>
      </c>
      <c r="EH83" s="4">
        <f t="shared" si="364"/>
        <v>46380</v>
      </c>
      <c r="EI83" s="8">
        <f t="shared" ca="1" si="294"/>
        <v>246</v>
      </c>
      <c r="EJ83" s="5" t="str">
        <f t="shared" ca="1" si="295"/>
        <v>VIGENTE</v>
      </c>
      <c r="EK83" s="3"/>
      <c r="EL83" s="4">
        <v>45995</v>
      </c>
      <c r="EM83" s="4">
        <f>DATE(YEAR(EL83)+2,MONTH(EL83),DAY(EL83))</f>
        <v>46725</v>
      </c>
      <c r="EN83" s="8">
        <f t="shared" ca="1" si="296"/>
        <v>591</v>
      </c>
      <c r="EO83" s="5" t="str">
        <f t="shared" ca="1" si="297"/>
        <v>VIGENTE</v>
      </c>
      <c r="EP83" s="2"/>
      <c r="EQ83" s="4">
        <v>45999</v>
      </c>
      <c r="ER83" s="4">
        <f>DATE(YEAR(EQ83)+2,MONTH(EQ83),DAY(EQ83))</f>
        <v>46729</v>
      </c>
      <c r="ES83" s="8">
        <f t="shared" ca="1" si="298"/>
        <v>595</v>
      </c>
      <c r="ET83" s="5" t="str">
        <f t="shared" ca="1" si="299"/>
        <v>VIGENTE</v>
      </c>
      <c r="EU83" s="3"/>
      <c r="EV83" s="4">
        <v>46037</v>
      </c>
      <c r="EW83" s="4">
        <f>DATE(YEAR(EV83)+2,MONTH(EV83),DAY(EV83))</f>
        <v>46767</v>
      </c>
      <c r="EX83" s="8">
        <f t="shared" ca="1" si="300"/>
        <v>633</v>
      </c>
      <c r="EY83" s="5" t="str">
        <f t="shared" ca="1" si="301"/>
        <v>VIGENTE</v>
      </c>
      <c r="EZ83" s="3"/>
      <c r="FA83" s="4">
        <v>46010</v>
      </c>
      <c r="FB83" s="4">
        <f>DATE(YEAR(FA83)+2,MONTH(FA83),DAY(FA83))</f>
        <v>46740</v>
      </c>
      <c r="FC83" s="8">
        <f t="shared" ca="1" si="302"/>
        <v>606</v>
      </c>
      <c r="FD83" s="5" t="str">
        <f t="shared" ca="1" si="303"/>
        <v>VIGENTE</v>
      </c>
      <c r="FE83" s="3"/>
      <c r="FF83" s="4">
        <v>45962</v>
      </c>
      <c r="FG83" s="4">
        <f>DATE(YEAR(FF83)+2,MONTH(FF83),DAY(FF83))</f>
        <v>46692</v>
      </c>
      <c r="FH83" s="8">
        <f t="shared" ca="1" si="304"/>
        <v>558</v>
      </c>
      <c r="FI83" s="5" t="str">
        <f t="shared" ca="1" si="305"/>
        <v>VIGENTE</v>
      </c>
      <c r="FJ83" s="4"/>
      <c r="FK83" s="4">
        <v>46039</v>
      </c>
      <c r="FL83" s="4">
        <f>DATE(YEAR(FK83)+2,MONTH(FK83),DAY(FK83))</f>
        <v>46769</v>
      </c>
      <c r="FM83" s="8">
        <f t="shared" ca="1" si="306"/>
        <v>635</v>
      </c>
      <c r="FN83" s="5" t="str">
        <f t="shared" ca="1" si="307"/>
        <v>VIGENTE</v>
      </c>
      <c r="FO83" s="4"/>
      <c r="FP83" s="4">
        <v>46034</v>
      </c>
      <c r="FQ83" s="4">
        <f>DATE(YEAR(FP83)+2,MONTH(FP83),DAY(FP83))</f>
        <v>46764</v>
      </c>
      <c r="FR83" s="8">
        <f t="shared" ca="1" si="308"/>
        <v>630</v>
      </c>
      <c r="FS83" s="5" t="str">
        <f t="shared" ca="1" si="309"/>
        <v>VIGENTE</v>
      </c>
      <c r="FT83" s="4"/>
      <c r="FU83" s="4">
        <v>46004</v>
      </c>
      <c r="FV83" s="4">
        <f>DATE(YEAR(FU83)+2,MONTH(FU83),DAY(FU83))</f>
        <v>46734</v>
      </c>
      <c r="FW83" s="8">
        <f t="shared" ca="1" si="310"/>
        <v>600</v>
      </c>
      <c r="FX83" s="5" t="str">
        <f t="shared" ca="1" si="311"/>
        <v>VIGENTE</v>
      </c>
      <c r="FY83" s="3"/>
      <c r="FZ83" s="4">
        <v>45925</v>
      </c>
      <c r="GA83" s="4">
        <f>DATE(YEAR(FZ83)+2,MONTH(FZ83),DAY(FZ83))</f>
        <v>46655</v>
      </c>
      <c r="GB83" s="8">
        <f t="shared" ca="1" si="312"/>
        <v>521</v>
      </c>
      <c r="GC83" s="5" t="str">
        <f t="shared" ca="1" si="313"/>
        <v>VIGENTE</v>
      </c>
      <c r="GD83" s="3"/>
      <c r="GE83" s="4">
        <v>45960</v>
      </c>
      <c r="GF83" s="4">
        <f>DATE(YEAR(GE83)+2,MONTH(GE83),DAY(GE83))</f>
        <v>46690</v>
      </c>
      <c r="GG83" s="8">
        <f t="shared" ca="1" si="314"/>
        <v>556</v>
      </c>
      <c r="GH83" s="5" t="str">
        <f t="shared" ca="1" si="315"/>
        <v>VIGENTE</v>
      </c>
      <c r="GI83" s="3"/>
      <c r="GJ83" s="4">
        <v>45499</v>
      </c>
      <c r="GK83" s="4">
        <f>DATE(YEAR(GJ83)+2,MONTH(GJ83),DAY(GJ83)-1)</f>
        <v>46228</v>
      </c>
      <c r="GL83" s="8">
        <f t="shared" ca="1" si="316"/>
        <v>94</v>
      </c>
      <c r="GM83" s="5" t="str">
        <f t="shared" ca="1" si="317"/>
        <v>VIGENTE</v>
      </c>
      <c r="GN83" s="4"/>
      <c r="GO83" s="4">
        <v>45299</v>
      </c>
      <c r="GP83" s="4">
        <f t="shared" si="318"/>
        <v>47126</v>
      </c>
      <c r="GQ83" s="8">
        <f t="shared" ca="1" si="394"/>
        <v>992</v>
      </c>
      <c r="GR83" s="5" t="str">
        <f t="shared" ca="1" si="388"/>
        <v>VIGENTE</v>
      </c>
      <c r="GS83" s="3"/>
      <c r="GT83" s="4">
        <v>45329</v>
      </c>
      <c r="GU83" s="4">
        <f t="shared" si="320"/>
        <v>47156</v>
      </c>
      <c r="GV83" s="8">
        <f t="shared" ca="1" si="321"/>
        <v>1022</v>
      </c>
      <c r="GW83" s="5" t="str">
        <f t="shared" ca="1" si="389"/>
        <v>VIGENTE</v>
      </c>
      <c r="GX83" s="2"/>
      <c r="GY83" s="4">
        <v>45343</v>
      </c>
      <c r="GZ83" s="4">
        <f t="shared" si="323"/>
        <v>47170</v>
      </c>
      <c r="HA83" s="8">
        <f t="shared" ca="1" si="324"/>
        <v>1036</v>
      </c>
      <c r="HB83" s="5" t="str">
        <f t="shared" ca="1" si="390"/>
        <v>VIGENTE</v>
      </c>
      <c r="HC83" s="6"/>
      <c r="HD83" s="4">
        <v>45317</v>
      </c>
      <c r="HE83" s="4">
        <f t="shared" si="382"/>
        <v>47144</v>
      </c>
      <c r="HF83" s="8">
        <f t="shared" ca="1" si="383"/>
        <v>1010</v>
      </c>
      <c r="HG83" s="5" t="str">
        <f t="shared" ca="1" si="391"/>
        <v>VIGENTE</v>
      </c>
      <c r="HH83" s="2"/>
      <c r="HI83" s="6"/>
      <c r="HJ83" s="4"/>
      <c r="HK83" s="8"/>
      <c r="HL83" s="5" t="str">
        <f t="shared" ref="HL83:HL105" si="395">IF(HK83&gt;=61,"VIGENTE",IF(HK83&gt;=1,"POR VENCER",IF(HK83&lt;=-1,"VENCIDA",IF(HI83=0,"NO APLICA"))))</f>
        <v>NO APLICA</v>
      </c>
      <c r="HM83" s="2"/>
      <c r="HN83" s="2"/>
      <c r="HO83" s="4"/>
      <c r="HP83" s="2"/>
      <c r="HQ83" s="5" t="str">
        <f t="shared" si="326"/>
        <v>NO APLICA</v>
      </c>
      <c r="HR83" s="2"/>
      <c r="HS83" s="6"/>
      <c r="HT83" s="4"/>
      <c r="HU83" s="8"/>
      <c r="HV83" s="5" t="str">
        <f t="shared" si="327"/>
        <v>NO APLICA</v>
      </c>
      <c r="HW83" s="2"/>
      <c r="HX83" s="6"/>
      <c r="HY83" s="4"/>
      <c r="HZ83" s="8"/>
      <c r="IA83" s="5" t="str">
        <f t="shared" si="328"/>
        <v>NO APLICA</v>
      </c>
      <c r="IB83" s="2"/>
      <c r="IC83" s="6"/>
      <c r="ID83" s="4"/>
      <c r="IE83" s="8"/>
      <c r="IF83" s="5" t="str">
        <f t="shared" si="329"/>
        <v>NO APLICA</v>
      </c>
      <c r="IG83" s="6"/>
      <c r="IH83" s="6"/>
      <c r="II83" s="4"/>
      <c r="IJ83" s="8"/>
      <c r="IK83" s="5" t="str">
        <f t="shared" si="330"/>
        <v>NO APLICA</v>
      </c>
      <c r="IL83" s="2"/>
      <c r="IM83" s="6"/>
      <c r="IN83" s="4"/>
      <c r="IO83" s="8"/>
      <c r="IP83" s="5" t="str">
        <f t="shared" si="331"/>
        <v>NO APLICA</v>
      </c>
      <c r="IQ83" s="2"/>
      <c r="IR83" s="6"/>
      <c r="IS83" s="4"/>
      <c r="IT83" s="8"/>
      <c r="IU83" s="5" t="str">
        <f t="shared" si="332"/>
        <v>NO APLICA</v>
      </c>
      <c r="IV83" s="2"/>
      <c r="IW83" s="6"/>
      <c r="IX83" s="4"/>
      <c r="IY83" s="8"/>
      <c r="IZ83" s="5" t="str">
        <f t="shared" si="333"/>
        <v>NO APLICA</v>
      </c>
      <c r="JA83" s="3"/>
      <c r="JB83" s="3"/>
      <c r="JC83" s="4"/>
      <c r="JD83" s="8"/>
      <c r="JE83" s="5" t="str">
        <f t="shared" si="334"/>
        <v>NO APLICA</v>
      </c>
      <c r="JF83" s="6"/>
      <c r="JG83" s="6"/>
      <c r="JH83" s="6"/>
      <c r="JI83" s="6"/>
      <c r="JJ83" s="5" t="str">
        <f t="shared" si="335"/>
        <v>NO APLICA</v>
      </c>
      <c r="JK83" s="6"/>
      <c r="JL83" s="6"/>
      <c r="JM83" s="6"/>
      <c r="JN83" s="6"/>
      <c r="JO83" s="5" t="str">
        <f t="shared" si="336"/>
        <v>NO APLICA</v>
      </c>
      <c r="JP83" s="6"/>
      <c r="JQ83" s="6"/>
      <c r="JR83" s="6"/>
      <c r="JS83" s="6"/>
      <c r="JT83" s="5" t="str">
        <f t="shared" si="337"/>
        <v>NO APLICA</v>
      </c>
      <c r="JU83" s="5"/>
      <c r="JV83" s="5"/>
      <c r="JW83" s="5"/>
      <c r="JX83" s="5"/>
      <c r="JY83" s="5" t="str">
        <f t="shared" si="338"/>
        <v>NO APLICA</v>
      </c>
      <c r="JZ83" s="5"/>
      <c r="KA83" s="2"/>
      <c r="KB83" s="4"/>
      <c r="KC83" s="8"/>
      <c r="KD83" s="5" t="str">
        <f t="shared" si="339"/>
        <v>NO APLICA</v>
      </c>
      <c r="KE83" s="5"/>
      <c r="KF83" s="2"/>
      <c r="KG83" s="4"/>
      <c r="KH83" s="8"/>
      <c r="KI83" s="5" t="str">
        <f t="shared" si="365"/>
        <v>NO APLICA</v>
      </c>
      <c r="KJ83" s="5"/>
      <c r="KK83" s="3">
        <v>45364</v>
      </c>
      <c r="KL83" s="4">
        <f>DATE(YEAR(KK83)+5,MONTH(KK83),DAY(KK83))</f>
        <v>47190</v>
      </c>
      <c r="KM83" s="8">
        <f ca="1">KL83-TODAY()</f>
        <v>1056</v>
      </c>
      <c r="KN83" s="5" t="str">
        <f t="shared" ca="1" si="340"/>
        <v>VIGENTE</v>
      </c>
      <c r="KO83" s="5"/>
      <c r="KP83" s="3">
        <v>45346</v>
      </c>
      <c r="KQ83" s="4">
        <f>DATE(YEAR(KP83)+5,MONTH(KP83),DAY(KP83))</f>
        <v>47173</v>
      </c>
      <c r="KR83" s="8">
        <f ca="1">KQ83-TODAY()</f>
        <v>1039</v>
      </c>
      <c r="KS83" s="5" t="str">
        <f t="shared" ca="1" si="366"/>
        <v>VIGENTE</v>
      </c>
      <c r="KT83" s="2"/>
      <c r="KU83" s="6"/>
      <c r="KV83" s="4"/>
      <c r="KW83" s="8"/>
      <c r="KX83" s="5" t="str">
        <f t="shared" si="375"/>
        <v>NO APLICA</v>
      </c>
      <c r="KY83" s="5"/>
      <c r="KZ83" s="6"/>
      <c r="LA83" s="4"/>
      <c r="LB83" s="8"/>
      <c r="LC83" s="5" t="str">
        <f t="shared" si="367"/>
        <v>NO APLICA</v>
      </c>
      <c r="LD83" s="6"/>
      <c r="LE83" s="6"/>
      <c r="LF83" s="4"/>
      <c r="LG83" s="8"/>
      <c r="LH83" s="5" t="str">
        <f t="shared" si="341"/>
        <v>NO APLICA</v>
      </c>
      <c r="LI83" s="5"/>
      <c r="LJ83" s="5"/>
      <c r="LK83" s="4"/>
      <c r="LL83" s="8"/>
      <c r="LM83" s="5" t="str">
        <f t="shared" si="376"/>
        <v>NO APLICA</v>
      </c>
      <c r="LN83" s="2"/>
      <c r="LO83" s="6"/>
      <c r="LP83" s="4"/>
      <c r="LQ83" s="8"/>
      <c r="LR83" s="5" t="str">
        <f t="shared" si="368"/>
        <v>NO APLICA</v>
      </c>
      <c r="LS83" s="6"/>
      <c r="LT83" s="6"/>
      <c r="LU83" s="4"/>
      <c r="LV83" s="8"/>
      <c r="LW83" s="5" t="str">
        <f t="shared" si="369"/>
        <v>NO APLICA</v>
      </c>
      <c r="LX83" s="6"/>
      <c r="LY83" s="6"/>
      <c r="LZ83" s="4"/>
      <c r="MA83" s="8"/>
      <c r="MB83" s="5" t="str">
        <f t="shared" si="370"/>
        <v>NO APLICA</v>
      </c>
      <c r="MC83" s="2"/>
      <c r="MD83" s="2"/>
      <c r="ME83" s="4"/>
      <c r="MF83" s="8"/>
      <c r="MG83" s="5" t="str">
        <f t="shared" si="342"/>
        <v>NO APLICA</v>
      </c>
      <c r="MH83" s="2"/>
      <c r="MI83" s="2"/>
      <c r="MJ83" s="4"/>
      <c r="MK83" s="8"/>
      <c r="ML83" s="5" t="str">
        <f t="shared" si="343"/>
        <v>NO APLICA</v>
      </c>
      <c r="MM83" s="5"/>
      <c r="MN83" s="2"/>
      <c r="MO83" s="4"/>
      <c r="MP83" s="8"/>
      <c r="MQ83" s="5" t="str">
        <f t="shared" si="344"/>
        <v>NO APLICA</v>
      </c>
      <c r="MR83" s="5"/>
      <c r="MS83" s="2"/>
      <c r="MT83" s="4"/>
      <c r="MU83" s="2"/>
      <c r="MV83" s="5" t="str">
        <f t="shared" si="345"/>
        <v>NO APLICA</v>
      </c>
      <c r="MW83" s="2"/>
      <c r="MX83" s="6"/>
      <c r="MY83" s="4"/>
      <c r="MZ83" s="8"/>
      <c r="NA83" s="5" t="str">
        <f t="shared" si="346"/>
        <v>NO APLICA</v>
      </c>
      <c r="NB83" s="2"/>
      <c r="NC83" s="6"/>
      <c r="ND83" s="4"/>
      <c r="NE83" s="8"/>
      <c r="NF83" s="5" t="str">
        <f t="shared" si="347"/>
        <v>NO APLICA</v>
      </c>
      <c r="NG83" s="2"/>
      <c r="NH83" s="6"/>
      <c r="NI83" s="4"/>
      <c r="NJ83" s="8"/>
      <c r="NK83" s="5" t="str">
        <f t="shared" si="348"/>
        <v>NO APLICA</v>
      </c>
      <c r="NL83" s="2"/>
      <c r="NM83" s="2"/>
      <c r="NN83" s="4"/>
      <c r="NO83" s="8"/>
      <c r="NP83" s="5" t="str">
        <f t="shared" si="349"/>
        <v>NO APLICA</v>
      </c>
      <c r="NQ83" s="2"/>
      <c r="NR83" s="2"/>
      <c r="NS83" s="4"/>
      <c r="NT83" s="2"/>
      <c r="NU83" s="5" t="str">
        <f t="shared" si="350"/>
        <v>NO APLICA</v>
      </c>
      <c r="NV83" s="6"/>
      <c r="NW83" s="6"/>
      <c r="NX83" s="4"/>
      <c r="NY83" s="8"/>
      <c r="NZ83" s="5" t="str">
        <f t="shared" si="351"/>
        <v>NO APLICA</v>
      </c>
      <c r="OA83" s="6"/>
      <c r="OB83" s="6"/>
      <c r="OC83" s="6"/>
      <c r="OD83" s="6"/>
      <c r="OE83" s="5" t="str">
        <f t="shared" si="352"/>
        <v>NO APLICA</v>
      </c>
      <c r="OF83" s="6"/>
      <c r="OG83" s="6"/>
      <c r="OH83" s="4"/>
      <c r="OI83" s="8"/>
      <c r="OJ83" s="5" t="str">
        <f t="shared" si="353"/>
        <v>NO APLICA</v>
      </c>
      <c r="OK83" s="6"/>
      <c r="OL83" s="6"/>
      <c r="OM83" s="6"/>
      <c r="ON83" s="6"/>
      <c r="OO83" s="5" t="str">
        <f t="shared" si="354"/>
        <v>NO APLICA</v>
      </c>
      <c r="OP83" s="6"/>
      <c r="OQ83" s="6"/>
      <c r="OR83" s="6"/>
      <c r="OS83" s="6"/>
      <c r="OT83" s="5" t="str">
        <f t="shared" si="355"/>
        <v>NO APLICA</v>
      </c>
      <c r="OU83" s="6"/>
      <c r="OV83" s="6"/>
      <c r="OW83" s="6"/>
      <c r="OX83" s="6"/>
      <c r="OY83" s="5" t="str">
        <f t="shared" si="356"/>
        <v>NO APLICA</v>
      </c>
      <c r="OZ83" s="6"/>
      <c r="PA83" s="6"/>
      <c r="PB83" s="6"/>
      <c r="PC83" s="6"/>
      <c r="PD83" s="5" t="str">
        <f t="shared" si="357"/>
        <v>NO APLICA</v>
      </c>
      <c r="PE83" s="6"/>
      <c r="PF83" s="6"/>
      <c r="PG83" s="6"/>
      <c r="PH83" s="6"/>
      <c r="PI83" s="5" t="str">
        <f t="shared" si="358"/>
        <v>NO APLICA</v>
      </c>
      <c r="PJ83" s="5"/>
      <c r="PK83" s="6"/>
      <c r="PL83" s="4"/>
      <c r="PM83" s="8"/>
      <c r="PN83" s="5" t="str">
        <f t="shared" si="359"/>
        <v>NO APLICA</v>
      </c>
      <c r="PO83" s="6"/>
      <c r="PP83" s="6"/>
      <c r="PQ83" s="6"/>
      <c r="PR83" s="6"/>
      <c r="PS83" s="5" t="str">
        <f t="shared" si="360"/>
        <v>NO APLICA</v>
      </c>
      <c r="PT83" s="5"/>
      <c r="PU83" s="4">
        <v>46126</v>
      </c>
      <c r="PV83" s="4">
        <f>DATE(YEAR(PU83)+1,MONTH(PU83),DAY(PU83))</f>
        <v>46491</v>
      </c>
      <c r="PW83" s="8">
        <f ca="1">PV83-TODAY()</f>
        <v>357</v>
      </c>
      <c r="PX83" s="5" t="str">
        <f t="shared" ca="1" si="361"/>
        <v>VIGENTE</v>
      </c>
    </row>
    <row r="84" spans="1:440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656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307</v>
      </c>
      <c r="V84" s="4">
        <v>44801</v>
      </c>
      <c r="W84" s="4">
        <f t="shared" si="248"/>
        <v>46627</v>
      </c>
      <c r="X84" s="8">
        <f t="shared" ca="1" si="249"/>
        <v>493</v>
      </c>
      <c r="Y84" s="5" t="str">
        <f t="shared" ca="1" si="250"/>
        <v>VIGENTE</v>
      </c>
      <c r="Z84" s="2"/>
      <c r="AA84" s="6"/>
      <c r="AB84" s="4"/>
      <c r="AC84" s="8"/>
      <c r="AD84" s="5" t="str">
        <f t="shared" si="387"/>
        <v>NO APLICA</v>
      </c>
      <c r="AE84" s="3"/>
      <c r="AF84" s="4">
        <v>45902</v>
      </c>
      <c r="AG84" s="4">
        <f>DATE(YEAR(AF84)+2,MONTH(AF84),DAY(AF84))</f>
        <v>46632</v>
      </c>
      <c r="AH84" s="8">
        <f t="shared" ca="1" si="252"/>
        <v>498</v>
      </c>
      <c r="AI84" s="5" t="str">
        <f t="shared" ca="1" si="224"/>
        <v>VIGENTE</v>
      </c>
      <c r="AJ84" s="3"/>
      <c r="AK84" s="4">
        <v>45959</v>
      </c>
      <c r="AL84" s="4">
        <f>DATE(YEAR(AK84)+2,MONTH(AK84),DAY(AK84))</f>
        <v>46689</v>
      </c>
      <c r="AM84" s="8">
        <f t="shared" ca="1" si="253"/>
        <v>555</v>
      </c>
      <c r="AN84" s="5" t="str">
        <f t="shared" ca="1" si="254"/>
        <v>VIGENTE</v>
      </c>
      <c r="AO84" s="3"/>
      <c r="AP84" s="4">
        <v>45904</v>
      </c>
      <c r="AQ84" s="4">
        <f>DATE(YEAR(AP84)+2,MONTH(AP84),DAY(AP84))</f>
        <v>46634</v>
      </c>
      <c r="AR84" s="8">
        <f t="shared" ca="1" si="255"/>
        <v>500</v>
      </c>
      <c r="AS84" s="5" t="str">
        <f t="shared" ca="1" si="256"/>
        <v>VIGENTE</v>
      </c>
      <c r="AT84" s="3"/>
      <c r="AU84" s="4">
        <v>45927</v>
      </c>
      <c r="AV84" s="4">
        <f>DATE(YEAR(AU84)+2,MONTH(AU84),DAY(AU84))</f>
        <v>46657</v>
      </c>
      <c r="AW84" s="8">
        <f t="shared" ca="1" si="257"/>
        <v>523</v>
      </c>
      <c r="AX84" s="5" t="str">
        <f t="shared" ca="1" si="258"/>
        <v>VIGENTE</v>
      </c>
      <c r="AY84" s="3"/>
      <c r="AZ84" s="4">
        <v>45717</v>
      </c>
      <c r="BA84" s="4">
        <f>DATE(YEAR(AZ84)+2,MONTH(AZ84),DAY(AZ84)-1)</f>
        <v>46446</v>
      </c>
      <c r="BB84" s="8">
        <f t="shared" ca="1" si="259"/>
        <v>312</v>
      </c>
      <c r="BC84" s="5" t="str">
        <f t="shared" ca="1" si="260"/>
        <v>VIGENTE</v>
      </c>
      <c r="BD84" s="3"/>
      <c r="BE84" s="4">
        <v>45698</v>
      </c>
      <c r="BF84" s="4">
        <f>DATE(YEAR(BE84)+2,MONTH(BE84),DAY(BE84)-1)</f>
        <v>46427</v>
      </c>
      <c r="BG84" s="8">
        <f t="shared" ca="1" si="261"/>
        <v>293</v>
      </c>
      <c r="BH84" s="5" t="str">
        <f t="shared" ca="1" si="262"/>
        <v>VIGENTE</v>
      </c>
      <c r="BI84" s="3"/>
      <c r="BJ84" s="4">
        <v>46090</v>
      </c>
      <c r="BK84" s="4">
        <f>DATE(YEAR(BJ84)+2,MONTH(BJ84),DAY(BJ84))</f>
        <v>46821</v>
      </c>
      <c r="BL84" s="8">
        <f t="shared" ca="1" si="263"/>
        <v>687</v>
      </c>
      <c r="BM84" s="5" t="str">
        <f t="shared" ca="1" si="264"/>
        <v>VIGENTE</v>
      </c>
      <c r="BN84" s="3"/>
      <c r="BO84" s="4">
        <v>45447</v>
      </c>
      <c r="BP84" s="4">
        <f>DATE(YEAR(BO84)+2,MONTH(BO84),DAY(BO84)-1)</f>
        <v>46176</v>
      </c>
      <c r="BQ84" s="8">
        <f t="shared" ca="1" si="265"/>
        <v>42</v>
      </c>
      <c r="BR84" s="5" t="str">
        <f t="shared" ca="1" si="266"/>
        <v>POR VENCER</v>
      </c>
      <c r="BS84" s="3"/>
      <c r="BT84" s="4">
        <v>45611</v>
      </c>
      <c r="BU84" s="4">
        <f>DATE(YEAR(BT84)+2,MONTH(BT84),DAY(BT84)-1)</f>
        <v>46340</v>
      </c>
      <c r="BV84" s="8">
        <f t="shared" ca="1" si="267"/>
        <v>206</v>
      </c>
      <c r="BW84" s="5" t="str">
        <f t="shared" ca="1" si="268"/>
        <v>VIGENTE</v>
      </c>
      <c r="BX84" s="3"/>
      <c r="BY84" s="4">
        <v>45911</v>
      </c>
      <c r="BZ84" s="4">
        <f>DATE(YEAR(BY84)+2,MONTH(BY84),DAY(BY84))</f>
        <v>46641</v>
      </c>
      <c r="CA84" s="8">
        <f t="shared" ca="1" si="269"/>
        <v>507</v>
      </c>
      <c r="CB84" s="5" t="str">
        <f t="shared" ca="1" si="270"/>
        <v>VIGENTE</v>
      </c>
      <c r="CC84" s="6" t="s">
        <v>73</v>
      </c>
      <c r="CD84" s="4">
        <v>45616</v>
      </c>
      <c r="CE84" s="4">
        <f t="shared" si="271"/>
        <v>47077</v>
      </c>
      <c r="CF84" s="8">
        <f t="shared" ca="1" si="272"/>
        <v>943</v>
      </c>
      <c r="CG84" s="5" t="str">
        <f t="shared" ca="1" si="273"/>
        <v>VIGENTE</v>
      </c>
      <c r="CH84" s="4"/>
      <c r="CI84" s="4">
        <v>45777</v>
      </c>
      <c r="CJ84" s="4">
        <f>DATE(YEAR(CI84)+2,MONTH(CI84),DAY(CI84))</f>
        <v>46507</v>
      </c>
      <c r="CK84" s="8">
        <f t="shared" ca="1" si="274"/>
        <v>373</v>
      </c>
      <c r="CL84" s="5" t="str">
        <f t="shared" ca="1" si="275"/>
        <v>VIGENTE</v>
      </c>
      <c r="CM84" s="3"/>
      <c r="CN84" s="4">
        <v>45817</v>
      </c>
      <c r="CO84" s="4">
        <f>DATE(YEAR(CN84)+2,MONTH(CN84),DAY(CN84))</f>
        <v>46547</v>
      </c>
      <c r="CP84" s="8">
        <f t="shared" ca="1" si="276"/>
        <v>413</v>
      </c>
      <c r="CQ84" s="5" t="str">
        <f t="shared" ca="1" si="277"/>
        <v>VIGENTE</v>
      </c>
      <c r="CR84" s="3"/>
      <c r="CS84" s="4">
        <v>45905</v>
      </c>
      <c r="CT84" s="4">
        <f>DATE(YEAR(CS84)+2,MONTH(CS84),DAY(CS84))</f>
        <v>46635</v>
      </c>
      <c r="CU84" s="8">
        <f t="shared" ca="1" si="278"/>
        <v>501</v>
      </c>
      <c r="CV84" s="5" t="str">
        <f t="shared" ca="1" si="279"/>
        <v>VIGENTE</v>
      </c>
      <c r="CW84" s="3"/>
      <c r="CX84" s="4">
        <v>46028</v>
      </c>
      <c r="CY84" s="4">
        <f>DATE(YEAR(CX84)+2,MONTH(CX84),DAY(CX84))</f>
        <v>46758</v>
      </c>
      <c r="CZ84" s="8">
        <f t="shared" ca="1" si="280"/>
        <v>624</v>
      </c>
      <c r="DA84" s="5" t="str">
        <f t="shared" ca="1" si="281"/>
        <v>VIGENTE</v>
      </c>
      <c r="DB84" s="3"/>
      <c r="DC84" s="4">
        <v>45463</v>
      </c>
      <c r="DD84" s="4">
        <f t="shared" ref="DD84:DD90" si="396">DATE(YEAR(DC84)+2,MONTH(DC84),DAY(DC84)-1)</f>
        <v>46192</v>
      </c>
      <c r="DE84" s="8">
        <f t="shared" ca="1" si="282"/>
        <v>58</v>
      </c>
      <c r="DF84" s="5" t="str">
        <f t="shared" ca="1" si="283"/>
        <v>POR VENCER</v>
      </c>
      <c r="DG84" s="3"/>
      <c r="DH84" s="4">
        <v>46029</v>
      </c>
      <c r="DI84" s="4">
        <f>DATE(YEAR(DH84)+2,MONTH(DH84),DAY(DH84))</f>
        <v>46759</v>
      </c>
      <c r="DJ84" s="8">
        <f t="shared" ca="1" si="284"/>
        <v>625</v>
      </c>
      <c r="DK84" s="5" t="str">
        <f t="shared" ca="1" si="285"/>
        <v>VIGENTE</v>
      </c>
      <c r="DL84" s="3"/>
      <c r="DM84" s="4">
        <v>46007</v>
      </c>
      <c r="DN84" s="4">
        <f>DATE(YEAR(DM84)+2,MONTH(DM84),DAY(DM84))</f>
        <v>46737</v>
      </c>
      <c r="DO84" s="8">
        <f t="shared" ca="1" si="286"/>
        <v>603</v>
      </c>
      <c r="DP84" s="5" t="str">
        <f t="shared" ca="1" si="287"/>
        <v>VIGENTE</v>
      </c>
      <c r="DQ84" s="3"/>
      <c r="DR84" s="4">
        <v>45728</v>
      </c>
      <c r="DS84" s="4">
        <f>DATE(YEAR(DR84)+2,MONTH(DR84),DAY(DR84)-1)</f>
        <v>46457</v>
      </c>
      <c r="DT84" s="8">
        <f t="shared" ca="1" si="288"/>
        <v>323</v>
      </c>
      <c r="DU84" s="5" t="str">
        <f t="shared" ca="1" si="289"/>
        <v>VIGENTE</v>
      </c>
      <c r="DV84" s="3"/>
      <c r="DW84" s="4">
        <v>45663</v>
      </c>
      <c r="DX84" s="4">
        <f>DATE(YEAR(DW84)+2,MONTH(DW84),DAY(DW84)-1)</f>
        <v>46392</v>
      </c>
      <c r="DY84" s="8">
        <f t="shared" ca="1" si="290"/>
        <v>258</v>
      </c>
      <c r="DZ84" s="5" t="str">
        <f t="shared" ca="1" si="291"/>
        <v>VIGENTE</v>
      </c>
      <c r="EA84" s="3"/>
      <c r="EB84" s="4">
        <v>45674</v>
      </c>
      <c r="EC84" s="4">
        <f>DATE(YEAR(EB84)+2,MONTH(EB84),DAY(EB84)-1)</f>
        <v>46403</v>
      </c>
      <c r="ED84" s="8">
        <f t="shared" ca="1" si="292"/>
        <v>269</v>
      </c>
      <c r="EE84" s="5" t="str">
        <f t="shared" ca="1" si="293"/>
        <v>VIGENTE</v>
      </c>
      <c r="EF84" s="3"/>
      <c r="EG84" s="3">
        <v>46085</v>
      </c>
      <c r="EH84" s="4">
        <f t="shared" si="364"/>
        <v>46450</v>
      </c>
      <c r="EI84" s="8">
        <f t="shared" ca="1" si="294"/>
        <v>316</v>
      </c>
      <c r="EJ84" s="5" t="str">
        <f t="shared" ca="1" si="295"/>
        <v>VIGENTE</v>
      </c>
      <c r="EK84" s="3"/>
      <c r="EL84" s="4">
        <v>45465</v>
      </c>
      <c r="EM84" s="4">
        <f>DATE(YEAR(EL84)+2,MONTH(EL84),DAY(EL84)-1)</f>
        <v>46194</v>
      </c>
      <c r="EN84" s="8">
        <f t="shared" ca="1" si="296"/>
        <v>60</v>
      </c>
      <c r="EO84" s="5" t="str">
        <f t="shared" ca="1" si="297"/>
        <v>POR VENCER</v>
      </c>
      <c r="EP84" s="3"/>
      <c r="EQ84" s="4">
        <v>45677</v>
      </c>
      <c r="ER84" s="4">
        <f>DATE(YEAR(EQ84)+2,MONTH(EQ84),DAY(EQ84)-1)</f>
        <v>46406</v>
      </c>
      <c r="ES84" s="8">
        <f t="shared" ca="1" si="298"/>
        <v>272</v>
      </c>
      <c r="ET84" s="5" t="str">
        <f t="shared" ca="1" si="299"/>
        <v>VIGENTE</v>
      </c>
      <c r="EU84" s="3"/>
      <c r="EV84" s="4">
        <v>45917</v>
      </c>
      <c r="EW84" s="4">
        <f>DATE(YEAR(EV84)+2,MONTH(EV84),DAY(EV84))</f>
        <v>46647</v>
      </c>
      <c r="EX84" s="8">
        <f t="shared" ca="1" si="300"/>
        <v>513</v>
      </c>
      <c r="EY84" s="5" t="str">
        <f t="shared" ca="1" si="301"/>
        <v>VIGENTE</v>
      </c>
      <c r="EZ84" s="3"/>
      <c r="FA84" s="4">
        <v>45931</v>
      </c>
      <c r="FB84" s="4">
        <f>DATE(YEAR(FA84)+2,MONTH(FA84),DAY(FA84))</f>
        <v>46661</v>
      </c>
      <c r="FC84" s="8">
        <f t="shared" ca="1" si="302"/>
        <v>527</v>
      </c>
      <c r="FD84" s="5" t="str">
        <f t="shared" ca="1" si="303"/>
        <v>VIGENTE</v>
      </c>
      <c r="FE84" s="3"/>
      <c r="FF84" s="4">
        <v>45932</v>
      </c>
      <c r="FG84" s="4">
        <f>DATE(YEAR(FF84)+2,MONTH(FF84),DAY(FF84))</f>
        <v>46662</v>
      </c>
      <c r="FH84" s="8">
        <f t="shared" ca="1" si="304"/>
        <v>528</v>
      </c>
      <c r="FI84" s="5" t="str">
        <f t="shared" ca="1" si="305"/>
        <v>VIGENTE</v>
      </c>
      <c r="FJ84" s="3"/>
      <c r="FK84" s="4">
        <v>45738</v>
      </c>
      <c r="FL84" s="4">
        <f>DATE(YEAR(FK84)+2,MONTH(FK84),DAY(FK84)-1)</f>
        <v>46467</v>
      </c>
      <c r="FM84" s="8">
        <f t="shared" ca="1" si="306"/>
        <v>333</v>
      </c>
      <c r="FN84" s="5" t="str">
        <f t="shared" ca="1" si="307"/>
        <v>VIGENTE</v>
      </c>
      <c r="FO84" s="3"/>
      <c r="FP84" s="4">
        <v>45466</v>
      </c>
      <c r="FQ84" s="4">
        <f>DATE(YEAR(FP84)+2,MONTH(FP84),DAY(FP84)-1)</f>
        <v>46195</v>
      </c>
      <c r="FR84" s="8">
        <f t="shared" ca="1" si="308"/>
        <v>61</v>
      </c>
      <c r="FS84" s="5" t="str">
        <f t="shared" ca="1" si="309"/>
        <v>POR VENCER</v>
      </c>
      <c r="FT84" s="3"/>
      <c r="FU84" s="4">
        <v>46014</v>
      </c>
      <c r="FV84" s="4">
        <f>DATE(YEAR(FU84)+2,MONTH(FU84),DAY(FU84))</f>
        <v>46744</v>
      </c>
      <c r="FW84" s="8">
        <f t="shared" ca="1" si="310"/>
        <v>610</v>
      </c>
      <c r="FX84" s="5" t="str">
        <f t="shared" ca="1" si="311"/>
        <v>VIGENTE</v>
      </c>
      <c r="FY84" s="3"/>
      <c r="FZ84" s="4">
        <v>45757</v>
      </c>
      <c r="GA84" s="4">
        <f>DATE(YEAR(FZ84)+2,MONTH(FZ84),DAY(FZ84)-1)</f>
        <v>46486</v>
      </c>
      <c r="GB84" s="8">
        <f t="shared" ca="1" si="312"/>
        <v>352</v>
      </c>
      <c r="GC84" s="5" t="str">
        <f t="shared" ca="1" si="313"/>
        <v>VIGENTE</v>
      </c>
      <c r="GD84" s="3"/>
      <c r="GE84" s="4">
        <v>45472</v>
      </c>
      <c r="GF84" s="4">
        <f>DATE(YEAR(GE84)+2,MONTH(GE84),DAY(GE84)-1)</f>
        <v>46201</v>
      </c>
      <c r="GG84" s="8">
        <f t="shared" ca="1" si="314"/>
        <v>67</v>
      </c>
      <c r="GH84" s="5" t="str">
        <f t="shared" ca="1" si="315"/>
        <v>POR VENCER</v>
      </c>
      <c r="GI84" s="3"/>
      <c r="GJ84" s="4">
        <v>45687</v>
      </c>
      <c r="GK84" s="4">
        <f>DATE(YEAR(GJ84)+2,MONTH(GJ84),DAY(GJ84)-1)</f>
        <v>46416</v>
      </c>
      <c r="GL84" s="8">
        <f t="shared" ca="1" si="316"/>
        <v>282</v>
      </c>
      <c r="GM84" s="5" t="str">
        <f t="shared" ca="1" si="317"/>
        <v>VIGENTE</v>
      </c>
      <c r="GN84" s="4"/>
      <c r="GO84" s="4">
        <v>45048</v>
      </c>
      <c r="GP84" s="4">
        <f t="shared" si="318"/>
        <v>46875</v>
      </c>
      <c r="GQ84" s="8">
        <f t="shared" ca="1" si="394"/>
        <v>741</v>
      </c>
      <c r="GR84" s="5" t="str">
        <f t="shared" ca="1" si="388"/>
        <v>VIGENTE</v>
      </c>
      <c r="GS84" s="3"/>
      <c r="GT84" s="4">
        <v>45089</v>
      </c>
      <c r="GU84" s="4">
        <f t="shared" si="320"/>
        <v>46916</v>
      </c>
      <c r="GV84" s="8">
        <f t="shared" ca="1" si="321"/>
        <v>782</v>
      </c>
      <c r="GW84" s="5" t="str">
        <f t="shared" ca="1" si="389"/>
        <v>VIGENTE</v>
      </c>
      <c r="GX84" s="2"/>
      <c r="GY84" s="4">
        <v>45073</v>
      </c>
      <c r="GZ84" s="4">
        <f t="shared" si="323"/>
        <v>46900</v>
      </c>
      <c r="HA84" s="8">
        <f t="shared" ca="1" si="324"/>
        <v>766</v>
      </c>
      <c r="HB84" s="5" t="str">
        <f t="shared" ca="1" si="390"/>
        <v>VIGENTE</v>
      </c>
      <c r="HC84" s="6"/>
      <c r="HD84" s="6"/>
      <c r="HE84" s="4"/>
      <c r="HF84" s="8"/>
      <c r="HG84" s="5" t="str">
        <f t="shared" si="391"/>
        <v>NO APLICA</v>
      </c>
      <c r="HH84" s="2"/>
      <c r="HI84" s="6"/>
      <c r="HJ84" s="4"/>
      <c r="HK84" s="8"/>
      <c r="HL84" s="5" t="str">
        <f t="shared" si="395"/>
        <v>NO APLICA</v>
      </c>
      <c r="HM84" s="2"/>
      <c r="HN84" s="2"/>
      <c r="HO84" s="4"/>
      <c r="HP84" s="2"/>
      <c r="HQ84" s="5" t="str">
        <f t="shared" si="326"/>
        <v>NO APLICA</v>
      </c>
      <c r="HR84" s="2"/>
      <c r="HS84" s="6"/>
      <c r="HT84" s="4"/>
      <c r="HU84" s="8"/>
      <c r="HV84" s="5" t="str">
        <f t="shared" si="327"/>
        <v>NO APLICA</v>
      </c>
      <c r="HW84" s="2"/>
      <c r="HX84" s="6"/>
      <c r="HY84" s="4"/>
      <c r="HZ84" s="8"/>
      <c r="IA84" s="5" t="str">
        <f t="shared" si="328"/>
        <v>NO APLICA</v>
      </c>
      <c r="IB84" s="2"/>
      <c r="IC84" s="6"/>
      <c r="ID84" s="4"/>
      <c r="IE84" s="8"/>
      <c r="IF84" s="5" t="str">
        <f t="shared" si="329"/>
        <v>NO APLICA</v>
      </c>
      <c r="IG84" s="6"/>
      <c r="IH84" s="6"/>
      <c r="II84" s="4"/>
      <c r="IJ84" s="8"/>
      <c r="IK84" s="5" t="str">
        <f t="shared" si="330"/>
        <v>NO APLICA</v>
      </c>
      <c r="IL84" s="2"/>
      <c r="IM84" s="6"/>
      <c r="IN84" s="4"/>
      <c r="IO84" s="8"/>
      <c r="IP84" s="5" t="str">
        <f t="shared" si="331"/>
        <v>NO APLICA</v>
      </c>
      <c r="IQ84" s="2"/>
      <c r="IR84" s="6"/>
      <c r="IS84" s="4"/>
      <c r="IT84" s="8"/>
      <c r="IU84" s="5" t="str">
        <f t="shared" si="332"/>
        <v>NO APLICA</v>
      </c>
      <c r="IV84" s="2"/>
      <c r="IW84" s="6"/>
      <c r="IX84" s="4"/>
      <c r="IY84" s="8"/>
      <c r="IZ84" s="5" t="str">
        <f t="shared" si="333"/>
        <v>NO APLICA</v>
      </c>
      <c r="JA84" s="3"/>
      <c r="JB84" s="3"/>
      <c r="JC84" s="4"/>
      <c r="JD84" s="8"/>
      <c r="JE84" s="5" t="str">
        <f t="shared" si="334"/>
        <v>NO APLICA</v>
      </c>
      <c r="JF84" s="6"/>
      <c r="JG84" s="6"/>
      <c r="JH84" s="6"/>
      <c r="JI84" s="6"/>
      <c r="JJ84" s="5" t="str">
        <f t="shared" si="335"/>
        <v>NO APLICA</v>
      </c>
      <c r="JK84" s="6"/>
      <c r="JL84" s="6"/>
      <c r="JM84" s="6"/>
      <c r="JN84" s="6"/>
      <c r="JO84" s="5" t="str">
        <f t="shared" si="336"/>
        <v>NO APLICA</v>
      </c>
      <c r="JP84" s="6"/>
      <c r="JQ84" s="6"/>
      <c r="JR84" s="6"/>
      <c r="JS84" s="6"/>
      <c r="JT84" s="5" t="str">
        <f t="shared" si="337"/>
        <v>NO APLICA</v>
      </c>
      <c r="JU84" s="5"/>
      <c r="JV84" s="3"/>
      <c r="JW84" s="4"/>
      <c r="JX84" s="8"/>
      <c r="JY84" s="5" t="str">
        <f t="shared" si="338"/>
        <v>NO APLICA</v>
      </c>
      <c r="JZ84" s="5"/>
      <c r="KA84" s="2"/>
      <c r="KB84" s="4"/>
      <c r="KC84" s="8"/>
      <c r="KD84" s="5" t="str">
        <f t="shared" si="339"/>
        <v>NO APLICA</v>
      </c>
      <c r="KE84" s="5"/>
      <c r="KF84" s="2"/>
      <c r="KG84" s="4"/>
      <c r="KH84" s="8"/>
      <c r="KI84" s="5" t="str">
        <f t="shared" si="365"/>
        <v>NO APLICA</v>
      </c>
      <c r="KJ84" s="5"/>
      <c r="KK84" s="2"/>
      <c r="KL84" s="4"/>
      <c r="KM84" s="8"/>
      <c r="KN84" s="5" t="str">
        <f t="shared" si="340"/>
        <v>NO APLICA</v>
      </c>
      <c r="KO84" s="5"/>
      <c r="KP84" s="2"/>
      <c r="KQ84" s="4"/>
      <c r="KR84" s="8"/>
      <c r="KS84" s="5" t="str">
        <f t="shared" si="366"/>
        <v>NO APLICA</v>
      </c>
      <c r="KT84" s="2"/>
      <c r="KU84" s="6"/>
      <c r="KV84" s="4"/>
      <c r="KW84" s="8"/>
      <c r="KX84" s="5" t="str">
        <f t="shared" si="375"/>
        <v>NO APLICA</v>
      </c>
      <c r="KY84" s="5"/>
      <c r="KZ84" s="6"/>
      <c r="LA84" s="4"/>
      <c r="LB84" s="8"/>
      <c r="LC84" s="5" t="str">
        <f t="shared" si="367"/>
        <v>NO APLICA</v>
      </c>
      <c r="LD84" s="6"/>
      <c r="LE84" s="6"/>
      <c r="LF84" s="4"/>
      <c r="LG84" s="8"/>
      <c r="LH84" s="5" t="str">
        <f t="shared" si="341"/>
        <v>NO APLICA</v>
      </c>
      <c r="LI84" s="5"/>
      <c r="LJ84" s="5"/>
      <c r="LK84" s="5"/>
      <c r="LL84" s="5"/>
      <c r="LM84" s="5" t="str">
        <f t="shared" si="376"/>
        <v>NO APLICA</v>
      </c>
      <c r="LN84" s="2"/>
      <c r="LO84" s="6"/>
      <c r="LP84" s="4"/>
      <c r="LQ84" s="8"/>
      <c r="LR84" s="5" t="str">
        <f t="shared" si="368"/>
        <v>NO APLICA</v>
      </c>
      <c r="LS84" s="6"/>
      <c r="LT84" s="6"/>
      <c r="LU84" s="4"/>
      <c r="LV84" s="8"/>
      <c r="LW84" s="5" t="str">
        <f t="shared" si="369"/>
        <v>NO APLICA</v>
      </c>
      <c r="LX84" s="6"/>
      <c r="LY84" s="6"/>
      <c r="LZ84" s="4"/>
      <c r="MA84" s="8"/>
      <c r="MB84" s="5" t="str">
        <f t="shared" si="370"/>
        <v>NO APLICA</v>
      </c>
      <c r="MC84" s="2"/>
      <c r="MD84" s="2"/>
      <c r="ME84" s="4"/>
      <c r="MF84" s="8"/>
      <c r="MG84" s="5" t="str">
        <f t="shared" si="342"/>
        <v>NO APLICA</v>
      </c>
      <c r="MH84" s="2"/>
      <c r="MI84" s="2"/>
      <c r="MJ84" s="4"/>
      <c r="MK84" s="8"/>
      <c r="ML84" s="5" t="str">
        <f t="shared" si="343"/>
        <v>NO APLICA</v>
      </c>
      <c r="MM84" s="5"/>
      <c r="MN84" s="2"/>
      <c r="MO84" s="4"/>
      <c r="MP84" s="8"/>
      <c r="MQ84" s="5" t="str">
        <f t="shared" si="344"/>
        <v>NO APLICA</v>
      </c>
      <c r="MR84" s="5"/>
      <c r="MS84" s="2"/>
      <c r="MT84" s="4"/>
      <c r="MU84" s="2"/>
      <c r="MV84" s="5" t="str">
        <f t="shared" si="345"/>
        <v>NO APLICA</v>
      </c>
      <c r="MW84" s="2"/>
      <c r="MX84" s="6"/>
      <c r="MY84" s="4"/>
      <c r="MZ84" s="8"/>
      <c r="NA84" s="5" t="str">
        <f t="shared" si="346"/>
        <v>NO APLICA</v>
      </c>
      <c r="NB84" s="2"/>
      <c r="NC84" s="6"/>
      <c r="ND84" s="4"/>
      <c r="NE84" s="8"/>
      <c r="NF84" s="5" t="str">
        <f t="shared" si="347"/>
        <v>NO APLICA</v>
      </c>
      <c r="NG84" s="2"/>
      <c r="NH84" s="6"/>
      <c r="NI84" s="4"/>
      <c r="NJ84" s="8"/>
      <c r="NK84" s="5" t="str">
        <f t="shared" si="348"/>
        <v>NO APLICA</v>
      </c>
      <c r="NL84" s="2"/>
      <c r="NM84" s="2"/>
      <c r="NN84" s="4"/>
      <c r="NO84" s="2"/>
      <c r="NP84" s="5" t="str">
        <f t="shared" si="349"/>
        <v>NO APLICA</v>
      </c>
      <c r="NQ84" s="2"/>
      <c r="NR84" s="2"/>
      <c r="NS84" s="2"/>
      <c r="NT84" s="2"/>
      <c r="NU84" s="5" t="str">
        <f t="shared" si="350"/>
        <v>NO APLICA</v>
      </c>
      <c r="NV84" s="6"/>
      <c r="NW84" s="6"/>
      <c r="NX84" s="4"/>
      <c r="NY84" s="8"/>
      <c r="NZ84" s="5" t="str">
        <f t="shared" si="351"/>
        <v>NO APLICA</v>
      </c>
      <c r="OA84" s="6"/>
      <c r="OB84" s="6"/>
      <c r="OC84" s="6"/>
      <c r="OD84" s="6"/>
      <c r="OE84" s="5" t="str">
        <f t="shared" si="352"/>
        <v>NO APLICA</v>
      </c>
      <c r="OF84" s="6"/>
      <c r="OG84" s="6"/>
      <c r="OH84" s="4"/>
      <c r="OI84" s="8"/>
      <c r="OJ84" s="5" t="str">
        <f t="shared" si="353"/>
        <v>NO APLICA</v>
      </c>
      <c r="OK84" s="6"/>
      <c r="OL84" s="6"/>
      <c r="OM84" s="6"/>
      <c r="ON84" s="6"/>
      <c r="OO84" s="5" t="str">
        <f t="shared" si="354"/>
        <v>NO APLICA</v>
      </c>
      <c r="OP84" s="6"/>
      <c r="OQ84" s="6"/>
      <c r="OR84" s="6"/>
      <c r="OS84" s="6"/>
      <c r="OT84" s="5" t="str">
        <f t="shared" si="355"/>
        <v>NO APLICA</v>
      </c>
      <c r="OU84" s="6"/>
      <c r="OV84" s="6"/>
      <c r="OW84" s="6"/>
      <c r="OX84" s="6"/>
      <c r="OY84" s="5" t="str">
        <f t="shared" si="356"/>
        <v>NO APLICA</v>
      </c>
      <c r="OZ84" s="6"/>
      <c r="PA84" s="6"/>
      <c r="PB84" s="6"/>
      <c r="PC84" s="6"/>
      <c r="PD84" s="5" t="str">
        <f t="shared" si="357"/>
        <v>NO APLICA</v>
      </c>
      <c r="PE84" s="6"/>
      <c r="PF84" s="6"/>
      <c r="PG84" s="6"/>
      <c r="PH84" s="6"/>
      <c r="PI84" s="5" t="str">
        <f t="shared" si="358"/>
        <v>NO APLICA</v>
      </c>
      <c r="PJ84" s="5"/>
      <c r="PK84" s="6"/>
      <c r="PL84" s="4"/>
      <c r="PM84" s="8"/>
      <c r="PN84" s="5" t="str">
        <f t="shared" si="359"/>
        <v>NO APLICA</v>
      </c>
      <c r="PO84" s="6"/>
      <c r="PP84" s="6"/>
      <c r="PQ84" s="6"/>
      <c r="PR84" s="6"/>
      <c r="PS84" s="5" t="str">
        <f t="shared" si="360"/>
        <v>NO APLICA</v>
      </c>
      <c r="PT84" s="5"/>
      <c r="PU84" s="6"/>
      <c r="PV84" s="6"/>
      <c r="PW84" s="6"/>
      <c r="PX84" s="5" t="str">
        <f t="shared" si="361"/>
        <v>NO APLICA</v>
      </c>
    </row>
    <row r="85" spans="1:440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310</v>
      </c>
      <c r="V85" s="4">
        <v>45693</v>
      </c>
      <c r="W85" s="4">
        <f t="shared" si="248"/>
        <v>47519</v>
      </c>
      <c r="X85" s="8">
        <f t="shared" ca="1" si="249"/>
        <v>1385</v>
      </c>
      <c r="Y85" s="5" t="str">
        <f t="shared" ca="1" si="250"/>
        <v>VIGENTE</v>
      </c>
      <c r="Z85" s="2"/>
      <c r="AA85" s="6"/>
      <c r="AB85" s="4"/>
      <c r="AC85" s="8"/>
      <c r="AD85" s="5" t="str">
        <f t="shared" si="387"/>
        <v>NO APLICA</v>
      </c>
      <c r="AE85" s="3"/>
      <c r="AF85" s="4">
        <v>45594</v>
      </c>
      <c r="AG85" s="4">
        <f>DATE(YEAR(AF85)+2,MONTH(AF85),DAY(AF85)-1)</f>
        <v>46323</v>
      </c>
      <c r="AH85" s="8">
        <f t="shared" ca="1" si="252"/>
        <v>189</v>
      </c>
      <c r="AI85" s="5" t="str">
        <f t="shared" ca="1" si="224"/>
        <v>VIGENTE</v>
      </c>
      <c r="AJ85" s="3"/>
      <c r="AK85" s="4">
        <v>45518</v>
      </c>
      <c r="AL85" s="4">
        <f>DATE(YEAR(AK85)+2,MONTH(AK85),DAY(AK85)-1)</f>
        <v>46247</v>
      </c>
      <c r="AM85" s="8">
        <f t="shared" ca="1" si="253"/>
        <v>113</v>
      </c>
      <c r="AN85" s="5" t="str">
        <f t="shared" ca="1" si="254"/>
        <v>VIGENTE</v>
      </c>
      <c r="AO85" s="3"/>
      <c r="AP85" s="4">
        <v>45505</v>
      </c>
      <c r="AQ85" s="4">
        <f>DATE(YEAR(AP85)+2,MONTH(AP85),DAY(AP85)-1)</f>
        <v>46234</v>
      </c>
      <c r="AR85" s="8">
        <f t="shared" ca="1" si="255"/>
        <v>100</v>
      </c>
      <c r="AS85" s="5" t="str">
        <f t="shared" ca="1" si="256"/>
        <v>VIGENTE</v>
      </c>
      <c r="AT85" s="3"/>
      <c r="AU85" s="4">
        <v>45514</v>
      </c>
      <c r="AV85" s="4">
        <f>DATE(YEAR(AU85)+2,MONTH(AU85),DAY(AU85)-1)</f>
        <v>46243</v>
      </c>
      <c r="AW85" s="8">
        <f t="shared" ca="1" si="257"/>
        <v>109</v>
      </c>
      <c r="AX85" s="5" t="str">
        <f t="shared" ca="1" si="258"/>
        <v>VIGENTE</v>
      </c>
      <c r="AY85" s="3"/>
      <c r="AZ85" s="4">
        <v>45603</v>
      </c>
      <c r="BA85" s="4">
        <f>DATE(YEAR(AZ85)+2,MONTH(AZ85),DAY(AZ85)-1)</f>
        <v>46332</v>
      </c>
      <c r="BB85" s="8">
        <f t="shared" ca="1" si="259"/>
        <v>198</v>
      </c>
      <c r="BC85" s="5" t="str">
        <f t="shared" ca="1" si="260"/>
        <v>VIGENTE</v>
      </c>
      <c r="BD85" s="3"/>
      <c r="BE85" s="4">
        <v>45531</v>
      </c>
      <c r="BF85" s="4">
        <f>DATE(YEAR(BE85)+2,MONTH(BE85),DAY(BE85)-1)</f>
        <v>46260</v>
      </c>
      <c r="BG85" s="8">
        <f t="shared" ca="1" si="261"/>
        <v>126</v>
      </c>
      <c r="BH85" s="5" t="str">
        <f t="shared" ca="1" si="262"/>
        <v>VIGENTE</v>
      </c>
      <c r="BI85" s="3"/>
      <c r="BJ85" s="4">
        <v>45600</v>
      </c>
      <c r="BK85" s="4">
        <f>DATE(YEAR(BJ85)+2,MONTH(BJ85),DAY(BJ85)-1)</f>
        <v>46329</v>
      </c>
      <c r="BL85" s="8">
        <f t="shared" ca="1" si="263"/>
        <v>195</v>
      </c>
      <c r="BM85" s="5" t="str">
        <f t="shared" ca="1" si="264"/>
        <v>VIGENTE</v>
      </c>
      <c r="BN85" s="3"/>
      <c r="BO85" s="4">
        <v>45532</v>
      </c>
      <c r="BP85" s="4">
        <f>DATE(YEAR(BO85)+2,MONTH(BO85),DAY(BO85)-1)</f>
        <v>46261</v>
      </c>
      <c r="BQ85" s="8">
        <f t="shared" ca="1" si="265"/>
        <v>127</v>
      </c>
      <c r="BR85" s="5" t="str">
        <f t="shared" ca="1" si="266"/>
        <v>VIGENTE</v>
      </c>
      <c r="BS85" s="3"/>
      <c r="BT85" s="4">
        <v>45527</v>
      </c>
      <c r="BU85" s="4">
        <f>DATE(YEAR(BT85)+2,MONTH(BT85),DAY(BT85)-1)</f>
        <v>46256</v>
      </c>
      <c r="BV85" s="8">
        <f t="shared" ca="1" si="267"/>
        <v>122</v>
      </c>
      <c r="BW85" s="5" t="str">
        <f t="shared" ca="1" si="268"/>
        <v>VIGENTE</v>
      </c>
      <c r="BX85" s="3"/>
      <c r="BY85" s="4">
        <v>45546</v>
      </c>
      <c r="BZ85" s="4">
        <f>DATE(YEAR(BY85)+2,MONTH(BY85),DAY(BY85)-1)</f>
        <v>46275</v>
      </c>
      <c r="CA85" s="8">
        <f t="shared" ca="1" si="269"/>
        <v>141</v>
      </c>
      <c r="CB85" s="5" t="str">
        <f t="shared" ca="1" si="270"/>
        <v>VIGENTE</v>
      </c>
      <c r="CC85" s="6"/>
      <c r="CD85" s="24"/>
      <c r="CE85" s="4"/>
      <c r="CF85" s="8"/>
      <c r="CG85" s="5" t="str">
        <f t="shared" si="273"/>
        <v>NO APLICA</v>
      </c>
      <c r="CH85" s="4"/>
      <c r="CI85" s="4">
        <v>45526</v>
      </c>
      <c r="CJ85" s="4">
        <f>DATE(YEAR(CI85)+2,MONTH(CI85),DAY(CI85)-1)</f>
        <v>46255</v>
      </c>
      <c r="CK85" s="8">
        <f t="shared" ca="1" si="274"/>
        <v>121</v>
      </c>
      <c r="CL85" s="5" t="str">
        <f t="shared" ca="1" si="275"/>
        <v>VIGENTE</v>
      </c>
      <c r="CM85" s="3"/>
      <c r="CN85" s="4">
        <v>45517</v>
      </c>
      <c r="CO85" s="4">
        <f>DATE(YEAR(CN85)+2,MONTH(CN85),DAY(CN85)-1)</f>
        <v>46246</v>
      </c>
      <c r="CP85" s="8">
        <f t="shared" ca="1" si="276"/>
        <v>112</v>
      </c>
      <c r="CQ85" s="5" t="str">
        <f t="shared" ca="1" si="277"/>
        <v>VIGENTE</v>
      </c>
      <c r="CR85" s="3"/>
      <c r="CS85" s="4">
        <v>45624</v>
      </c>
      <c r="CT85" s="4">
        <f>DATE(YEAR(CS85)+2,MONTH(CS85),DAY(CS85)-1)</f>
        <v>46353</v>
      </c>
      <c r="CU85" s="8">
        <f t="shared" ca="1" si="278"/>
        <v>219</v>
      </c>
      <c r="CV85" s="5" t="str">
        <f t="shared" ca="1" si="279"/>
        <v>VIGENTE</v>
      </c>
      <c r="CW85" s="3"/>
      <c r="CX85" s="4">
        <v>45661</v>
      </c>
      <c r="CY85" s="4">
        <f>DATE(YEAR(CX85)+2,MONTH(CX85),DAY(CX85)-1)</f>
        <v>46390</v>
      </c>
      <c r="CZ85" s="8">
        <f t="shared" ca="1" si="280"/>
        <v>256</v>
      </c>
      <c r="DA85" s="5" t="str">
        <f t="shared" ca="1" si="281"/>
        <v>VIGENTE</v>
      </c>
      <c r="DB85" s="3"/>
      <c r="DC85" s="4">
        <v>45535</v>
      </c>
      <c r="DD85" s="4">
        <f t="shared" si="396"/>
        <v>46264</v>
      </c>
      <c r="DE85" s="8">
        <f t="shared" ca="1" si="282"/>
        <v>130</v>
      </c>
      <c r="DF85" s="5" t="str">
        <f t="shared" ca="1" si="283"/>
        <v>VIGENTE</v>
      </c>
      <c r="DG85" s="3"/>
      <c r="DH85" s="4">
        <v>45509</v>
      </c>
      <c r="DI85" s="4">
        <f>DATE(YEAR(DH85)+2,MONTH(DH85),DAY(DH85)-1)</f>
        <v>46238</v>
      </c>
      <c r="DJ85" s="8">
        <f t="shared" ca="1" si="284"/>
        <v>104</v>
      </c>
      <c r="DK85" s="5" t="str">
        <f t="shared" ca="1" si="285"/>
        <v>VIGENTE</v>
      </c>
      <c r="DL85" s="3"/>
      <c r="DM85" s="4">
        <v>45731</v>
      </c>
      <c r="DN85" s="4">
        <f>DATE(YEAR(DM85)+2,MONTH(DM85),DAY(DM85)-1)</f>
        <v>46460</v>
      </c>
      <c r="DO85" s="8">
        <f t="shared" ca="1" si="286"/>
        <v>326</v>
      </c>
      <c r="DP85" s="5" t="str">
        <f t="shared" ca="1" si="287"/>
        <v>VIGENTE</v>
      </c>
      <c r="DQ85" s="3"/>
      <c r="DR85" s="4">
        <v>45619</v>
      </c>
      <c r="DS85" s="4">
        <f>DATE(YEAR(DR85)+2,MONTH(DR85),DAY(DR85)-1)</f>
        <v>46348</v>
      </c>
      <c r="DT85" s="8">
        <f t="shared" ca="1" si="288"/>
        <v>214</v>
      </c>
      <c r="DU85" s="5" t="str">
        <f t="shared" ca="1" si="289"/>
        <v>VIGENTE</v>
      </c>
      <c r="DV85" s="3"/>
      <c r="DW85" s="4">
        <v>45582</v>
      </c>
      <c r="DX85" s="4">
        <f>DATE(YEAR(DW85)+2,MONTH(DW85),DAY(DW85)-1)</f>
        <v>46311</v>
      </c>
      <c r="DY85" s="8">
        <f t="shared" ca="1" si="290"/>
        <v>177</v>
      </c>
      <c r="DZ85" s="5" t="str">
        <f t="shared" ca="1" si="291"/>
        <v>VIGENTE</v>
      </c>
      <c r="EA85" s="3"/>
      <c r="EB85" s="4">
        <v>45602</v>
      </c>
      <c r="EC85" s="4">
        <f>DATE(YEAR(EB85)+2,MONTH(EB85),DAY(EB85)-1)</f>
        <v>46331</v>
      </c>
      <c r="ED85" s="8">
        <f t="shared" ca="1" si="292"/>
        <v>197</v>
      </c>
      <c r="EE85" s="5" t="str">
        <f t="shared" ca="1" si="293"/>
        <v>VIGENTE</v>
      </c>
      <c r="EF85" s="3"/>
      <c r="EG85" s="4">
        <v>45812</v>
      </c>
      <c r="EH85" s="4">
        <f t="shared" si="364"/>
        <v>46177</v>
      </c>
      <c r="EI85" s="8">
        <f t="shared" ca="1" si="294"/>
        <v>43</v>
      </c>
      <c r="EJ85" s="5" t="str">
        <f t="shared" ca="1" si="295"/>
        <v>POR VENCER</v>
      </c>
      <c r="EK85" s="3"/>
      <c r="EL85" s="4">
        <v>45660</v>
      </c>
      <c r="EM85" s="4">
        <f>DATE(YEAR(EL85)+2,MONTH(EL85),DAY(EL85)-1)</f>
        <v>46389</v>
      </c>
      <c r="EN85" s="8">
        <f t="shared" ca="1" si="296"/>
        <v>255</v>
      </c>
      <c r="EO85" s="5" t="str">
        <f t="shared" ca="1" si="297"/>
        <v>VIGENTE</v>
      </c>
      <c r="EP85" s="3"/>
      <c r="EQ85" s="4">
        <v>45677</v>
      </c>
      <c r="ER85" s="4">
        <f>DATE(YEAR(EQ85)+2,MONTH(EQ85),DAY(EQ85)-1)</f>
        <v>46406</v>
      </c>
      <c r="ES85" s="8">
        <f t="shared" ca="1" si="298"/>
        <v>272</v>
      </c>
      <c r="ET85" s="5" t="str">
        <f t="shared" ca="1" si="299"/>
        <v>VIGENTE</v>
      </c>
      <c r="EU85" s="3"/>
      <c r="EV85" s="4">
        <v>46063</v>
      </c>
      <c r="EW85" s="4">
        <f>DATE(YEAR(EV85)+2,MONTH(EV85),DAY(EV85))</f>
        <v>46793</v>
      </c>
      <c r="EX85" s="8">
        <f t="shared" ca="1" si="300"/>
        <v>659</v>
      </c>
      <c r="EY85" s="5" t="str">
        <f t="shared" ca="1" si="301"/>
        <v>VIGENTE</v>
      </c>
      <c r="EZ85" s="3"/>
      <c r="FA85" s="4">
        <v>46091</v>
      </c>
      <c r="FB85" s="4">
        <f>DATE(YEAR(FA85)+2,MONTH(FA85),DAY(FA85))</f>
        <v>46822</v>
      </c>
      <c r="FC85" s="8">
        <f t="shared" ca="1" si="302"/>
        <v>688</v>
      </c>
      <c r="FD85" s="5" t="str">
        <f t="shared" ca="1" si="303"/>
        <v>VIGENTE</v>
      </c>
      <c r="FE85" s="3"/>
      <c r="FF85" s="4">
        <v>45668</v>
      </c>
      <c r="FG85" s="4">
        <f>DATE(YEAR(FF85)+2,MONTH(FF85),DAY(FF85)-1)</f>
        <v>46397</v>
      </c>
      <c r="FH85" s="8">
        <f t="shared" ca="1" si="304"/>
        <v>263</v>
      </c>
      <c r="FI85" s="5" t="str">
        <f t="shared" ca="1" si="305"/>
        <v>VIGENTE</v>
      </c>
      <c r="FJ85" s="3"/>
      <c r="FK85" s="4">
        <v>45670</v>
      </c>
      <c r="FL85" s="4">
        <f>DATE(YEAR(FK85)+2,MONTH(FK85),DAY(FK85)-1)</f>
        <v>46399</v>
      </c>
      <c r="FM85" s="8">
        <f t="shared" ca="1" si="306"/>
        <v>265</v>
      </c>
      <c r="FN85" s="5" t="str">
        <f t="shared" ca="1" si="307"/>
        <v>VIGENTE</v>
      </c>
      <c r="FO85" s="3"/>
      <c r="FP85" s="4">
        <v>45586</v>
      </c>
      <c r="FQ85" s="4">
        <f>DATE(YEAR(FP85)+2,MONTH(FP85),DAY(FP85)-1)</f>
        <v>46315</v>
      </c>
      <c r="FR85" s="8">
        <f t="shared" ca="1" si="308"/>
        <v>181</v>
      </c>
      <c r="FS85" s="5" t="str">
        <f t="shared" ca="1" si="309"/>
        <v>VIGENTE</v>
      </c>
      <c r="FT85" s="3"/>
      <c r="FU85" s="4">
        <v>45574</v>
      </c>
      <c r="FV85" s="4">
        <f>DATE(YEAR(FU85)+2,MONTH(FU85),DAY(FU85)-1)</f>
        <v>46303</v>
      </c>
      <c r="FW85" s="8">
        <f t="shared" ca="1" si="310"/>
        <v>169</v>
      </c>
      <c r="FX85" s="5" t="str">
        <f t="shared" ca="1" si="311"/>
        <v>VIGENTE</v>
      </c>
      <c r="FY85" s="3"/>
      <c r="FZ85" s="4">
        <v>45595</v>
      </c>
      <c r="GA85" s="4">
        <f>DATE(YEAR(FZ85)+2,MONTH(FZ85),DAY(FZ85)-1)</f>
        <v>46324</v>
      </c>
      <c r="GB85" s="8">
        <f t="shared" ca="1" si="312"/>
        <v>190</v>
      </c>
      <c r="GC85" s="5" t="str">
        <f t="shared" ca="1" si="313"/>
        <v>VIGENTE</v>
      </c>
      <c r="GD85" s="3"/>
      <c r="GE85" s="4">
        <v>45579</v>
      </c>
      <c r="GF85" s="4">
        <f>DATE(YEAR(GE85)+2,MONTH(GE85),DAY(GE85)-1)</f>
        <v>46308</v>
      </c>
      <c r="GG85" s="8">
        <f t="shared" ca="1" si="314"/>
        <v>174</v>
      </c>
      <c r="GH85" s="5" t="str">
        <f t="shared" ca="1" si="315"/>
        <v>VIGENTE</v>
      </c>
      <c r="GI85" s="3"/>
      <c r="GJ85" s="4">
        <v>45567</v>
      </c>
      <c r="GK85" s="4">
        <f>DATE(YEAR(GJ85)+2,MONTH(GJ85),DAY(GJ85)-1)</f>
        <v>46296</v>
      </c>
      <c r="GL85" s="8">
        <f t="shared" ca="1" si="316"/>
        <v>162</v>
      </c>
      <c r="GM85" s="5" t="str">
        <f t="shared" ca="1" si="317"/>
        <v>VIGENTE</v>
      </c>
      <c r="GN85" s="4"/>
      <c r="GO85" s="4">
        <v>45495</v>
      </c>
      <c r="GP85" s="4">
        <f t="shared" si="318"/>
        <v>47321</v>
      </c>
      <c r="GQ85" s="8">
        <f t="shared" ca="1" si="394"/>
        <v>1187</v>
      </c>
      <c r="GR85" s="5" t="str">
        <f t="shared" ca="1" si="388"/>
        <v>VIGENTE</v>
      </c>
      <c r="GS85" s="3"/>
      <c r="GT85" s="4">
        <v>45507</v>
      </c>
      <c r="GU85" s="4">
        <f t="shared" si="320"/>
        <v>47333</v>
      </c>
      <c r="GV85" s="8">
        <f t="shared" ca="1" si="321"/>
        <v>1199</v>
      </c>
      <c r="GW85" s="5" t="str">
        <f t="shared" ca="1" si="389"/>
        <v>VIGENTE</v>
      </c>
      <c r="GX85" s="2"/>
      <c r="GY85" s="4">
        <v>44911</v>
      </c>
      <c r="GZ85" s="4">
        <f t="shared" si="323"/>
        <v>46737</v>
      </c>
      <c r="HA85" s="8">
        <f t="shared" ca="1" si="324"/>
        <v>603</v>
      </c>
      <c r="HB85" s="5" t="str">
        <f t="shared" ca="1" si="390"/>
        <v>VIGENTE</v>
      </c>
      <c r="HC85" s="6"/>
      <c r="HD85" s="6"/>
      <c r="HE85" s="4">
        <f>DATE(YEAR(HD85)+5,MONTH(HD85),DAY(HD85))</f>
        <v>1827</v>
      </c>
      <c r="HF85" s="8">
        <f ca="1">HE85-TODAY()</f>
        <v>-44307</v>
      </c>
      <c r="HG85" s="5" t="str">
        <f ca="1">IF(HF85&gt;=61,"VIGENTE",IF(HF85&gt;=1,"POR VENCER",IF(HF85&lt;=-1,"PROGRAMAR",IF(HD85=0,"NO APLICA"))))</f>
        <v>PROGRAMAR</v>
      </c>
      <c r="HH85" s="2"/>
      <c r="HI85" s="6"/>
      <c r="HJ85" s="4"/>
      <c r="HK85" s="8"/>
      <c r="HL85" s="5" t="str">
        <f t="shared" si="395"/>
        <v>NO APLICA</v>
      </c>
      <c r="HM85" s="2"/>
      <c r="HN85" s="5"/>
      <c r="HO85" s="4"/>
      <c r="HP85" s="5"/>
      <c r="HQ85" s="5" t="str">
        <f t="shared" si="326"/>
        <v>NO APLICA</v>
      </c>
      <c r="HR85" s="2"/>
      <c r="HS85" s="4">
        <v>44923</v>
      </c>
      <c r="HT85" s="4">
        <f>DATE(YEAR(HS85)+5,MONTH(HS85),DAY(HS85))</f>
        <v>46749</v>
      </c>
      <c r="HU85" s="8">
        <f ca="1">HT85-TODAY()</f>
        <v>615</v>
      </c>
      <c r="HV85" s="5" t="str">
        <f t="shared" ca="1" si="327"/>
        <v>VIGENTE</v>
      </c>
      <c r="HW85" s="2"/>
      <c r="HX85" s="4">
        <v>45092</v>
      </c>
      <c r="HY85" s="4">
        <f>DATE(YEAR(HX85)+5,MONTH(HX85),DAY(HX85))</f>
        <v>46919</v>
      </c>
      <c r="HZ85" s="8">
        <f ca="1">HY85-TODAY()</f>
        <v>785</v>
      </c>
      <c r="IA85" s="5" t="str">
        <f t="shared" ca="1" si="328"/>
        <v>VIGENTE</v>
      </c>
      <c r="IB85" s="2"/>
      <c r="IC85" s="4">
        <v>44922</v>
      </c>
      <c r="ID85" s="4">
        <f>DATE(YEAR(IC85)+5,MONTH(IC85),DAY(IC85))</f>
        <v>46748</v>
      </c>
      <c r="IE85" s="8">
        <f ca="1">ID85-TODAY()</f>
        <v>614</v>
      </c>
      <c r="IF85" s="5" t="str">
        <f t="shared" ca="1" si="329"/>
        <v>VIGENTE</v>
      </c>
      <c r="IG85" s="6"/>
      <c r="IH85" s="6"/>
      <c r="II85" s="4"/>
      <c r="IJ85" s="8"/>
      <c r="IK85" s="5" t="str">
        <f t="shared" si="330"/>
        <v>NO APLICA</v>
      </c>
      <c r="IL85" s="2"/>
      <c r="IM85" s="6"/>
      <c r="IN85" s="4"/>
      <c r="IO85" s="8"/>
      <c r="IP85" s="5" t="str">
        <f t="shared" si="331"/>
        <v>NO APLICA</v>
      </c>
      <c r="IQ85" s="2"/>
      <c r="IR85" s="6"/>
      <c r="IS85" s="4"/>
      <c r="IT85" s="8"/>
      <c r="IU85" s="5" t="str">
        <f t="shared" si="332"/>
        <v>NO APLICA</v>
      </c>
      <c r="IV85" s="2"/>
      <c r="IW85" s="6"/>
      <c r="IX85" s="4"/>
      <c r="IY85" s="8"/>
      <c r="IZ85" s="5" t="str">
        <f t="shared" si="333"/>
        <v>NO APLICA</v>
      </c>
      <c r="JA85" s="3"/>
      <c r="JB85" s="3"/>
      <c r="JC85" s="4"/>
      <c r="JD85" s="8"/>
      <c r="JE85" s="5" t="str">
        <f t="shared" si="334"/>
        <v>NO APLICA</v>
      </c>
      <c r="JF85" s="6"/>
      <c r="JG85" s="6"/>
      <c r="JH85" s="6"/>
      <c r="JI85" s="6"/>
      <c r="JJ85" s="5" t="str">
        <f t="shared" si="335"/>
        <v>NO APLICA</v>
      </c>
      <c r="JK85" s="6"/>
      <c r="JL85" s="6"/>
      <c r="JM85" s="6"/>
      <c r="JN85" s="6"/>
      <c r="JO85" s="5" t="str">
        <f t="shared" si="336"/>
        <v>NO APLICA</v>
      </c>
      <c r="JP85" s="6"/>
      <c r="JQ85" s="6"/>
      <c r="JR85" s="6"/>
      <c r="JS85" s="6"/>
      <c r="JT85" s="5" t="str">
        <f t="shared" si="337"/>
        <v>NO APLICA</v>
      </c>
      <c r="JU85" s="5"/>
      <c r="JV85" s="5"/>
      <c r="JW85" s="5"/>
      <c r="JX85" s="5"/>
      <c r="JY85" s="5" t="str">
        <f t="shared" si="338"/>
        <v>NO APLICA</v>
      </c>
      <c r="JZ85" s="5"/>
      <c r="KA85" s="5"/>
      <c r="KB85" s="4"/>
      <c r="KC85" s="8"/>
      <c r="KD85" s="5" t="str">
        <f t="shared" si="339"/>
        <v>NO APLICA</v>
      </c>
      <c r="KE85" s="5"/>
      <c r="KF85" s="5"/>
      <c r="KG85" s="4"/>
      <c r="KH85" s="8"/>
      <c r="KI85" s="5" t="str">
        <f t="shared" si="365"/>
        <v>NO APLICA</v>
      </c>
      <c r="KJ85" s="5"/>
      <c r="KK85" s="5"/>
      <c r="KL85" s="4"/>
      <c r="KM85" s="8"/>
      <c r="KN85" s="5" t="str">
        <f t="shared" si="340"/>
        <v>NO APLICA</v>
      </c>
      <c r="KO85" s="5"/>
      <c r="KP85" s="2"/>
      <c r="KQ85" s="4"/>
      <c r="KR85" s="8"/>
      <c r="KS85" s="5" t="str">
        <f t="shared" si="366"/>
        <v>NO APLICA</v>
      </c>
      <c r="KT85" s="2"/>
      <c r="KU85" s="6"/>
      <c r="KV85" s="4"/>
      <c r="KW85" s="8"/>
      <c r="KX85" s="5" t="str">
        <f t="shared" si="375"/>
        <v>NO APLICA</v>
      </c>
      <c r="KY85" s="5"/>
      <c r="KZ85" s="4">
        <v>44614</v>
      </c>
      <c r="LA85" s="4">
        <f>DATE(YEAR(KZ85)+5,MONTH(KZ85),DAY(KZ85))</f>
        <v>46440</v>
      </c>
      <c r="LB85" s="8">
        <f ca="1">LA85-TODAY()</f>
        <v>306</v>
      </c>
      <c r="LC85" s="5" t="str">
        <f t="shared" ca="1" si="367"/>
        <v>VIGENTE</v>
      </c>
      <c r="LD85" s="6"/>
      <c r="LE85" s="6"/>
      <c r="LF85" s="4"/>
      <c r="LG85" s="8"/>
      <c r="LH85" s="5" t="str">
        <f t="shared" si="341"/>
        <v>NO APLICA</v>
      </c>
      <c r="LI85" s="5"/>
      <c r="LJ85" s="5"/>
      <c r="LK85" s="4"/>
      <c r="LL85" s="8"/>
      <c r="LM85" s="5" t="str">
        <f t="shared" si="376"/>
        <v>NO APLICA</v>
      </c>
      <c r="LN85" s="5"/>
      <c r="LO85" s="6"/>
      <c r="LP85" s="4"/>
      <c r="LQ85" s="8"/>
      <c r="LR85" s="5" t="str">
        <f t="shared" si="368"/>
        <v>NO APLICA</v>
      </c>
      <c r="LS85" s="6"/>
      <c r="LT85" s="6"/>
      <c r="LU85" s="4"/>
      <c r="LV85" s="8"/>
      <c r="LW85" s="5" t="str">
        <f t="shared" si="369"/>
        <v>NO APLICA</v>
      </c>
      <c r="LX85" s="6"/>
      <c r="LY85" s="6"/>
      <c r="LZ85" s="4"/>
      <c r="MA85" s="8"/>
      <c r="MB85" s="5" t="str">
        <f t="shared" si="370"/>
        <v>NO APLICA</v>
      </c>
      <c r="MC85" s="5"/>
      <c r="MD85" s="5"/>
      <c r="ME85" s="4"/>
      <c r="MF85" s="8"/>
      <c r="MG85" s="5" t="str">
        <f t="shared" si="342"/>
        <v>NO APLICA</v>
      </c>
      <c r="MH85" s="5"/>
      <c r="MI85" s="5"/>
      <c r="MJ85" s="4"/>
      <c r="MK85" s="8"/>
      <c r="ML85" s="5" t="str">
        <f t="shared" si="343"/>
        <v>NO APLICA</v>
      </c>
      <c r="MM85" s="5"/>
      <c r="MN85" s="5"/>
      <c r="MO85" s="4"/>
      <c r="MP85" s="8"/>
      <c r="MQ85" s="5" t="str">
        <f t="shared" si="344"/>
        <v>NO APLICA</v>
      </c>
      <c r="MR85" s="5"/>
      <c r="MS85" s="5"/>
      <c r="MT85" s="4"/>
      <c r="MU85" s="5"/>
      <c r="MV85" s="5" t="str">
        <f t="shared" si="345"/>
        <v>NO APLICA</v>
      </c>
      <c r="MW85" s="5"/>
      <c r="MX85" s="6"/>
      <c r="MY85" s="4"/>
      <c r="MZ85" s="8"/>
      <c r="NA85" s="5" t="str">
        <f t="shared" si="346"/>
        <v>NO APLICA</v>
      </c>
      <c r="NB85" s="5"/>
      <c r="NC85" s="6"/>
      <c r="ND85" s="4"/>
      <c r="NE85" s="8"/>
      <c r="NF85" s="5" t="str">
        <f t="shared" si="347"/>
        <v>NO APLICA</v>
      </c>
      <c r="NG85" s="5"/>
      <c r="NH85" s="6"/>
      <c r="NI85" s="4"/>
      <c r="NJ85" s="8"/>
      <c r="NK85" s="5" t="str">
        <f t="shared" si="348"/>
        <v>NO APLICA</v>
      </c>
      <c r="NL85" s="5"/>
      <c r="NM85" s="5"/>
      <c r="NN85" s="4"/>
      <c r="NO85" s="8"/>
      <c r="NP85" s="5" t="str">
        <f t="shared" si="349"/>
        <v>NO APLICA</v>
      </c>
      <c r="NQ85" s="5"/>
      <c r="NR85" s="5"/>
      <c r="NS85" s="5"/>
      <c r="NT85" s="5"/>
      <c r="NU85" s="5" t="str">
        <f t="shared" si="350"/>
        <v>NO APLICA</v>
      </c>
      <c r="NV85" s="6"/>
      <c r="NW85" s="6"/>
      <c r="NX85" s="4"/>
      <c r="NY85" s="8"/>
      <c r="NZ85" s="5" t="str">
        <f t="shared" si="351"/>
        <v>NO APLICA</v>
      </c>
      <c r="OA85" s="6"/>
      <c r="OB85" s="6"/>
      <c r="OC85" s="6"/>
      <c r="OD85" s="6"/>
      <c r="OE85" s="5" t="str">
        <f t="shared" si="352"/>
        <v>NO APLICA</v>
      </c>
      <c r="OF85" s="5"/>
      <c r="OG85" s="5"/>
      <c r="OH85" s="4"/>
      <c r="OI85" s="8"/>
      <c r="OJ85" s="5" t="str">
        <f t="shared" si="353"/>
        <v>NO APLICA</v>
      </c>
      <c r="OK85" s="6"/>
      <c r="OL85" s="6"/>
      <c r="OM85" s="6"/>
      <c r="ON85" s="6"/>
      <c r="OO85" s="5" t="str">
        <f t="shared" si="354"/>
        <v>NO APLICA</v>
      </c>
      <c r="OP85" s="4"/>
      <c r="OQ85" s="4">
        <v>44551</v>
      </c>
      <c r="OR85" s="4">
        <f>DATE(YEAR(OQ85)+3,MONTH(OQ85),DAY(OQ85))</f>
        <v>45647</v>
      </c>
      <c r="OS85" s="8">
        <f ca="1">OR85-TODAY()</f>
        <v>-487</v>
      </c>
      <c r="OT85" s="5" t="str">
        <f t="shared" ca="1" si="355"/>
        <v>VENCIDA</v>
      </c>
      <c r="OU85" s="4"/>
      <c r="OV85" s="4">
        <v>44770</v>
      </c>
      <c r="OW85" s="4">
        <f>DATE(YEAR(OV85)+5,MONTH(OV85),DAY(OV85))</f>
        <v>46596</v>
      </c>
      <c r="OX85" s="8">
        <f ca="1">OW85-TODAY()</f>
        <v>462</v>
      </c>
      <c r="OY85" s="5" t="str">
        <f t="shared" ca="1" si="356"/>
        <v>VIGENTE</v>
      </c>
      <c r="OZ85" s="4"/>
      <c r="PA85" s="4">
        <v>45009</v>
      </c>
      <c r="PB85" s="4">
        <f>DATE(YEAR(PA85)+5,MONTH(PA85),DAY(PA85))</f>
        <v>46836</v>
      </c>
      <c r="PC85" s="8">
        <f ca="1">PB85-TODAY()</f>
        <v>702</v>
      </c>
      <c r="PD85" s="5" t="str">
        <f t="shared" ca="1" si="357"/>
        <v>VIGENTE</v>
      </c>
      <c r="PE85" s="4"/>
      <c r="PF85" s="4">
        <v>44979</v>
      </c>
      <c r="PG85" s="4">
        <f>DATE(YEAR(PF85)+5,MONTH(PF85),DAY(PF85))</f>
        <v>46805</v>
      </c>
      <c r="PH85" s="8">
        <f ca="1">PG85-TODAY()</f>
        <v>671</v>
      </c>
      <c r="PI85" s="5" t="str">
        <f t="shared" ca="1" si="358"/>
        <v>VIGENTE</v>
      </c>
      <c r="PJ85" s="5"/>
      <c r="PK85" s="4">
        <v>44627</v>
      </c>
      <c r="PL85" s="4">
        <f>DATE(YEAR(PK85)+5,MONTH(PK85),DAY(PK85))</f>
        <v>46453</v>
      </c>
      <c r="PM85" s="8">
        <f ca="1">PL85-TODAY()</f>
        <v>319</v>
      </c>
      <c r="PN85" s="5" t="str">
        <f t="shared" ca="1" si="359"/>
        <v>VIGENTE</v>
      </c>
      <c r="PO85" s="4"/>
      <c r="PP85" s="4">
        <v>44981</v>
      </c>
      <c r="PQ85" s="4">
        <f>DATE(YEAR(PP85)+5,MONTH(PP85),DAY(PP85))</f>
        <v>46807</v>
      </c>
      <c r="PR85" s="8">
        <f ca="1">PQ85-TODAY()</f>
        <v>673</v>
      </c>
      <c r="PS85" s="5" t="str">
        <f t="shared" ca="1" si="360"/>
        <v>VIGENTE</v>
      </c>
      <c r="PT85" s="5"/>
      <c r="PU85" s="6"/>
      <c r="PV85" s="6"/>
      <c r="PW85" s="6"/>
      <c r="PX85" s="5" t="str">
        <f t="shared" si="361"/>
        <v>NO APLICA</v>
      </c>
    </row>
    <row r="86" spans="1:440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312</v>
      </c>
      <c r="V86" s="4">
        <v>45320</v>
      </c>
      <c r="W86" s="4">
        <f t="shared" si="248"/>
        <v>47147</v>
      </c>
      <c r="X86" s="8">
        <f t="shared" ca="1" si="249"/>
        <v>1013</v>
      </c>
      <c r="Y86" s="5" t="str">
        <f t="shared" ca="1" si="250"/>
        <v>VIGENTE</v>
      </c>
      <c r="Z86" s="6" t="s">
        <v>313</v>
      </c>
      <c r="AA86" s="4">
        <v>45631</v>
      </c>
      <c r="AB86" s="4">
        <f>DATE(YEAR(AA86)+5,MONTH(AA86),DAY(AA86))</f>
        <v>47457</v>
      </c>
      <c r="AC86" s="8">
        <f ca="1">AB86-TODAY()</f>
        <v>1323</v>
      </c>
      <c r="AD86" s="5" t="str">
        <f t="shared" ca="1" si="387"/>
        <v>VIGENTE</v>
      </c>
      <c r="AE86" s="6"/>
      <c r="AF86" s="4">
        <v>45589</v>
      </c>
      <c r="AG86" s="4">
        <f>DATE(YEAR(AF86)+2,MONTH(AF86),DAY(AF86)-1)</f>
        <v>46318</v>
      </c>
      <c r="AH86" s="8">
        <f t="shared" ca="1" si="252"/>
        <v>184</v>
      </c>
      <c r="AI86" s="5" t="str">
        <f t="shared" ca="1" si="224"/>
        <v>VIGENTE</v>
      </c>
      <c r="AJ86" s="4"/>
      <c r="AK86" s="4">
        <v>45518</v>
      </c>
      <c r="AL86" s="4">
        <f>DATE(YEAR(AK86)+2,MONTH(AK86),DAY(AK86)-1)</f>
        <v>46247</v>
      </c>
      <c r="AM86" s="8">
        <f t="shared" ca="1" si="253"/>
        <v>113</v>
      </c>
      <c r="AN86" s="5" t="str">
        <f t="shared" ca="1" si="254"/>
        <v>VIGENTE</v>
      </c>
      <c r="AO86" s="4"/>
      <c r="AP86" s="4">
        <v>45505</v>
      </c>
      <c r="AQ86" s="4">
        <f>DATE(YEAR(AP86)+2,MONTH(AP86),DAY(AP86)-1)</f>
        <v>46234</v>
      </c>
      <c r="AR86" s="8">
        <f t="shared" ca="1" si="255"/>
        <v>100</v>
      </c>
      <c r="AS86" s="5" t="str">
        <f t="shared" ca="1" si="256"/>
        <v>VIGENTE</v>
      </c>
      <c r="AT86" s="4"/>
      <c r="AU86" s="4">
        <v>45514</v>
      </c>
      <c r="AV86" s="4">
        <f>DATE(YEAR(AU86)+2,MONTH(AU86),DAY(AU86)-1)</f>
        <v>46243</v>
      </c>
      <c r="AW86" s="8">
        <f t="shared" ca="1" si="257"/>
        <v>109</v>
      </c>
      <c r="AX86" s="5" t="str">
        <f t="shared" ca="1" si="258"/>
        <v>VIGENTE</v>
      </c>
      <c r="AY86" s="4"/>
      <c r="AZ86" s="4">
        <v>45534</v>
      </c>
      <c r="BA86" s="4">
        <f>DATE(YEAR(AZ86)+2,MONTH(AZ86),DAY(AZ86)-1)</f>
        <v>46263</v>
      </c>
      <c r="BB86" s="8">
        <f t="shared" ca="1" si="259"/>
        <v>129</v>
      </c>
      <c r="BC86" s="5" t="str">
        <f t="shared" ca="1" si="260"/>
        <v>VIGENTE</v>
      </c>
      <c r="BD86" s="4"/>
      <c r="BE86" s="4">
        <v>45531</v>
      </c>
      <c r="BF86" s="4">
        <f>DATE(YEAR(BE86)+2,MONTH(BE86),DAY(BE86)-1)</f>
        <v>46260</v>
      </c>
      <c r="BG86" s="8">
        <f t="shared" ca="1" si="261"/>
        <v>126</v>
      </c>
      <c r="BH86" s="5" t="str">
        <f t="shared" ca="1" si="262"/>
        <v>VIGENTE</v>
      </c>
      <c r="BI86" s="4"/>
      <c r="BJ86" s="4">
        <v>45600</v>
      </c>
      <c r="BK86" s="4">
        <f>DATE(YEAR(BJ86)+2,MONTH(BJ86),DAY(BJ86)-1)</f>
        <v>46329</v>
      </c>
      <c r="BL86" s="8">
        <f t="shared" ca="1" si="263"/>
        <v>195</v>
      </c>
      <c r="BM86" s="5" t="str">
        <f t="shared" ca="1" si="264"/>
        <v>VIGENTE</v>
      </c>
      <c r="BN86" s="4"/>
      <c r="BO86" s="4">
        <v>45532</v>
      </c>
      <c r="BP86" s="4">
        <f>DATE(YEAR(BO86)+2,MONTH(BO86),DAY(BO86)-1)</f>
        <v>46261</v>
      </c>
      <c r="BQ86" s="8">
        <f t="shared" ca="1" si="265"/>
        <v>127</v>
      </c>
      <c r="BR86" s="5" t="str">
        <f t="shared" ca="1" si="266"/>
        <v>VIGENTE</v>
      </c>
      <c r="BS86" s="4"/>
      <c r="BT86" s="4">
        <v>45568</v>
      </c>
      <c r="BU86" s="4">
        <f>DATE(YEAR(BT86)+2,MONTH(BT86),DAY(BT86)-1)</f>
        <v>46297</v>
      </c>
      <c r="BV86" s="8">
        <f t="shared" ca="1" si="267"/>
        <v>163</v>
      </c>
      <c r="BW86" s="5" t="str">
        <f t="shared" ca="1" si="268"/>
        <v>VIGENTE</v>
      </c>
      <c r="BX86" s="4"/>
      <c r="BY86" s="4">
        <v>45525</v>
      </c>
      <c r="BZ86" s="4">
        <f>DATE(YEAR(BY86)+2,MONTH(BY86),DAY(BY86)-1)</f>
        <v>46254</v>
      </c>
      <c r="CA86" s="8">
        <f t="shared" ca="1" si="269"/>
        <v>120</v>
      </c>
      <c r="CB86" s="5" t="str">
        <f t="shared" ca="1" si="270"/>
        <v>VIGENTE</v>
      </c>
      <c r="CC86" s="6" t="s">
        <v>73</v>
      </c>
      <c r="CD86" s="4">
        <v>45616</v>
      </c>
      <c r="CE86" s="4">
        <f t="shared" ref="CE86:CE108" si="397">DATE(YEAR(CD86)+4,MONTH(CD86),DAY(CD86))</f>
        <v>47077</v>
      </c>
      <c r="CF86" s="8">
        <f t="shared" ref="CF86:CF108" ca="1" si="398">CE86-TODAY()</f>
        <v>943</v>
      </c>
      <c r="CG86" s="5" t="str">
        <f t="shared" ca="1" si="273"/>
        <v>VIGENTE</v>
      </c>
      <c r="CH86" s="4"/>
      <c r="CI86" s="4">
        <v>45511</v>
      </c>
      <c r="CJ86" s="4">
        <f>DATE(YEAR(CI86)+2,MONTH(CI86),DAY(CI86)-1)</f>
        <v>46240</v>
      </c>
      <c r="CK86" s="8">
        <f t="shared" ca="1" si="274"/>
        <v>106</v>
      </c>
      <c r="CL86" s="5" t="str">
        <f t="shared" ca="1" si="275"/>
        <v>VIGENTE</v>
      </c>
      <c r="CM86" s="4"/>
      <c r="CN86" s="4">
        <v>45597</v>
      </c>
      <c r="CO86" s="4">
        <f>DATE(YEAR(CN86)+2,MONTH(CN86),DAY(CN86)-1)</f>
        <v>46326</v>
      </c>
      <c r="CP86" s="8">
        <f t="shared" ca="1" si="276"/>
        <v>192</v>
      </c>
      <c r="CQ86" s="5" t="str">
        <f t="shared" ca="1" si="277"/>
        <v>VIGENTE</v>
      </c>
      <c r="CR86" s="4"/>
      <c r="CS86" s="4">
        <v>45607</v>
      </c>
      <c r="CT86" s="4">
        <f>DATE(YEAR(CS86)+2,MONTH(CS86),DAY(CS86)-1)</f>
        <v>46336</v>
      </c>
      <c r="CU86" s="8">
        <f t="shared" ca="1" si="278"/>
        <v>202</v>
      </c>
      <c r="CV86" s="5" t="str">
        <f t="shared" ca="1" si="279"/>
        <v>VIGENTE</v>
      </c>
      <c r="CW86" s="4"/>
      <c r="CX86" s="4">
        <v>45593</v>
      </c>
      <c r="CY86" s="4">
        <f>DATE(YEAR(CX86)+2,MONTH(CX86),DAY(CX86)-1)</f>
        <v>46322</v>
      </c>
      <c r="CZ86" s="8">
        <f t="shared" ca="1" si="280"/>
        <v>188</v>
      </c>
      <c r="DA86" s="5" t="str">
        <f t="shared" ca="1" si="281"/>
        <v>VIGENTE</v>
      </c>
      <c r="DB86" s="4"/>
      <c r="DC86" s="4">
        <v>45596</v>
      </c>
      <c r="DD86" s="4">
        <f t="shared" si="396"/>
        <v>46325</v>
      </c>
      <c r="DE86" s="8">
        <f t="shared" ca="1" si="282"/>
        <v>191</v>
      </c>
      <c r="DF86" s="5" t="str">
        <f t="shared" ca="1" si="283"/>
        <v>VIGENTE</v>
      </c>
      <c r="DG86" s="4"/>
      <c r="DH86" s="4">
        <v>45569</v>
      </c>
      <c r="DI86" s="4">
        <f>DATE(YEAR(DH86)+2,MONTH(DH86),DAY(DH86)-1)</f>
        <v>46298</v>
      </c>
      <c r="DJ86" s="8">
        <f t="shared" ca="1" si="284"/>
        <v>164</v>
      </c>
      <c r="DK86" s="5" t="str">
        <f t="shared" ca="1" si="285"/>
        <v>VIGENTE</v>
      </c>
      <c r="DL86" s="4"/>
      <c r="DM86" s="4">
        <v>45577</v>
      </c>
      <c r="DN86" s="4">
        <f>DATE(YEAR(DM86)+2,MONTH(DM86),DAY(DM86)-1)</f>
        <v>46306</v>
      </c>
      <c r="DO86" s="8">
        <f t="shared" ca="1" si="286"/>
        <v>172</v>
      </c>
      <c r="DP86" s="5" t="str">
        <f t="shared" ca="1" si="287"/>
        <v>VIGENTE</v>
      </c>
      <c r="DQ86" s="4"/>
      <c r="DR86" s="4">
        <v>45540</v>
      </c>
      <c r="DS86" s="4">
        <f>DATE(YEAR(DR86)+2,MONTH(DR86),DAY(DR86)-1)</f>
        <v>46269</v>
      </c>
      <c r="DT86" s="8">
        <f t="shared" ca="1" si="288"/>
        <v>135</v>
      </c>
      <c r="DU86" s="5" t="str">
        <f t="shared" ca="1" si="289"/>
        <v>VIGENTE</v>
      </c>
      <c r="DV86" s="4"/>
      <c r="DW86" s="4">
        <v>45582</v>
      </c>
      <c r="DX86" s="4">
        <f>DATE(YEAR(DW86)+2,MONTH(DW86),DAY(DW86)-1)</f>
        <v>46311</v>
      </c>
      <c r="DY86" s="8">
        <f t="shared" ca="1" si="290"/>
        <v>177</v>
      </c>
      <c r="DZ86" s="5" t="str">
        <f t="shared" ca="1" si="291"/>
        <v>VIGENTE</v>
      </c>
      <c r="EA86" s="4"/>
      <c r="EB86" s="4">
        <v>45583</v>
      </c>
      <c r="EC86" s="4">
        <f>DATE(YEAR(EB86)+2,MONTH(EB86),DAY(EB86)-1)</f>
        <v>46312</v>
      </c>
      <c r="ED86" s="8">
        <f t="shared" ca="1" si="292"/>
        <v>178</v>
      </c>
      <c r="EE86" s="5" t="str">
        <f t="shared" ca="1" si="293"/>
        <v>VIGENTE</v>
      </c>
      <c r="EF86" s="3"/>
      <c r="EG86" s="3">
        <v>46107</v>
      </c>
      <c r="EH86" s="4">
        <f t="shared" si="364"/>
        <v>46472</v>
      </c>
      <c r="EI86" s="8">
        <f t="shared" ca="1" si="294"/>
        <v>338</v>
      </c>
      <c r="EJ86" s="5" t="str">
        <f t="shared" ca="1" si="295"/>
        <v>VIGENTE</v>
      </c>
      <c r="EK86" s="4"/>
      <c r="EL86" s="4">
        <v>45584</v>
      </c>
      <c r="EM86" s="4">
        <f>DATE(YEAR(EL86)+2,MONTH(EL86),DAY(EL86)-1)</f>
        <v>46313</v>
      </c>
      <c r="EN86" s="8">
        <f t="shared" ca="1" si="296"/>
        <v>179</v>
      </c>
      <c r="EO86" s="5" t="str">
        <f t="shared" ca="1" si="297"/>
        <v>VIGENTE</v>
      </c>
      <c r="EP86" s="4"/>
      <c r="EQ86" s="4">
        <v>45575</v>
      </c>
      <c r="ER86" s="4">
        <f>DATE(YEAR(EQ86)+2,MONTH(EQ86),DAY(EQ86)-1)</f>
        <v>46304</v>
      </c>
      <c r="ES86" s="8">
        <f t="shared" ca="1" si="298"/>
        <v>170</v>
      </c>
      <c r="ET86" s="5" t="str">
        <f t="shared" ca="1" si="299"/>
        <v>VIGENTE</v>
      </c>
      <c r="EU86" s="4"/>
      <c r="EV86" s="4">
        <v>45502</v>
      </c>
      <c r="EW86" s="4">
        <f>DATE(YEAR(EV86)+2,MONTH(EV86),DAY(EV86)-1)</f>
        <v>46231</v>
      </c>
      <c r="EX86" s="8">
        <f t="shared" ca="1" si="300"/>
        <v>97</v>
      </c>
      <c r="EY86" s="5" t="str">
        <f t="shared" ca="1" si="301"/>
        <v>VIGENTE</v>
      </c>
      <c r="EZ86" s="4"/>
      <c r="FA86" s="4">
        <v>45538</v>
      </c>
      <c r="FB86" s="4">
        <f>DATE(YEAR(FA86)+2,MONTH(FA86),DAY(FA86)-1)</f>
        <v>46267</v>
      </c>
      <c r="FC86" s="8">
        <f t="shared" ca="1" si="302"/>
        <v>133</v>
      </c>
      <c r="FD86" s="5" t="str">
        <f t="shared" ca="1" si="303"/>
        <v>VIGENTE</v>
      </c>
      <c r="FE86" s="6"/>
      <c r="FF86" s="4">
        <v>45542</v>
      </c>
      <c r="FG86" s="4">
        <f>DATE(YEAR(FF86)+2,MONTH(FF86),DAY(FF86)-1)</f>
        <v>46271</v>
      </c>
      <c r="FH86" s="8">
        <f t="shared" ca="1" si="304"/>
        <v>137</v>
      </c>
      <c r="FI86" s="5" t="str">
        <f t="shared" ca="1" si="305"/>
        <v>VIGENTE</v>
      </c>
      <c r="FJ86" s="4"/>
      <c r="FK86" s="4">
        <v>45588</v>
      </c>
      <c r="FL86" s="4">
        <f>DATE(YEAR(FK86)+2,MONTH(FK86),DAY(FK86)-1)</f>
        <v>46317</v>
      </c>
      <c r="FM86" s="8">
        <f t="shared" ca="1" si="306"/>
        <v>183</v>
      </c>
      <c r="FN86" s="5" t="str">
        <f t="shared" ca="1" si="307"/>
        <v>VIGENTE</v>
      </c>
      <c r="FO86" s="4"/>
      <c r="FP86" s="4">
        <v>45586</v>
      </c>
      <c r="FQ86" s="4">
        <f>DATE(YEAR(FP86)+2,MONTH(FP86),DAY(FP86)-1)</f>
        <v>46315</v>
      </c>
      <c r="FR86" s="8">
        <f t="shared" ca="1" si="308"/>
        <v>181</v>
      </c>
      <c r="FS86" s="5" t="str">
        <f t="shared" ca="1" si="309"/>
        <v>VIGENTE</v>
      </c>
      <c r="FT86" s="4"/>
      <c r="FU86" s="4">
        <v>45581</v>
      </c>
      <c r="FV86" s="4">
        <f>DATE(YEAR(FU86)+2,MONTH(FU86),DAY(FU86)-1)</f>
        <v>46310</v>
      </c>
      <c r="FW86" s="8">
        <f t="shared" ca="1" si="310"/>
        <v>176</v>
      </c>
      <c r="FX86" s="5" t="str">
        <f t="shared" ca="1" si="311"/>
        <v>VIGENTE</v>
      </c>
      <c r="FY86" s="4"/>
      <c r="FZ86" s="4">
        <v>45595</v>
      </c>
      <c r="GA86" s="4">
        <f>DATE(YEAR(FZ86)+2,MONTH(FZ86),DAY(FZ86)-1)</f>
        <v>46324</v>
      </c>
      <c r="GB86" s="8">
        <f t="shared" ca="1" si="312"/>
        <v>190</v>
      </c>
      <c r="GC86" s="5" t="str">
        <f t="shared" ca="1" si="313"/>
        <v>VIGENTE</v>
      </c>
      <c r="GD86" s="4"/>
      <c r="GE86" s="4">
        <v>45579</v>
      </c>
      <c r="GF86" s="4">
        <f>DATE(YEAR(GE86)+2,MONTH(GE86),DAY(GE86)-1)</f>
        <v>46308</v>
      </c>
      <c r="GG86" s="8">
        <f t="shared" ca="1" si="314"/>
        <v>174</v>
      </c>
      <c r="GH86" s="5" t="str">
        <f t="shared" ca="1" si="315"/>
        <v>VIGENTE</v>
      </c>
      <c r="GI86" s="4"/>
      <c r="GJ86" s="4">
        <v>45567</v>
      </c>
      <c r="GK86" s="4">
        <f>DATE(YEAR(GJ86)+2,MONTH(GJ86),DAY(GJ86)-1)</f>
        <v>46296</v>
      </c>
      <c r="GL86" s="8">
        <f t="shared" ca="1" si="316"/>
        <v>162</v>
      </c>
      <c r="GM86" s="5" t="str">
        <f t="shared" ca="1" si="317"/>
        <v>VIGENTE</v>
      </c>
      <c r="GN86" s="4"/>
      <c r="GO86" s="4">
        <v>45495</v>
      </c>
      <c r="GP86" s="4">
        <f t="shared" si="318"/>
        <v>47321</v>
      </c>
      <c r="GQ86" s="8">
        <f t="shared" ca="1" si="394"/>
        <v>1187</v>
      </c>
      <c r="GR86" s="5" t="str">
        <f t="shared" ca="1" si="388"/>
        <v>VIGENTE</v>
      </c>
      <c r="GS86" s="4"/>
      <c r="GT86" s="4">
        <v>45507</v>
      </c>
      <c r="GU86" s="4">
        <f t="shared" si="320"/>
        <v>47333</v>
      </c>
      <c r="GV86" s="8">
        <f t="shared" ca="1" si="321"/>
        <v>1199</v>
      </c>
      <c r="GW86" s="5" t="str">
        <f t="shared" ca="1" si="389"/>
        <v>VIGENTE</v>
      </c>
      <c r="GX86" s="6"/>
      <c r="GY86" s="4">
        <v>45497</v>
      </c>
      <c r="GZ86" s="4">
        <f t="shared" si="323"/>
        <v>47323</v>
      </c>
      <c r="HA86" s="8">
        <f t="shared" ca="1" si="324"/>
        <v>1189</v>
      </c>
      <c r="HB86" s="5" t="str">
        <f t="shared" ca="1" si="390"/>
        <v>VIGENTE</v>
      </c>
      <c r="HC86" s="6"/>
      <c r="HD86" s="4">
        <v>45496</v>
      </c>
      <c r="HE86" s="4">
        <f>DATE(YEAR(HD86)+5,MONTH(HD86),DAY(HD86))</f>
        <v>47322</v>
      </c>
      <c r="HF86" s="8">
        <f ca="1">HE86-TODAY()</f>
        <v>1188</v>
      </c>
      <c r="HG86" s="5" t="str">
        <f t="shared" ref="HG86:HG98" ca="1" si="399">IF(HF86&gt;=61,"VIGENTE",IF(HF86&gt;=1,"POR VENCER",IF(HF86&lt;=-1,"VENCIDA",IF(HD86=0,"NO APLICA"))))</f>
        <v>VIGENTE</v>
      </c>
      <c r="HH86" s="6"/>
      <c r="HI86" s="6"/>
      <c r="HJ86" s="4"/>
      <c r="HK86" s="8"/>
      <c r="HL86" s="5" t="str">
        <f t="shared" si="395"/>
        <v>NO APLICA</v>
      </c>
      <c r="HM86" s="6"/>
      <c r="HN86" s="6"/>
      <c r="HO86" s="4"/>
      <c r="HP86" s="6"/>
      <c r="HQ86" s="5" t="str">
        <f t="shared" si="326"/>
        <v>NO APLICA</v>
      </c>
      <c r="HR86" s="6"/>
      <c r="HS86" s="6"/>
      <c r="HT86" s="4"/>
      <c r="HU86" s="6"/>
      <c r="HV86" s="5" t="str">
        <f t="shared" si="327"/>
        <v>NO APLICA</v>
      </c>
      <c r="HW86" s="6"/>
      <c r="HX86" s="6"/>
      <c r="HY86" s="4"/>
      <c r="HZ86" s="6"/>
      <c r="IA86" s="5" t="str">
        <f t="shared" si="328"/>
        <v>NO APLICA</v>
      </c>
      <c r="IB86" s="6"/>
      <c r="IC86" s="6"/>
      <c r="ID86" s="4"/>
      <c r="IE86" s="6"/>
      <c r="IF86" s="5" t="str">
        <f t="shared" si="329"/>
        <v>NO APLICA</v>
      </c>
      <c r="IG86" s="6"/>
      <c r="IH86" s="6"/>
      <c r="II86" s="4"/>
      <c r="IJ86" s="6"/>
      <c r="IK86" s="5" t="str">
        <f t="shared" si="330"/>
        <v>NO APLICA</v>
      </c>
      <c r="IL86" s="6"/>
      <c r="IM86" s="6"/>
      <c r="IN86" s="4"/>
      <c r="IO86" s="8"/>
      <c r="IP86" s="5" t="str">
        <f t="shared" si="331"/>
        <v>NO APLICA</v>
      </c>
      <c r="IQ86" s="6"/>
      <c r="IR86" s="6"/>
      <c r="IS86" s="4"/>
      <c r="IT86" s="6"/>
      <c r="IU86" s="5" t="str">
        <f t="shared" si="332"/>
        <v>NO APLICA</v>
      </c>
      <c r="IV86" s="6"/>
      <c r="IW86" s="6"/>
      <c r="IX86" s="4"/>
      <c r="IY86" s="6"/>
      <c r="IZ86" s="5" t="str">
        <f t="shared" si="333"/>
        <v>NO APLICA</v>
      </c>
      <c r="JA86" s="6"/>
      <c r="JB86" s="6"/>
      <c r="JC86" s="6"/>
      <c r="JD86" s="6"/>
      <c r="JE86" s="5" t="str">
        <f t="shared" si="334"/>
        <v>NO APLICA</v>
      </c>
      <c r="JF86" s="6"/>
      <c r="JG86" s="6"/>
      <c r="JH86" s="6"/>
      <c r="JI86" s="6"/>
      <c r="JJ86" s="5" t="str">
        <f t="shared" si="335"/>
        <v>NO APLICA</v>
      </c>
      <c r="JK86" s="6"/>
      <c r="JL86" s="6"/>
      <c r="JM86" s="6"/>
      <c r="JN86" s="6"/>
      <c r="JO86" s="5" t="str">
        <f t="shared" si="336"/>
        <v>NO APLICA</v>
      </c>
      <c r="JP86" s="6"/>
      <c r="JQ86" s="6"/>
      <c r="JR86" s="6"/>
      <c r="JS86" s="6"/>
      <c r="JT86" s="5" t="str">
        <f t="shared" si="337"/>
        <v>NO APLICA</v>
      </c>
      <c r="JU86" s="5"/>
      <c r="JV86" s="3"/>
      <c r="JW86" s="4"/>
      <c r="JX86" s="8"/>
      <c r="JY86" s="5" t="str">
        <f t="shared" si="338"/>
        <v>NO APLICA</v>
      </c>
      <c r="JZ86" s="5"/>
      <c r="KA86" s="6"/>
      <c r="KB86" s="4"/>
      <c r="KC86" s="6"/>
      <c r="KD86" s="5" t="str">
        <f t="shared" si="339"/>
        <v>NO APLICA</v>
      </c>
      <c r="KE86" s="5"/>
      <c r="KF86" s="6"/>
      <c r="KG86" s="4"/>
      <c r="KH86" s="6"/>
      <c r="KI86" s="5" t="str">
        <f t="shared" si="365"/>
        <v>NO APLICA</v>
      </c>
      <c r="KJ86" s="5"/>
      <c r="KK86" s="6"/>
      <c r="KL86" s="4"/>
      <c r="KM86" s="6"/>
      <c r="KN86" s="5" t="str">
        <f t="shared" si="340"/>
        <v>NO APLICA</v>
      </c>
      <c r="KO86" s="5"/>
      <c r="KP86" s="2"/>
      <c r="KQ86" s="2"/>
      <c r="KR86" s="2"/>
      <c r="KS86" s="5" t="str">
        <f t="shared" si="366"/>
        <v>NO APLICA</v>
      </c>
      <c r="KT86" s="6"/>
      <c r="KU86" s="6"/>
      <c r="KV86" s="4"/>
      <c r="KW86" s="6"/>
      <c r="KX86" s="5" t="str">
        <f t="shared" si="375"/>
        <v>NO APLICA</v>
      </c>
      <c r="KY86" s="5"/>
      <c r="KZ86" s="6"/>
      <c r="LA86" s="4"/>
      <c r="LB86" s="6"/>
      <c r="LC86" s="5" t="str">
        <f t="shared" si="367"/>
        <v>NO APLICA</v>
      </c>
      <c r="LD86" s="6"/>
      <c r="LE86" s="6"/>
      <c r="LF86" s="6"/>
      <c r="LG86" s="6"/>
      <c r="LH86" s="5" t="str">
        <f t="shared" si="341"/>
        <v>NO APLICA</v>
      </c>
      <c r="LI86" s="5"/>
      <c r="LJ86" s="5"/>
      <c r="LK86" s="4"/>
      <c r="LL86" s="8"/>
      <c r="LM86" s="5" t="str">
        <f t="shared" si="376"/>
        <v>NO APLICA</v>
      </c>
      <c r="LN86" s="6"/>
      <c r="LO86" s="6"/>
      <c r="LP86" s="4"/>
      <c r="LQ86" s="8"/>
      <c r="LR86" s="5" t="str">
        <f t="shared" si="368"/>
        <v>NO APLICA</v>
      </c>
      <c r="LS86" s="6"/>
      <c r="LT86" s="6"/>
      <c r="LU86" s="4"/>
      <c r="LV86" s="6"/>
      <c r="LW86" s="5" t="str">
        <f t="shared" si="369"/>
        <v>NO APLICA</v>
      </c>
      <c r="LX86" s="6"/>
      <c r="LY86" s="6"/>
      <c r="LZ86" s="4"/>
      <c r="MA86" s="6"/>
      <c r="MB86" s="5" t="str">
        <f t="shared" si="370"/>
        <v>NO APLICA</v>
      </c>
      <c r="MC86" s="6"/>
      <c r="MD86" s="6"/>
      <c r="ME86" s="4"/>
      <c r="MF86" s="6"/>
      <c r="MG86" s="5" t="str">
        <f t="shared" si="342"/>
        <v>NO APLICA</v>
      </c>
      <c r="MH86" s="6"/>
      <c r="MI86" s="6"/>
      <c r="MJ86" s="4"/>
      <c r="MK86" s="6"/>
      <c r="ML86" s="5" t="str">
        <f t="shared" si="343"/>
        <v>NO APLICA</v>
      </c>
      <c r="MM86" s="5"/>
      <c r="MN86" s="6"/>
      <c r="MO86" s="4"/>
      <c r="MP86" s="6"/>
      <c r="MQ86" s="5" t="str">
        <f t="shared" si="344"/>
        <v>NO APLICA</v>
      </c>
      <c r="MR86" s="5"/>
      <c r="MS86" s="6"/>
      <c r="MT86" s="6"/>
      <c r="MU86" s="6"/>
      <c r="MV86" s="5" t="str">
        <f t="shared" si="345"/>
        <v>NO APLICA</v>
      </c>
      <c r="MW86" s="6"/>
      <c r="MX86" s="6"/>
      <c r="MY86" s="4"/>
      <c r="MZ86" s="6"/>
      <c r="NA86" s="5" t="str">
        <f t="shared" si="346"/>
        <v>NO APLICA</v>
      </c>
      <c r="NB86" s="6"/>
      <c r="NC86" s="6"/>
      <c r="ND86" s="4"/>
      <c r="NE86" s="6"/>
      <c r="NF86" s="5" t="str">
        <f t="shared" si="347"/>
        <v>NO APLICA</v>
      </c>
      <c r="NG86" s="6"/>
      <c r="NH86" s="6"/>
      <c r="NI86" s="4"/>
      <c r="NJ86" s="6"/>
      <c r="NK86" s="5" t="str">
        <f t="shared" si="348"/>
        <v>NO APLICA</v>
      </c>
      <c r="NL86" s="6"/>
      <c r="NM86" s="6"/>
      <c r="NN86" s="4"/>
      <c r="NO86" s="6"/>
      <c r="NP86" s="5" t="str">
        <f t="shared" si="349"/>
        <v>NO APLICA</v>
      </c>
      <c r="NQ86" s="6"/>
      <c r="NR86" s="6"/>
      <c r="NS86" s="4"/>
      <c r="NT86" s="6"/>
      <c r="NU86" s="5" t="str">
        <f t="shared" si="350"/>
        <v>NO APLICA</v>
      </c>
      <c r="NV86" s="6"/>
      <c r="NW86" s="6"/>
      <c r="NX86" s="4"/>
      <c r="NY86" s="8"/>
      <c r="NZ86" s="5" t="str">
        <f t="shared" si="351"/>
        <v>NO APLICA</v>
      </c>
      <c r="OA86" s="6"/>
      <c r="OB86" s="6"/>
      <c r="OC86" s="6"/>
      <c r="OD86" s="6"/>
      <c r="OE86" s="5" t="str">
        <f t="shared" si="352"/>
        <v>NO APLICA</v>
      </c>
      <c r="OF86" s="6"/>
      <c r="OG86" s="6"/>
      <c r="OH86" s="6"/>
      <c r="OI86" s="6"/>
      <c r="OJ86" s="5" t="str">
        <f t="shared" si="353"/>
        <v>NO APLICA</v>
      </c>
      <c r="OK86" s="6"/>
      <c r="OL86" s="4">
        <v>45625</v>
      </c>
      <c r="OM86" s="4">
        <f>DATE(YEAR(OL86)+2,MONTH(OL86),DAY(OL86))</f>
        <v>46355</v>
      </c>
      <c r="ON86" s="8">
        <f ca="1">OM86-TODAY()</f>
        <v>221</v>
      </c>
      <c r="OO86" s="5" t="str">
        <f t="shared" ca="1" si="354"/>
        <v>VIGENTE</v>
      </c>
      <c r="OP86" s="6"/>
      <c r="OQ86" s="6"/>
      <c r="OR86" s="6"/>
      <c r="OS86" s="6"/>
      <c r="OT86" s="5" t="str">
        <f t="shared" si="355"/>
        <v>NO APLICA</v>
      </c>
      <c r="OU86" s="6"/>
      <c r="OV86" s="6"/>
      <c r="OW86" s="6"/>
      <c r="OX86" s="6"/>
      <c r="OY86" s="5" t="str">
        <f t="shared" si="356"/>
        <v>NO APLICA</v>
      </c>
      <c r="OZ86" s="6"/>
      <c r="PA86" s="6"/>
      <c r="PB86" s="6"/>
      <c r="PC86" s="6"/>
      <c r="PD86" s="5" t="str">
        <f t="shared" si="357"/>
        <v>NO APLICA</v>
      </c>
      <c r="PE86" s="6"/>
      <c r="PF86" s="6"/>
      <c r="PG86" s="6"/>
      <c r="PH86" s="6"/>
      <c r="PI86" s="5" t="str">
        <f t="shared" si="358"/>
        <v>NO APLICA</v>
      </c>
      <c r="PJ86" s="5"/>
      <c r="PK86" s="6"/>
      <c r="PL86" s="6"/>
      <c r="PM86" s="6"/>
      <c r="PN86" s="5" t="str">
        <f t="shared" si="359"/>
        <v>NO APLICA</v>
      </c>
      <c r="PO86" s="6"/>
      <c r="PP86" s="6"/>
      <c r="PQ86" s="6"/>
      <c r="PR86" s="6"/>
      <c r="PS86" s="5" t="str">
        <f t="shared" si="360"/>
        <v>NO APLICA</v>
      </c>
      <c r="PT86" s="5"/>
      <c r="PU86" s="4">
        <v>46126</v>
      </c>
      <c r="PV86" s="4">
        <f>DATE(YEAR(PU86)+1,MONTH(PU86),DAY(PU86))</f>
        <v>46491</v>
      </c>
      <c r="PW86" s="8">
        <f ca="1">PV86-TODAY()</f>
        <v>357</v>
      </c>
      <c r="PX86" s="5" t="str">
        <f t="shared" ca="1" si="361"/>
        <v>VIGENTE</v>
      </c>
    </row>
    <row r="87" spans="1:440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315</v>
      </c>
      <c r="V87" s="4">
        <v>44801</v>
      </c>
      <c r="W87" s="4">
        <f t="shared" si="248"/>
        <v>46627</v>
      </c>
      <c r="X87" s="8">
        <f t="shared" ca="1" si="249"/>
        <v>493</v>
      </c>
      <c r="Y87" s="5" t="str">
        <f t="shared" ca="1" si="250"/>
        <v>VIGENTE</v>
      </c>
      <c r="Z87" s="2" t="s">
        <v>316</v>
      </c>
      <c r="AA87" s="4">
        <v>44826</v>
      </c>
      <c r="AB87" s="4">
        <f>DATE(YEAR(AA87)+5,MONTH(AA87),DAY(AA87))</f>
        <v>46652</v>
      </c>
      <c r="AC87" s="8">
        <f ca="1">AB87-TODAY()</f>
        <v>518</v>
      </c>
      <c r="AD87" s="5" t="str">
        <f t="shared" ca="1" si="387"/>
        <v>VIGENTE</v>
      </c>
      <c r="AE87" s="3"/>
      <c r="AF87" s="4">
        <v>45609</v>
      </c>
      <c r="AG87" s="4">
        <f>DATE(YEAR(AF87)+2,MONTH(AF87),DAY(AF87)-1)</f>
        <v>46338</v>
      </c>
      <c r="AH87" s="8">
        <f t="shared" ca="1" si="252"/>
        <v>204</v>
      </c>
      <c r="AI87" s="5" t="str">
        <f t="shared" ca="1" si="224"/>
        <v>VIGENTE</v>
      </c>
      <c r="AJ87" s="3"/>
      <c r="AK87" s="4">
        <v>46062</v>
      </c>
      <c r="AL87" s="4">
        <f t="shared" ref="AL87:AL97" si="400">DATE(YEAR(AK87)+2,MONTH(AK87),DAY(AK87))</f>
        <v>46792</v>
      </c>
      <c r="AM87" s="8">
        <f t="shared" ca="1" si="253"/>
        <v>658</v>
      </c>
      <c r="AN87" s="5" t="str">
        <f t="shared" ca="1" si="254"/>
        <v>VIGENTE</v>
      </c>
      <c r="AO87" s="3"/>
      <c r="AP87" s="4">
        <v>45967</v>
      </c>
      <c r="AQ87" s="4">
        <f t="shared" ref="AQ87:AQ95" si="401">DATE(YEAR(AP87)+2,MONTH(AP87),DAY(AP87))</f>
        <v>46697</v>
      </c>
      <c r="AR87" s="8">
        <f t="shared" ca="1" si="255"/>
        <v>563</v>
      </c>
      <c r="AS87" s="5" t="str">
        <f t="shared" ca="1" si="256"/>
        <v>VIGENTE</v>
      </c>
      <c r="AT87" s="3"/>
      <c r="AU87" s="4">
        <v>45972</v>
      </c>
      <c r="AV87" s="4">
        <f t="shared" ref="AV87:AV95" si="402">DATE(YEAR(AU87)+2,MONTH(AU87),DAY(AU87))</f>
        <v>46702</v>
      </c>
      <c r="AW87" s="8">
        <f t="shared" ca="1" si="257"/>
        <v>568</v>
      </c>
      <c r="AX87" s="5" t="str">
        <f t="shared" ca="1" si="258"/>
        <v>VIGENTE</v>
      </c>
      <c r="AY87" s="3"/>
      <c r="AZ87" s="4">
        <v>46071</v>
      </c>
      <c r="BA87" s="4">
        <f>DATE(YEAR(AZ87)+2,MONTH(AZ87),DAY(AZ87))</f>
        <v>46801</v>
      </c>
      <c r="BB87" s="8">
        <f t="shared" ca="1" si="259"/>
        <v>667</v>
      </c>
      <c r="BC87" s="5" t="str">
        <f t="shared" ca="1" si="260"/>
        <v>VIGENTE</v>
      </c>
      <c r="BD87" s="3"/>
      <c r="BE87" s="4">
        <v>46067</v>
      </c>
      <c r="BF87" s="4">
        <f>DATE(YEAR(BE87)+2,MONTH(BE87),DAY(BE87))</f>
        <v>46797</v>
      </c>
      <c r="BG87" s="8">
        <f t="shared" ca="1" si="261"/>
        <v>663</v>
      </c>
      <c r="BH87" s="5" t="str">
        <f t="shared" ca="1" si="262"/>
        <v>VIGENTE</v>
      </c>
      <c r="BI87" s="3"/>
      <c r="BJ87" s="4">
        <v>46056</v>
      </c>
      <c r="BK87" s="4">
        <f>DATE(YEAR(BJ87)+2,MONTH(BJ87),DAY(BJ87))</f>
        <v>46786</v>
      </c>
      <c r="BL87" s="8">
        <f t="shared" ca="1" si="263"/>
        <v>652</v>
      </c>
      <c r="BM87" s="5" t="str">
        <f t="shared" ca="1" si="264"/>
        <v>VIGENTE</v>
      </c>
      <c r="BN87" s="3"/>
      <c r="BO87" s="4">
        <v>45470</v>
      </c>
      <c r="BP87" s="4">
        <f>DATE(YEAR(BO87)+2,MONTH(BO87),DAY(BO87)-1)</f>
        <v>46199</v>
      </c>
      <c r="BQ87" s="8">
        <f t="shared" ca="1" si="265"/>
        <v>65</v>
      </c>
      <c r="BR87" s="5" t="str">
        <f t="shared" ca="1" si="266"/>
        <v>POR VENCER</v>
      </c>
      <c r="BS87" s="3"/>
      <c r="BT87" s="4">
        <v>45455</v>
      </c>
      <c r="BU87" s="4">
        <f>DATE(YEAR(BT87)+2,MONTH(BT87),DAY(BT87)-1)</f>
        <v>46184</v>
      </c>
      <c r="BV87" s="8">
        <f t="shared" ca="1" si="267"/>
        <v>50</v>
      </c>
      <c r="BW87" s="5" t="str">
        <f t="shared" ca="1" si="268"/>
        <v>POR VENCER</v>
      </c>
      <c r="BX87" s="3"/>
      <c r="BY87" s="4">
        <v>45954</v>
      </c>
      <c r="BZ87" s="4">
        <f t="shared" ref="BZ87:BZ97" si="403">DATE(YEAR(BY87)+2,MONTH(BY87),DAY(BY87))</f>
        <v>46684</v>
      </c>
      <c r="CA87" s="8">
        <f t="shared" ca="1" si="269"/>
        <v>550</v>
      </c>
      <c r="CB87" s="5" t="str">
        <f t="shared" ca="1" si="270"/>
        <v>VIGENTE</v>
      </c>
      <c r="CC87" s="6" t="s">
        <v>73</v>
      </c>
      <c r="CD87" s="4">
        <v>45211</v>
      </c>
      <c r="CE87" s="4">
        <f t="shared" si="397"/>
        <v>46672</v>
      </c>
      <c r="CF87" s="8">
        <f t="shared" ca="1" si="398"/>
        <v>538</v>
      </c>
      <c r="CG87" s="5" t="str">
        <f t="shared" ca="1" si="273"/>
        <v>VIGENTE</v>
      </c>
      <c r="CH87" s="4"/>
      <c r="CI87" s="4">
        <v>46020</v>
      </c>
      <c r="CJ87" s="4">
        <f>DATE(YEAR(CI87)+2,MONTH(CI87),DAY(CI87))</f>
        <v>46750</v>
      </c>
      <c r="CK87" s="8">
        <f t="shared" ca="1" si="274"/>
        <v>616</v>
      </c>
      <c r="CL87" s="5" t="str">
        <f t="shared" ca="1" si="275"/>
        <v>VIGENTE</v>
      </c>
      <c r="CM87" s="3"/>
      <c r="CN87" s="4">
        <v>45898</v>
      </c>
      <c r="CO87" s="4">
        <f>DATE(YEAR(CN87)+2,MONTH(CN87),DAY(CN87))</f>
        <v>46628</v>
      </c>
      <c r="CP87" s="8">
        <f t="shared" ca="1" si="276"/>
        <v>494</v>
      </c>
      <c r="CQ87" s="5" t="str">
        <f t="shared" ca="1" si="277"/>
        <v>VIGENTE</v>
      </c>
      <c r="CR87" s="3"/>
      <c r="CS87" s="4">
        <v>45631</v>
      </c>
      <c r="CT87" s="4">
        <f>DATE(YEAR(CS87)+2,MONTH(CS87),DAY(CS87)-1)</f>
        <v>46360</v>
      </c>
      <c r="CU87" s="8">
        <f t="shared" ca="1" si="278"/>
        <v>226</v>
      </c>
      <c r="CV87" s="5" t="str">
        <f t="shared" ca="1" si="279"/>
        <v>VIGENTE</v>
      </c>
      <c r="CW87" s="3"/>
      <c r="CX87" s="4">
        <v>45661</v>
      </c>
      <c r="CY87" s="4">
        <f>DATE(YEAR(CX87)+2,MONTH(CX87),DAY(CX87)-1)</f>
        <v>46390</v>
      </c>
      <c r="CZ87" s="8">
        <f t="shared" ca="1" si="280"/>
        <v>256</v>
      </c>
      <c r="DA87" s="5" t="str">
        <f t="shared" ca="1" si="281"/>
        <v>VIGENTE</v>
      </c>
      <c r="DB87" s="3"/>
      <c r="DC87" s="4">
        <v>45689</v>
      </c>
      <c r="DD87" s="4">
        <f t="shared" si="396"/>
        <v>46418</v>
      </c>
      <c r="DE87" s="8">
        <f t="shared" ca="1" si="282"/>
        <v>284</v>
      </c>
      <c r="DF87" s="5" t="str">
        <f t="shared" ca="1" si="283"/>
        <v>VIGENTE</v>
      </c>
      <c r="DG87" s="3"/>
      <c r="DH87" s="4">
        <v>45955</v>
      </c>
      <c r="DI87" s="4">
        <f t="shared" ref="DI87:DI92" si="404">DATE(YEAR(DH87)+2,MONTH(DH87),DAY(DH87))</f>
        <v>46685</v>
      </c>
      <c r="DJ87" s="8">
        <f t="shared" ca="1" si="284"/>
        <v>551</v>
      </c>
      <c r="DK87" s="5" t="str">
        <f t="shared" ca="1" si="285"/>
        <v>VIGENTE</v>
      </c>
      <c r="DL87" s="3"/>
      <c r="DM87" s="4">
        <v>45577</v>
      </c>
      <c r="DN87" s="4">
        <f>DATE(YEAR(DM87)+2,MONTH(DM87),DAY(DM87)-1)</f>
        <v>46306</v>
      </c>
      <c r="DO87" s="8">
        <f t="shared" ca="1" si="286"/>
        <v>172</v>
      </c>
      <c r="DP87" s="5" t="str">
        <f t="shared" ca="1" si="287"/>
        <v>VIGENTE</v>
      </c>
      <c r="DQ87" s="3"/>
      <c r="DR87" s="4">
        <v>46018</v>
      </c>
      <c r="DS87" s="4">
        <f>DATE(YEAR(DR87)+2,MONTH(DR87),DAY(DR87))</f>
        <v>46748</v>
      </c>
      <c r="DT87" s="8">
        <f t="shared" ca="1" si="288"/>
        <v>614</v>
      </c>
      <c r="DU87" s="5" t="str">
        <f t="shared" ca="1" si="289"/>
        <v>VIGENTE</v>
      </c>
      <c r="DV87" s="3"/>
      <c r="DW87" s="4">
        <v>45934</v>
      </c>
      <c r="DX87" s="4">
        <f>DATE(YEAR(DW87)+2,MONTH(DW87),DAY(DW87))</f>
        <v>46664</v>
      </c>
      <c r="DY87" s="8">
        <f t="shared" ca="1" si="290"/>
        <v>530</v>
      </c>
      <c r="DZ87" s="5" t="str">
        <f t="shared" ca="1" si="291"/>
        <v>VIGENTE</v>
      </c>
      <c r="EA87" s="3"/>
      <c r="EB87" s="4">
        <v>45938</v>
      </c>
      <c r="EC87" s="4">
        <f>DATE(YEAR(EB87)+2,MONTH(EB87),DAY(EB87))</f>
        <v>46668</v>
      </c>
      <c r="ED87" s="8">
        <f t="shared" ca="1" si="292"/>
        <v>534</v>
      </c>
      <c r="EE87" s="5" t="str">
        <f t="shared" ca="1" si="293"/>
        <v>VIGENTE</v>
      </c>
      <c r="EF87" s="3"/>
      <c r="EG87" s="4">
        <v>45948</v>
      </c>
      <c r="EH87" s="4">
        <f t="shared" si="364"/>
        <v>46313</v>
      </c>
      <c r="EI87" s="8">
        <f t="shared" ca="1" si="294"/>
        <v>179</v>
      </c>
      <c r="EJ87" s="5" t="str">
        <f t="shared" ca="1" si="295"/>
        <v>VIGENTE</v>
      </c>
      <c r="EK87" s="3"/>
      <c r="EL87" s="4">
        <v>45966</v>
      </c>
      <c r="EM87" s="4">
        <f>DATE(YEAR(EL87)+2,MONTH(EL87),DAY(EL87))</f>
        <v>46696</v>
      </c>
      <c r="EN87" s="8">
        <f t="shared" ca="1" si="296"/>
        <v>562</v>
      </c>
      <c r="EO87" s="5" t="str">
        <f t="shared" ca="1" si="297"/>
        <v>VIGENTE</v>
      </c>
      <c r="EP87" s="3"/>
      <c r="EQ87" s="4">
        <v>45993</v>
      </c>
      <c r="ER87" s="4">
        <f t="shared" ref="ER87:ER92" si="405">DATE(YEAR(EQ87)+2,MONTH(EQ87),DAY(EQ87))</f>
        <v>46723</v>
      </c>
      <c r="ES87" s="8">
        <f t="shared" ca="1" si="298"/>
        <v>589</v>
      </c>
      <c r="ET87" s="5" t="str">
        <f t="shared" ca="1" si="299"/>
        <v>VIGENTE</v>
      </c>
      <c r="EU87" s="3"/>
      <c r="EV87" s="4">
        <v>45953</v>
      </c>
      <c r="EW87" s="4">
        <f>DATE(YEAR(EV87)+2,MONTH(EV87),DAY(EV87))</f>
        <v>46683</v>
      </c>
      <c r="EX87" s="8">
        <f t="shared" ca="1" si="300"/>
        <v>549</v>
      </c>
      <c r="EY87" s="5" t="str">
        <f t="shared" ca="1" si="301"/>
        <v>VIGENTE</v>
      </c>
      <c r="EZ87" s="3"/>
      <c r="FA87" s="4">
        <v>45988</v>
      </c>
      <c r="FB87" s="4">
        <f t="shared" ref="FB87:FB97" si="406">DATE(YEAR(FA87)+2,MONTH(FA87),DAY(FA87))</f>
        <v>46718</v>
      </c>
      <c r="FC87" s="8">
        <f t="shared" ca="1" si="302"/>
        <v>584</v>
      </c>
      <c r="FD87" s="5" t="str">
        <f t="shared" ca="1" si="303"/>
        <v>VIGENTE</v>
      </c>
      <c r="FE87" s="3"/>
      <c r="FF87" s="4">
        <v>45992</v>
      </c>
      <c r="FG87" s="4">
        <f t="shared" ref="FG87:FG98" si="407">DATE(YEAR(FF87)+2,MONTH(FF87),DAY(FF87))</f>
        <v>46722</v>
      </c>
      <c r="FH87" s="8">
        <f t="shared" ca="1" si="304"/>
        <v>588</v>
      </c>
      <c r="FI87" s="5" t="str">
        <f t="shared" ca="1" si="305"/>
        <v>VIGENTE</v>
      </c>
      <c r="FJ87" s="3"/>
      <c r="FK87" s="4">
        <v>46102</v>
      </c>
      <c r="FL87" s="4">
        <f>DATE(YEAR(FK87)+2,MONTH(FK87),DAY(FK87))</f>
        <v>46833</v>
      </c>
      <c r="FM87" s="8">
        <f t="shared" ca="1" si="306"/>
        <v>699</v>
      </c>
      <c r="FN87" s="5" t="str">
        <f t="shared" ca="1" si="307"/>
        <v>VIGENTE</v>
      </c>
      <c r="FO87" s="3"/>
      <c r="FP87" s="4">
        <v>46034</v>
      </c>
      <c r="FQ87" s="4">
        <f>DATE(YEAR(FP87)+2,MONTH(FP87),DAY(FP87))</f>
        <v>46764</v>
      </c>
      <c r="FR87" s="8">
        <f t="shared" ca="1" si="308"/>
        <v>630</v>
      </c>
      <c r="FS87" s="5" t="str">
        <f t="shared" ca="1" si="309"/>
        <v>VIGENTE</v>
      </c>
      <c r="FT87" s="3"/>
      <c r="FU87" s="4">
        <v>45587</v>
      </c>
      <c r="FV87" s="4">
        <f>DATE(YEAR(FU87)+2,MONTH(FU87),DAY(FU87)-1)</f>
        <v>46316</v>
      </c>
      <c r="FW87" s="8">
        <f t="shared" ca="1" si="310"/>
        <v>182</v>
      </c>
      <c r="FX87" s="5" t="str">
        <f t="shared" ca="1" si="311"/>
        <v>VIGENTE</v>
      </c>
      <c r="FY87" s="3"/>
      <c r="FZ87" s="4">
        <v>46030</v>
      </c>
      <c r="GA87" s="4">
        <f>DATE(YEAR(FZ87)+2,MONTH(FZ87),DAY(FZ87))</f>
        <v>46760</v>
      </c>
      <c r="GB87" s="8">
        <f t="shared" ca="1" si="312"/>
        <v>626</v>
      </c>
      <c r="GC87" s="5" t="str">
        <f t="shared" ca="1" si="313"/>
        <v>VIGENTE</v>
      </c>
      <c r="GD87" s="3"/>
      <c r="GE87" s="4">
        <v>45912</v>
      </c>
      <c r="GF87" s="4">
        <f>DATE(YEAR(GE87)+2,MONTH(GE87),DAY(GE87))</f>
        <v>46642</v>
      </c>
      <c r="GG87" s="8">
        <f t="shared" ca="1" si="314"/>
        <v>508</v>
      </c>
      <c r="GH87" s="5" t="str">
        <f t="shared" ca="1" si="315"/>
        <v>VIGENTE</v>
      </c>
      <c r="GI87" s="3"/>
      <c r="GJ87" s="4">
        <v>45923</v>
      </c>
      <c r="GK87" s="4">
        <f>DATE(YEAR(GJ87)+2,MONTH(GJ87),DAY(GJ87))</f>
        <v>46653</v>
      </c>
      <c r="GL87" s="8">
        <f t="shared" ca="1" si="316"/>
        <v>519</v>
      </c>
      <c r="GM87" s="5" t="str">
        <f t="shared" ca="1" si="317"/>
        <v>VIGENTE</v>
      </c>
      <c r="GN87" s="4"/>
      <c r="GO87" s="4">
        <v>44966</v>
      </c>
      <c r="GP87" s="4">
        <f t="shared" si="318"/>
        <v>46792</v>
      </c>
      <c r="GQ87" s="8">
        <f t="shared" ca="1" si="394"/>
        <v>658</v>
      </c>
      <c r="GR87" s="5" t="str">
        <f t="shared" ca="1" si="388"/>
        <v>VIGENTE</v>
      </c>
      <c r="GS87" s="3"/>
      <c r="GT87" s="4">
        <v>44984</v>
      </c>
      <c r="GU87" s="4">
        <f t="shared" si="320"/>
        <v>46810</v>
      </c>
      <c r="GV87" s="8">
        <f t="shared" ca="1" si="321"/>
        <v>676</v>
      </c>
      <c r="GW87" s="5" t="str">
        <f t="shared" ca="1" si="389"/>
        <v>VIGENTE</v>
      </c>
      <c r="GX87" s="3"/>
      <c r="GY87" s="4">
        <v>45330</v>
      </c>
      <c r="GZ87" s="4">
        <f t="shared" si="323"/>
        <v>47157</v>
      </c>
      <c r="HA87" s="8">
        <f t="shared" ca="1" si="324"/>
        <v>1023</v>
      </c>
      <c r="HB87" s="5" t="str">
        <f t="shared" ca="1" si="390"/>
        <v>VIGENTE</v>
      </c>
      <c r="HC87" s="6"/>
      <c r="HD87" s="4">
        <v>45094</v>
      </c>
      <c r="HE87" s="4">
        <f>DATE(YEAR(HD87)+5,MONTH(HD87),DAY(HD87))</f>
        <v>46921</v>
      </c>
      <c r="HF87" s="8">
        <f ca="1">HE87-TODAY()</f>
        <v>787</v>
      </c>
      <c r="HG87" s="5" t="str">
        <f t="shared" ca="1" si="399"/>
        <v>VIGENTE</v>
      </c>
      <c r="HH87" s="2"/>
      <c r="HI87" s="6"/>
      <c r="HJ87" s="4"/>
      <c r="HK87" s="8"/>
      <c r="HL87" s="5" t="str">
        <f t="shared" si="395"/>
        <v>NO APLICA</v>
      </c>
      <c r="HM87" s="2"/>
      <c r="HN87" s="2"/>
      <c r="HO87" s="4"/>
      <c r="HP87" s="2"/>
      <c r="HQ87" s="5" t="str">
        <f t="shared" si="326"/>
        <v>NO APLICA</v>
      </c>
      <c r="HR87" s="3"/>
      <c r="HS87" s="4">
        <v>45469</v>
      </c>
      <c r="HT87" s="4">
        <f>DATE(YEAR(HS87)+5,MONTH(HS87),DAY(HS87))</f>
        <v>47295</v>
      </c>
      <c r="HU87" s="8">
        <f ca="1">HT87-TODAY()</f>
        <v>1161</v>
      </c>
      <c r="HV87" s="5" t="str">
        <f t="shared" ca="1" si="327"/>
        <v>VIGENTE</v>
      </c>
      <c r="HW87" s="3"/>
      <c r="HX87" s="4">
        <v>45428</v>
      </c>
      <c r="HY87" s="4">
        <f>DATE(YEAR(HX87)+5,MONTH(HX87),DAY(HX87))</f>
        <v>47254</v>
      </c>
      <c r="HZ87" s="8">
        <f ca="1">HY87-TODAY()</f>
        <v>1120</v>
      </c>
      <c r="IA87" s="5" t="str">
        <f t="shared" ca="1" si="328"/>
        <v>VIGENTE</v>
      </c>
      <c r="IB87" s="3"/>
      <c r="IC87" s="4">
        <v>45386</v>
      </c>
      <c r="ID87" s="4">
        <f>DATE(YEAR(IC87)+5,MONTH(IC87),DAY(IC87))</f>
        <v>47212</v>
      </c>
      <c r="IE87" s="8">
        <f ca="1">ID87-TODAY()</f>
        <v>1078</v>
      </c>
      <c r="IF87" s="5" t="str">
        <f t="shared" ca="1" si="329"/>
        <v>VIGENTE</v>
      </c>
      <c r="IG87" s="4"/>
      <c r="IH87" s="4">
        <v>45266</v>
      </c>
      <c r="II87" s="4">
        <f>DATE(YEAR(IH87)+5,MONTH(IH87),DAY(IH87))</f>
        <v>47093</v>
      </c>
      <c r="IJ87" s="8">
        <f ca="1">II87-TODAY()</f>
        <v>959</v>
      </c>
      <c r="IK87" s="5" t="str">
        <f t="shared" ca="1" si="330"/>
        <v>VIGENTE</v>
      </c>
      <c r="IL87" s="3"/>
      <c r="IM87" s="4">
        <v>45354</v>
      </c>
      <c r="IN87" s="4">
        <f>DATE(YEAR(IM87)+5,MONTH(IM87),DAY(IM87))</f>
        <v>47180</v>
      </c>
      <c r="IO87" s="8">
        <f ca="1">IN87-TODAY()</f>
        <v>1046</v>
      </c>
      <c r="IP87" s="5" t="str">
        <f t="shared" ca="1" si="331"/>
        <v>VIGENTE</v>
      </c>
      <c r="IQ87" s="3"/>
      <c r="IR87" s="4">
        <v>45350</v>
      </c>
      <c r="IS87" s="4">
        <f>DATE(YEAR(IR87)+5,MONTH(IR87),DAY(IR87))</f>
        <v>47177</v>
      </c>
      <c r="IT87" s="8">
        <f ca="1">IS87-TODAY()</f>
        <v>1043</v>
      </c>
      <c r="IU87" s="5" t="str">
        <f t="shared" ca="1" si="332"/>
        <v>VIGENTE</v>
      </c>
      <c r="IV87" s="3"/>
      <c r="IW87" s="4">
        <v>45461</v>
      </c>
      <c r="IX87" s="4">
        <f>DATE(YEAR(IW87)+5,MONTH(IW87),DAY(IW87))</f>
        <v>47287</v>
      </c>
      <c r="IY87" s="8">
        <f ca="1">IX87-TODAY()</f>
        <v>1153</v>
      </c>
      <c r="IZ87" s="5" t="str">
        <f t="shared" ca="1" si="333"/>
        <v>VIGENTE</v>
      </c>
      <c r="JA87" s="3"/>
      <c r="JB87" s="3"/>
      <c r="JC87" s="4"/>
      <c r="JD87" s="8"/>
      <c r="JE87" s="5" t="str">
        <f t="shared" si="334"/>
        <v>NO APLICA</v>
      </c>
      <c r="JF87" s="6"/>
      <c r="JG87" s="6"/>
      <c r="JH87" s="6"/>
      <c r="JI87" s="6"/>
      <c r="JJ87" s="5" t="str">
        <f t="shared" si="335"/>
        <v>NO APLICA</v>
      </c>
      <c r="JK87" s="6"/>
      <c r="JL87" s="6"/>
      <c r="JM87" s="6"/>
      <c r="JN87" s="6"/>
      <c r="JO87" s="5" t="str">
        <f t="shared" si="336"/>
        <v>NO APLICA</v>
      </c>
      <c r="JP87" s="6"/>
      <c r="JQ87" s="6"/>
      <c r="JR87" s="6"/>
      <c r="JS87" s="6"/>
      <c r="JT87" s="5" t="str">
        <f t="shared" si="337"/>
        <v>NO APLICA</v>
      </c>
      <c r="JU87" s="5"/>
      <c r="JV87" s="5"/>
      <c r="JW87" s="5"/>
      <c r="JX87" s="5"/>
      <c r="JY87" s="5" t="str">
        <f t="shared" si="338"/>
        <v>NO APLICA</v>
      </c>
      <c r="JZ87" s="5"/>
      <c r="KA87" s="2"/>
      <c r="KB87" s="4"/>
      <c r="KC87" s="8"/>
      <c r="KD87" s="5" t="str">
        <f t="shared" si="339"/>
        <v>NO APLICA</v>
      </c>
      <c r="KE87" s="5"/>
      <c r="KF87" s="3">
        <v>45328</v>
      </c>
      <c r="KG87" s="4">
        <f>DATE(YEAR(KF87)+5,MONTH(KF87),DAY(KF87)-1)</f>
        <v>47154</v>
      </c>
      <c r="KH87" s="8">
        <f ca="1">KG87-TODAY()</f>
        <v>1020</v>
      </c>
      <c r="KI87" s="5" t="str">
        <f t="shared" ca="1" si="365"/>
        <v>VIGENTE</v>
      </c>
      <c r="KJ87" s="5"/>
      <c r="KK87" s="2"/>
      <c r="KL87" s="4"/>
      <c r="KM87" s="8"/>
      <c r="KN87" s="5" t="str">
        <f t="shared" si="340"/>
        <v>NO APLICA</v>
      </c>
      <c r="KO87" s="5"/>
      <c r="KP87" s="2"/>
      <c r="KQ87" s="4"/>
      <c r="KR87" s="8"/>
      <c r="KS87" s="5" t="str">
        <f t="shared" si="366"/>
        <v>NO APLICA</v>
      </c>
      <c r="KT87" s="3"/>
      <c r="KU87" s="4">
        <v>44658</v>
      </c>
      <c r="KV87" s="4">
        <f>DATE(YEAR(KU87)+5,MONTH(KU87),DAY(KU87))</f>
        <v>46484</v>
      </c>
      <c r="KW87" s="8">
        <f ca="1">KV87-TODAY()</f>
        <v>350</v>
      </c>
      <c r="KX87" s="5" t="str">
        <f t="shared" ca="1" si="375"/>
        <v>VIGENTE</v>
      </c>
      <c r="KY87" s="5"/>
      <c r="KZ87" s="6"/>
      <c r="LA87" s="4"/>
      <c r="LB87" s="8"/>
      <c r="LC87" s="5" t="str">
        <f t="shared" si="367"/>
        <v>NO APLICA</v>
      </c>
      <c r="LD87" s="4"/>
      <c r="LE87" s="4"/>
      <c r="LF87" s="4"/>
      <c r="LG87" s="8"/>
      <c r="LH87" s="5" t="str">
        <f t="shared" si="341"/>
        <v>NO APLICA</v>
      </c>
      <c r="LI87" s="5"/>
      <c r="LJ87" s="5"/>
      <c r="LK87" s="4"/>
      <c r="LL87" s="8"/>
      <c r="LM87" s="5" t="str">
        <f t="shared" si="376"/>
        <v>NO APLICA</v>
      </c>
      <c r="LN87" s="2"/>
      <c r="LO87" s="6"/>
      <c r="LP87" s="4"/>
      <c r="LQ87" s="8"/>
      <c r="LR87" s="5" t="str">
        <f t="shared" si="368"/>
        <v>NO APLICA</v>
      </c>
      <c r="LS87" s="6"/>
      <c r="LT87" s="6"/>
      <c r="LU87" s="4"/>
      <c r="LV87" s="8"/>
      <c r="LW87" s="5" t="str">
        <f t="shared" si="369"/>
        <v>NO APLICA</v>
      </c>
      <c r="LX87" s="6"/>
      <c r="LY87" s="6"/>
      <c r="LZ87" s="4"/>
      <c r="MA87" s="8"/>
      <c r="MB87" s="5" t="str">
        <f t="shared" si="370"/>
        <v>NO APLICA</v>
      </c>
      <c r="MC87" s="2"/>
      <c r="MD87" s="2"/>
      <c r="ME87" s="4"/>
      <c r="MF87" s="8"/>
      <c r="MG87" s="5" t="str">
        <f t="shared" si="342"/>
        <v>NO APLICA</v>
      </c>
      <c r="MH87" s="2"/>
      <c r="MI87" s="2"/>
      <c r="MJ87" s="4"/>
      <c r="MK87" s="8"/>
      <c r="ML87" s="5" t="str">
        <f t="shared" si="343"/>
        <v>NO APLICA</v>
      </c>
      <c r="MM87" s="5"/>
      <c r="MN87" s="2"/>
      <c r="MO87" s="4"/>
      <c r="MP87" s="8"/>
      <c r="MQ87" s="5" t="str">
        <f t="shared" si="344"/>
        <v>NO APLICA</v>
      </c>
      <c r="MR87" s="5"/>
      <c r="MS87" s="2"/>
      <c r="MT87" s="4"/>
      <c r="MU87" s="2"/>
      <c r="MV87" s="5" t="str">
        <f t="shared" si="345"/>
        <v>NO APLICA</v>
      </c>
      <c r="MW87" s="2"/>
      <c r="MX87" s="6"/>
      <c r="MY87" s="4"/>
      <c r="MZ87" s="8"/>
      <c r="NA87" s="5" t="str">
        <f t="shared" si="346"/>
        <v>NO APLICA</v>
      </c>
      <c r="NB87" s="2"/>
      <c r="NC87" s="6"/>
      <c r="ND87" s="4"/>
      <c r="NE87" s="8"/>
      <c r="NF87" s="5" t="str">
        <f t="shared" si="347"/>
        <v>NO APLICA</v>
      </c>
      <c r="NG87" s="2"/>
      <c r="NH87" s="6"/>
      <c r="NI87" s="4"/>
      <c r="NJ87" s="8"/>
      <c r="NK87" s="5" t="str">
        <f t="shared" si="348"/>
        <v>NO APLICA</v>
      </c>
      <c r="NL87" s="2"/>
      <c r="NM87" s="2"/>
      <c r="NN87" s="4"/>
      <c r="NO87" s="2"/>
      <c r="NP87" s="5" t="str">
        <f t="shared" si="349"/>
        <v>NO APLICA</v>
      </c>
      <c r="NQ87" s="2"/>
      <c r="NR87" s="2"/>
      <c r="NS87" s="2"/>
      <c r="NT87" s="2"/>
      <c r="NU87" s="5" t="str">
        <f t="shared" si="350"/>
        <v>NO APLICA</v>
      </c>
      <c r="NV87" s="6"/>
      <c r="NW87" s="6"/>
      <c r="NX87" s="4"/>
      <c r="NY87" s="8"/>
      <c r="NZ87" s="5" t="str">
        <f t="shared" si="351"/>
        <v>NO APLICA</v>
      </c>
      <c r="OA87" s="6"/>
      <c r="OB87" s="6"/>
      <c r="OC87" s="6"/>
      <c r="OD87" s="6"/>
      <c r="OE87" s="5" t="str">
        <f t="shared" si="352"/>
        <v>NO APLICA</v>
      </c>
      <c r="OF87" s="6"/>
      <c r="OG87" s="6"/>
      <c r="OH87" s="4"/>
      <c r="OI87" s="8"/>
      <c r="OJ87" s="5" t="str">
        <f t="shared" si="353"/>
        <v>NO APLICA</v>
      </c>
      <c r="OK87" s="6"/>
      <c r="OL87" s="6"/>
      <c r="OM87" s="6"/>
      <c r="ON87" s="6"/>
      <c r="OO87" s="5" t="str">
        <f t="shared" si="354"/>
        <v>NO APLICA</v>
      </c>
      <c r="OP87" s="6"/>
      <c r="OQ87" s="6"/>
      <c r="OR87" s="6"/>
      <c r="OS87" s="6"/>
      <c r="OT87" s="5" t="str">
        <f t="shared" si="355"/>
        <v>NO APLICA</v>
      </c>
      <c r="OU87" s="6"/>
      <c r="OV87" s="6"/>
      <c r="OW87" s="6"/>
      <c r="OX87" s="6"/>
      <c r="OY87" s="5" t="str">
        <f t="shared" si="356"/>
        <v>NO APLICA</v>
      </c>
      <c r="OZ87" s="6"/>
      <c r="PA87" s="6"/>
      <c r="PB87" s="6"/>
      <c r="PC87" s="6"/>
      <c r="PD87" s="5" t="str">
        <f t="shared" si="357"/>
        <v>NO APLICA</v>
      </c>
      <c r="PE87" s="6"/>
      <c r="PF87" s="6"/>
      <c r="PG87" s="6"/>
      <c r="PH87" s="6"/>
      <c r="PI87" s="5" t="str">
        <f t="shared" si="358"/>
        <v>NO APLICA</v>
      </c>
      <c r="PJ87" s="5"/>
      <c r="PK87" s="6"/>
      <c r="PL87" s="4"/>
      <c r="PM87" s="8"/>
      <c r="PN87" s="5" t="str">
        <f t="shared" si="359"/>
        <v>NO APLICA</v>
      </c>
      <c r="PO87" s="6"/>
      <c r="PP87" s="6"/>
      <c r="PQ87" s="6"/>
      <c r="PR87" s="6"/>
      <c r="PS87" s="5" t="str">
        <f t="shared" si="360"/>
        <v>NO APLICA</v>
      </c>
      <c r="PT87" s="5"/>
      <c r="PU87" s="6"/>
      <c r="PV87" s="6"/>
      <c r="PW87" s="6"/>
      <c r="PX87" s="5" t="str">
        <f t="shared" si="361"/>
        <v>NO APLICA</v>
      </c>
    </row>
    <row r="88" spans="1:440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318</v>
      </c>
      <c r="V88" s="4">
        <v>45693</v>
      </c>
      <c r="W88" s="4">
        <f t="shared" si="248"/>
        <v>47519</v>
      </c>
      <c r="X88" s="8">
        <f t="shared" ca="1" si="249"/>
        <v>1385</v>
      </c>
      <c r="Y88" s="5" t="str">
        <f t="shared" ca="1" si="250"/>
        <v>VIGENTE</v>
      </c>
      <c r="Z88" s="2"/>
      <c r="AA88" s="6"/>
      <c r="AB88" s="4"/>
      <c r="AC88" s="8"/>
      <c r="AD88" s="5" t="str">
        <f t="shared" si="387"/>
        <v>NO APLICA</v>
      </c>
      <c r="AE88" s="3"/>
      <c r="AF88" s="4">
        <v>45902</v>
      </c>
      <c r="AG88" s="4">
        <f>DATE(YEAR(AF88)+2,MONTH(AF88),DAY(AF88))</f>
        <v>46632</v>
      </c>
      <c r="AH88" s="8">
        <f t="shared" ca="1" si="252"/>
        <v>498</v>
      </c>
      <c r="AI88" s="5" t="str">
        <f t="shared" ca="1" si="224"/>
        <v>VIGENTE</v>
      </c>
      <c r="AJ88" s="3"/>
      <c r="AK88" s="4">
        <v>45937</v>
      </c>
      <c r="AL88" s="4">
        <f t="shared" si="400"/>
        <v>46667</v>
      </c>
      <c r="AM88" s="8">
        <f t="shared" ca="1" si="253"/>
        <v>533</v>
      </c>
      <c r="AN88" s="5" t="str">
        <f t="shared" ca="1" si="254"/>
        <v>VIGENTE</v>
      </c>
      <c r="AO88" s="3"/>
      <c r="AP88" s="4">
        <v>45971</v>
      </c>
      <c r="AQ88" s="4">
        <f t="shared" si="401"/>
        <v>46701</v>
      </c>
      <c r="AR88" s="8">
        <f t="shared" ca="1" si="255"/>
        <v>567</v>
      </c>
      <c r="AS88" s="5" t="str">
        <f t="shared" ca="1" si="256"/>
        <v>VIGENTE</v>
      </c>
      <c r="AT88" s="3"/>
      <c r="AU88" s="4">
        <v>45990</v>
      </c>
      <c r="AV88" s="4">
        <f t="shared" si="402"/>
        <v>46720</v>
      </c>
      <c r="AW88" s="8">
        <f t="shared" ca="1" si="257"/>
        <v>586</v>
      </c>
      <c r="AX88" s="5" t="str">
        <f t="shared" ca="1" si="258"/>
        <v>VIGENTE</v>
      </c>
      <c r="AY88" s="3"/>
      <c r="AZ88" s="4">
        <v>45717</v>
      </c>
      <c r="BA88" s="4">
        <f>DATE(YEAR(AZ88)+2,MONTH(AZ88),DAY(AZ88)-1)</f>
        <v>46446</v>
      </c>
      <c r="BB88" s="8">
        <f t="shared" ca="1" si="259"/>
        <v>312</v>
      </c>
      <c r="BC88" s="5" t="str">
        <f t="shared" ca="1" si="260"/>
        <v>VIGENTE</v>
      </c>
      <c r="BD88" s="3"/>
      <c r="BE88" s="4">
        <v>45698</v>
      </c>
      <c r="BF88" s="4">
        <f>DATE(YEAR(BE88)+2,MONTH(BE88),DAY(BE88)-1)</f>
        <v>46427</v>
      </c>
      <c r="BG88" s="8">
        <f t="shared" ca="1" si="261"/>
        <v>293</v>
      </c>
      <c r="BH88" s="5" t="str">
        <f t="shared" ca="1" si="262"/>
        <v>VIGENTE</v>
      </c>
      <c r="BI88" s="3"/>
      <c r="BJ88" s="4">
        <v>45797</v>
      </c>
      <c r="BK88" s="4">
        <f>DATE(YEAR(BJ88)+2,MONTH(BJ88),DAY(BJ88))</f>
        <v>46527</v>
      </c>
      <c r="BL88" s="8">
        <f t="shared" ca="1" si="263"/>
        <v>393</v>
      </c>
      <c r="BM88" s="5" t="str">
        <f t="shared" ca="1" si="264"/>
        <v>VIGENTE</v>
      </c>
      <c r="BN88" s="3"/>
      <c r="BO88" s="4">
        <v>45701</v>
      </c>
      <c r="BP88" s="4">
        <f>DATE(YEAR(BO88)+2,MONTH(BO88),DAY(BO88)-1)</f>
        <v>46430</v>
      </c>
      <c r="BQ88" s="8">
        <f t="shared" ca="1" si="265"/>
        <v>296</v>
      </c>
      <c r="BR88" s="5" t="str">
        <f t="shared" ca="1" si="266"/>
        <v>VIGENTE</v>
      </c>
      <c r="BS88" s="2"/>
      <c r="BT88" s="4">
        <v>45736</v>
      </c>
      <c r="BU88" s="4">
        <f>DATE(YEAR(BT88)+2,MONTH(BT88),DAY(BT88)-1)</f>
        <v>46465</v>
      </c>
      <c r="BV88" s="8">
        <f t="shared" ca="1" si="267"/>
        <v>331</v>
      </c>
      <c r="BW88" s="5" t="str">
        <f t="shared" ca="1" si="268"/>
        <v>VIGENTE</v>
      </c>
      <c r="BX88" s="3"/>
      <c r="BY88" s="4">
        <v>45944</v>
      </c>
      <c r="BZ88" s="4">
        <f t="shared" si="403"/>
        <v>46674</v>
      </c>
      <c r="CA88" s="8">
        <f t="shared" ca="1" si="269"/>
        <v>540</v>
      </c>
      <c r="CB88" s="5" t="str">
        <f t="shared" ca="1" si="270"/>
        <v>VIGENTE</v>
      </c>
      <c r="CC88" s="6" t="s">
        <v>73</v>
      </c>
      <c r="CD88" s="4">
        <v>45616</v>
      </c>
      <c r="CE88" s="4">
        <f t="shared" si="397"/>
        <v>47077</v>
      </c>
      <c r="CF88" s="8">
        <f t="shared" ca="1" si="398"/>
        <v>943</v>
      </c>
      <c r="CG88" s="5" t="str">
        <f t="shared" ca="1" si="273"/>
        <v>VIGENTE</v>
      </c>
      <c r="CH88" s="4"/>
      <c r="CI88" s="4">
        <v>45688</v>
      </c>
      <c r="CJ88" s="4">
        <f>DATE(YEAR(CI88)+2,MONTH(CI88),DAY(CI88)-1)</f>
        <v>46417</v>
      </c>
      <c r="CK88" s="8">
        <f t="shared" ca="1" si="274"/>
        <v>283</v>
      </c>
      <c r="CL88" s="5" t="str">
        <f t="shared" ca="1" si="275"/>
        <v>VIGENTE</v>
      </c>
      <c r="CM88" s="3"/>
      <c r="CN88" s="4">
        <v>45684</v>
      </c>
      <c r="CO88" s="4">
        <f>DATE(YEAR(CN88)+2,MONTH(CN88),DAY(CN88)-1)</f>
        <v>46413</v>
      </c>
      <c r="CP88" s="8">
        <f t="shared" ca="1" si="276"/>
        <v>279</v>
      </c>
      <c r="CQ88" s="5" t="str">
        <f t="shared" ca="1" si="277"/>
        <v>VIGENTE</v>
      </c>
      <c r="CR88" s="3"/>
      <c r="CS88" s="4">
        <v>45905</v>
      </c>
      <c r="CT88" s="4">
        <f>DATE(YEAR(CS88)+2,MONTH(CS88),DAY(CS88))</f>
        <v>46635</v>
      </c>
      <c r="CU88" s="8">
        <f t="shared" ca="1" si="278"/>
        <v>501</v>
      </c>
      <c r="CV88" s="5" t="str">
        <f t="shared" ca="1" si="279"/>
        <v>VIGENTE</v>
      </c>
      <c r="CW88" s="3"/>
      <c r="CX88" s="4">
        <v>46000</v>
      </c>
      <c r="CY88" s="4">
        <f>DATE(YEAR(CX88)+2,MONTH(CX88),DAY(CX88))</f>
        <v>46730</v>
      </c>
      <c r="CZ88" s="8">
        <f t="shared" ca="1" si="280"/>
        <v>596</v>
      </c>
      <c r="DA88" s="5" t="str">
        <f t="shared" ca="1" si="281"/>
        <v>VIGENTE</v>
      </c>
      <c r="DB88" s="3"/>
      <c r="DC88" s="4">
        <v>45689</v>
      </c>
      <c r="DD88" s="4">
        <f t="shared" si="396"/>
        <v>46418</v>
      </c>
      <c r="DE88" s="8">
        <f t="shared" ca="1" si="282"/>
        <v>284</v>
      </c>
      <c r="DF88" s="5" t="str">
        <f t="shared" ca="1" si="283"/>
        <v>VIGENTE</v>
      </c>
      <c r="DG88" s="3"/>
      <c r="DH88" s="4">
        <v>45975</v>
      </c>
      <c r="DI88" s="4">
        <f t="shared" si="404"/>
        <v>46705</v>
      </c>
      <c r="DJ88" s="8">
        <f t="shared" ca="1" si="284"/>
        <v>571</v>
      </c>
      <c r="DK88" s="5" t="str">
        <f t="shared" ca="1" si="285"/>
        <v>VIGENTE</v>
      </c>
      <c r="DL88" s="3"/>
      <c r="DM88" s="4">
        <v>45982</v>
      </c>
      <c r="DN88" s="4">
        <f>DATE(YEAR(DM88)+2,MONTH(DM88),DAY(DM88))</f>
        <v>46712</v>
      </c>
      <c r="DO88" s="8">
        <f t="shared" ca="1" si="286"/>
        <v>578</v>
      </c>
      <c r="DP88" s="5" t="str">
        <f t="shared" ca="1" si="287"/>
        <v>VIGENTE</v>
      </c>
      <c r="DQ88" s="3"/>
      <c r="DR88" s="4">
        <v>45685</v>
      </c>
      <c r="DS88" s="4">
        <f>DATE(YEAR(DR88)+2,MONTH(DR88),DAY(DR88)-1)</f>
        <v>46414</v>
      </c>
      <c r="DT88" s="8">
        <f t="shared" ca="1" si="288"/>
        <v>280</v>
      </c>
      <c r="DU88" s="5" t="str">
        <f t="shared" ca="1" si="289"/>
        <v>VIGENTE</v>
      </c>
      <c r="DV88" s="3"/>
      <c r="DW88" s="4">
        <v>45663</v>
      </c>
      <c r="DX88" s="4">
        <f>DATE(YEAR(DW88)+2,MONTH(DW88),DAY(DW88)-1)</f>
        <v>46392</v>
      </c>
      <c r="DY88" s="8">
        <f t="shared" ca="1" si="290"/>
        <v>258</v>
      </c>
      <c r="DZ88" s="5" t="str">
        <f t="shared" ca="1" si="291"/>
        <v>VIGENTE</v>
      </c>
      <c r="EA88" s="3"/>
      <c r="EB88" s="4">
        <v>45674</v>
      </c>
      <c r="EC88" s="4">
        <f>DATE(YEAR(EB88)+2,MONTH(EB88),DAY(EB88)-1)</f>
        <v>46403</v>
      </c>
      <c r="ED88" s="8">
        <f t="shared" ca="1" si="292"/>
        <v>269</v>
      </c>
      <c r="EE88" s="5" t="str">
        <f t="shared" ca="1" si="293"/>
        <v>VIGENTE</v>
      </c>
      <c r="EF88" s="3"/>
      <c r="EG88" s="3">
        <v>46085</v>
      </c>
      <c r="EH88" s="4">
        <f t="shared" si="364"/>
        <v>46450</v>
      </c>
      <c r="EI88" s="8">
        <f t="shared" ca="1" si="294"/>
        <v>316</v>
      </c>
      <c r="EJ88" s="5" t="str">
        <f t="shared" ca="1" si="295"/>
        <v>VIGENTE</v>
      </c>
      <c r="EK88" s="3"/>
      <c r="EL88" s="4">
        <v>45671</v>
      </c>
      <c r="EM88" s="4">
        <f>DATE(YEAR(EL88)+2,MONTH(EL88),DAY(EL88)-1)</f>
        <v>46400</v>
      </c>
      <c r="EN88" s="8">
        <f t="shared" ca="1" si="296"/>
        <v>266</v>
      </c>
      <c r="EO88" s="5" t="str">
        <f t="shared" ca="1" si="297"/>
        <v>VIGENTE</v>
      </c>
      <c r="EP88" s="3"/>
      <c r="EQ88" s="4">
        <v>45796</v>
      </c>
      <c r="ER88" s="4">
        <f t="shared" si="405"/>
        <v>46526</v>
      </c>
      <c r="ES88" s="8">
        <f t="shared" ca="1" si="298"/>
        <v>392</v>
      </c>
      <c r="ET88" s="5" t="str">
        <f t="shared" ca="1" si="299"/>
        <v>VIGENTE</v>
      </c>
      <c r="EU88" s="3"/>
      <c r="EV88" s="4">
        <v>45917</v>
      </c>
      <c r="EW88" s="4">
        <f>DATE(YEAR(EV88)+2,MONTH(EV88),DAY(EV88))</f>
        <v>46647</v>
      </c>
      <c r="EX88" s="8">
        <f t="shared" ca="1" si="300"/>
        <v>513</v>
      </c>
      <c r="EY88" s="5" t="str">
        <f t="shared" ca="1" si="301"/>
        <v>VIGENTE</v>
      </c>
      <c r="EZ88" s="3"/>
      <c r="FA88" s="4">
        <v>45931</v>
      </c>
      <c r="FB88" s="4">
        <f t="shared" si="406"/>
        <v>46661</v>
      </c>
      <c r="FC88" s="8">
        <f t="shared" ca="1" si="302"/>
        <v>527</v>
      </c>
      <c r="FD88" s="5" t="str">
        <f t="shared" ca="1" si="303"/>
        <v>VIGENTE</v>
      </c>
      <c r="FE88" s="3"/>
      <c r="FF88" s="4">
        <v>45932</v>
      </c>
      <c r="FG88" s="4">
        <f t="shared" si="407"/>
        <v>46662</v>
      </c>
      <c r="FH88" s="8">
        <f t="shared" ca="1" si="304"/>
        <v>528</v>
      </c>
      <c r="FI88" s="5" t="str">
        <f t="shared" ca="1" si="305"/>
        <v>VIGENTE</v>
      </c>
      <c r="FJ88" s="3"/>
      <c r="FK88" s="4">
        <v>45738</v>
      </c>
      <c r="FL88" s="4">
        <f>DATE(YEAR(FK88)+2,MONTH(FK88),DAY(FK88)-1)</f>
        <v>46467</v>
      </c>
      <c r="FM88" s="8">
        <f t="shared" ca="1" si="306"/>
        <v>333</v>
      </c>
      <c r="FN88" s="5" t="str">
        <f t="shared" ca="1" si="307"/>
        <v>VIGENTE</v>
      </c>
      <c r="FO88" s="3"/>
      <c r="FP88" s="4">
        <v>45747</v>
      </c>
      <c r="FQ88" s="4">
        <f>DATE(YEAR(FP88)+2,MONTH(FP88),DAY(FP88)-1)</f>
        <v>46476</v>
      </c>
      <c r="FR88" s="8">
        <f t="shared" ca="1" si="308"/>
        <v>342</v>
      </c>
      <c r="FS88" s="5" t="str">
        <f t="shared" ca="1" si="309"/>
        <v>VIGENTE</v>
      </c>
      <c r="FT88" s="3"/>
      <c r="FU88" s="4">
        <v>45941</v>
      </c>
      <c r="FV88" s="4">
        <f>DATE(YEAR(FU88)+2,MONTH(FU88),DAY(FU88))</f>
        <v>46671</v>
      </c>
      <c r="FW88" s="8">
        <f t="shared" ca="1" si="310"/>
        <v>537</v>
      </c>
      <c r="FX88" s="5" t="str">
        <f t="shared" ca="1" si="311"/>
        <v>VIGENTE</v>
      </c>
      <c r="FY88" s="3"/>
      <c r="FZ88" s="4">
        <v>45667</v>
      </c>
      <c r="GA88" s="4">
        <f>DATE(YEAR(FZ88)+2,MONTH(FZ88),DAY(FZ88)-1)</f>
        <v>46396</v>
      </c>
      <c r="GB88" s="8">
        <f t="shared" ca="1" si="312"/>
        <v>262</v>
      </c>
      <c r="GC88" s="5" t="str">
        <f t="shared" ca="1" si="313"/>
        <v>VIGENTE</v>
      </c>
      <c r="GD88" s="3"/>
      <c r="GE88" s="4">
        <v>45672</v>
      </c>
      <c r="GF88" s="4">
        <f>DATE(YEAR(GE88)+2,MONTH(GE88),DAY(GE88)-1)</f>
        <v>46401</v>
      </c>
      <c r="GG88" s="8">
        <f t="shared" ca="1" si="314"/>
        <v>267</v>
      </c>
      <c r="GH88" s="5" t="str">
        <f t="shared" ca="1" si="315"/>
        <v>VIGENTE</v>
      </c>
      <c r="GI88" s="3"/>
      <c r="GJ88" s="4">
        <v>45764</v>
      </c>
      <c r="GK88" s="4">
        <f>DATE(YEAR(GJ88)+2,MONTH(GJ88),DAY(GJ88))</f>
        <v>46494</v>
      </c>
      <c r="GL88" s="8">
        <f t="shared" ca="1" si="316"/>
        <v>360</v>
      </c>
      <c r="GM88" s="5" t="str">
        <f t="shared" ca="1" si="317"/>
        <v>VIGENTE</v>
      </c>
      <c r="GN88" s="4"/>
      <c r="GO88" s="4">
        <v>45017</v>
      </c>
      <c r="GP88" s="4">
        <f t="shared" si="318"/>
        <v>46844</v>
      </c>
      <c r="GQ88" s="8">
        <f t="shared" ca="1" si="394"/>
        <v>710</v>
      </c>
      <c r="GR88" s="5" t="str">
        <f t="shared" ca="1" si="388"/>
        <v>VIGENTE</v>
      </c>
      <c r="GS88" s="3"/>
      <c r="GT88" s="4">
        <v>44979</v>
      </c>
      <c r="GU88" s="4">
        <f t="shared" si="320"/>
        <v>46805</v>
      </c>
      <c r="GV88" s="8">
        <f t="shared" ca="1" si="321"/>
        <v>671</v>
      </c>
      <c r="GW88" s="5" t="str">
        <f t="shared" ca="1" si="389"/>
        <v>VIGENTE</v>
      </c>
      <c r="GX88" s="2"/>
      <c r="GY88" s="4">
        <v>45016</v>
      </c>
      <c r="GZ88" s="4">
        <f t="shared" si="323"/>
        <v>46843</v>
      </c>
      <c r="HA88" s="8">
        <f t="shared" ca="1" si="324"/>
        <v>709</v>
      </c>
      <c r="HB88" s="5" t="str">
        <f t="shared" ca="1" si="390"/>
        <v>VIGENTE</v>
      </c>
      <c r="HC88" s="6"/>
      <c r="HD88" s="6"/>
      <c r="HE88" s="4"/>
      <c r="HF88" s="8"/>
      <c r="HG88" s="5" t="str">
        <f t="shared" si="399"/>
        <v>NO APLICA</v>
      </c>
      <c r="HH88" s="2"/>
      <c r="HI88" s="6"/>
      <c r="HJ88" s="4"/>
      <c r="HK88" s="8"/>
      <c r="HL88" s="5" t="str">
        <f t="shared" si="395"/>
        <v>NO APLICA</v>
      </c>
      <c r="HM88" s="2"/>
      <c r="HN88" s="2"/>
      <c r="HO88" s="4"/>
      <c r="HP88" s="2"/>
      <c r="HQ88" s="5" t="str">
        <f t="shared" si="326"/>
        <v>NO APLICA</v>
      </c>
      <c r="HR88" s="2"/>
      <c r="HS88" s="6"/>
      <c r="HT88" s="4"/>
      <c r="HU88" s="8"/>
      <c r="HV88" s="5" t="str">
        <f t="shared" si="327"/>
        <v>NO APLICA</v>
      </c>
      <c r="HW88" s="2"/>
      <c r="HX88" s="6"/>
      <c r="HY88" s="4"/>
      <c r="HZ88" s="8"/>
      <c r="IA88" s="5" t="str">
        <f t="shared" si="328"/>
        <v>NO APLICA</v>
      </c>
      <c r="IB88" s="2"/>
      <c r="IC88" s="6"/>
      <c r="ID88" s="4"/>
      <c r="IE88" s="8"/>
      <c r="IF88" s="5" t="str">
        <f t="shared" si="329"/>
        <v>NO APLICA</v>
      </c>
      <c r="IG88" s="6"/>
      <c r="IH88" s="6"/>
      <c r="II88" s="4"/>
      <c r="IJ88" s="8"/>
      <c r="IK88" s="5" t="str">
        <f t="shared" si="330"/>
        <v>NO APLICA</v>
      </c>
      <c r="IL88" s="2"/>
      <c r="IM88" s="6"/>
      <c r="IN88" s="4"/>
      <c r="IO88" s="8"/>
      <c r="IP88" s="5" t="str">
        <f t="shared" si="331"/>
        <v>NO APLICA</v>
      </c>
      <c r="IQ88" s="2"/>
      <c r="IR88" s="6"/>
      <c r="IS88" s="4"/>
      <c r="IT88" s="8"/>
      <c r="IU88" s="5" t="str">
        <f t="shared" si="332"/>
        <v>NO APLICA</v>
      </c>
      <c r="IV88" s="2"/>
      <c r="IW88" s="6"/>
      <c r="IX88" s="4"/>
      <c r="IY88" s="8"/>
      <c r="IZ88" s="5" t="str">
        <f t="shared" si="333"/>
        <v>NO APLICA</v>
      </c>
      <c r="JA88" s="3"/>
      <c r="JB88" s="3"/>
      <c r="JC88" s="4"/>
      <c r="JD88" s="8"/>
      <c r="JE88" s="5" t="str">
        <f t="shared" si="334"/>
        <v>NO APLICA</v>
      </c>
      <c r="JF88" s="6"/>
      <c r="JG88" s="6"/>
      <c r="JH88" s="6"/>
      <c r="JI88" s="6"/>
      <c r="JJ88" s="5" t="str">
        <f t="shared" si="335"/>
        <v>NO APLICA</v>
      </c>
      <c r="JK88" s="6"/>
      <c r="JL88" s="6"/>
      <c r="JM88" s="6"/>
      <c r="JN88" s="6"/>
      <c r="JO88" s="5" t="str">
        <f t="shared" si="336"/>
        <v>NO APLICA</v>
      </c>
      <c r="JP88" s="6"/>
      <c r="JQ88" s="6"/>
      <c r="JR88" s="6"/>
      <c r="JS88" s="6"/>
      <c r="JT88" s="5" t="str">
        <f t="shared" si="337"/>
        <v>NO APLICA</v>
      </c>
      <c r="JU88" s="5"/>
      <c r="JV88" s="5"/>
      <c r="JW88" s="5"/>
      <c r="JX88" s="5"/>
      <c r="JY88" s="5" t="str">
        <f t="shared" si="338"/>
        <v>NO APLICA</v>
      </c>
      <c r="JZ88" s="5"/>
      <c r="KA88" s="2"/>
      <c r="KB88" s="4"/>
      <c r="KC88" s="8"/>
      <c r="KD88" s="5" t="str">
        <f t="shared" si="339"/>
        <v>NO APLICA</v>
      </c>
      <c r="KE88" s="5"/>
      <c r="KF88" s="2"/>
      <c r="KG88" s="4"/>
      <c r="KH88" s="8"/>
      <c r="KI88" s="5" t="str">
        <f t="shared" si="365"/>
        <v>NO APLICA</v>
      </c>
      <c r="KJ88" s="5"/>
      <c r="KK88" s="2"/>
      <c r="KL88" s="4"/>
      <c r="KM88" s="8"/>
      <c r="KN88" s="5" t="str">
        <f t="shared" si="340"/>
        <v>NO APLICA</v>
      </c>
      <c r="KO88" s="5"/>
      <c r="KP88" s="2"/>
      <c r="KQ88" s="4"/>
      <c r="KR88" s="8"/>
      <c r="KS88" s="5" t="str">
        <f t="shared" si="366"/>
        <v>NO APLICA</v>
      </c>
      <c r="KT88" s="2"/>
      <c r="KU88" s="6"/>
      <c r="KV88" s="4"/>
      <c r="KW88" s="8"/>
      <c r="KX88" s="5" t="str">
        <f t="shared" si="375"/>
        <v>NO APLICA</v>
      </c>
      <c r="KY88" s="5"/>
      <c r="KZ88" s="6"/>
      <c r="LA88" s="4"/>
      <c r="LB88" s="8"/>
      <c r="LC88" s="5" t="str">
        <f t="shared" si="367"/>
        <v>NO APLICA</v>
      </c>
      <c r="LD88" s="6"/>
      <c r="LE88" s="6"/>
      <c r="LF88" s="4"/>
      <c r="LG88" s="8"/>
      <c r="LH88" s="5" t="str">
        <f t="shared" si="341"/>
        <v>NO APLICA</v>
      </c>
      <c r="LI88" s="5"/>
      <c r="LJ88" s="5"/>
      <c r="LK88" s="5"/>
      <c r="LL88" s="5"/>
      <c r="LM88" s="5" t="str">
        <f t="shared" si="376"/>
        <v>NO APLICA</v>
      </c>
      <c r="LN88" s="2"/>
      <c r="LO88" s="6"/>
      <c r="LP88" s="4"/>
      <c r="LQ88" s="8"/>
      <c r="LR88" s="5" t="str">
        <f t="shared" si="368"/>
        <v>NO APLICA</v>
      </c>
      <c r="LS88" s="6"/>
      <c r="LT88" s="6"/>
      <c r="LU88" s="4"/>
      <c r="LV88" s="8"/>
      <c r="LW88" s="5" t="str">
        <f t="shared" si="369"/>
        <v>NO APLICA</v>
      </c>
      <c r="LX88" s="6"/>
      <c r="LY88" s="6"/>
      <c r="LZ88" s="4"/>
      <c r="MA88" s="8"/>
      <c r="MB88" s="5" t="str">
        <f t="shared" si="370"/>
        <v>NO APLICA</v>
      </c>
      <c r="MC88" s="2"/>
      <c r="MD88" s="2"/>
      <c r="ME88" s="4"/>
      <c r="MF88" s="8"/>
      <c r="MG88" s="5" t="str">
        <f t="shared" si="342"/>
        <v>NO APLICA</v>
      </c>
      <c r="MH88" s="2"/>
      <c r="MI88" s="2"/>
      <c r="MJ88" s="4"/>
      <c r="MK88" s="8"/>
      <c r="ML88" s="5" t="str">
        <f t="shared" si="343"/>
        <v>NO APLICA</v>
      </c>
      <c r="MM88" s="5"/>
      <c r="MN88" s="2"/>
      <c r="MO88" s="4"/>
      <c r="MP88" s="8"/>
      <c r="MQ88" s="5" t="str">
        <f t="shared" si="344"/>
        <v>NO APLICA</v>
      </c>
      <c r="MR88" s="5"/>
      <c r="MS88" s="2"/>
      <c r="MT88" s="4"/>
      <c r="MU88" s="2"/>
      <c r="MV88" s="5" t="str">
        <f t="shared" si="345"/>
        <v>NO APLICA</v>
      </c>
      <c r="MW88" s="2"/>
      <c r="MX88" s="6"/>
      <c r="MY88" s="4"/>
      <c r="MZ88" s="8"/>
      <c r="NA88" s="5" t="str">
        <f t="shared" si="346"/>
        <v>NO APLICA</v>
      </c>
      <c r="NB88" s="2"/>
      <c r="NC88" s="6"/>
      <c r="ND88" s="4"/>
      <c r="NE88" s="8"/>
      <c r="NF88" s="5" t="str">
        <f t="shared" si="347"/>
        <v>NO APLICA</v>
      </c>
      <c r="NG88" s="2"/>
      <c r="NH88" s="6"/>
      <c r="NI88" s="4"/>
      <c r="NJ88" s="8"/>
      <c r="NK88" s="5" t="str">
        <f t="shared" si="348"/>
        <v>NO APLICA</v>
      </c>
      <c r="NL88" s="2"/>
      <c r="NM88" s="2"/>
      <c r="NN88" s="4"/>
      <c r="NO88" s="2"/>
      <c r="NP88" s="5" t="str">
        <f t="shared" si="349"/>
        <v>NO APLICA</v>
      </c>
      <c r="NQ88" s="2"/>
      <c r="NR88" s="2"/>
      <c r="NS88" s="4"/>
      <c r="NT88" s="2"/>
      <c r="NU88" s="5" t="str">
        <f t="shared" si="350"/>
        <v>NO APLICA</v>
      </c>
      <c r="NV88" s="6"/>
      <c r="NW88" s="6"/>
      <c r="NX88" s="4"/>
      <c r="NY88" s="8"/>
      <c r="NZ88" s="5" t="str">
        <f t="shared" si="351"/>
        <v>NO APLICA</v>
      </c>
      <c r="OA88" s="6"/>
      <c r="OB88" s="6"/>
      <c r="OC88" s="6"/>
      <c r="OD88" s="6"/>
      <c r="OE88" s="5" t="str">
        <f t="shared" si="352"/>
        <v>NO APLICA</v>
      </c>
      <c r="OF88" s="6"/>
      <c r="OG88" s="6"/>
      <c r="OH88" s="4"/>
      <c r="OI88" s="8"/>
      <c r="OJ88" s="5" t="str">
        <f t="shared" si="353"/>
        <v>NO APLICA</v>
      </c>
      <c r="OK88" s="6"/>
      <c r="OL88" s="6"/>
      <c r="OM88" s="6"/>
      <c r="ON88" s="6"/>
      <c r="OO88" s="5" t="str">
        <f t="shared" si="354"/>
        <v>NO APLICA</v>
      </c>
      <c r="OP88" s="6"/>
      <c r="OQ88" s="6"/>
      <c r="OR88" s="6"/>
      <c r="OS88" s="6"/>
      <c r="OT88" s="5" t="str">
        <f t="shared" si="355"/>
        <v>NO APLICA</v>
      </c>
      <c r="OU88" s="6"/>
      <c r="OV88" s="6"/>
      <c r="OW88" s="6"/>
      <c r="OX88" s="6"/>
      <c r="OY88" s="5" t="str">
        <f t="shared" si="356"/>
        <v>NO APLICA</v>
      </c>
      <c r="OZ88" s="6"/>
      <c r="PA88" s="6"/>
      <c r="PB88" s="6"/>
      <c r="PC88" s="6"/>
      <c r="PD88" s="5" t="str">
        <f t="shared" si="357"/>
        <v>NO APLICA</v>
      </c>
      <c r="PE88" s="6"/>
      <c r="PF88" s="6"/>
      <c r="PG88" s="6"/>
      <c r="PH88" s="6"/>
      <c r="PI88" s="5" t="str">
        <f t="shared" si="358"/>
        <v>NO APLICA</v>
      </c>
      <c r="PJ88" s="5"/>
      <c r="PK88" s="4"/>
      <c r="PL88" s="4"/>
      <c r="PM88" s="8"/>
      <c r="PN88" s="5" t="str">
        <f t="shared" si="359"/>
        <v>NO APLICA</v>
      </c>
      <c r="PO88" s="6"/>
      <c r="PP88" s="6"/>
      <c r="PQ88" s="6"/>
      <c r="PR88" s="6"/>
      <c r="PS88" s="5" t="str">
        <f t="shared" si="360"/>
        <v>NO APLICA</v>
      </c>
      <c r="PT88" s="5"/>
      <c r="PU88" s="4">
        <v>46126</v>
      </c>
      <c r="PV88" s="4">
        <f>DATE(YEAR(PU88)+1,MONTH(PU88),DAY(PU88))</f>
        <v>46491</v>
      </c>
      <c r="PW88" s="8">
        <f ca="1">PV88-TODAY()</f>
        <v>357</v>
      </c>
      <c r="PX88" s="5" t="str">
        <f t="shared" ca="1" si="361"/>
        <v>VIGENTE</v>
      </c>
    </row>
    <row r="89" spans="1:440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321</v>
      </c>
      <c r="V89" s="4">
        <v>45426</v>
      </c>
      <c r="W89" s="4">
        <f t="shared" si="248"/>
        <v>47252</v>
      </c>
      <c r="X89" s="8">
        <f t="shared" ca="1" si="249"/>
        <v>1118</v>
      </c>
      <c r="Y89" s="5" t="str">
        <f t="shared" ca="1" si="250"/>
        <v>VIGENTE</v>
      </c>
      <c r="Z89" s="2" t="s">
        <v>322</v>
      </c>
      <c r="AA89" s="4">
        <v>44828</v>
      </c>
      <c r="AB89" s="4">
        <f>DATE(YEAR(AA89)+5,MONTH(AA89),DAY(AA89))</f>
        <v>46654</v>
      </c>
      <c r="AC89" s="8">
        <f ca="1">AB89-TODAY()</f>
        <v>520</v>
      </c>
      <c r="AD89" s="5" t="str">
        <f t="shared" ca="1" si="387"/>
        <v>VIGENTE</v>
      </c>
      <c r="AE89" s="4"/>
      <c r="AF89" s="4">
        <v>45902</v>
      </c>
      <c r="AG89" s="4">
        <f>DATE(YEAR(AF89)+2,MONTH(AF89),DAY(AF89))</f>
        <v>46632</v>
      </c>
      <c r="AH89" s="8">
        <f t="shared" ca="1" si="252"/>
        <v>498</v>
      </c>
      <c r="AI89" s="5" t="str">
        <f t="shared" ca="1" si="224"/>
        <v>VIGENTE</v>
      </c>
      <c r="AJ89" s="4"/>
      <c r="AK89" s="4">
        <v>45926</v>
      </c>
      <c r="AL89" s="4">
        <f t="shared" si="400"/>
        <v>46656</v>
      </c>
      <c r="AM89" s="8">
        <f t="shared" ca="1" si="253"/>
        <v>522</v>
      </c>
      <c r="AN89" s="5" t="str">
        <f t="shared" ca="1" si="254"/>
        <v>VIGENTE</v>
      </c>
      <c r="AO89" s="4"/>
      <c r="AP89" s="4">
        <v>45904</v>
      </c>
      <c r="AQ89" s="4">
        <f t="shared" si="401"/>
        <v>46634</v>
      </c>
      <c r="AR89" s="8">
        <f t="shared" ca="1" si="255"/>
        <v>500</v>
      </c>
      <c r="AS89" s="5" t="str">
        <f t="shared" ca="1" si="256"/>
        <v>VIGENTE</v>
      </c>
      <c r="AT89" s="4"/>
      <c r="AU89" s="4">
        <v>45906</v>
      </c>
      <c r="AV89" s="4">
        <f t="shared" si="402"/>
        <v>46636</v>
      </c>
      <c r="AW89" s="8">
        <f t="shared" ca="1" si="257"/>
        <v>502</v>
      </c>
      <c r="AX89" s="5" t="str">
        <f t="shared" ca="1" si="258"/>
        <v>VIGENTE</v>
      </c>
      <c r="AY89" s="4"/>
      <c r="AZ89" s="4">
        <v>45943</v>
      </c>
      <c r="BA89" s="4">
        <f>DATE(YEAR(AZ89)+2,MONTH(AZ89),DAY(AZ89))</f>
        <v>46673</v>
      </c>
      <c r="BB89" s="8">
        <f t="shared" ca="1" si="259"/>
        <v>539</v>
      </c>
      <c r="BC89" s="5" t="str">
        <f t="shared" ca="1" si="260"/>
        <v>VIGENTE</v>
      </c>
      <c r="BD89" s="4"/>
      <c r="BE89" s="4">
        <v>45968</v>
      </c>
      <c r="BF89" s="4">
        <f t="shared" ref="BF89:BF97" si="408">DATE(YEAR(BE89)+2,MONTH(BE89),DAY(BE89))</f>
        <v>46698</v>
      </c>
      <c r="BG89" s="8">
        <f t="shared" ca="1" si="261"/>
        <v>564</v>
      </c>
      <c r="BH89" s="5" t="str">
        <f t="shared" ca="1" si="262"/>
        <v>VIGENTE</v>
      </c>
      <c r="BI89" s="4"/>
      <c r="BJ89" s="4">
        <v>46035</v>
      </c>
      <c r="BK89" s="4">
        <f>DATE(YEAR(BJ89)+2,MONTH(BJ89),DAY(BJ89))</f>
        <v>46765</v>
      </c>
      <c r="BL89" s="8">
        <f t="shared" ca="1" si="263"/>
        <v>631</v>
      </c>
      <c r="BM89" s="5" t="str">
        <f t="shared" ca="1" si="264"/>
        <v>VIGENTE</v>
      </c>
      <c r="BN89" s="4"/>
      <c r="BO89" s="4">
        <v>45981</v>
      </c>
      <c r="BP89" s="4">
        <f>DATE(YEAR(BO89)+2,MONTH(BO89),DAY(BO89))</f>
        <v>46711</v>
      </c>
      <c r="BQ89" s="8">
        <f t="shared" ca="1" si="265"/>
        <v>577</v>
      </c>
      <c r="BR89" s="5" t="str">
        <f t="shared" ca="1" si="266"/>
        <v>VIGENTE</v>
      </c>
      <c r="BS89" s="4"/>
      <c r="BT89" s="4">
        <v>45950</v>
      </c>
      <c r="BU89" s="4">
        <f>DATE(YEAR(BT89)+2,MONTH(BT89),DAY(BT89))</f>
        <v>46680</v>
      </c>
      <c r="BV89" s="8">
        <f t="shared" ca="1" si="267"/>
        <v>546</v>
      </c>
      <c r="BW89" s="5" t="str">
        <f t="shared" ca="1" si="268"/>
        <v>VIGENTE</v>
      </c>
      <c r="BX89" s="4"/>
      <c r="BY89" s="4">
        <v>45944</v>
      </c>
      <c r="BZ89" s="4">
        <f t="shared" si="403"/>
        <v>46674</v>
      </c>
      <c r="CA89" s="8">
        <f t="shared" ca="1" si="269"/>
        <v>540</v>
      </c>
      <c r="CB89" s="5" t="str">
        <f t="shared" ca="1" si="270"/>
        <v>VIGENTE</v>
      </c>
      <c r="CC89" s="6" t="s">
        <v>323</v>
      </c>
      <c r="CD89" s="4">
        <v>44901</v>
      </c>
      <c r="CE89" s="4">
        <f t="shared" si="397"/>
        <v>46362</v>
      </c>
      <c r="CF89" s="8">
        <f t="shared" ca="1" si="398"/>
        <v>228</v>
      </c>
      <c r="CG89" s="5" t="str">
        <f t="shared" ca="1" si="273"/>
        <v>VIGENTE</v>
      </c>
      <c r="CH89" s="4"/>
      <c r="CI89" s="4">
        <v>45929</v>
      </c>
      <c r="CJ89" s="4">
        <f>DATE(YEAR(CI89)+2,MONTH(CI89),DAY(CI89))</f>
        <v>46659</v>
      </c>
      <c r="CK89" s="8">
        <f t="shared" ca="1" si="274"/>
        <v>525</v>
      </c>
      <c r="CL89" s="5" t="str">
        <f t="shared" ca="1" si="275"/>
        <v>VIGENTE</v>
      </c>
      <c r="CM89" s="4"/>
      <c r="CN89" s="4">
        <v>45979</v>
      </c>
      <c r="CO89" s="4">
        <f>DATE(YEAR(CN89)+2,MONTH(CN89),DAY(CN89))</f>
        <v>46709</v>
      </c>
      <c r="CP89" s="8">
        <f t="shared" ca="1" si="276"/>
        <v>575</v>
      </c>
      <c r="CQ89" s="5" t="str">
        <f t="shared" ca="1" si="277"/>
        <v>VIGENTE</v>
      </c>
      <c r="CR89" s="4"/>
      <c r="CS89" s="4">
        <v>45939</v>
      </c>
      <c r="CT89" s="4">
        <f>DATE(YEAR(CS89)+2,MONTH(CS89),DAY(CS89))</f>
        <v>46669</v>
      </c>
      <c r="CU89" s="8">
        <f t="shared" ca="1" si="278"/>
        <v>535</v>
      </c>
      <c r="CV89" s="5" t="str">
        <f t="shared" ca="1" si="279"/>
        <v>VIGENTE</v>
      </c>
      <c r="CW89" s="4"/>
      <c r="CX89" s="4">
        <v>45924</v>
      </c>
      <c r="CY89" s="4">
        <f>DATE(YEAR(CX89)+2,MONTH(CX89),DAY(CX89))</f>
        <v>46654</v>
      </c>
      <c r="CZ89" s="8">
        <f t="shared" ca="1" si="280"/>
        <v>520</v>
      </c>
      <c r="DA89" s="5" t="str">
        <f t="shared" ca="1" si="281"/>
        <v>VIGENTE</v>
      </c>
      <c r="DB89" s="4"/>
      <c r="DC89" s="4">
        <v>45535</v>
      </c>
      <c r="DD89" s="4">
        <f t="shared" si="396"/>
        <v>46264</v>
      </c>
      <c r="DE89" s="8">
        <f t="shared" ca="1" si="282"/>
        <v>130</v>
      </c>
      <c r="DF89" s="5" t="str">
        <f t="shared" ca="1" si="283"/>
        <v>VIGENTE</v>
      </c>
      <c r="DG89" s="4"/>
      <c r="DH89" s="4">
        <v>45955</v>
      </c>
      <c r="DI89" s="4">
        <f t="shared" si="404"/>
        <v>46685</v>
      </c>
      <c r="DJ89" s="8">
        <f t="shared" ca="1" si="284"/>
        <v>551</v>
      </c>
      <c r="DK89" s="5" t="str">
        <f t="shared" ca="1" si="285"/>
        <v>VIGENTE</v>
      </c>
      <c r="DL89" s="4"/>
      <c r="DM89" s="4">
        <v>45577</v>
      </c>
      <c r="DN89" s="4">
        <f>DATE(YEAR(DM89)+2,MONTH(DM89),DAY(DM89)-1)</f>
        <v>46306</v>
      </c>
      <c r="DO89" s="8">
        <f t="shared" ca="1" si="286"/>
        <v>172</v>
      </c>
      <c r="DP89" s="5" t="str">
        <f t="shared" ca="1" si="287"/>
        <v>VIGENTE</v>
      </c>
      <c r="DQ89" s="4"/>
      <c r="DR89" s="4">
        <v>45918</v>
      </c>
      <c r="DS89" s="4">
        <f>DATE(YEAR(DR89)+2,MONTH(DR89),DAY(DR89))</f>
        <v>46648</v>
      </c>
      <c r="DT89" s="8">
        <f t="shared" ca="1" si="288"/>
        <v>514</v>
      </c>
      <c r="DU89" s="5" t="str">
        <f t="shared" ca="1" si="289"/>
        <v>VIGENTE</v>
      </c>
      <c r="DV89" s="4"/>
      <c r="DW89" s="4">
        <v>45934</v>
      </c>
      <c r="DX89" s="4">
        <f>DATE(YEAR(DW89)+2,MONTH(DW89),DAY(DW89))</f>
        <v>46664</v>
      </c>
      <c r="DY89" s="8">
        <f t="shared" ca="1" si="290"/>
        <v>530</v>
      </c>
      <c r="DZ89" s="5" t="str">
        <f t="shared" ca="1" si="291"/>
        <v>VIGENTE</v>
      </c>
      <c r="EA89" s="4"/>
      <c r="EB89" s="4">
        <v>45938</v>
      </c>
      <c r="EC89" s="4">
        <f>DATE(YEAR(EB89)+2,MONTH(EB89),DAY(EB89))</f>
        <v>46668</v>
      </c>
      <c r="ED89" s="8">
        <f t="shared" ca="1" si="292"/>
        <v>534</v>
      </c>
      <c r="EE89" s="5" t="str">
        <f t="shared" ca="1" si="293"/>
        <v>VIGENTE</v>
      </c>
      <c r="EF89" s="4"/>
      <c r="EG89" s="4">
        <v>45812</v>
      </c>
      <c r="EH89" s="4">
        <f t="shared" si="364"/>
        <v>46177</v>
      </c>
      <c r="EI89" s="8">
        <f t="shared" ca="1" si="294"/>
        <v>43</v>
      </c>
      <c r="EJ89" s="5" t="str">
        <f t="shared" ca="1" si="295"/>
        <v>POR VENCER</v>
      </c>
      <c r="EK89" s="4"/>
      <c r="EL89" s="4">
        <v>45940</v>
      </c>
      <c r="EM89" s="4">
        <f>DATE(YEAR(EL89)+2,MONTH(EL89),DAY(EL89))</f>
        <v>46670</v>
      </c>
      <c r="EN89" s="8">
        <f t="shared" ca="1" si="296"/>
        <v>536</v>
      </c>
      <c r="EO89" s="5" t="str">
        <f t="shared" ca="1" si="297"/>
        <v>VIGENTE</v>
      </c>
      <c r="EP89" s="4"/>
      <c r="EQ89" s="4">
        <v>45922</v>
      </c>
      <c r="ER89" s="4">
        <f t="shared" si="405"/>
        <v>46652</v>
      </c>
      <c r="ES89" s="8">
        <f t="shared" ca="1" si="298"/>
        <v>518</v>
      </c>
      <c r="ET89" s="5" t="str">
        <f t="shared" ca="1" si="299"/>
        <v>VIGENTE</v>
      </c>
      <c r="EU89" s="4"/>
      <c r="EV89" s="4">
        <v>45953</v>
      </c>
      <c r="EW89" s="4">
        <f>DATE(YEAR(EV89)+2,MONTH(EV89),DAY(EV89))</f>
        <v>46683</v>
      </c>
      <c r="EX89" s="8">
        <f t="shared" ca="1" si="300"/>
        <v>549</v>
      </c>
      <c r="EY89" s="5" t="str">
        <f t="shared" ca="1" si="301"/>
        <v>VIGENTE</v>
      </c>
      <c r="EZ89" s="4"/>
      <c r="FA89" s="4">
        <v>45931</v>
      </c>
      <c r="FB89" s="4">
        <f t="shared" si="406"/>
        <v>46661</v>
      </c>
      <c r="FC89" s="8">
        <f t="shared" ca="1" si="302"/>
        <v>527</v>
      </c>
      <c r="FD89" s="5" t="str">
        <f t="shared" ca="1" si="303"/>
        <v>VIGENTE</v>
      </c>
      <c r="FE89" s="4"/>
      <c r="FF89" s="4">
        <v>45932</v>
      </c>
      <c r="FG89" s="4">
        <f t="shared" si="407"/>
        <v>46662</v>
      </c>
      <c r="FH89" s="8">
        <f t="shared" ca="1" si="304"/>
        <v>528</v>
      </c>
      <c r="FI89" s="5" t="str">
        <f t="shared" ca="1" si="305"/>
        <v>VIGENTE</v>
      </c>
      <c r="FJ89" s="4"/>
      <c r="FK89" s="4">
        <v>45933</v>
      </c>
      <c r="FL89" s="4">
        <f>DATE(YEAR(FK89)+2,MONTH(FK89),DAY(FK89))</f>
        <v>46663</v>
      </c>
      <c r="FM89" s="8">
        <f t="shared" ca="1" si="306"/>
        <v>529</v>
      </c>
      <c r="FN89" s="5" t="str">
        <f t="shared" ca="1" si="307"/>
        <v>VIGENTE</v>
      </c>
      <c r="FO89" s="4"/>
      <c r="FP89" s="4">
        <v>45586</v>
      </c>
      <c r="FQ89" s="4">
        <f>DATE(YEAR(FP89)+2,MONTH(FP89),DAY(FP89)-1)</f>
        <v>46315</v>
      </c>
      <c r="FR89" s="8">
        <f t="shared" ca="1" si="308"/>
        <v>181</v>
      </c>
      <c r="FS89" s="5" t="str">
        <f t="shared" ca="1" si="309"/>
        <v>VIGENTE</v>
      </c>
      <c r="FT89" s="4"/>
      <c r="FU89" s="4">
        <v>45941</v>
      </c>
      <c r="FV89" s="4">
        <f>DATE(YEAR(FU89)+2,MONTH(FU89),DAY(FU89))</f>
        <v>46671</v>
      </c>
      <c r="FW89" s="8">
        <f t="shared" ca="1" si="310"/>
        <v>537</v>
      </c>
      <c r="FX89" s="5" t="str">
        <f t="shared" ca="1" si="311"/>
        <v>VIGENTE</v>
      </c>
      <c r="FY89" s="4"/>
      <c r="FZ89" s="4">
        <v>45595</v>
      </c>
      <c r="GA89" s="4">
        <f>DATE(YEAR(FZ89)+2,MONTH(FZ89),DAY(FZ89)-1)</f>
        <v>46324</v>
      </c>
      <c r="GB89" s="8">
        <f t="shared" ca="1" si="312"/>
        <v>190</v>
      </c>
      <c r="GC89" s="5" t="str">
        <f t="shared" ca="1" si="313"/>
        <v>VIGENTE</v>
      </c>
      <c r="GD89" s="4"/>
      <c r="GE89" s="4">
        <v>45960</v>
      </c>
      <c r="GF89" s="4">
        <f>DATE(YEAR(GE89)+2,MONTH(GE89),DAY(GE89))</f>
        <v>46690</v>
      </c>
      <c r="GG89" s="8">
        <f t="shared" ca="1" si="314"/>
        <v>556</v>
      </c>
      <c r="GH89" s="5" t="str">
        <f t="shared" ca="1" si="315"/>
        <v>VIGENTE</v>
      </c>
      <c r="GI89" s="4"/>
      <c r="GJ89" s="4">
        <v>45608</v>
      </c>
      <c r="GK89" s="4">
        <f>DATE(YEAR(GJ89)+2,MONTH(GJ89),DAY(GJ89)-1)</f>
        <v>46337</v>
      </c>
      <c r="GL89" s="8">
        <f t="shared" ca="1" si="316"/>
        <v>203</v>
      </c>
      <c r="GM89" s="5" t="str">
        <f t="shared" ca="1" si="317"/>
        <v>VIGENTE</v>
      </c>
      <c r="GN89" s="4"/>
      <c r="GO89" s="4">
        <v>45299</v>
      </c>
      <c r="GP89" s="4">
        <f t="shared" si="318"/>
        <v>47126</v>
      </c>
      <c r="GQ89" s="8">
        <f t="shared" ca="1" si="394"/>
        <v>992</v>
      </c>
      <c r="GR89" s="5" t="str">
        <f t="shared" ca="1" si="388"/>
        <v>VIGENTE</v>
      </c>
      <c r="GS89" s="4"/>
      <c r="GT89" s="4">
        <v>45329</v>
      </c>
      <c r="GU89" s="4">
        <f t="shared" si="320"/>
        <v>47156</v>
      </c>
      <c r="GV89" s="8">
        <f t="shared" ca="1" si="321"/>
        <v>1022</v>
      </c>
      <c r="GW89" s="5" t="str">
        <f t="shared" ca="1" si="389"/>
        <v>VIGENTE</v>
      </c>
      <c r="GX89" s="4"/>
      <c r="GY89" s="4">
        <v>45294</v>
      </c>
      <c r="GZ89" s="4">
        <f t="shared" si="323"/>
        <v>47121</v>
      </c>
      <c r="HA89" s="8">
        <f t="shared" ca="1" si="324"/>
        <v>987</v>
      </c>
      <c r="HB89" s="5" t="str">
        <f t="shared" ca="1" si="390"/>
        <v>VIGENTE</v>
      </c>
      <c r="HC89" s="6"/>
      <c r="HD89" s="4">
        <v>44879</v>
      </c>
      <c r="HE89" s="4">
        <f>DATE(YEAR(HD89)+5,MONTH(HD89),DAY(HD89))</f>
        <v>46705</v>
      </c>
      <c r="HF89" s="8">
        <f ca="1">HE89-TODAY()</f>
        <v>571</v>
      </c>
      <c r="HG89" s="5" t="str">
        <f t="shared" ca="1" si="399"/>
        <v>VIGENTE</v>
      </c>
      <c r="HH89" s="6"/>
      <c r="HI89" s="6"/>
      <c r="HJ89" s="4"/>
      <c r="HK89" s="8"/>
      <c r="HL89" s="5" t="str">
        <f t="shared" si="395"/>
        <v>NO APLICA</v>
      </c>
      <c r="HM89" s="2"/>
      <c r="HN89" s="5"/>
      <c r="HO89" s="5"/>
      <c r="HP89" s="5"/>
      <c r="HQ89" s="5" t="str">
        <f t="shared" si="326"/>
        <v>NO APLICA</v>
      </c>
      <c r="HR89" s="6"/>
      <c r="HS89" s="4">
        <v>44923</v>
      </c>
      <c r="HT89" s="4">
        <f>DATE(YEAR(HS89)+5,MONTH(HS89),DAY(HS89))</f>
        <v>46749</v>
      </c>
      <c r="HU89" s="8">
        <f ca="1">HT89-TODAY()</f>
        <v>615</v>
      </c>
      <c r="HV89" s="5" t="str">
        <f t="shared" ca="1" si="327"/>
        <v>VIGENTE</v>
      </c>
      <c r="HW89" s="6"/>
      <c r="HX89" s="4">
        <v>44978</v>
      </c>
      <c r="HY89" s="4">
        <f>DATE(YEAR(HX89)+5,MONTH(HX89),DAY(HX89))</f>
        <v>46804</v>
      </c>
      <c r="HZ89" s="8">
        <f ca="1">HY89-TODAY()</f>
        <v>670</v>
      </c>
      <c r="IA89" s="5" t="str">
        <f t="shared" ca="1" si="328"/>
        <v>VIGENTE</v>
      </c>
      <c r="IB89" s="6"/>
      <c r="IC89" s="4">
        <v>44972</v>
      </c>
      <c r="ID89" s="4">
        <f>DATE(YEAR(IC89)+5,MONTH(IC89),DAY(IC89))</f>
        <v>46798</v>
      </c>
      <c r="IE89" s="8">
        <f ca="1">ID89-TODAY()</f>
        <v>664</v>
      </c>
      <c r="IF89" s="5" t="str">
        <f t="shared" ca="1" si="329"/>
        <v>VIGENTE</v>
      </c>
      <c r="IG89" s="6"/>
      <c r="IH89" s="4">
        <v>45009</v>
      </c>
      <c r="II89" s="4">
        <f>DATE(YEAR(IH89)+5,MONTH(IH89),DAY(IH89))</f>
        <v>46836</v>
      </c>
      <c r="IJ89" s="8">
        <f ca="1">II89-TODAY()</f>
        <v>702</v>
      </c>
      <c r="IK89" s="5" t="str">
        <f t="shared" ca="1" si="330"/>
        <v>VIGENTE</v>
      </c>
      <c r="IL89" s="6"/>
      <c r="IM89" s="4">
        <v>44893</v>
      </c>
      <c r="IN89" s="4">
        <f>DATE(YEAR(IM89)+5,MONTH(IM89),DAY(IM89))</f>
        <v>46719</v>
      </c>
      <c r="IO89" s="8">
        <f ca="1">IN89-TODAY()</f>
        <v>585</v>
      </c>
      <c r="IP89" s="5" t="str">
        <f t="shared" ca="1" si="331"/>
        <v>VIGENTE</v>
      </c>
      <c r="IQ89" s="6"/>
      <c r="IR89" s="4">
        <v>45013</v>
      </c>
      <c r="IS89" s="4">
        <f>DATE(YEAR(IR89)+5,MONTH(IR89),DAY(IR89))</f>
        <v>46840</v>
      </c>
      <c r="IT89" s="8">
        <f ca="1">IS89-TODAY()</f>
        <v>706</v>
      </c>
      <c r="IU89" s="5" t="str">
        <f t="shared" ca="1" si="332"/>
        <v>VIGENTE</v>
      </c>
      <c r="IV89" s="6"/>
      <c r="IW89" s="4">
        <v>44973</v>
      </c>
      <c r="IX89" s="4">
        <f>DATE(YEAR(IW89)+5,MONTH(IW89),DAY(IW89))</f>
        <v>46799</v>
      </c>
      <c r="IY89" s="8">
        <f ca="1">IX89-TODAY()</f>
        <v>665</v>
      </c>
      <c r="IZ89" s="5" t="str">
        <f t="shared" ca="1" si="333"/>
        <v>VIGENTE</v>
      </c>
      <c r="JA89" s="3"/>
      <c r="JB89" s="3"/>
      <c r="JC89" s="4"/>
      <c r="JD89" s="8"/>
      <c r="JE89" s="5" t="str">
        <f t="shared" si="334"/>
        <v>NO APLICA</v>
      </c>
      <c r="JF89" s="3"/>
      <c r="JG89" s="3"/>
      <c r="JH89" s="4"/>
      <c r="JI89" s="8"/>
      <c r="JJ89" s="5" t="str">
        <f t="shared" si="335"/>
        <v>NO APLICA</v>
      </c>
      <c r="JK89" s="3"/>
      <c r="JL89" s="3"/>
      <c r="JM89" s="4"/>
      <c r="JN89" s="8"/>
      <c r="JO89" s="5" t="str">
        <f t="shared" si="336"/>
        <v>NO APLICA</v>
      </c>
      <c r="JP89" s="3"/>
      <c r="JQ89" s="3"/>
      <c r="JR89" s="4"/>
      <c r="JS89" s="8"/>
      <c r="JT89" s="5" t="str">
        <f t="shared" si="337"/>
        <v>NO APLICA</v>
      </c>
      <c r="JU89" s="5"/>
      <c r="JV89" s="5"/>
      <c r="JW89" s="5"/>
      <c r="JX89" s="5"/>
      <c r="JY89" s="5" t="str">
        <f t="shared" si="338"/>
        <v>NO APLICA</v>
      </c>
      <c r="JZ89" s="5"/>
      <c r="KA89" s="5"/>
      <c r="KB89" s="4"/>
      <c r="KC89" s="8"/>
      <c r="KD89" s="5" t="str">
        <f t="shared" si="339"/>
        <v>NO APLICA</v>
      </c>
      <c r="KE89" s="5"/>
      <c r="KF89" s="5"/>
      <c r="KG89" s="4"/>
      <c r="KH89" s="8"/>
      <c r="KI89" s="5" t="str">
        <f t="shared" si="365"/>
        <v>NO APLICA</v>
      </c>
      <c r="KJ89" s="5"/>
      <c r="KK89" s="5"/>
      <c r="KL89" s="4"/>
      <c r="KM89" s="8"/>
      <c r="KN89" s="5" t="str">
        <f t="shared" si="340"/>
        <v>NO APLICA</v>
      </c>
      <c r="KO89" s="5"/>
      <c r="KP89" s="3">
        <v>45346</v>
      </c>
      <c r="KQ89" s="4">
        <f>DATE(YEAR(KP89)+5,MONTH(KP89),DAY(KP89))</f>
        <v>47173</v>
      </c>
      <c r="KR89" s="8">
        <f ca="1">KQ89-TODAY()</f>
        <v>1039</v>
      </c>
      <c r="KS89" s="5" t="str">
        <f t="shared" ca="1" si="366"/>
        <v>VIGENTE</v>
      </c>
      <c r="KT89" s="6"/>
      <c r="KU89" s="6"/>
      <c r="KV89" s="4"/>
      <c r="KW89" s="8"/>
      <c r="KX89" s="5" t="str">
        <f t="shared" si="375"/>
        <v>NO APLICA</v>
      </c>
      <c r="KY89" s="5"/>
      <c r="KZ89" s="4">
        <v>44545</v>
      </c>
      <c r="LA89" s="4">
        <f>DATE(YEAR(KZ89)+5,MONTH(KZ89),DAY(KZ89))</f>
        <v>46371</v>
      </c>
      <c r="LB89" s="8">
        <f ca="1">LA89-TODAY()</f>
        <v>237</v>
      </c>
      <c r="LC89" s="5" t="str">
        <f t="shared" ca="1" si="367"/>
        <v>VIGENTE</v>
      </c>
      <c r="LD89" s="6"/>
      <c r="LE89" s="6"/>
      <c r="LF89" s="4"/>
      <c r="LG89" s="8"/>
      <c r="LH89" s="5" t="str">
        <f t="shared" si="341"/>
        <v>NO APLICA</v>
      </c>
      <c r="LI89" s="5"/>
      <c r="LJ89" s="5"/>
      <c r="LK89" s="4"/>
      <c r="LL89" s="8"/>
      <c r="LM89" s="5" t="str">
        <f t="shared" si="376"/>
        <v>NO APLICA</v>
      </c>
      <c r="LN89" s="6"/>
      <c r="LO89" s="6"/>
      <c r="LP89" s="4"/>
      <c r="LQ89" s="8"/>
      <c r="LR89" s="5" t="str">
        <f t="shared" si="368"/>
        <v>NO APLICA</v>
      </c>
      <c r="LS89" s="4"/>
      <c r="LT89" s="4">
        <v>44986</v>
      </c>
      <c r="LU89" s="4">
        <f>DATE(YEAR(LT89)+5,MONTH(LT89),DAY(LT89))</f>
        <v>46813</v>
      </c>
      <c r="LV89" s="8">
        <f ca="1">LU89-TODAY()</f>
        <v>679</v>
      </c>
      <c r="LW89" s="5" t="str">
        <f t="shared" ca="1" si="369"/>
        <v>VIGENTE</v>
      </c>
      <c r="LX89" s="4"/>
      <c r="LY89" s="4">
        <v>44988</v>
      </c>
      <c r="LZ89" s="4">
        <f>DATE(YEAR(LY89)+5,MONTH(LY89),DAY(LY89))</f>
        <v>46815</v>
      </c>
      <c r="MA89" s="8">
        <f ca="1">LZ89-TODAY()</f>
        <v>681</v>
      </c>
      <c r="MB89" s="5" t="str">
        <f t="shared" ca="1" si="370"/>
        <v>VIGENTE</v>
      </c>
      <c r="MC89" s="5"/>
      <c r="MD89" s="5"/>
      <c r="ME89" s="4"/>
      <c r="MF89" s="8"/>
      <c r="MG89" s="5" t="str">
        <f t="shared" si="342"/>
        <v>NO APLICA</v>
      </c>
      <c r="MH89" s="5"/>
      <c r="MI89" s="5"/>
      <c r="MJ89" s="4"/>
      <c r="MK89" s="8"/>
      <c r="ML89" s="5" t="str">
        <f t="shared" si="343"/>
        <v>NO APLICA</v>
      </c>
      <c r="MM89" s="5"/>
      <c r="MN89" s="3">
        <v>45154</v>
      </c>
      <c r="MO89" s="4">
        <f>DATE(YEAR(MN89)+5,MONTH(MN89),DAY(MN89))</f>
        <v>46981</v>
      </c>
      <c r="MP89" s="8">
        <f ca="1">MO89-TODAY()</f>
        <v>847</v>
      </c>
      <c r="MQ89" s="5" t="str">
        <f t="shared" ca="1" si="344"/>
        <v>VIGENTE</v>
      </c>
      <c r="MR89" s="5"/>
      <c r="MS89" s="3">
        <v>45155</v>
      </c>
      <c r="MT89" s="4">
        <f>DATE(YEAR(MS89)+5,MONTH(MS89),DAY(MS89))</f>
        <v>46982</v>
      </c>
      <c r="MU89" s="8">
        <f ca="1">MT89-TODAY()</f>
        <v>848</v>
      </c>
      <c r="MV89" s="5" t="str">
        <f t="shared" ca="1" si="345"/>
        <v>VIGENTE</v>
      </c>
      <c r="MW89" s="6"/>
      <c r="MX89" s="6"/>
      <c r="MY89" s="4"/>
      <c r="MZ89" s="8"/>
      <c r="NA89" s="5" t="str">
        <f t="shared" si="346"/>
        <v>NO APLICA</v>
      </c>
      <c r="NB89" s="6"/>
      <c r="NC89" s="6"/>
      <c r="ND89" s="4"/>
      <c r="NE89" s="8"/>
      <c r="NF89" s="5" t="str">
        <f t="shared" si="347"/>
        <v>NO APLICA</v>
      </c>
      <c r="NG89" s="6"/>
      <c r="NH89" s="6"/>
      <c r="NI89" s="4"/>
      <c r="NJ89" s="8"/>
      <c r="NK89" s="5" t="str">
        <f t="shared" si="348"/>
        <v>NO APLICA</v>
      </c>
      <c r="NL89" s="5"/>
      <c r="NM89" s="5"/>
      <c r="NN89" s="4"/>
      <c r="NO89" s="8"/>
      <c r="NP89" s="5" t="str">
        <f t="shared" si="349"/>
        <v>NO APLICA</v>
      </c>
      <c r="NQ89" s="5"/>
      <c r="NR89" s="5"/>
      <c r="NS89" s="5"/>
      <c r="NT89" s="5"/>
      <c r="NU89" s="5" t="str">
        <f t="shared" si="350"/>
        <v>NO APLICA</v>
      </c>
      <c r="NV89" s="6"/>
      <c r="NW89" s="6"/>
      <c r="NX89" s="6"/>
      <c r="NY89" s="6"/>
      <c r="NZ89" s="5" t="str">
        <f t="shared" si="351"/>
        <v>NO APLICA</v>
      </c>
      <c r="OA89" s="6"/>
      <c r="OB89" s="6"/>
      <c r="OC89" s="6"/>
      <c r="OD89" s="6"/>
      <c r="OE89" s="5" t="str">
        <f t="shared" si="352"/>
        <v>NO APLICA</v>
      </c>
      <c r="OF89" s="5"/>
      <c r="OG89" s="5"/>
      <c r="OH89" s="4"/>
      <c r="OI89" s="8"/>
      <c r="OJ89" s="5" t="str">
        <f t="shared" si="353"/>
        <v>NO APLICA</v>
      </c>
      <c r="OK89" s="6"/>
      <c r="OL89" s="6"/>
      <c r="OM89" s="6"/>
      <c r="ON89" s="6"/>
      <c r="OO89" s="5" t="str">
        <f t="shared" si="354"/>
        <v>NO APLICA</v>
      </c>
      <c r="OP89" s="6"/>
      <c r="OQ89" s="6"/>
      <c r="OR89" s="6"/>
      <c r="OS89" s="6"/>
      <c r="OT89" s="5" t="str">
        <f t="shared" si="355"/>
        <v>NO APLICA</v>
      </c>
      <c r="OU89" s="6"/>
      <c r="OV89" s="6"/>
      <c r="OW89" s="6"/>
      <c r="OX89" s="6"/>
      <c r="OY89" s="5" t="str">
        <f t="shared" si="356"/>
        <v>NO APLICA</v>
      </c>
      <c r="OZ89" s="6"/>
      <c r="PA89" s="6"/>
      <c r="PB89" s="6"/>
      <c r="PC89" s="6"/>
      <c r="PD89" s="5" t="str">
        <f t="shared" si="357"/>
        <v>NO APLICA</v>
      </c>
      <c r="PE89" s="6"/>
      <c r="PF89" s="6"/>
      <c r="PG89" s="6"/>
      <c r="PH89" s="6"/>
      <c r="PI89" s="5" t="str">
        <f t="shared" si="358"/>
        <v>NO APLICA</v>
      </c>
      <c r="PJ89" s="5"/>
      <c r="PK89" s="6"/>
      <c r="PL89" s="4"/>
      <c r="PM89" s="8"/>
      <c r="PN89" s="5" t="str">
        <f t="shared" si="359"/>
        <v>NO APLICA</v>
      </c>
      <c r="PO89" s="6"/>
      <c r="PP89" s="6"/>
      <c r="PQ89" s="6"/>
      <c r="PR89" s="6"/>
      <c r="PS89" s="5" t="str">
        <f t="shared" si="360"/>
        <v>NO APLICA</v>
      </c>
      <c r="PT89" s="5"/>
      <c r="PU89" s="6"/>
      <c r="PV89" s="6"/>
      <c r="PW89" s="6"/>
      <c r="PX89" s="5" t="str">
        <f t="shared" si="361"/>
        <v>NO APLICA</v>
      </c>
    </row>
    <row r="90" spans="1:440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325</v>
      </c>
      <c r="V90" s="4">
        <v>44838</v>
      </c>
      <c r="W90" s="4">
        <f t="shared" si="248"/>
        <v>46664</v>
      </c>
      <c r="X90" s="8">
        <f t="shared" ca="1" si="249"/>
        <v>530</v>
      </c>
      <c r="Y90" s="5" t="str">
        <f t="shared" ca="1" si="250"/>
        <v>VIGENTE</v>
      </c>
      <c r="Z90" s="2" t="s">
        <v>326</v>
      </c>
      <c r="AA90" s="4">
        <v>44826</v>
      </c>
      <c r="AB90" s="4">
        <f>DATE(YEAR(AA90)+5,MONTH(AA90),DAY(AA90))</f>
        <v>46652</v>
      </c>
      <c r="AC90" s="8">
        <f ca="1">AB90-TODAY()</f>
        <v>518</v>
      </c>
      <c r="AD90" s="5" t="str">
        <f t="shared" ca="1" si="387"/>
        <v>VIGENTE</v>
      </c>
      <c r="AE90" s="3"/>
      <c r="AF90" s="4">
        <v>45589</v>
      </c>
      <c r="AG90" s="4">
        <f>DATE(YEAR(AF90)+2,MONTH(AF90),DAY(AF90)-1)</f>
        <v>46318</v>
      </c>
      <c r="AH90" s="8">
        <f t="shared" ca="1" si="252"/>
        <v>184</v>
      </c>
      <c r="AI90" s="5" t="str">
        <f t="shared" ca="1" si="224"/>
        <v>VIGENTE</v>
      </c>
      <c r="AJ90" s="3"/>
      <c r="AK90" s="4">
        <v>45926</v>
      </c>
      <c r="AL90" s="4">
        <f t="shared" si="400"/>
        <v>46656</v>
      </c>
      <c r="AM90" s="8">
        <f t="shared" ca="1" si="253"/>
        <v>522</v>
      </c>
      <c r="AN90" s="5" t="str">
        <f t="shared" ca="1" si="254"/>
        <v>VIGENTE</v>
      </c>
      <c r="AO90" s="3"/>
      <c r="AP90" s="4">
        <v>45967</v>
      </c>
      <c r="AQ90" s="4">
        <f t="shared" si="401"/>
        <v>46697</v>
      </c>
      <c r="AR90" s="8">
        <f t="shared" ca="1" si="255"/>
        <v>563</v>
      </c>
      <c r="AS90" s="5" t="str">
        <f t="shared" ca="1" si="256"/>
        <v>VIGENTE</v>
      </c>
      <c r="AT90" s="3"/>
      <c r="AU90" s="4">
        <v>45972</v>
      </c>
      <c r="AV90" s="4">
        <f t="shared" si="402"/>
        <v>46702</v>
      </c>
      <c r="AW90" s="8">
        <f t="shared" ca="1" si="257"/>
        <v>568</v>
      </c>
      <c r="AX90" s="5" t="str">
        <f t="shared" ca="1" si="258"/>
        <v>VIGENTE</v>
      </c>
      <c r="AY90" s="3"/>
      <c r="AZ90" s="4">
        <v>46041</v>
      </c>
      <c r="BA90" s="4">
        <f>DATE(YEAR(AZ90)+2,MONTH(AZ90),DAY(AZ90))</f>
        <v>46771</v>
      </c>
      <c r="BB90" s="8">
        <f t="shared" ca="1" si="259"/>
        <v>637</v>
      </c>
      <c r="BC90" s="5" t="str">
        <f t="shared" ca="1" si="260"/>
        <v>VIGENTE</v>
      </c>
      <c r="BD90" s="3"/>
      <c r="BE90" s="4">
        <v>46027</v>
      </c>
      <c r="BF90" s="4">
        <f t="shared" si="408"/>
        <v>46757</v>
      </c>
      <c r="BG90" s="8">
        <f t="shared" ca="1" si="261"/>
        <v>623</v>
      </c>
      <c r="BH90" s="5" t="str">
        <f t="shared" ca="1" si="262"/>
        <v>VIGENTE</v>
      </c>
      <c r="BI90" s="3"/>
      <c r="BJ90" s="4">
        <v>46065</v>
      </c>
      <c r="BK90" s="4">
        <f>DATE(YEAR(BJ90)+2,MONTH(BJ90),DAY(BJ90))</f>
        <v>46795</v>
      </c>
      <c r="BL90" s="8">
        <f t="shared" ca="1" si="263"/>
        <v>661</v>
      </c>
      <c r="BM90" s="5" t="str">
        <f t="shared" ca="1" si="264"/>
        <v>VIGENTE</v>
      </c>
      <c r="BN90" s="3"/>
      <c r="BO90" s="4">
        <v>46069</v>
      </c>
      <c r="BP90" s="4">
        <f>DATE(YEAR(BO90)+2,MONTH(BO90),DAY(BO90))</f>
        <v>46799</v>
      </c>
      <c r="BQ90" s="8">
        <f t="shared" ca="1" si="265"/>
        <v>665</v>
      </c>
      <c r="BR90" s="5" t="str">
        <f t="shared" ca="1" si="266"/>
        <v>VIGENTE</v>
      </c>
      <c r="BS90" s="3"/>
      <c r="BT90" s="4">
        <v>45449</v>
      </c>
      <c r="BU90" s="4">
        <f>DATE(YEAR(BT90)+2,MONTH(BT90),DAY(BT90)-1)</f>
        <v>46178</v>
      </c>
      <c r="BV90" s="8">
        <f t="shared" ca="1" si="267"/>
        <v>44</v>
      </c>
      <c r="BW90" s="5" t="str">
        <f t="shared" ca="1" si="268"/>
        <v>POR VENCER</v>
      </c>
      <c r="BX90" s="3"/>
      <c r="BY90" s="4">
        <v>45944</v>
      </c>
      <c r="BZ90" s="4">
        <f t="shared" si="403"/>
        <v>46674</v>
      </c>
      <c r="CA90" s="8">
        <f t="shared" ca="1" si="269"/>
        <v>540</v>
      </c>
      <c r="CB90" s="5" t="str">
        <f t="shared" ca="1" si="270"/>
        <v>VIGENTE</v>
      </c>
      <c r="CC90" s="6" t="s">
        <v>73</v>
      </c>
      <c r="CD90" s="4">
        <v>45211</v>
      </c>
      <c r="CE90" s="4">
        <f t="shared" si="397"/>
        <v>46672</v>
      </c>
      <c r="CF90" s="8">
        <f t="shared" ca="1" si="398"/>
        <v>538</v>
      </c>
      <c r="CG90" s="5" t="str">
        <f t="shared" ca="1" si="273"/>
        <v>VIGENTE</v>
      </c>
      <c r="CH90" s="4"/>
      <c r="CI90" s="4">
        <v>45973</v>
      </c>
      <c r="CJ90" s="4">
        <f>DATE(YEAR(CI90)+2,MONTH(CI90),DAY(CI90))</f>
        <v>46703</v>
      </c>
      <c r="CK90" s="8">
        <f t="shared" ca="1" si="274"/>
        <v>569</v>
      </c>
      <c r="CL90" s="5" t="str">
        <f t="shared" ca="1" si="275"/>
        <v>VIGENTE</v>
      </c>
      <c r="CM90" s="3"/>
      <c r="CN90" s="4">
        <v>45979</v>
      </c>
      <c r="CO90" s="4">
        <f>DATE(YEAR(CN90)+2,MONTH(CN90),DAY(CN90))</f>
        <v>46709</v>
      </c>
      <c r="CP90" s="8">
        <f t="shared" ca="1" si="276"/>
        <v>575</v>
      </c>
      <c r="CQ90" s="5" t="str">
        <f t="shared" ca="1" si="277"/>
        <v>VIGENTE</v>
      </c>
      <c r="CR90" s="3"/>
      <c r="CS90" s="4">
        <v>45631</v>
      </c>
      <c r="CT90" s="4">
        <f>DATE(YEAR(CS90)+2,MONTH(CS90),DAY(CS90)-1)</f>
        <v>46360</v>
      </c>
      <c r="CU90" s="8">
        <f t="shared" ca="1" si="278"/>
        <v>226</v>
      </c>
      <c r="CV90" s="5" t="str">
        <f t="shared" ca="1" si="279"/>
        <v>VIGENTE</v>
      </c>
      <c r="CW90" s="3"/>
      <c r="CX90" s="4">
        <v>45665</v>
      </c>
      <c r="CY90" s="4">
        <f>DATE(YEAR(CX90)+2,MONTH(CX90),DAY(CX90)-1)</f>
        <v>46394</v>
      </c>
      <c r="CZ90" s="8">
        <f t="shared" ca="1" si="280"/>
        <v>260</v>
      </c>
      <c r="DA90" s="5" t="str">
        <f t="shared" ca="1" si="281"/>
        <v>VIGENTE</v>
      </c>
      <c r="DB90" s="3"/>
      <c r="DC90" s="4">
        <v>45689</v>
      </c>
      <c r="DD90" s="4">
        <f t="shared" si="396"/>
        <v>46418</v>
      </c>
      <c r="DE90" s="8">
        <f t="shared" ca="1" si="282"/>
        <v>284</v>
      </c>
      <c r="DF90" s="5" t="str">
        <f t="shared" ca="1" si="283"/>
        <v>VIGENTE</v>
      </c>
      <c r="DG90" s="3"/>
      <c r="DH90" s="4">
        <v>45955</v>
      </c>
      <c r="DI90" s="4">
        <f t="shared" si="404"/>
        <v>46685</v>
      </c>
      <c r="DJ90" s="8">
        <f t="shared" ca="1" si="284"/>
        <v>551</v>
      </c>
      <c r="DK90" s="5" t="str">
        <f t="shared" ca="1" si="285"/>
        <v>VIGENTE</v>
      </c>
      <c r="DL90" s="3"/>
      <c r="DM90" s="4">
        <v>45520</v>
      </c>
      <c r="DN90" s="4">
        <f>DATE(YEAR(DM90)+2,MONTH(DM90),DAY(DM90)-1)</f>
        <v>46249</v>
      </c>
      <c r="DO90" s="8">
        <f t="shared" ca="1" si="286"/>
        <v>115</v>
      </c>
      <c r="DP90" s="5" t="str">
        <f t="shared" ca="1" si="287"/>
        <v>VIGENTE</v>
      </c>
      <c r="DQ90" s="3"/>
      <c r="DR90" s="4">
        <v>46072</v>
      </c>
      <c r="DS90" s="4">
        <f>DATE(YEAR(DR90)+2,MONTH(DR90),DAY(DR90))</f>
        <v>46802</v>
      </c>
      <c r="DT90" s="8">
        <f t="shared" ca="1" si="288"/>
        <v>668</v>
      </c>
      <c r="DU90" s="5" t="str">
        <f t="shared" ca="1" si="289"/>
        <v>VIGENTE</v>
      </c>
      <c r="DV90" s="3"/>
      <c r="DW90" s="4">
        <v>46020</v>
      </c>
      <c r="DX90" s="4">
        <f>DATE(YEAR(DW90)+2,MONTH(DW90),DAY(DW90))</f>
        <v>46750</v>
      </c>
      <c r="DY90" s="8">
        <f t="shared" ca="1" si="290"/>
        <v>616</v>
      </c>
      <c r="DZ90" s="5" t="str">
        <f t="shared" ca="1" si="291"/>
        <v>VIGENTE</v>
      </c>
      <c r="EA90" s="3"/>
      <c r="EB90" s="4">
        <v>45938</v>
      </c>
      <c r="EC90" s="4">
        <f>DATE(YEAR(EB90)+2,MONTH(EB90),DAY(EB90))</f>
        <v>46668</v>
      </c>
      <c r="ED90" s="8">
        <f t="shared" ca="1" si="292"/>
        <v>534</v>
      </c>
      <c r="EE90" s="5" t="str">
        <f t="shared" ca="1" si="293"/>
        <v>VIGENTE</v>
      </c>
      <c r="EF90" s="3"/>
      <c r="EG90" s="4">
        <v>45948</v>
      </c>
      <c r="EH90" s="4">
        <f t="shared" si="364"/>
        <v>46313</v>
      </c>
      <c r="EI90" s="8">
        <f t="shared" ca="1" si="294"/>
        <v>179</v>
      </c>
      <c r="EJ90" s="5" t="str">
        <f t="shared" ca="1" si="295"/>
        <v>VIGENTE</v>
      </c>
      <c r="EK90" s="3"/>
      <c r="EL90" s="4">
        <v>45983</v>
      </c>
      <c r="EM90" s="4">
        <f>DATE(YEAR(EL90)+2,MONTH(EL90),DAY(EL90))</f>
        <v>46713</v>
      </c>
      <c r="EN90" s="8">
        <f t="shared" ca="1" si="296"/>
        <v>579</v>
      </c>
      <c r="EO90" s="5" t="str">
        <f t="shared" ca="1" si="297"/>
        <v>VIGENTE</v>
      </c>
      <c r="EP90" s="3"/>
      <c r="EQ90" s="4">
        <v>46094</v>
      </c>
      <c r="ER90" s="4">
        <f t="shared" si="405"/>
        <v>46825</v>
      </c>
      <c r="ES90" s="8">
        <f t="shared" ca="1" si="298"/>
        <v>691</v>
      </c>
      <c r="ET90" s="5" t="str">
        <f t="shared" ca="1" si="299"/>
        <v>VIGENTE</v>
      </c>
      <c r="EU90" s="3"/>
      <c r="EV90" s="4">
        <v>45953</v>
      </c>
      <c r="EW90" s="4">
        <f>DATE(YEAR(EV90)+2,MONTH(EV90),DAY(EV90))</f>
        <v>46683</v>
      </c>
      <c r="EX90" s="8">
        <f t="shared" ca="1" si="300"/>
        <v>549</v>
      </c>
      <c r="EY90" s="5" t="str">
        <f t="shared" ca="1" si="301"/>
        <v>VIGENTE</v>
      </c>
      <c r="EZ90" s="3"/>
      <c r="FA90" s="4">
        <v>45951</v>
      </c>
      <c r="FB90" s="4">
        <f t="shared" si="406"/>
        <v>46681</v>
      </c>
      <c r="FC90" s="8">
        <f t="shared" ca="1" si="302"/>
        <v>547</v>
      </c>
      <c r="FD90" s="5" t="str">
        <f t="shared" ca="1" si="303"/>
        <v>VIGENTE</v>
      </c>
      <c r="FE90" s="4"/>
      <c r="FF90" s="4">
        <v>45932</v>
      </c>
      <c r="FG90" s="4">
        <f t="shared" si="407"/>
        <v>46662</v>
      </c>
      <c r="FH90" s="8">
        <f t="shared" ca="1" si="304"/>
        <v>528</v>
      </c>
      <c r="FI90" s="5" t="str">
        <f t="shared" ca="1" si="305"/>
        <v>VIGENTE</v>
      </c>
      <c r="FJ90" s="3"/>
      <c r="FK90" s="4">
        <v>45933</v>
      </c>
      <c r="FL90" s="4">
        <f>DATE(YEAR(FK90)+2,MONTH(FK90),DAY(FK90))</f>
        <v>46663</v>
      </c>
      <c r="FM90" s="8">
        <f t="shared" ca="1" si="306"/>
        <v>529</v>
      </c>
      <c r="FN90" s="5" t="str">
        <f t="shared" ca="1" si="307"/>
        <v>VIGENTE</v>
      </c>
      <c r="FO90" s="3"/>
      <c r="FP90" s="4">
        <v>45957</v>
      </c>
      <c r="FQ90" s="4">
        <f>DATE(YEAR(FP90)+2,MONTH(FP90),DAY(FP90))</f>
        <v>46687</v>
      </c>
      <c r="FR90" s="8">
        <f t="shared" ca="1" si="308"/>
        <v>553</v>
      </c>
      <c r="FS90" s="5" t="str">
        <f t="shared" ca="1" si="309"/>
        <v>VIGENTE</v>
      </c>
      <c r="FT90" s="3"/>
      <c r="FU90" s="4">
        <v>45547</v>
      </c>
      <c r="FV90" s="4">
        <f>DATE(YEAR(FU90)+2,MONTH(FU90),DAY(FU90)-1)</f>
        <v>46276</v>
      </c>
      <c r="FW90" s="8">
        <f t="shared" ca="1" si="310"/>
        <v>142</v>
      </c>
      <c r="FX90" s="5" t="str">
        <f t="shared" ca="1" si="311"/>
        <v>VIGENTE</v>
      </c>
      <c r="FY90" s="3"/>
      <c r="FZ90" s="4">
        <v>46030</v>
      </c>
      <c r="GA90" s="4">
        <f>DATE(YEAR(FZ90)+2,MONTH(FZ90),DAY(FZ90))</f>
        <v>46760</v>
      </c>
      <c r="GB90" s="8">
        <f t="shared" ca="1" si="312"/>
        <v>626</v>
      </c>
      <c r="GC90" s="5" t="str">
        <f t="shared" ca="1" si="313"/>
        <v>VIGENTE</v>
      </c>
      <c r="GD90" s="3"/>
      <c r="GE90" s="4">
        <v>45912</v>
      </c>
      <c r="GF90" s="4">
        <f>DATE(YEAR(GE90)+2,MONTH(GE90),DAY(GE90))</f>
        <v>46642</v>
      </c>
      <c r="GG90" s="8">
        <f t="shared" ca="1" si="314"/>
        <v>508</v>
      </c>
      <c r="GH90" s="5" t="str">
        <f t="shared" ca="1" si="315"/>
        <v>VIGENTE</v>
      </c>
      <c r="GI90" s="3"/>
      <c r="GJ90" s="4">
        <v>45945</v>
      </c>
      <c r="GK90" s="4">
        <f>DATE(YEAR(GJ90)+2,MONTH(GJ90),DAY(GJ90))</f>
        <v>46675</v>
      </c>
      <c r="GL90" s="8">
        <f t="shared" ca="1" si="316"/>
        <v>541</v>
      </c>
      <c r="GM90" s="5" t="str">
        <f t="shared" ca="1" si="317"/>
        <v>VIGENTE</v>
      </c>
      <c r="GN90" s="4"/>
      <c r="GO90" s="4">
        <v>44966</v>
      </c>
      <c r="GP90" s="4">
        <f t="shared" si="318"/>
        <v>46792</v>
      </c>
      <c r="GQ90" s="8">
        <f t="shared" ca="1" si="394"/>
        <v>658</v>
      </c>
      <c r="GR90" s="5" t="str">
        <f t="shared" ca="1" si="388"/>
        <v>VIGENTE</v>
      </c>
      <c r="GS90" s="3"/>
      <c r="GT90" s="4">
        <v>45006</v>
      </c>
      <c r="GU90" s="4">
        <f t="shared" si="320"/>
        <v>46833</v>
      </c>
      <c r="GV90" s="8">
        <f t="shared" ca="1" si="321"/>
        <v>699</v>
      </c>
      <c r="GW90" s="5" t="str">
        <f t="shared" ca="1" si="389"/>
        <v>VIGENTE</v>
      </c>
      <c r="GX90" s="3"/>
      <c r="GY90" s="4">
        <v>45415</v>
      </c>
      <c r="GZ90" s="4">
        <f t="shared" si="323"/>
        <v>47241</v>
      </c>
      <c r="HA90" s="8">
        <f t="shared" ca="1" si="324"/>
        <v>1107</v>
      </c>
      <c r="HB90" s="5" t="str">
        <f t="shared" ca="1" si="390"/>
        <v>VIGENTE</v>
      </c>
      <c r="HC90" s="6"/>
      <c r="HD90" s="4">
        <v>45150</v>
      </c>
      <c r="HE90" s="4">
        <f>DATE(YEAR(HD90)+5,MONTH(HD90),DAY(HD90))</f>
        <v>46977</v>
      </c>
      <c r="HF90" s="8">
        <f ca="1">HE90-TODAY()</f>
        <v>843</v>
      </c>
      <c r="HG90" s="5" t="str">
        <f t="shared" ca="1" si="399"/>
        <v>VIGENTE</v>
      </c>
      <c r="HH90" s="3"/>
      <c r="HI90" s="4">
        <v>45480</v>
      </c>
      <c r="HJ90" s="4">
        <f>DATE(YEAR(HI90)+5,MONTH(HI90),DAY(HI90))</f>
        <v>47306</v>
      </c>
      <c r="HK90" s="8">
        <f ca="1">HJ90-TODAY()</f>
        <v>1172</v>
      </c>
      <c r="HL90" s="5" t="str">
        <f t="shared" ca="1" si="395"/>
        <v>VIGENTE</v>
      </c>
      <c r="HM90" s="2"/>
      <c r="HN90" s="2"/>
      <c r="HO90" s="4"/>
      <c r="HP90" s="2"/>
      <c r="HQ90" s="5" t="str">
        <f t="shared" si="326"/>
        <v>NO APLICA</v>
      </c>
      <c r="HR90" s="3"/>
      <c r="HS90" s="4">
        <v>45420</v>
      </c>
      <c r="HT90" s="4">
        <f>DATE(YEAR(HS90)+5,MONTH(HS90),DAY(HS90))</f>
        <v>47246</v>
      </c>
      <c r="HU90" s="8">
        <f ca="1">HT90-TODAY()</f>
        <v>1112</v>
      </c>
      <c r="HV90" s="5" t="str">
        <f t="shared" ca="1" si="327"/>
        <v>VIGENTE</v>
      </c>
      <c r="HW90" s="3"/>
      <c r="HX90" s="4">
        <v>45395</v>
      </c>
      <c r="HY90" s="4">
        <f>DATE(YEAR(HX90)+5,MONTH(HX90),DAY(HX90))</f>
        <v>47221</v>
      </c>
      <c r="HZ90" s="8">
        <f ca="1">HY90-TODAY()</f>
        <v>1087</v>
      </c>
      <c r="IA90" s="5" t="str">
        <f t="shared" ca="1" si="328"/>
        <v>VIGENTE</v>
      </c>
      <c r="IB90" s="3"/>
      <c r="IC90" s="4">
        <v>45406</v>
      </c>
      <c r="ID90" s="4">
        <f>DATE(YEAR(IC90)+5,MONTH(IC90),DAY(IC90))</f>
        <v>47232</v>
      </c>
      <c r="IE90" s="8">
        <f ca="1">ID90-TODAY()</f>
        <v>1098</v>
      </c>
      <c r="IF90" s="5" t="str">
        <f t="shared" ca="1" si="329"/>
        <v>VIGENTE</v>
      </c>
      <c r="IG90" s="4"/>
      <c r="IH90" s="4">
        <v>45266</v>
      </c>
      <c r="II90" s="4">
        <f>DATE(YEAR(IH90)+5,MONTH(IH90),DAY(IH90))</f>
        <v>47093</v>
      </c>
      <c r="IJ90" s="8">
        <f ca="1">II90-TODAY()</f>
        <v>959</v>
      </c>
      <c r="IK90" s="5" t="str">
        <f t="shared" ca="1" si="330"/>
        <v>VIGENTE</v>
      </c>
      <c r="IL90" s="3"/>
      <c r="IM90" s="4">
        <v>44893</v>
      </c>
      <c r="IN90" s="4">
        <f>DATE(YEAR(IM90)+5,MONTH(IM90),DAY(IM90))</f>
        <v>46719</v>
      </c>
      <c r="IO90" s="8">
        <f ca="1">IN90-TODAY()</f>
        <v>585</v>
      </c>
      <c r="IP90" s="5" t="str">
        <f t="shared" ca="1" si="331"/>
        <v>VIGENTE</v>
      </c>
      <c r="IQ90" s="3"/>
      <c r="IR90" s="4">
        <v>45350</v>
      </c>
      <c r="IS90" s="4">
        <f>DATE(YEAR(IR90)+5,MONTH(IR90),DAY(IR90))</f>
        <v>47177</v>
      </c>
      <c r="IT90" s="8">
        <f ca="1">IS90-TODAY()</f>
        <v>1043</v>
      </c>
      <c r="IU90" s="5" t="str">
        <f t="shared" ca="1" si="332"/>
        <v>VIGENTE</v>
      </c>
      <c r="IV90" s="3"/>
      <c r="IW90" s="4">
        <v>45419</v>
      </c>
      <c r="IX90" s="4">
        <f>DATE(YEAR(IW90)+5,MONTH(IW90),DAY(IW90))</f>
        <v>47245</v>
      </c>
      <c r="IY90" s="8">
        <f ca="1">IX90-TODAY()</f>
        <v>1111</v>
      </c>
      <c r="IZ90" s="5" t="str">
        <f t="shared" ca="1" si="333"/>
        <v>VIGENTE</v>
      </c>
      <c r="JA90" s="3"/>
      <c r="JB90" s="3"/>
      <c r="JC90" s="4"/>
      <c r="JD90" s="8"/>
      <c r="JE90" s="5" t="str">
        <f t="shared" si="334"/>
        <v>NO APLICA</v>
      </c>
      <c r="JF90" s="6"/>
      <c r="JG90" s="6"/>
      <c r="JH90" s="6"/>
      <c r="JI90" s="6"/>
      <c r="JJ90" s="5" t="str">
        <f t="shared" si="335"/>
        <v>NO APLICA</v>
      </c>
      <c r="JK90" s="6"/>
      <c r="JL90" s="6"/>
      <c r="JM90" s="6"/>
      <c r="JN90" s="6"/>
      <c r="JO90" s="5" t="str">
        <f t="shared" si="336"/>
        <v>NO APLICA</v>
      </c>
      <c r="JP90" s="6"/>
      <c r="JQ90" s="6"/>
      <c r="JR90" s="6"/>
      <c r="JS90" s="6"/>
      <c r="JT90" s="5" t="str">
        <f t="shared" si="337"/>
        <v>NO APLICA</v>
      </c>
      <c r="JU90" s="5"/>
      <c r="JV90" s="5"/>
      <c r="JW90" s="5"/>
      <c r="JX90" s="5"/>
      <c r="JY90" s="5" t="str">
        <f t="shared" si="338"/>
        <v>NO APLICA</v>
      </c>
      <c r="JZ90" s="5"/>
      <c r="KA90" s="2"/>
      <c r="KB90" s="4"/>
      <c r="KC90" s="8"/>
      <c r="KD90" s="5" t="str">
        <f t="shared" si="339"/>
        <v>NO APLICA</v>
      </c>
      <c r="KE90" s="5"/>
      <c r="KF90" s="2"/>
      <c r="KG90" s="4"/>
      <c r="KH90" s="8"/>
      <c r="KI90" s="5" t="str">
        <f t="shared" si="365"/>
        <v>NO APLICA</v>
      </c>
      <c r="KJ90" s="5"/>
      <c r="KK90" s="2"/>
      <c r="KL90" s="4"/>
      <c r="KM90" s="8"/>
      <c r="KN90" s="5" t="str">
        <f t="shared" si="340"/>
        <v>NO APLICA</v>
      </c>
      <c r="KO90" s="5"/>
      <c r="KP90" s="2"/>
      <c r="KQ90" s="4"/>
      <c r="KR90" s="8"/>
      <c r="KS90" s="5" t="str">
        <f t="shared" si="366"/>
        <v>NO APLICA</v>
      </c>
      <c r="KT90" s="3"/>
      <c r="KU90" s="4">
        <v>44658</v>
      </c>
      <c r="KV90" s="4">
        <f>DATE(YEAR(KU90)+5,MONTH(KU90),DAY(KU90))</f>
        <v>46484</v>
      </c>
      <c r="KW90" s="8">
        <f ca="1">KV90-TODAY()</f>
        <v>350</v>
      </c>
      <c r="KX90" s="5" t="str">
        <f t="shared" ca="1" si="375"/>
        <v>VIGENTE</v>
      </c>
      <c r="KY90" s="5"/>
      <c r="KZ90" s="4">
        <v>44607</v>
      </c>
      <c r="LA90" s="4">
        <f>DATE(YEAR(KZ90)+5,MONTH(KZ90),DAY(KZ90))</f>
        <v>46433</v>
      </c>
      <c r="LB90" s="8">
        <f ca="1">LA90-TODAY()</f>
        <v>299</v>
      </c>
      <c r="LC90" s="5" t="str">
        <f t="shared" ca="1" si="367"/>
        <v>VIGENTE</v>
      </c>
      <c r="LD90" s="6"/>
      <c r="LE90" s="4"/>
      <c r="LF90" s="4"/>
      <c r="LG90" s="8"/>
      <c r="LH90" s="5" t="str">
        <f t="shared" si="341"/>
        <v>NO APLICA</v>
      </c>
      <c r="LI90" s="5"/>
      <c r="LJ90" s="5"/>
      <c r="LK90" s="4"/>
      <c r="LL90" s="8"/>
      <c r="LM90" s="5" t="str">
        <f t="shared" si="376"/>
        <v>NO APLICA</v>
      </c>
      <c r="LN90" s="2"/>
      <c r="LO90" s="6"/>
      <c r="LP90" s="4"/>
      <c r="LQ90" s="8"/>
      <c r="LR90" s="5" t="str">
        <f t="shared" si="368"/>
        <v>NO APLICA</v>
      </c>
      <c r="LS90" s="6"/>
      <c r="LT90" s="6"/>
      <c r="LU90" s="4"/>
      <c r="LV90" s="8"/>
      <c r="LW90" s="5" t="str">
        <f t="shared" si="369"/>
        <v>NO APLICA</v>
      </c>
      <c r="LX90" s="6"/>
      <c r="LY90" s="6"/>
      <c r="LZ90" s="4"/>
      <c r="MA90" s="8"/>
      <c r="MB90" s="5" t="str">
        <f t="shared" si="370"/>
        <v>NO APLICA</v>
      </c>
      <c r="MC90" s="2"/>
      <c r="MD90" s="2"/>
      <c r="ME90" s="4"/>
      <c r="MF90" s="8"/>
      <c r="MG90" s="5" t="str">
        <f t="shared" si="342"/>
        <v>NO APLICA</v>
      </c>
      <c r="MH90" s="2"/>
      <c r="MI90" s="2"/>
      <c r="MJ90" s="4"/>
      <c r="MK90" s="8"/>
      <c r="ML90" s="5" t="str">
        <f t="shared" si="343"/>
        <v>NO APLICA</v>
      </c>
      <c r="MM90" s="5"/>
      <c r="MN90" s="2"/>
      <c r="MO90" s="4"/>
      <c r="MP90" s="8"/>
      <c r="MQ90" s="5" t="str">
        <f t="shared" si="344"/>
        <v>NO APLICA</v>
      </c>
      <c r="MR90" s="5"/>
      <c r="MS90" s="2"/>
      <c r="MT90" s="4"/>
      <c r="MU90" s="2"/>
      <c r="MV90" s="5" t="str">
        <f t="shared" si="345"/>
        <v>NO APLICA</v>
      </c>
      <c r="MW90" s="2"/>
      <c r="MX90" s="6"/>
      <c r="MY90" s="4"/>
      <c r="MZ90" s="8"/>
      <c r="NA90" s="5" t="str">
        <f t="shared" si="346"/>
        <v>NO APLICA</v>
      </c>
      <c r="NB90" s="2"/>
      <c r="NC90" s="6"/>
      <c r="ND90" s="4"/>
      <c r="NE90" s="8"/>
      <c r="NF90" s="5" t="str">
        <f t="shared" si="347"/>
        <v>NO APLICA</v>
      </c>
      <c r="NG90" s="2"/>
      <c r="NH90" s="6"/>
      <c r="NI90" s="4"/>
      <c r="NJ90" s="8"/>
      <c r="NK90" s="5" t="str">
        <f t="shared" si="348"/>
        <v>NO APLICA</v>
      </c>
      <c r="NL90" s="2"/>
      <c r="NM90" s="2"/>
      <c r="NN90" s="4"/>
      <c r="NO90" s="2"/>
      <c r="NP90" s="5" t="str">
        <f t="shared" si="349"/>
        <v>NO APLICA</v>
      </c>
      <c r="NQ90" s="2"/>
      <c r="NR90" s="2"/>
      <c r="NS90" s="4"/>
      <c r="NT90" s="2"/>
      <c r="NU90" s="5" t="str">
        <f t="shared" si="350"/>
        <v>NO APLICA</v>
      </c>
      <c r="NV90" s="6"/>
      <c r="NW90" s="6"/>
      <c r="NX90" s="4"/>
      <c r="NY90" s="8"/>
      <c r="NZ90" s="5" t="str">
        <f t="shared" si="351"/>
        <v>NO APLICA</v>
      </c>
      <c r="OA90" s="6"/>
      <c r="OB90" s="6"/>
      <c r="OC90" s="6"/>
      <c r="OD90" s="6"/>
      <c r="OE90" s="5" t="str">
        <f t="shared" si="352"/>
        <v>NO APLICA</v>
      </c>
      <c r="OF90" s="2"/>
      <c r="OG90" s="2"/>
      <c r="OH90" s="4"/>
      <c r="OI90" s="8"/>
      <c r="OJ90" s="5" t="str">
        <f t="shared" si="353"/>
        <v>NO APLICA</v>
      </c>
      <c r="OK90" s="6"/>
      <c r="OL90" s="6"/>
      <c r="OM90" s="6"/>
      <c r="ON90" s="6"/>
      <c r="OO90" s="5" t="str">
        <f t="shared" si="354"/>
        <v>NO APLICA</v>
      </c>
      <c r="OP90" s="6"/>
      <c r="OQ90" s="6"/>
      <c r="OR90" s="6"/>
      <c r="OS90" s="6"/>
      <c r="OT90" s="5" t="str">
        <f t="shared" si="355"/>
        <v>NO APLICA</v>
      </c>
      <c r="OU90" s="6"/>
      <c r="OV90" s="6"/>
      <c r="OW90" s="6"/>
      <c r="OX90" s="6"/>
      <c r="OY90" s="5" t="str">
        <f t="shared" si="356"/>
        <v>NO APLICA</v>
      </c>
      <c r="OZ90" s="6"/>
      <c r="PA90" s="6"/>
      <c r="PB90" s="6"/>
      <c r="PC90" s="6"/>
      <c r="PD90" s="5" t="str">
        <f t="shared" si="357"/>
        <v>NO APLICA</v>
      </c>
      <c r="PE90" s="6"/>
      <c r="PF90" s="6"/>
      <c r="PG90" s="6"/>
      <c r="PH90" s="6"/>
      <c r="PI90" s="5" t="str">
        <f t="shared" si="358"/>
        <v>NO APLICA</v>
      </c>
      <c r="PJ90" s="5"/>
      <c r="PK90" s="6"/>
      <c r="PL90" s="4"/>
      <c r="PM90" s="8"/>
      <c r="PN90" s="5" t="str">
        <f t="shared" si="359"/>
        <v>NO APLICA</v>
      </c>
      <c r="PO90" s="6"/>
      <c r="PP90" s="6"/>
      <c r="PQ90" s="6"/>
      <c r="PR90" s="6"/>
      <c r="PS90" s="5" t="str">
        <f t="shared" si="360"/>
        <v>NO APLICA</v>
      </c>
      <c r="PT90" s="5"/>
      <c r="PU90" s="6"/>
      <c r="PV90" s="6"/>
      <c r="PW90" s="6"/>
      <c r="PX90" s="5" t="str">
        <f t="shared" si="361"/>
        <v>NO APLICA</v>
      </c>
    </row>
    <row r="91" spans="1:440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2" t="s">
        <v>328</v>
      </c>
      <c r="V91" s="4">
        <v>44422</v>
      </c>
      <c r="W91" s="4">
        <f t="shared" si="248"/>
        <v>46248</v>
      </c>
      <c r="X91" s="8">
        <f t="shared" ca="1" si="249"/>
        <v>114</v>
      </c>
      <c r="Y91" s="5" t="str">
        <f t="shared" ca="1" si="250"/>
        <v>VIGENTE</v>
      </c>
      <c r="Z91" s="2" t="s">
        <v>329</v>
      </c>
      <c r="AA91" s="4">
        <v>45192</v>
      </c>
      <c r="AB91" s="4">
        <f>DATE(YEAR(AA91)+5,MONTH(AA91),DAY(AA91))</f>
        <v>47019</v>
      </c>
      <c r="AC91" s="8">
        <f ca="1">AB91-TODAY()</f>
        <v>885</v>
      </c>
      <c r="AD91" s="5" t="str">
        <f t="shared" ca="1" si="387"/>
        <v>VIGENTE</v>
      </c>
      <c r="AE91" s="3"/>
      <c r="AF91" s="4">
        <v>46006</v>
      </c>
      <c r="AG91" s="4">
        <f>DATE(YEAR(AF91)+2,MONTH(AF91),DAY(AF91))</f>
        <v>46736</v>
      </c>
      <c r="AH91" s="8">
        <f t="shared" ca="1" si="252"/>
        <v>602</v>
      </c>
      <c r="AI91" s="5" t="str">
        <f t="shared" ca="1" si="224"/>
        <v>VIGENTE</v>
      </c>
      <c r="AJ91" s="2"/>
      <c r="AK91" s="4">
        <v>45937</v>
      </c>
      <c r="AL91" s="4">
        <f t="shared" si="400"/>
        <v>46667</v>
      </c>
      <c r="AM91" s="8">
        <f t="shared" ca="1" si="253"/>
        <v>533</v>
      </c>
      <c r="AN91" s="5" t="str">
        <f t="shared" ca="1" si="254"/>
        <v>VIGENTE</v>
      </c>
      <c r="AO91" s="3"/>
      <c r="AP91" s="4">
        <v>45967</v>
      </c>
      <c r="AQ91" s="4">
        <f t="shared" si="401"/>
        <v>46697</v>
      </c>
      <c r="AR91" s="8">
        <f t="shared" ca="1" si="255"/>
        <v>563</v>
      </c>
      <c r="AS91" s="5" t="str">
        <f t="shared" ca="1" si="256"/>
        <v>VIGENTE</v>
      </c>
      <c r="AT91" s="3"/>
      <c r="AU91" s="4">
        <v>45972</v>
      </c>
      <c r="AV91" s="4">
        <f t="shared" si="402"/>
        <v>46702</v>
      </c>
      <c r="AW91" s="8">
        <f t="shared" ca="1" si="257"/>
        <v>568</v>
      </c>
      <c r="AX91" s="5" t="str">
        <f t="shared" ca="1" si="258"/>
        <v>VIGENTE</v>
      </c>
      <c r="AY91" s="3"/>
      <c r="AZ91" s="4">
        <v>45930</v>
      </c>
      <c r="BA91" s="4">
        <f>DATE(YEAR(AZ91)+2,MONTH(AZ91),DAY(AZ91))</f>
        <v>46660</v>
      </c>
      <c r="BB91" s="8">
        <f t="shared" ca="1" si="259"/>
        <v>526</v>
      </c>
      <c r="BC91" s="5" t="str">
        <f t="shared" ca="1" si="260"/>
        <v>VIGENTE</v>
      </c>
      <c r="BD91" s="2"/>
      <c r="BE91" s="4">
        <v>45987</v>
      </c>
      <c r="BF91" s="4">
        <f t="shared" si="408"/>
        <v>46717</v>
      </c>
      <c r="BG91" s="8">
        <f t="shared" ca="1" si="261"/>
        <v>583</v>
      </c>
      <c r="BH91" s="5" t="str">
        <f t="shared" ca="1" si="262"/>
        <v>VIGENTE</v>
      </c>
      <c r="BI91" s="3"/>
      <c r="BJ91" s="4">
        <v>46017</v>
      </c>
      <c r="BK91" s="4">
        <f>DATE(YEAR(BJ91)+2,MONTH(BJ91),DAY(BJ91))</f>
        <v>46747</v>
      </c>
      <c r="BL91" s="8">
        <f t="shared" ca="1" si="263"/>
        <v>613</v>
      </c>
      <c r="BM91" s="5" t="str">
        <f t="shared" ca="1" si="264"/>
        <v>VIGENTE</v>
      </c>
      <c r="BN91" s="4"/>
      <c r="BO91" s="4">
        <v>45981</v>
      </c>
      <c r="BP91" s="4">
        <f>DATE(YEAR(BO91)+2,MONTH(BO91),DAY(BO91))</f>
        <v>46711</v>
      </c>
      <c r="BQ91" s="8">
        <f t="shared" ca="1" si="265"/>
        <v>577</v>
      </c>
      <c r="BR91" s="5" t="str">
        <f t="shared" ca="1" si="266"/>
        <v>VIGENTE</v>
      </c>
      <c r="BS91" s="3"/>
      <c r="BT91" s="4">
        <v>46031</v>
      </c>
      <c r="BU91" s="4">
        <f>DATE(YEAR(BT91)+2,MONTH(BT91),DAY(BT91))</f>
        <v>46761</v>
      </c>
      <c r="BV91" s="8">
        <f t="shared" ca="1" si="267"/>
        <v>627</v>
      </c>
      <c r="BW91" s="5" t="str">
        <f t="shared" ca="1" si="268"/>
        <v>VIGENTE</v>
      </c>
      <c r="BX91" s="2"/>
      <c r="BY91" s="4">
        <v>45986</v>
      </c>
      <c r="BZ91" s="4">
        <f t="shared" si="403"/>
        <v>46716</v>
      </c>
      <c r="CA91" s="8">
        <f t="shared" ca="1" si="269"/>
        <v>582</v>
      </c>
      <c r="CB91" s="5" t="str">
        <f t="shared" ca="1" si="270"/>
        <v>VIGENTE</v>
      </c>
      <c r="CC91" s="6" t="s">
        <v>73</v>
      </c>
      <c r="CD91" s="4">
        <v>45547</v>
      </c>
      <c r="CE91" s="4">
        <f t="shared" si="397"/>
        <v>47008</v>
      </c>
      <c r="CF91" s="8">
        <f t="shared" ca="1" si="398"/>
        <v>874</v>
      </c>
      <c r="CG91" s="5" t="str">
        <f t="shared" ca="1" si="273"/>
        <v>VIGENTE</v>
      </c>
      <c r="CH91" s="4"/>
      <c r="CI91" s="4">
        <v>46020</v>
      </c>
      <c r="CJ91" s="4">
        <f>DATE(YEAR(CI91)+2,MONTH(CI91),DAY(CI91))</f>
        <v>46750</v>
      </c>
      <c r="CK91" s="8">
        <f t="shared" ca="1" si="274"/>
        <v>616</v>
      </c>
      <c r="CL91" s="5" t="str">
        <f t="shared" ca="1" si="275"/>
        <v>VIGENTE</v>
      </c>
      <c r="CM91" s="4"/>
      <c r="CN91" s="4">
        <v>45979</v>
      </c>
      <c r="CO91" s="4">
        <f>DATE(YEAR(CN91)+2,MONTH(CN91),DAY(CN91))</f>
        <v>46709</v>
      </c>
      <c r="CP91" s="8">
        <f t="shared" ca="1" si="276"/>
        <v>575</v>
      </c>
      <c r="CQ91" s="5" t="str">
        <f t="shared" ca="1" si="277"/>
        <v>VIGENTE</v>
      </c>
      <c r="CR91" s="2"/>
      <c r="CS91" s="4">
        <v>45939</v>
      </c>
      <c r="CT91" s="4">
        <f>DATE(YEAR(CS91)+2,MONTH(CS91),DAY(CS91))</f>
        <v>46669</v>
      </c>
      <c r="CU91" s="8">
        <f t="shared" ca="1" si="278"/>
        <v>535</v>
      </c>
      <c r="CV91" s="5" t="str">
        <f t="shared" ca="1" si="279"/>
        <v>VIGENTE</v>
      </c>
      <c r="CW91" s="3"/>
      <c r="CX91" s="4">
        <v>45924</v>
      </c>
      <c r="CY91" s="4">
        <f>DATE(YEAR(CX91)+2,MONTH(CX91),DAY(CX91))</f>
        <v>46654</v>
      </c>
      <c r="CZ91" s="8">
        <f t="shared" ca="1" si="280"/>
        <v>520</v>
      </c>
      <c r="DA91" s="5" t="str">
        <f t="shared" ca="1" si="281"/>
        <v>VIGENTE</v>
      </c>
      <c r="DB91" s="4"/>
      <c r="DC91" s="4">
        <v>46045</v>
      </c>
      <c r="DD91" s="4">
        <f>DATE(YEAR(DC91)+2,MONTH(DC91),DAY(DC91))</f>
        <v>46775</v>
      </c>
      <c r="DE91" s="8">
        <f t="shared" ca="1" si="282"/>
        <v>641</v>
      </c>
      <c r="DF91" s="5" t="str">
        <f t="shared" ca="1" si="283"/>
        <v>VIGENTE</v>
      </c>
      <c r="DG91" s="3"/>
      <c r="DH91" s="4">
        <v>45955</v>
      </c>
      <c r="DI91" s="4">
        <f t="shared" si="404"/>
        <v>46685</v>
      </c>
      <c r="DJ91" s="8">
        <f t="shared" ca="1" si="284"/>
        <v>551</v>
      </c>
      <c r="DK91" s="5" t="str">
        <f t="shared" ca="1" si="285"/>
        <v>VIGENTE</v>
      </c>
      <c r="DL91" s="3"/>
      <c r="DM91" s="4">
        <v>45982</v>
      </c>
      <c r="DN91" s="4">
        <f>DATE(YEAR(DM91)+2,MONTH(DM91),DAY(DM91))</f>
        <v>46712</v>
      </c>
      <c r="DO91" s="8">
        <f t="shared" ca="1" si="286"/>
        <v>578</v>
      </c>
      <c r="DP91" s="5" t="str">
        <f t="shared" ca="1" si="287"/>
        <v>VIGENTE</v>
      </c>
      <c r="DQ91" s="4"/>
      <c r="DR91" s="4">
        <v>46018</v>
      </c>
      <c r="DS91" s="4">
        <f>DATE(YEAR(DR91)+2,MONTH(DR91),DAY(DR91))</f>
        <v>46748</v>
      </c>
      <c r="DT91" s="8">
        <f t="shared" ca="1" si="288"/>
        <v>614</v>
      </c>
      <c r="DU91" s="5" t="str">
        <f t="shared" ca="1" si="289"/>
        <v>VIGENTE</v>
      </c>
      <c r="DV91" s="3"/>
      <c r="DW91" s="4">
        <v>45934</v>
      </c>
      <c r="DX91" s="4">
        <f>DATE(YEAR(DW91)+2,MONTH(DW91),DAY(DW91))</f>
        <v>46664</v>
      </c>
      <c r="DY91" s="8">
        <f t="shared" ca="1" si="290"/>
        <v>530</v>
      </c>
      <c r="DZ91" s="5" t="str">
        <f t="shared" ca="1" si="291"/>
        <v>VIGENTE</v>
      </c>
      <c r="EA91" s="3"/>
      <c r="EB91" s="4">
        <v>45938</v>
      </c>
      <c r="EC91" s="4">
        <f>DATE(YEAR(EB91)+2,MONTH(EB91),DAY(EB91))</f>
        <v>46668</v>
      </c>
      <c r="ED91" s="8">
        <f t="shared" ca="1" si="292"/>
        <v>534</v>
      </c>
      <c r="EE91" s="5" t="str">
        <f t="shared" ca="1" si="293"/>
        <v>VIGENTE</v>
      </c>
      <c r="EF91" s="3"/>
      <c r="EG91" s="4">
        <v>45808</v>
      </c>
      <c r="EH91" s="4">
        <f t="shared" si="364"/>
        <v>46173</v>
      </c>
      <c r="EI91" s="8">
        <f t="shared" ca="1" si="294"/>
        <v>39</v>
      </c>
      <c r="EJ91" s="5" t="str">
        <f t="shared" ca="1" si="295"/>
        <v>POR VENCER</v>
      </c>
      <c r="EK91" s="3"/>
      <c r="EL91" s="4">
        <v>45940</v>
      </c>
      <c r="EM91" s="4">
        <f>DATE(YEAR(EL91)+2,MONTH(EL91),DAY(EL91))</f>
        <v>46670</v>
      </c>
      <c r="EN91" s="8">
        <f t="shared" ca="1" si="296"/>
        <v>536</v>
      </c>
      <c r="EO91" s="5" t="str">
        <f t="shared" ca="1" si="297"/>
        <v>VIGENTE</v>
      </c>
      <c r="EP91" s="3"/>
      <c r="EQ91" s="4">
        <v>45993</v>
      </c>
      <c r="ER91" s="4">
        <f t="shared" si="405"/>
        <v>46723</v>
      </c>
      <c r="ES91" s="8">
        <f t="shared" ca="1" si="298"/>
        <v>589</v>
      </c>
      <c r="ET91" s="5" t="str">
        <f t="shared" ca="1" si="299"/>
        <v>VIGENTE</v>
      </c>
      <c r="EU91" s="3"/>
      <c r="EV91" s="4">
        <v>46037</v>
      </c>
      <c r="EW91" s="4">
        <f>DATE(YEAR(EV91)+2,MONTH(EV91),DAY(EV91))</f>
        <v>46767</v>
      </c>
      <c r="EX91" s="8">
        <f t="shared" ca="1" si="300"/>
        <v>633</v>
      </c>
      <c r="EY91" s="5" t="str">
        <f t="shared" ca="1" si="301"/>
        <v>VIGENTE</v>
      </c>
      <c r="EZ91" s="2"/>
      <c r="FA91" s="4">
        <v>45988</v>
      </c>
      <c r="FB91" s="4">
        <f t="shared" si="406"/>
        <v>46718</v>
      </c>
      <c r="FC91" s="8">
        <f t="shared" ca="1" si="302"/>
        <v>584</v>
      </c>
      <c r="FD91" s="5" t="str">
        <f t="shared" ca="1" si="303"/>
        <v>VIGENTE</v>
      </c>
      <c r="FE91" s="2"/>
      <c r="FF91" s="4">
        <v>45992</v>
      </c>
      <c r="FG91" s="4">
        <f t="shared" si="407"/>
        <v>46722</v>
      </c>
      <c r="FH91" s="8">
        <f t="shared" ca="1" si="304"/>
        <v>588</v>
      </c>
      <c r="FI91" s="5" t="str">
        <f t="shared" ca="1" si="305"/>
        <v>VIGENTE</v>
      </c>
      <c r="FJ91" s="4"/>
      <c r="FK91" s="4">
        <v>46039</v>
      </c>
      <c r="FL91" s="4">
        <f>DATE(YEAR(FK91)+2,MONTH(FK91),DAY(FK91))</f>
        <v>46769</v>
      </c>
      <c r="FM91" s="8">
        <f t="shared" ca="1" si="306"/>
        <v>635</v>
      </c>
      <c r="FN91" s="5" t="str">
        <f t="shared" ca="1" si="307"/>
        <v>VIGENTE</v>
      </c>
      <c r="FO91" s="3"/>
      <c r="FP91" s="4">
        <v>45957</v>
      </c>
      <c r="FQ91" s="4">
        <f>DATE(YEAR(FP91)+2,MONTH(FP91),DAY(FP91))</f>
        <v>46687</v>
      </c>
      <c r="FR91" s="8">
        <f t="shared" ca="1" si="308"/>
        <v>553</v>
      </c>
      <c r="FS91" s="5" t="str">
        <f t="shared" ca="1" si="309"/>
        <v>VIGENTE</v>
      </c>
      <c r="FT91" s="3"/>
      <c r="FU91" s="4">
        <v>46014</v>
      </c>
      <c r="FV91" s="4">
        <f>DATE(YEAR(FU91)+2,MONTH(FU91),DAY(FU91))</f>
        <v>46744</v>
      </c>
      <c r="FW91" s="8">
        <f t="shared" ca="1" si="310"/>
        <v>610</v>
      </c>
      <c r="FX91" s="5" t="str">
        <f t="shared" ca="1" si="311"/>
        <v>VIGENTE</v>
      </c>
      <c r="FY91" s="3"/>
      <c r="FZ91" s="4">
        <v>45925</v>
      </c>
      <c r="GA91" s="4">
        <f>DATE(YEAR(FZ91)+2,MONTH(FZ91),DAY(FZ91))</f>
        <v>46655</v>
      </c>
      <c r="GB91" s="8">
        <f t="shared" ca="1" si="312"/>
        <v>521</v>
      </c>
      <c r="GC91" s="5" t="str">
        <f t="shared" ca="1" si="313"/>
        <v>VIGENTE</v>
      </c>
      <c r="GD91" s="3"/>
      <c r="GE91" s="4">
        <v>45960</v>
      </c>
      <c r="GF91" s="4">
        <f>DATE(YEAR(GE91)+2,MONTH(GE91),DAY(GE91))</f>
        <v>46690</v>
      </c>
      <c r="GG91" s="8">
        <f t="shared" ca="1" si="314"/>
        <v>556</v>
      </c>
      <c r="GH91" s="5" t="str">
        <f t="shared" ca="1" si="315"/>
        <v>VIGENTE</v>
      </c>
      <c r="GI91" s="3"/>
      <c r="GJ91" s="4">
        <v>45945</v>
      </c>
      <c r="GK91" s="4">
        <f>DATE(YEAR(GJ91)+2,MONTH(GJ91),DAY(GJ91))</f>
        <v>46675</v>
      </c>
      <c r="GL91" s="8">
        <f t="shared" ca="1" si="316"/>
        <v>541</v>
      </c>
      <c r="GM91" s="5" t="str">
        <f t="shared" ca="1" si="317"/>
        <v>VIGENTE</v>
      </c>
      <c r="GN91" s="4"/>
      <c r="GO91" s="4">
        <v>45295</v>
      </c>
      <c r="GP91" s="4">
        <f t="shared" si="318"/>
        <v>47122</v>
      </c>
      <c r="GQ91" s="8">
        <f t="shared" ca="1" si="394"/>
        <v>988</v>
      </c>
      <c r="GR91" s="5" t="str">
        <f t="shared" ca="1" si="388"/>
        <v>VIGENTE</v>
      </c>
      <c r="GS91" s="3"/>
      <c r="GT91" s="4">
        <v>45329</v>
      </c>
      <c r="GU91" s="4">
        <f t="shared" si="320"/>
        <v>47156</v>
      </c>
      <c r="GV91" s="8">
        <f t="shared" ca="1" si="321"/>
        <v>1022</v>
      </c>
      <c r="GW91" s="5" t="str">
        <f t="shared" ca="1" si="389"/>
        <v>VIGENTE</v>
      </c>
      <c r="GX91" s="2"/>
      <c r="GY91" s="4">
        <v>45293</v>
      </c>
      <c r="GZ91" s="4">
        <f t="shared" si="323"/>
        <v>47120</v>
      </c>
      <c r="HA91" s="8">
        <f t="shared" ca="1" si="324"/>
        <v>986</v>
      </c>
      <c r="HB91" s="5" t="str">
        <f t="shared" ca="1" si="390"/>
        <v>VIGENTE</v>
      </c>
      <c r="HC91" s="6"/>
      <c r="HD91" s="4">
        <v>45267</v>
      </c>
      <c r="HE91" s="4">
        <f>DATE(YEAR(HD91)+5,MONTH(HD91),DAY(HD91))</f>
        <v>47094</v>
      </c>
      <c r="HF91" s="8">
        <f ca="1">HE91-TODAY()</f>
        <v>960</v>
      </c>
      <c r="HG91" s="5" t="str">
        <f t="shared" ca="1" si="399"/>
        <v>VIGENTE</v>
      </c>
      <c r="HH91" s="2"/>
      <c r="HI91" s="6"/>
      <c r="HJ91" s="4"/>
      <c r="HK91" s="8"/>
      <c r="HL91" s="5" t="str">
        <f t="shared" si="395"/>
        <v>NO APLICA</v>
      </c>
      <c r="HM91" s="2"/>
      <c r="HN91" s="2"/>
      <c r="HO91" s="4"/>
      <c r="HP91" s="2"/>
      <c r="HQ91" s="5" t="str">
        <f t="shared" si="326"/>
        <v>NO APLICA</v>
      </c>
      <c r="HR91" s="2"/>
      <c r="HS91" s="6"/>
      <c r="HT91" s="4"/>
      <c r="HU91" s="8"/>
      <c r="HV91" s="5" t="str">
        <f t="shared" si="327"/>
        <v>NO APLICA</v>
      </c>
      <c r="HW91" s="2"/>
      <c r="HX91" s="6"/>
      <c r="HY91" s="4"/>
      <c r="HZ91" s="8"/>
      <c r="IA91" s="5" t="str">
        <f t="shared" si="328"/>
        <v>NO APLICA</v>
      </c>
      <c r="IB91" s="2"/>
      <c r="IC91" s="6"/>
      <c r="ID91" s="4"/>
      <c r="IE91" s="8"/>
      <c r="IF91" s="5" t="str">
        <f t="shared" si="329"/>
        <v>NO APLICA</v>
      </c>
      <c r="IG91" s="6"/>
      <c r="IH91" s="6"/>
      <c r="II91" s="4"/>
      <c r="IJ91" s="8"/>
      <c r="IK91" s="5" t="str">
        <f t="shared" si="330"/>
        <v>NO APLICA</v>
      </c>
      <c r="IL91" s="2"/>
      <c r="IM91" s="6"/>
      <c r="IN91" s="4"/>
      <c r="IO91" s="8"/>
      <c r="IP91" s="5" t="str">
        <f t="shared" si="331"/>
        <v>NO APLICA</v>
      </c>
      <c r="IQ91" s="2"/>
      <c r="IR91" s="6"/>
      <c r="IS91" s="4"/>
      <c r="IT91" s="8"/>
      <c r="IU91" s="5" t="str">
        <f t="shared" si="332"/>
        <v>NO APLICA</v>
      </c>
      <c r="IV91" s="2"/>
      <c r="IW91" s="6"/>
      <c r="IX91" s="4"/>
      <c r="IY91" s="8"/>
      <c r="IZ91" s="5" t="str">
        <f t="shared" si="333"/>
        <v>NO APLICA</v>
      </c>
      <c r="JA91" s="3"/>
      <c r="JB91" s="3"/>
      <c r="JC91" s="4"/>
      <c r="JD91" s="8"/>
      <c r="JE91" s="5" t="str">
        <f t="shared" si="334"/>
        <v>NO APLICA</v>
      </c>
      <c r="JF91" s="6"/>
      <c r="JG91" s="6"/>
      <c r="JH91" s="6"/>
      <c r="JI91" s="6"/>
      <c r="JJ91" s="5" t="str">
        <f t="shared" si="335"/>
        <v>NO APLICA</v>
      </c>
      <c r="JK91" s="6"/>
      <c r="JL91" s="6"/>
      <c r="JM91" s="6"/>
      <c r="JN91" s="6"/>
      <c r="JO91" s="5" t="str">
        <f t="shared" si="336"/>
        <v>NO APLICA</v>
      </c>
      <c r="JP91" s="6"/>
      <c r="JQ91" s="6"/>
      <c r="JR91" s="6"/>
      <c r="JS91" s="6"/>
      <c r="JT91" s="5" t="str">
        <f t="shared" si="337"/>
        <v>NO APLICA</v>
      </c>
      <c r="JU91" s="5"/>
      <c r="JV91" s="5"/>
      <c r="JW91" s="5"/>
      <c r="JX91" s="5"/>
      <c r="JY91" s="5" t="str">
        <f t="shared" si="338"/>
        <v>NO APLICA</v>
      </c>
      <c r="JZ91" s="5"/>
      <c r="KA91" s="2"/>
      <c r="KB91" s="4"/>
      <c r="KC91" s="8"/>
      <c r="KD91" s="5" t="str">
        <f t="shared" si="339"/>
        <v>NO APLICA</v>
      </c>
      <c r="KE91" s="5"/>
      <c r="KF91" s="3">
        <v>45328</v>
      </c>
      <c r="KG91" s="4">
        <f>DATE(YEAR(KF91)+5,MONTH(KF91),DAY(KF91)-1)</f>
        <v>47154</v>
      </c>
      <c r="KH91" s="8">
        <f ca="1">KG91-TODAY()</f>
        <v>1020</v>
      </c>
      <c r="KI91" s="5" t="str">
        <f t="shared" ca="1" si="365"/>
        <v>VIGENTE</v>
      </c>
      <c r="KJ91" s="5"/>
      <c r="KK91" s="2"/>
      <c r="KL91" s="4"/>
      <c r="KM91" s="8"/>
      <c r="KN91" s="5" t="str">
        <f t="shared" si="340"/>
        <v>NO APLICA</v>
      </c>
      <c r="KO91" s="5"/>
      <c r="KP91" s="2"/>
      <c r="KQ91" s="4"/>
      <c r="KR91" s="8"/>
      <c r="KS91" s="5" t="str">
        <f t="shared" si="366"/>
        <v>NO APLICA</v>
      </c>
      <c r="KT91" s="2"/>
      <c r="KU91" s="6"/>
      <c r="KV91" s="4"/>
      <c r="KW91" s="8"/>
      <c r="KX91" s="5" t="str">
        <f t="shared" si="375"/>
        <v>NO APLICA</v>
      </c>
      <c r="KY91" s="5"/>
      <c r="KZ91" s="6"/>
      <c r="LA91" s="4"/>
      <c r="LB91" s="8"/>
      <c r="LC91" s="5" t="str">
        <f t="shared" si="367"/>
        <v>NO APLICA</v>
      </c>
      <c r="LD91" s="6"/>
      <c r="LE91" s="4"/>
      <c r="LF91" s="4"/>
      <c r="LG91" s="8"/>
      <c r="LH91" s="5" t="str">
        <f t="shared" si="341"/>
        <v>NO APLICA</v>
      </c>
      <c r="LI91" s="5"/>
      <c r="LJ91" s="5"/>
      <c r="LK91" s="4"/>
      <c r="LL91" s="8"/>
      <c r="LM91" s="5" t="str">
        <f t="shared" si="376"/>
        <v>NO APLICA</v>
      </c>
      <c r="LN91" s="2"/>
      <c r="LO91" s="6"/>
      <c r="LP91" s="4"/>
      <c r="LQ91" s="8"/>
      <c r="LR91" s="5" t="str">
        <f t="shared" si="368"/>
        <v>NO APLICA</v>
      </c>
      <c r="LS91" s="6"/>
      <c r="LT91" s="6"/>
      <c r="LU91" s="4"/>
      <c r="LV91" s="8"/>
      <c r="LW91" s="5" t="str">
        <f t="shared" si="369"/>
        <v>NO APLICA</v>
      </c>
      <c r="LX91" s="6"/>
      <c r="LY91" s="6"/>
      <c r="LZ91" s="4"/>
      <c r="MA91" s="8"/>
      <c r="MB91" s="5" t="str">
        <f t="shared" si="370"/>
        <v>NO APLICA</v>
      </c>
      <c r="MC91" s="2"/>
      <c r="MD91" s="2"/>
      <c r="ME91" s="4"/>
      <c r="MF91" s="8"/>
      <c r="MG91" s="5" t="str">
        <f t="shared" si="342"/>
        <v>NO APLICA</v>
      </c>
      <c r="MH91" s="2"/>
      <c r="MI91" s="2"/>
      <c r="MJ91" s="4"/>
      <c r="MK91" s="8"/>
      <c r="ML91" s="5" t="str">
        <f t="shared" si="343"/>
        <v>NO APLICA</v>
      </c>
      <c r="MM91" s="5"/>
      <c r="MN91" s="2"/>
      <c r="MO91" s="4"/>
      <c r="MP91" s="8"/>
      <c r="MQ91" s="5" t="str">
        <f t="shared" si="344"/>
        <v>NO APLICA</v>
      </c>
      <c r="MR91" s="5"/>
      <c r="MS91" s="2"/>
      <c r="MT91" s="4"/>
      <c r="MU91" s="2"/>
      <c r="MV91" s="5" t="str">
        <f t="shared" si="345"/>
        <v>NO APLICA</v>
      </c>
      <c r="MW91" s="2"/>
      <c r="MX91" s="6"/>
      <c r="MY91" s="4"/>
      <c r="MZ91" s="8"/>
      <c r="NA91" s="5" t="str">
        <f t="shared" si="346"/>
        <v>NO APLICA</v>
      </c>
      <c r="NB91" s="2"/>
      <c r="NC91" s="6"/>
      <c r="ND91" s="4"/>
      <c r="NE91" s="8"/>
      <c r="NF91" s="5" t="str">
        <f t="shared" si="347"/>
        <v>NO APLICA</v>
      </c>
      <c r="NG91" s="2"/>
      <c r="NH91" s="6"/>
      <c r="NI91" s="4"/>
      <c r="NJ91" s="8"/>
      <c r="NK91" s="5" t="str">
        <f t="shared" si="348"/>
        <v>NO APLICA</v>
      </c>
      <c r="NL91" s="2"/>
      <c r="NM91" s="2"/>
      <c r="NN91" s="4"/>
      <c r="NO91" s="8"/>
      <c r="NP91" s="5" t="str">
        <f t="shared" si="349"/>
        <v>NO APLICA</v>
      </c>
      <c r="NQ91" s="2"/>
      <c r="NR91" s="2"/>
      <c r="NS91" s="4"/>
      <c r="NT91" s="2"/>
      <c r="NU91" s="5" t="str">
        <f t="shared" si="350"/>
        <v>NO APLICA</v>
      </c>
      <c r="NV91" s="6"/>
      <c r="NW91" s="6"/>
      <c r="NX91" s="4"/>
      <c r="NY91" s="8"/>
      <c r="NZ91" s="5" t="str">
        <f t="shared" si="351"/>
        <v>NO APLICA</v>
      </c>
      <c r="OA91" s="6"/>
      <c r="OB91" s="6"/>
      <c r="OC91" s="6"/>
      <c r="OD91" s="6"/>
      <c r="OE91" s="5" t="str">
        <f t="shared" si="352"/>
        <v>NO APLICA</v>
      </c>
      <c r="OF91" s="2"/>
      <c r="OG91" s="2"/>
      <c r="OH91" s="4"/>
      <c r="OI91" s="8"/>
      <c r="OJ91" s="5" t="str">
        <f t="shared" si="353"/>
        <v>NO APLICA</v>
      </c>
      <c r="OK91" s="6"/>
      <c r="OL91" s="6"/>
      <c r="OM91" s="6"/>
      <c r="ON91" s="6"/>
      <c r="OO91" s="5" t="str">
        <f t="shared" si="354"/>
        <v>NO APLICA</v>
      </c>
      <c r="OP91" s="6"/>
      <c r="OQ91" s="6"/>
      <c r="OR91" s="6"/>
      <c r="OS91" s="6"/>
      <c r="OT91" s="5" t="str">
        <f t="shared" si="355"/>
        <v>NO APLICA</v>
      </c>
      <c r="OU91" s="6"/>
      <c r="OV91" s="6"/>
      <c r="OW91" s="6"/>
      <c r="OX91" s="6"/>
      <c r="OY91" s="5" t="str">
        <f t="shared" si="356"/>
        <v>NO APLICA</v>
      </c>
      <c r="OZ91" s="6"/>
      <c r="PA91" s="6"/>
      <c r="PB91" s="6"/>
      <c r="PC91" s="6"/>
      <c r="PD91" s="5" t="str">
        <f t="shared" si="357"/>
        <v>NO APLICA</v>
      </c>
      <c r="PE91" s="6"/>
      <c r="PF91" s="6"/>
      <c r="PG91" s="6"/>
      <c r="PH91" s="6"/>
      <c r="PI91" s="5" t="str">
        <f t="shared" si="358"/>
        <v>NO APLICA</v>
      </c>
      <c r="PJ91" s="5"/>
      <c r="PK91" s="6"/>
      <c r="PL91" s="4"/>
      <c r="PM91" s="8"/>
      <c r="PN91" s="5" t="str">
        <f t="shared" si="359"/>
        <v>NO APLICA</v>
      </c>
      <c r="PO91" s="6"/>
      <c r="PP91" s="6"/>
      <c r="PQ91" s="6"/>
      <c r="PR91" s="6"/>
      <c r="PS91" s="5" t="str">
        <f t="shared" si="360"/>
        <v>NO APLICA</v>
      </c>
      <c r="PT91" s="5"/>
      <c r="PU91" s="6"/>
      <c r="PV91" s="6"/>
      <c r="PW91" s="6"/>
      <c r="PX91" s="5" t="str">
        <f t="shared" si="361"/>
        <v>NO APLICA</v>
      </c>
    </row>
    <row r="92" spans="1:440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716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331</v>
      </c>
      <c r="V92" s="4">
        <v>45735</v>
      </c>
      <c r="W92" s="4">
        <f t="shared" si="248"/>
        <v>47561</v>
      </c>
      <c r="X92" s="8">
        <f t="shared" ca="1" si="249"/>
        <v>1427</v>
      </c>
      <c r="Y92" s="5" t="str">
        <f t="shared" ca="1" si="250"/>
        <v>VIGENTE</v>
      </c>
      <c r="Z92" s="2"/>
      <c r="AA92" s="6"/>
      <c r="AB92" s="4"/>
      <c r="AC92" s="8"/>
      <c r="AD92" s="5" t="str">
        <f t="shared" si="387"/>
        <v>NO APLICA</v>
      </c>
      <c r="AE92" s="3"/>
      <c r="AF92" s="4">
        <v>45902</v>
      </c>
      <c r="AG92" s="4">
        <f>DATE(YEAR(AF92)+2,MONTH(AF92),DAY(AF92))</f>
        <v>46632</v>
      </c>
      <c r="AH92" s="8">
        <f t="shared" ca="1" si="252"/>
        <v>498</v>
      </c>
      <c r="AI92" s="5" t="str">
        <f t="shared" ca="1" si="224"/>
        <v>VIGENTE</v>
      </c>
      <c r="AJ92" s="3"/>
      <c r="AK92" s="4">
        <v>45903</v>
      </c>
      <c r="AL92" s="4">
        <f t="shared" si="400"/>
        <v>46633</v>
      </c>
      <c r="AM92" s="8">
        <f t="shared" ca="1" si="253"/>
        <v>499</v>
      </c>
      <c r="AN92" s="5" t="str">
        <f t="shared" ca="1" si="254"/>
        <v>VIGENTE</v>
      </c>
      <c r="AO92" s="3"/>
      <c r="AP92" s="4">
        <v>45989</v>
      </c>
      <c r="AQ92" s="4">
        <f t="shared" si="401"/>
        <v>46719</v>
      </c>
      <c r="AR92" s="8">
        <f t="shared" ca="1" si="255"/>
        <v>585</v>
      </c>
      <c r="AS92" s="5" t="str">
        <f t="shared" ca="1" si="256"/>
        <v>VIGENTE</v>
      </c>
      <c r="AT92" s="3"/>
      <c r="AU92" s="4">
        <v>45927</v>
      </c>
      <c r="AV92" s="4">
        <f t="shared" si="402"/>
        <v>46657</v>
      </c>
      <c r="AW92" s="8">
        <f t="shared" ca="1" si="257"/>
        <v>523</v>
      </c>
      <c r="AX92" s="5" t="str">
        <f t="shared" ca="1" si="258"/>
        <v>VIGENTE</v>
      </c>
      <c r="AY92" s="3"/>
      <c r="AZ92" s="4">
        <v>46071</v>
      </c>
      <c r="BA92" s="4">
        <f>DATE(YEAR(AZ92)+2,MONTH(AZ92),DAY(AZ92))</f>
        <v>46801</v>
      </c>
      <c r="BB92" s="8">
        <f t="shared" ca="1" si="259"/>
        <v>667</v>
      </c>
      <c r="BC92" s="5" t="str">
        <f t="shared" ca="1" si="260"/>
        <v>VIGENTE</v>
      </c>
      <c r="BD92" s="3"/>
      <c r="BE92" s="4">
        <v>46067</v>
      </c>
      <c r="BF92" s="4">
        <f t="shared" si="408"/>
        <v>46797</v>
      </c>
      <c r="BG92" s="8">
        <f t="shared" ca="1" si="261"/>
        <v>663</v>
      </c>
      <c r="BH92" s="5" t="str">
        <f t="shared" ca="1" si="262"/>
        <v>VIGENTE</v>
      </c>
      <c r="BI92" s="3"/>
      <c r="BJ92" s="4">
        <v>45570</v>
      </c>
      <c r="BK92" s="4">
        <f>DATE(YEAR(BJ92)+2,MONTH(BJ92),DAY(BJ92)-1)</f>
        <v>46299</v>
      </c>
      <c r="BL92" s="8">
        <f t="shared" ca="1" si="263"/>
        <v>165</v>
      </c>
      <c r="BM92" s="5" t="str">
        <f t="shared" ca="1" si="264"/>
        <v>VIGENTE</v>
      </c>
      <c r="BN92" s="3"/>
      <c r="BO92" s="4">
        <v>45701</v>
      </c>
      <c r="BP92" s="4">
        <f>DATE(YEAR(BO92)+2,MONTH(BO92),DAY(BO92)-1)</f>
        <v>46430</v>
      </c>
      <c r="BQ92" s="8">
        <f t="shared" ca="1" si="265"/>
        <v>296</v>
      </c>
      <c r="BR92" s="5" t="str">
        <f t="shared" ca="1" si="266"/>
        <v>VIGENTE</v>
      </c>
      <c r="BS92" s="3"/>
      <c r="BT92" s="4">
        <v>45950</v>
      </c>
      <c r="BU92" s="4">
        <f>DATE(YEAR(BT92)+2,MONTH(BT92),DAY(BT92))</f>
        <v>46680</v>
      </c>
      <c r="BV92" s="8">
        <f t="shared" ca="1" si="267"/>
        <v>546</v>
      </c>
      <c r="BW92" s="5" t="str">
        <f t="shared" ca="1" si="268"/>
        <v>VIGENTE</v>
      </c>
      <c r="BX92" s="3"/>
      <c r="BY92" s="4">
        <v>45944</v>
      </c>
      <c r="BZ92" s="4">
        <f t="shared" si="403"/>
        <v>46674</v>
      </c>
      <c r="CA92" s="8">
        <f t="shared" ca="1" si="269"/>
        <v>540</v>
      </c>
      <c r="CB92" s="5" t="str">
        <f t="shared" ca="1" si="270"/>
        <v>VIGENTE</v>
      </c>
      <c r="CC92" s="6" t="s">
        <v>68</v>
      </c>
      <c r="CD92" s="4">
        <v>45828</v>
      </c>
      <c r="CE92" s="4">
        <f t="shared" si="397"/>
        <v>47289</v>
      </c>
      <c r="CF92" s="8">
        <f t="shared" ca="1" si="398"/>
        <v>1155</v>
      </c>
      <c r="CG92" s="5" t="str">
        <f t="shared" ca="1" si="273"/>
        <v>VIGENTE</v>
      </c>
      <c r="CH92" s="4"/>
      <c r="CI92" s="4">
        <v>45688</v>
      </c>
      <c r="CJ92" s="4">
        <f>DATE(YEAR(CI92)+2,MONTH(CI92),DAY(CI92)-1)</f>
        <v>46417</v>
      </c>
      <c r="CK92" s="8">
        <f t="shared" ca="1" si="274"/>
        <v>283</v>
      </c>
      <c r="CL92" s="5" t="str">
        <f t="shared" ca="1" si="275"/>
        <v>VIGENTE</v>
      </c>
      <c r="CM92" s="3"/>
      <c r="CN92" s="4">
        <v>45684</v>
      </c>
      <c r="CO92" s="4">
        <f>DATE(YEAR(CN92)+2,MONTH(CN92),DAY(CN92)-1)</f>
        <v>46413</v>
      </c>
      <c r="CP92" s="8">
        <f t="shared" ca="1" si="276"/>
        <v>279</v>
      </c>
      <c r="CQ92" s="5" t="str">
        <f t="shared" ca="1" si="277"/>
        <v>VIGENTE</v>
      </c>
      <c r="CR92" s="3"/>
      <c r="CS92" s="4">
        <v>45905</v>
      </c>
      <c r="CT92" s="4">
        <f>DATE(YEAR(CS92)+2,MONTH(CS92),DAY(CS92))</f>
        <v>46635</v>
      </c>
      <c r="CU92" s="8">
        <f t="shared" ca="1" si="278"/>
        <v>501</v>
      </c>
      <c r="CV92" s="5" t="str">
        <f t="shared" ca="1" si="279"/>
        <v>VIGENTE</v>
      </c>
      <c r="CW92" s="3"/>
      <c r="CX92" s="4">
        <v>46000</v>
      </c>
      <c r="CY92" s="4">
        <f>DATE(YEAR(CX92)+2,MONTH(CX92),DAY(CX92))</f>
        <v>46730</v>
      </c>
      <c r="CZ92" s="8">
        <f t="shared" ca="1" si="280"/>
        <v>596</v>
      </c>
      <c r="DA92" s="5" t="str">
        <f t="shared" ca="1" si="281"/>
        <v>VIGENTE</v>
      </c>
      <c r="DB92" s="3"/>
      <c r="DC92" s="4">
        <v>45723</v>
      </c>
      <c r="DD92" s="4">
        <f>DATE(YEAR(DC92)+2,MONTH(DC92),DAY(DC92)-1)</f>
        <v>46452</v>
      </c>
      <c r="DE92" s="8">
        <f t="shared" ca="1" si="282"/>
        <v>318</v>
      </c>
      <c r="DF92" s="5" t="str">
        <f t="shared" ca="1" si="283"/>
        <v>VIGENTE</v>
      </c>
      <c r="DG92" s="3"/>
      <c r="DH92" s="4">
        <v>45975</v>
      </c>
      <c r="DI92" s="4">
        <f t="shared" si="404"/>
        <v>46705</v>
      </c>
      <c r="DJ92" s="8">
        <f t="shared" ca="1" si="284"/>
        <v>571</v>
      </c>
      <c r="DK92" s="5" t="str">
        <f t="shared" ca="1" si="285"/>
        <v>VIGENTE</v>
      </c>
      <c r="DL92" s="3"/>
      <c r="DM92" s="4">
        <v>45982</v>
      </c>
      <c r="DN92" s="4">
        <f>DATE(YEAR(DM92)+2,MONTH(DM92),DAY(DM92))</f>
        <v>46712</v>
      </c>
      <c r="DO92" s="8">
        <f t="shared" ca="1" si="286"/>
        <v>578</v>
      </c>
      <c r="DP92" s="5" t="str">
        <f t="shared" ca="1" si="287"/>
        <v>VIGENTE</v>
      </c>
      <c r="DQ92" s="3"/>
      <c r="DR92" s="4">
        <v>46072</v>
      </c>
      <c r="DS92" s="4">
        <f>DATE(YEAR(DR92)+2,MONTH(DR92),DAY(DR92))</f>
        <v>46802</v>
      </c>
      <c r="DT92" s="8">
        <f t="shared" ca="1" si="288"/>
        <v>668</v>
      </c>
      <c r="DU92" s="5" t="str">
        <f t="shared" ca="1" si="289"/>
        <v>VIGENTE</v>
      </c>
      <c r="DV92" s="3"/>
      <c r="DW92" s="4">
        <v>45663</v>
      </c>
      <c r="DX92" s="4">
        <f>DATE(YEAR(DW92)+2,MONTH(DW92),DAY(DW92)-1)</f>
        <v>46392</v>
      </c>
      <c r="DY92" s="8">
        <f t="shared" ca="1" si="290"/>
        <v>258</v>
      </c>
      <c r="DZ92" s="5" t="str">
        <f t="shared" ca="1" si="291"/>
        <v>VIGENTE</v>
      </c>
      <c r="EA92" s="3"/>
      <c r="EB92" s="4">
        <v>45715</v>
      </c>
      <c r="EC92" s="4">
        <f>DATE(YEAR(EB92)+2,MONTH(EB92),DAY(EB92)-1)</f>
        <v>46444</v>
      </c>
      <c r="ED92" s="8">
        <f t="shared" ca="1" si="292"/>
        <v>310</v>
      </c>
      <c r="EE92" s="5" t="str">
        <f t="shared" ca="1" si="293"/>
        <v>VIGENTE</v>
      </c>
      <c r="EF92" s="3"/>
      <c r="EG92" s="3">
        <v>46085</v>
      </c>
      <c r="EH92" s="4">
        <f t="shared" si="364"/>
        <v>46450</v>
      </c>
      <c r="EI92" s="8">
        <f t="shared" ca="1" si="294"/>
        <v>316</v>
      </c>
      <c r="EJ92" s="5" t="str">
        <f t="shared" ca="1" si="295"/>
        <v>VIGENTE</v>
      </c>
      <c r="EK92" s="3"/>
      <c r="EL92" s="4">
        <v>45671</v>
      </c>
      <c r="EM92" s="4">
        <f>DATE(YEAR(EL92)+2,MONTH(EL92),DAY(EL92)-1)</f>
        <v>46400</v>
      </c>
      <c r="EN92" s="8">
        <f t="shared" ca="1" si="296"/>
        <v>266</v>
      </c>
      <c r="EO92" s="5" t="str">
        <f t="shared" ca="1" si="297"/>
        <v>VIGENTE</v>
      </c>
      <c r="EP92" s="3"/>
      <c r="EQ92" s="4">
        <v>45987</v>
      </c>
      <c r="ER92" s="4">
        <f t="shared" si="405"/>
        <v>46717</v>
      </c>
      <c r="ES92" s="8">
        <f t="shared" ca="1" si="298"/>
        <v>583</v>
      </c>
      <c r="ET92" s="5" t="str">
        <f t="shared" ca="1" si="299"/>
        <v>VIGENTE</v>
      </c>
      <c r="EU92" s="3"/>
      <c r="EV92" s="4">
        <v>45694</v>
      </c>
      <c r="EW92" s="4">
        <f>DATE(YEAR(EV92)+2,MONTH(EV92),DAY(EV92)-1)</f>
        <v>46423</v>
      </c>
      <c r="EX92" s="8">
        <f t="shared" ca="1" si="300"/>
        <v>289</v>
      </c>
      <c r="EY92" s="5" t="str">
        <f t="shared" ca="1" si="301"/>
        <v>VIGENTE</v>
      </c>
      <c r="EZ92" s="3"/>
      <c r="FA92" s="4">
        <v>45931</v>
      </c>
      <c r="FB92" s="4">
        <f t="shared" si="406"/>
        <v>46661</v>
      </c>
      <c r="FC92" s="8">
        <f t="shared" ca="1" si="302"/>
        <v>527</v>
      </c>
      <c r="FD92" s="5" t="str">
        <f t="shared" ca="1" si="303"/>
        <v>VIGENTE</v>
      </c>
      <c r="FE92" s="3"/>
      <c r="FF92" s="4">
        <v>45962</v>
      </c>
      <c r="FG92" s="4">
        <f t="shared" si="407"/>
        <v>46692</v>
      </c>
      <c r="FH92" s="8">
        <f t="shared" ca="1" si="304"/>
        <v>558</v>
      </c>
      <c r="FI92" s="5" t="str">
        <f t="shared" ca="1" si="305"/>
        <v>VIGENTE</v>
      </c>
      <c r="FJ92" s="3"/>
      <c r="FK92" s="4">
        <v>45670</v>
      </c>
      <c r="FL92" s="4">
        <f>DATE(YEAR(FK92)+2,MONTH(FK92),DAY(FK92)-1)</f>
        <v>46399</v>
      </c>
      <c r="FM92" s="8">
        <f t="shared" ca="1" si="306"/>
        <v>265</v>
      </c>
      <c r="FN92" s="5" t="str">
        <f t="shared" ca="1" si="307"/>
        <v>VIGENTE</v>
      </c>
      <c r="FO92" s="3"/>
      <c r="FP92" s="4">
        <v>45724</v>
      </c>
      <c r="FQ92" s="4">
        <f>DATE(YEAR(FP92)+2,MONTH(FP92),DAY(FP92)-1)</f>
        <v>46453</v>
      </c>
      <c r="FR92" s="8">
        <f t="shared" ca="1" si="308"/>
        <v>319</v>
      </c>
      <c r="FS92" s="5" t="str">
        <f t="shared" ca="1" si="309"/>
        <v>VIGENTE</v>
      </c>
      <c r="FT92" s="3"/>
      <c r="FU92" s="4">
        <v>45993</v>
      </c>
      <c r="FV92" s="4">
        <f>DATE(YEAR(FU92)+2,MONTH(FU92),DAY(FU92))</f>
        <v>46723</v>
      </c>
      <c r="FW92" s="8">
        <f t="shared" ca="1" si="310"/>
        <v>589</v>
      </c>
      <c r="FX92" s="5" t="str">
        <f t="shared" ca="1" si="311"/>
        <v>VIGENTE</v>
      </c>
      <c r="FY92" s="3"/>
      <c r="FZ92" s="4">
        <v>45925</v>
      </c>
      <c r="GA92" s="4">
        <f>DATE(YEAR(FZ92)+2,MONTH(FZ92),DAY(FZ92))</f>
        <v>46655</v>
      </c>
      <c r="GB92" s="8">
        <f t="shared" ca="1" si="312"/>
        <v>521</v>
      </c>
      <c r="GC92" s="5" t="str">
        <f t="shared" ca="1" si="313"/>
        <v>VIGENTE</v>
      </c>
      <c r="GD92" s="3"/>
      <c r="GE92" s="4">
        <v>45672</v>
      </c>
      <c r="GF92" s="4">
        <f>DATE(YEAR(GE92)+2,MONTH(GE92),DAY(GE92)-1)</f>
        <v>46401</v>
      </c>
      <c r="GG92" s="8">
        <f t="shared" ca="1" si="314"/>
        <v>267</v>
      </c>
      <c r="GH92" s="5" t="str">
        <f t="shared" ca="1" si="315"/>
        <v>VIGENTE</v>
      </c>
      <c r="GI92" s="3"/>
      <c r="GJ92" s="4">
        <v>45687</v>
      </c>
      <c r="GK92" s="4">
        <f>DATE(YEAR(GJ92)+2,MONTH(GJ92),DAY(GJ92)-1)</f>
        <v>46416</v>
      </c>
      <c r="GL92" s="8">
        <f t="shared" ca="1" si="316"/>
        <v>282</v>
      </c>
      <c r="GM92" s="5" t="str">
        <f t="shared" ca="1" si="317"/>
        <v>VIGENTE</v>
      </c>
      <c r="GN92" s="4"/>
      <c r="GO92" s="4">
        <v>45072</v>
      </c>
      <c r="GP92" s="4">
        <f t="shared" si="318"/>
        <v>46899</v>
      </c>
      <c r="GQ92" s="8">
        <f t="shared" ca="1" si="394"/>
        <v>765</v>
      </c>
      <c r="GR92" s="5" t="str">
        <f t="shared" ca="1" si="388"/>
        <v>VIGENTE</v>
      </c>
      <c r="GS92" s="3"/>
      <c r="GT92" s="4">
        <v>45089</v>
      </c>
      <c r="GU92" s="4">
        <f t="shared" si="320"/>
        <v>46916</v>
      </c>
      <c r="GV92" s="8">
        <f t="shared" ca="1" si="321"/>
        <v>782</v>
      </c>
      <c r="GW92" s="5" t="str">
        <f t="shared" ca="1" si="389"/>
        <v>VIGENTE</v>
      </c>
      <c r="GX92" s="2"/>
      <c r="GY92" s="4">
        <v>45016</v>
      </c>
      <c r="GZ92" s="4">
        <f t="shared" si="323"/>
        <v>46843</v>
      </c>
      <c r="HA92" s="8">
        <f t="shared" ca="1" si="324"/>
        <v>709</v>
      </c>
      <c r="HB92" s="5" t="str">
        <f t="shared" ca="1" si="390"/>
        <v>VIGENTE</v>
      </c>
      <c r="HC92" s="6"/>
      <c r="HD92" s="6"/>
      <c r="HE92" s="4"/>
      <c r="HF92" s="8"/>
      <c r="HG92" s="5" t="str">
        <f t="shared" si="399"/>
        <v>NO APLICA</v>
      </c>
      <c r="HH92" s="2"/>
      <c r="HI92" s="6"/>
      <c r="HJ92" s="4"/>
      <c r="HK92" s="8"/>
      <c r="HL92" s="5" t="str">
        <f t="shared" si="395"/>
        <v>NO APLICA</v>
      </c>
      <c r="HM92" s="2"/>
      <c r="HN92" s="2"/>
      <c r="HO92" s="4"/>
      <c r="HP92" s="2"/>
      <c r="HQ92" s="5" t="str">
        <f t="shared" si="326"/>
        <v>NO APLICA</v>
      </c>
      <c r="HR92" s="2"/>
      <c r="HS92" s="6"/>
      <c r="HT92" s="4"/>
      <c r="HU92" s="8"/>
      <c r="HV92" s="5" t="str">
        <f t="shared" si="327"/>
        <v>NO APLICA</v>
      </c>
      <c r="HW92" s="2"/>
      <c r="HX92" s="6"/>
      <c r="HY92" s="4"/>
      <c r="HZ92" s="8"/>
      <c r="IA92" s="5" t="str">
        <f t="shared" si="328"/>
        <v>NO APLICA</v>
      </c>
      <c r="IB92" s="2"/>
      <c r="IC92" s="6"/>
      <c r="ID92" s="4"/>
      <c r="IE92" s="8"/>
      <c r="IF92" s="5" t="str">
        <f t="shared" si="329"/>
        <v>NO APLICA</v>
      </c>
      <c r="IG92" s="6"/>
      <c r="IH92" s="6"/>
      <c r="II92" s="4"/>
      <c r="IJ92" s="8"/>
      <c r="IK92" s="5" t="str">
        <f t="shared" si="330"/>
        <v>NO APLICA</v>
      </c>
      <c r="IL92" s="2"/>
      <c r="IM92" s="6"/>
      <c r="IN92" s="4"/>
      <c r="IO92" s="8"/>
      <c r="IP92" s="5" t="str">
        <f t="shared" si="331"/>
        <v>NO APLICA</v>
      </c>
      <c r="IQ92" s="2"/>
      <c r="IR92" s="6"/>
      <c r="IS92" s="4"/>
      <c r="IT92" s="8"/>
      <c r="IU92" s="5" t="str">
        <f t="shared" si="332"/>
        <v>NO APLICA</v>
      </c>
      <c r="IV92" s="2"/>
      <c r="IW92" s="6"/>
      <c r="IX92" s="4"/>
      <c r="IY92" s="8"/>
      <c r="IZ92" s="5" t="str">
        <f t="shared" si="333"/>
        <v>NO APLICA</v>
      </c>
      <c r="JA92" s="3"/>
      <c r="JB92" s="3"/>
      <c r="JC92" s="4"/>
      <c r="JD92" s="8"/>
      <c r="JE92" s="5" t="str">
        <f t="shared" si="334"/>
        <v>NO APLICA</v>
      </c>
      <c r="JF92" s="6"/>
      <c r="JG92" s="6"/>
      <c r="JH92" s="6"/>
      <c r="JI92" s="6"/>
      <c r="JJ92" s="5" t="str">
        <f t="shared" si="335"/>
        <v>NO APLICA</v>
      </c>
      <c r="JK92" s="6"/>
      <c r="JL92" s="6"/>
      <c r="JM92" s="6"/>
      <c r="JN92" s="6"/>
      <c r="JO92" s="5" t="str">
        <f t="shared" si="336"/>
        <v>NO APLICA</v>
      </c>
      <c r="JP92" s="6"/>
      <c r="JQ92" s="6"/>
      <c r="JR92" s="6"/>
      <c r="JS92" s="6"/>
      <c r="JT92" s="5" t="str">
        <f t="shared" si="337"/>
        <v>NO APLICA</v>
      </c>
      <c r="JU92" s="5"/>
      <c r="JV92" s="5"/>
      <c r="JW92" s="5"/>
      <c r="JX92" s="5"/>
      <c r="JY92" s="5" t="str">
        <f t="shared" si="338"/>
        <v>NO APLICA</v>
      </c>
      <c r="JZ92" s="5"/>
      <c r="KA92" s="2"/>
      <c r="KB92" s="4"/>
      <c r="KC92" s="8"/>
      <c r="KD92" s="5" t="str">
        <f t="shared" si="339"/>
        <v>NO APLICA</v>
      </c>
      <c r="KE92" s="5"/>
      <c r="KF92" s="2"/>
      <c r="KG92" s="4"/>
      <c r="KH92" s="8"/>
      <c r="KI92" s="5" t="str">
        <f t="shared" si="365"/>
        <v>NO APLICA</v>
      </c>
      <c r="KJ92" s="5"/>
      <c r="KK92" s="2"/>
      <c r="KL92" s="4"/>
      <c r="KM92" s="8"/>
      <c r="KN92" s="5" t="str">
        <f t="shared" si="340"/>
        <v>NO APLICA</v>
      </c>
      <c r="KO92" s="5"/>
      <c r="KP92" s="2"/>
      <c r="KQ92" s="4"/>
      <c r="KR92" s="8"/>
      <c r="KS92" s="5" t="str">
        <f t="shared" si="366"/>
        <v>NO APLICA</v>
      </c>
      <c r="KT92" s="2"/>
      <c r="KU92" s="6"/>
      <c r="KV92" s="4"/>
      <c r="KW92" s="8"/>
      <c r="KX92" s="5" t="str">
        <f t="shared" si="375"/>
        <v>NO APLICA</v>
      </c>
      <c r="KY92" s="5"/>
      <c r="KZ92" s="6"/>
      <c r="LA92" s="4"/>
      <c r="LB92" s="8"/>
      <c r="LC92" s="5" t="str">
        <f t="shared" si="367"/>
        <v>NO APLICA</v>
      </c>
      <c r="LD92" s="6"/>
      <c r="LE92" s="6"/>
      <c r="LF92" s="4"/>
      <c r="LG92" s="8"/>
      <c r="LH92" s="5" t="str">
        <f t="shared" si="341"/>
        <v>NO APLICA</v>
      </c>
      <c r="LI92" s="5"/>
      <c r="LJ92" s="5"/>
      <c r="LK92" s="4"/>
      <c r="LL92" s="8"/>
      <c r="LM92" s="5" t="str">
        <f t="shared" si="376"/>
        <v>NO APLICA</v>
      </c>
      <c r="LN92" s="2"/>
      <c r="LO92" s="6"/>
      <c r="LP92" s="4"/>
      <c r="LQ92" s="8"/>
      <c r="LR92" s="5" t="str">
        <f t="shared" si="368"/>
        <v>NO APLICA</v>
      </c>
      <c r="LS92" s="6"/>
      <c r="LT92" s="6"/>
      <c r="LU92" s="4"/>
      <c r="LV92" s="8"/>
      <c r="LW92" s="5" t="str">
        <f t="shared" si="369"/>
        <v>NO APLICA</v>
      </c>
      <c r="LX92" s="6"/>
      <c r="LY92" s="6"/>
      <c r="LZ92" s="4"/>
      <c r="MA92" s="8"/>
      <c r="MB92" s="5" t="str">
        <f t="shared" si="370"/>
        <v>NO APLICA</v>
      </c>
      <c r="MC92" s="2"/>
      <c r="MD92" s="2"/>
      <c r="ME92" s="4"/>
      <c r="MF92" s="8"/>
      <c r="MG92" s="5" t="str">
        <f t="shared" si="342"/>
        <v>NO APLICA</v>
      </c>
      <c r="MH92" s="2"/>
      <c r="MI92" s="2"/>
      <c r="MJ92" s="4"/>
      <c r="MK92" s="8"/>
      <c r="ML92" s="5" t="str">
        <f t="shared" si="343"/>
        <v>NO APLICA</v>
      </c>
      <c r="MM92" s="5"/>
      <c r="MN92" s="2"/>
      <c r="MO92" s="4"/>
      <c r="MP92" s="8"/>
      <c r="MQ92" s="5" t="str">
        <f t="shared" si="344"/>
        <v>NO APLICA</v>
      </c>
      <c r="MR92" s="5"/>
      <c r="MS92" s="2"/>
      <c r="MT92" s="4"/>
      <c r="MU92" s="2"/>
      <c r="MV92" s="5" t="str">
        <f t="shared" si="345"/>
        <v>NO APLICA</v>
      </c>
      <c r="MW92" s="2"/>
      <c r="MX92" s="6"/>
      <c r="MY92" s="4"/>
      <c r="MZ92" s="8"/>
      <c r="NA92" s="5" t="str">
        <f t="shared" si="346"/>
        <v>NO APLICA</v>
      </c>
      <c r="NB92" s="2"/>
      <c r="NC92" s="6"/>
      <c r="ND92" s="4"/>
      <c r="NE92" s="8"/>
      <c r="NF92" s="5" t="str">
        <f t="shared" si="347"/>
        <v>NO APLICA</v>
      </c>
      <c r="NG92" s="2"/>
      <c r="NH92" s="6"/>
      <c r="NI92" s="4"/>
      <c r="NJ92" s="8"/>
      <c r="NK92" s="5" t="str">
        <f t="shared" si="348"/>
        <v>NO APLICA</v>
      </c>
      <c r="NL92" s="2"/>
      <c r="NM92" s="2"/>
      <c r="NN92" s="4"/>
      <c r="NO92" s="8"/>
      <c r="NP92" s="5" t="str">
        <f t="shared" si="349"/>
        <v>NO APLICA</v>
      </c>
      <c r="NQ92" s="2"/>
      <c r="NR92" s="2"/>
      <c r="NS92" s="2"/>
      <c r="NT92" s="2"/>
      <c r="NU92" s="5" t="str">
        <f t="shared" si="350"/>
        <v>NO APLICA</v>
      </c>
      <c r="NV92" s="6"/>
      <c r="NW92" s="6"/>
      <c r="NX92" s="4"/>
      <c r="NY92" s="8"/>
      <c r="NZ92" s="5" t="str">
        <f t="shared" si="351"/>
        <v>NO APLICA</v>
      </c>
      <c r="OA92" s="6"/>
      <c r="OB92" s="6"/>
      <c r="OC92" s="6"/>
      <c r="OD92" s="6"/>
      <c r="OE92" s="5" t="str">
        <f t="shared" si="352"/>
        <v>NO APLICA</v>
      </c>
      <c r="OF92" s="2"/>
      <c r="OG92" s="2"/>
      <c r="OH92" s="4"/>
      <c r="OI92" s="8"/>
      <c r="OJ92" s="5" t="str">
        <f t="shared" si="353"/>
        <v>NO APLICA</v>
      </c>
      <c r="OK92" s="6"/>
      <c r="OL92" s="6"/>
      <c r="OM92" s="6"/>
      <c r="ON92" s="6"/>
      <c r="OO92" s="5" t="str">
        <f t="shared" si="354"/>
        <v>NO APLICA</v>
      </c>
      <c r="OP92" s="6"/>
      <c r="OQ92" s="6"/>
      <c r="OR92" s="6"/>
      <c r="OS92" s="6"/>
      <c r="OT92" s="5" t="str">
        <f t="shared" si="355"/>
        <v>NO APLICA</v>
      </c>
      <c r="OU92" s="6"/>
      <c r="OV92" s="6"/>
      <c r="OW92" s="6"/>
      <c r="OX92" s="6"/>
      <c r="OY92" s="5" t="str">
        <f t="shared" si="356"/>
        <v>NO APLICA</v>
      </c>
      <c r="OZ92" s="6"/>
      <c r="PA92" s="6"/>
      <c r="PB92" s="6"/>
      <c r="PC92" s="6"/>
      <c r="PD92" s="5" t="str">
        <f t="shared" si="357"/>
        <v>NO APLICA</v>
      </c>
      <c r="PE92" s="6"/>
      <c r="PF92" s="6"/>
      <c r="PG92" s="6"/>
      <c r="PH92" s="6"/>
      <c r="PI92" s="5" t="str">
        <f t="shared" si="358"/>
        <v>NO APLICA</v>
      </c>
      <c r="PJ92" s="5"/>
      <c r="PK92" s="6"/>
      <c r="PL92" s="4"/>
      <c r="PM92" s="8"/>
      <c r="PN92" s="5" t="str">
        <f t="shared" si="359"/>
        <v>NO APLICA</v>
      </c>
      <c r="PO92" s="6"/>
      <c r="PP92" s="6"/>
      <c r="PQ92" s="6"/>
      <c r="PR92" s="6"/>
      <c r="PS92" s="5" t="str">
        <f t="shared" si="360"/>
        <v>NO APLICA</v>
      </c>
      <c r="PT92" s="5"/>
      <c r="PU92" s="6"/>
      <c r="PV92" s="6"/>
      <c r="PW92" s="6"/>
      <c r="PX92" s="5" t="str">
        <f t="shared" si="361"/>
        <v>NO APLICA</v>
      </c>
    </row>
    <row r="93" spans="1:440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332</v>
      </c>
      <c r="V93" s="4">
        <v>45337</v>
      </c>
      <c r="W93" s="4">
        <f t="shared" si="248"/>
        <v>47164</v>
      </c>
      <c r="X93" s="8">
        <f t="shared" ca="1" si="249"/>
        <v>1030</v>
      </c>
      <c r="Y93" s="5" t="str">
        <f t="shared" ca="1" si="250"/>
        <v>VIGENTE</v>
      </c>
      <c r="Z93" s="2" t="s">
        <v>333</v>
      </c>
      <c r="AA93" s="4">
        <v>44826</v>
      </c>
      <c r="AB93" s="4">
        <f>DATE(YEAR(AA93)+5,MONTH(AA93),DAY(AA93))</f>
        <v>46652</v>
      </c>
      <c r="AC93" s="8">
        <f ca="1">AB93-TODAY()</f>
        <v>518</v>
      </c>
      <c r="AD93" s="5" t="str">
        <f t="shared" ca="1" si="387"/>
        <v>VIGENTE</v>
      </c>
      <c r="AE93" s="3"/>
      <c r="AF93" s="4">
        <v>45589</v>
      </c>
      <c r="AG93" s="4">
        <f>DATE(YEAR(AF93)+2,MONTH(AF93),DAY(AF93)-1)</f>
        <v>46318</v>
      </c>
      <c r="AH93" s="8">
        <f t="shared" ca="1" si="252"/>
        <v>184</v>
      </c>
      <c r="AI93" s="5" t="str">
        <f t="shared" ca="1" si="224"/>
        <v>VIGENTE</v>
      </c>
      <c r="AJ93" s="3"/>
      <c r="AK93" s="4">
        <v>45937</v>
      </c>
      <c r="AL93" s="4">
        <f t="shared" si="400"/>
        <v>46667</v>
      </c>
      <c r="AM93" s="8">
        <f t="shared" ca="1" si="253"/>
        <v>533</v>
      </c>
      <c r="AN93" s="5" t="str">
        <f t="shared" ca="1" si="254"/>
        <v>VIGENTE</v>
      </c>
      <c r="AO93" s="3"/>
      <c r="AP93" s="4">
        <v>45967</v>
      </c>
      <c r="AQ93" s="4">
        <f t="shared" si="401"/>
        <v>46697</v>
      </c>
      <c r="AR93" s="8">
        <f t="shared" ca="1" si="255"/>
        <v>563</v>
      </c>
      <c r="AS93" s="5" t="str">
        <f t="shared" ca="1" si="256"/>
        <v>VIGENTE</v>
      </c>
      <c r="AT93" s="3"/>
      <c r="AU93" s="4">
        <v>45952</v>
      </c>
      <c r="AV93" s="4">
        <f t="shared" si="402"/>
        <v>46682</v>
      </c>
      <c r="AW93" s="8">
        <f t="shared" ca="1" si="257"/>
        <v>548</v>
      </c>
      <c r="AX93" s="5" t="str">
        <f t="shared" ca="1" si="258"/>
        <v>VIGENTE</v>
      </c>
      <c r="AY93" s="3"/>
      <c r="AZ93" s="4">
        <v>45717</v>
      </c>
      <c r="BA93" s="4">
        <f>DATE(YEAR(AZ93)+2,MONTH(AZ93),DAY(AZ93)-1)</f>
        <v>46446</v>
      </c>
      <c r="BB93" s="8">
        <f t="shared" ca="1" si="259"/>
        <v>312</v>
      </c>
      <c r="BC93" s="5" t="str">
        <f t="shared" ca="1" si="260"/>
        <v>VIGENTE</v>
      </c>
      <c r="BD93" s="3"/>
      <c r="BE93" s="4">
        <v>45987</v>
      </c>
      <c r="BF93" s="4">
        <f t="shared" si="408"/>
        <v>46717</v>
      </c>
      <c r="BG93" s="8">
        <f t="shared" ca="1" si="261"/>
        <v>583</v>
      </c>
      <c r="BH93" s="5" t="str">
        <f t="shared" ca="1" si="262"/>
        <v>VIGENTE</v>
      </c>
      <c r="BI93" s="3"/>
      <c r="BJ93" s="4">
        <v>46056</v>
      </c>
      <c r="BK93" s="4">
        <f>DATE(YEAR(BJ93)+2,MONTH(BJ93),DAY(BJ93))</f>
        <v>46786</v>
      </c>
      <c r="BL93" s="8">
        <f t="shared" ca="1" si="263"/>
        <v>652</v>
      </c>
      <c r="BM93" s="5" t="str">
        <f t="shared" ca="1" si="264"/>
        <v>VIGENTE</v>
      </c>
      <c r="BN93" s="3"/>
      <c r="BO93" s="4">
        <v>46069</v>
      </c>
      <c r="BP93" s="4">
        <f>DATE(YEAR(BO93)+2,MONTH(BO93),DAY(BO93))</f>
        <v>46799</v>
      </c>
      <c r="BQ93" s="8">
        <f t="shared" ca="1" si="265"/>
        <v>665</v>
      </c>
      <c r="BR93" s="5" t="str">
        <f t="shared" ca="1" si="266"/>
        <v>VIGENTE</v>
      </c>
      <c r="BS93" s="3"/>
      <c r="BT93" s="4">
        <v>45449</v>
      </c>
      <c r="BU93" s="4">
        <f>DATE(YEAR(BT93)+2,MONTH(BT93),DAY(BT93)-1)</f>
        <v>46178</v>
      </c>
      <c r="BV93" s="8">
        <f t="shared" ca="1" si="267"/>
        <v>44</v>
      </c>
      <c r="BW93" s="5" t="str">
        <f t="shared" ca="1" si="268"/>
        <v>POR VENCER</v>
      </c>
      <c r="BX93" s="3"/>
      <c r="BY93" s="4">
        <v>45944</v>
      </c>
      <c r="BZ93" s="4">
        <f t="shared" si="403"/>
        <v>46674</v>
      </c>
      <c r="CA93" s="8">
        <f t="shared" ca="1" si="269"/>
        <v>540</v>
      </c>
      <c r="CB93" s="5" t="str">
        <f t="shared" ca="1" si="270"/>
        <v>VIGENTE</v>
      </c>
      <c r="CC93" s="6" t="s">
        <v>73</v>
      </c>
      <c r="CD93" s="4">
        <v>45301</v>
      </c>
      <c r="CE93" s="4">
        <f t="shared" si="397"/>
        <v>46762</v>
      </c>
      <c r="CF93" s="8">
        <f t="shared" ca="1" si="398"/>
        <v>628</v>
      </c>
      <c r="CG93" s="5" t="str">
        <f t="shared" ca="1" si="273"/>
        <v>VIGENTE</v>
      </c>
      <c r="CH93" s="4"/>
      <c r="CI93" s="4">
        <v>45511</v>
      </c>
      <c r="CJ93" s="4">
        <f>DATE(YEAR(CI93)+2,MONTH(CI93),DAY(CI93)-1)</f>
        <v>46240</v>
      </c>
      <c r="CK93" s="8">
        <f t="shared" ca="1" si="274"/>
        <v>106</v>
      </c>
      <c r="CL93" s="5" t="str">
        <f t="shared" ca="1" si="275"/>
        <v>VIGENTE</v>
      </c>
      <c r="CM93" s="3"/>
      <c r="CN93" s="4">
        <v>45517</v>
      </c>
      <c r="CO93" s="4">
        <f>DATE(YEAR(CN93)+2,MONTH(CN93),DAY(CN93)-1)</f>
        <v>46246</v>
      </c>
      <c r="CP93" s="8">
        <f t="shared" ca="1" si="276"/>
        <v>112</v>
      </c>
      <c r="CQ93" s="5" t="str">
        <f t="shared" ca="1" si="277"/>
        <v>VIGENTE</v>
      </c>
      <c r="CR93" s="3"/>
      <c r="CS93" s="4">
        <v>45631</v>
      </c>
      <c r="CT93" s="4">
        <f>DATE(YEAR(CS93)+2,MONTH(CS93),DAY(CS93)-1)</f>
        <v>46360</v>
      </c>
      <c r="CU93" s="8">
        <f t="shared" ca="1" si="278"/>
        <v>226</v>
      </c>
      <c r="CV93" s="5" t="str">
        <f t="shared" ca="1" si="279"/>
        <v>VIGENTE</v>
      </c>
      <c r="CW93" s="3"/>
      <c r="CX93" s="4">
        <v>45661</v>
      </c>
      <c r="CY93" s="4">
        <f>DATE(YEAR(CX93)+2,MONTH(CX93),DAY(CX93)-1)</f>
        <v>46390</v>
      </c>
      <c r="CZ93" s="8">
        <f t="shared" ca="1" si="280"/>
        <v>256</v>
      </c>
      <c r="DA93" s="5" t="str">
        <f t="shared" ca="1" si="281"/>
        <v>VIGENTE</v>
      </c>
      <c r="DB93" s="3"/>
      <c r="DC93" s="4">
        <v>45689</v>
      </c>
      <c r="DD93" s="4">
        <f>DATE(YEAR(DC93)+2,MONTH(DC93),DAY(DC93)-1)</f>
        <v>46418</v>
      </c>
      <c r="DE93" s="8">
        <f t="shared" ca="1" si="282"/>
        <v>284</v>
      </c>
      <c r="DF93" s="5" t="str">
        <f t="shared" ca="1" si="283"/>
        <v>VIGENTE</v>
      </c>
      <c r="DG93" s="3"/>
      <c r="DH93" s="4">
        <v>45734</v>
      </c>
      <c r="DI93" s="4">
        <f>DATE(YEAR(DH93)+2,MONTH(DH93),DAY(DH93)-1)</f>
        <v>46463</v>
      </c>
      <c r="DJ93" s="8">
        <f t="shared" ca="1" si="284"/>
        <v>329</v>
      </c>
      <c r="DK93" s="5" t="str">
        <f t="shared" ca="1" si="285"/>
        <v>VIGENTE</v>
      </c>
      <c r="DL93" s="3"/>
      <c r="DM93" s="4">
        <v>45473</v>
      </c>
      <c r="DN93" s="4">
        <f>DATE(YEAR(DM93)+2,MONTH(DM93),DAY(DM93)-1)</f>
        <v>46202</v>
      </c>
      <c r="DO93" s="8">
        <f t="shared" ca="1" si="286"/>
        <v>68</v>
      </c>
      <c r="DP93" s="5" t="str">
        <f t="shared" ca="1" si="287"/>
        <v>POR VENCER</v>
      </c>
      <c r="DQ93" s="3"/>
      <c r="DR93" s="4">
        <v>45685</v>
      </c>
      <c r="DS93" s="4">
        <f>DATE(YEAR(DR93)+2,MONTH(DR93),DAY(DR93)-1)</f>
        <v>46414</v>
      </c>
      <c r="DT93" s="8">
        <f t="shared" ca="1" si="288"/>
        <v>280</v>
      </c>
      <c r="DU93" s="5" t="str">
        <f t="shared" ca="1" si="289"/>
        <v>VIGENTE</v>
      </c>
      <c r="DV93" s="3"/>
      <c r="DW93" s="4">
        <v>45682</v>
      </c>
      <c r="DX93" s="4">
        <f>DATE(YEAR(DW93)+2,MONTH(DW93),DAY(DW93)-1)</f>
        <v>46411</v>
      </c>
      <c r="DY93" s="8">
        <f t="shared" ca="1" si="290"/>
        <v>277</v>
      </c>
      <c r="DZ93" s="5" t="str">
        <f t="shared" ca="1" si="291"/>
        <v>VIGENTE</v>
      </c>
      <c r="EA93" s="3"/>
      <c r="EB93" s="4">
        <v>45674</v>
      </c>
      <c r="EC93" s="4">
        <f>DATE(YEAR(EB93)+2,MONTH(EB93),DAY(EB93)-1)</f>
        <v>46403</v>
      </c>
      <c r="ED93" s="8">
        <f t="shared" ca="1" si="292"/>
        <v>269</v>
      </c>
      <c r="EE93" s="5" t="str">
        <f t="shared" ca="1" si="293"/>
        <v>VIGENTE</v>
      </c>
      <c r="EF93" s="3"/>
      <c r="EG93" s="3">
        <v>46085</v>
      </c>
      <c r="EH93" s="4">
        <f t="shared" si="364"/>
        <v>46450</v>
      </c>
      <c r="EI93" s="8">
        <f t="shared" ca="1" si="294"/>
        <v>316</v>
      </c>
      <c r="EJ93" s="5" t="str">
        <f t="shared" ca="1" si="295"/>
        <v>VIGENTE</v>
      </c>
      <c r="EK93" s="3"/>
      <c r="EL93" s="4">
        <v>45660</v>
      </c>
      <c r="EM93" s="4">
        <f>DATE(YEAR(EL93)+2,MONTH(EL93),DAY(EL93)-1)</f>
        <v>46389</v>
      </c>
      <c r="EN93" s="8">
        <f t="shared" ca="1" si="296"/>
        <v>255</v>
      </c>
      <c r="EO93" s="5" t="str">
        <f t="shared" ca="1" si="297"/>
        <v>VIGENTE</v>
      </c>
      <c r="EP93" s="3"/>
      <c r="EQ93" s="4">
        <v>45735</v>
      </c>
      <c r="ER93" s="4">
        <f>DATE(YEAR(EQ93)+2,MONTH(EQ93),DAY(EQ93)-1)</f>
        <v>46464</v>
      </c>
      <c r="ES93" s="8">
        <f t="shared" ca="1" si="298"/>
        <v>330</v>
      </c>
      <c r="ET93" s="5" t="str">
        <f t="shared" ca="1" si="299"/>
        <v>VIGENTE</v>
      </c>
      <c r="EU93" s="3"/>
      <c r="EV93" s="4">
        <v>45953</v>
      </c>
      <c r="EW93" s="4">
        <f>DATE(YEAR(EV93)+2,MONTH(EV93),DAY(EV93))</f>
        <v>46683</v>
      </c>
      <c r="EX93" s="8">
        <f t="shared" ca="1" si="300"/>
        <v>549</v>
      </c>
      <c r="EY93" s="5" t="str">
        <f t="shared" ca="1" si="301"/>
        <v>VIGENTE</v>
      </c>
      <c r="EZ93" s="3"/>
      <c r="FA93" s="4">
        <v>45951</v>
      </c>
      <c r="FB93" s="4">
        <f t="shared" si="406"/>
        <v>46681</v>
      </c>
      <c r="FC93" s="8">
        <f t="shared" ca="1" si="302"/>
        <v>547</v>
      </c>
      <c r="FD93" s="5" t="str">
        <f t="shared" ca="1" si="303"/>
        <v>VIGENTE</v>
      </c>
      <c r="FE93" s="3"/>
      <c r="FF93" s="4">
        <v>45992</v>
      </c>
      <c r="FG93" s="4">
        <f t="shared" si="407"/>
        <v>46722</v>
      </c>
      <c r="FH93" s="8">
        <f t="shared" ca="1" si="304"/>
        <v>588</v>
      </c>
      <c r="FI93" s="5" t="str">
        <f t="shared" ca="1" si="305"/>
        <v>VIGENTE</v>
      </c>
      <c r="FJ93" s="3"/>
      <c r="FK93" s="4">
        <v>45738</v>
      </c>
      <c r="FL93" s="4">
        <f>DATE(YEAR(FK93)+2,MONTH(FK93),DAY(FK93)-1)</f>
        <v>46467</v>
      </c>
      <c r="FM93" s="8">
        <f t="shared" ca="1" si="306"/>
        <v>333</v>
      </c>
      <c r="FN93" s="5" t="str">
        <f t="shared" ca="1" si="307"/>
        <v>VIGENTE</v>
      </c>
      <c r="FO93" s="3"/>
      <c r="FP93" s="4">
        <v>45678</v>
      </c>
      <c r="FQ93" s="4">
        <f>DATE(YEAR(FP93)+2,MONTH(FP93),DAY(FP93)-1)</f>
        <v>46407</v>
      </c>
      <c r="FR93" s="8">
        <f t="shared" ca="1" si="308"/>
        <v>273</v>
      </c>
      <c r="FS93" s="5" t="str">
        <f t="shared" ca="1" si="309"/>
        <v>VIGENTE</v>
      </c>
      <c r="FT93" s="3"/>
      <c r="FU93" s="4">
        <v>45616</v>
      </c>
      <c r="FV93" s="4">
        <f>DATE(YEAR(FU93)+2,MONTH(FU93),DAY(FU93)-1)</f>
        <v>46345</v>
      </c>
      <c r="FW93" s="8">
        <f t="shared" ca="1" si="310"/>
        <v>211</v>
      </c>
      <c r="FX93" s="5" t="str">
        <f t="shared" ca="1" si="311"/>
        <v>VIGENTE</v>
      </c>
      <c r="FY93" s="3"/>
      <c r="FZ93" s="4">
        <v>45741</v>
      </c>
      <c r="GA93" s="4">
        <f>DATE(YEAR(FZ93)+2,MONTH(FZ93),DAY(FZ93)-1)</f>
        <v>46470</v>
      </c>
      <c r="GB93" s="8">
        <f t="shared" ca="1" si="312"/>
        <v>336</v>
      </c>
      <c r="GC93" s="5" t="str">
        <f t="shared" ca="1" si="313"/>
        <v>VIGENTE</v>
      </c>
      <c r="GD93" s="3"/>
      <c r="GE93" s="4">
        <v>45712</v>
      </c>
      <c r="GF93" s="4">
        <f>DATE(YEAR(GE93)+2,MONTH(GE93),DAY(GE93)-1)</f>
        <v>46441</v>
      </c>
      <c r="GG93" s="8">
        <f t="shared" ca="1" si="314"/>
        <v>307</v>
      </c>
      <c r="GH93" s="5" t="str">
        <f t="shared" ca="1" si="315"/>
        <v>VIGENTE</v>
      </c>
      <c r="GI93" s="3"/>
      <c r="GJ93" s="4">
        <v>45923</v>
      </c>
      <c r="GK93" s="4">
        <f>DATE(YEAR(GJ93)+2,MONTH(GJ93),DAY(GJ93))</f>
        <v>46653</v>
      </c>
      <c r="GL93" s="8">
        <f t="shared" ca="1" si="316"/>
        <v>519</v>
      </c>
      <c r="GM93" s="5" t="str">
        <f t="shared" ca="1" si="317"/>
        <v>VIGENTE</v>
      </c>
      <c r="GN93" s="4"/>
      <c r="GO93" s="4">
        <v>45224</v>
      </c>
      <c r="GP93" s="4">
        <f t="shared" si="318"/>
        <v>47051</v>
      </c>
      <c r="GQ93" s="8">
        <f t="shared" ca="1" si="394"/>
        <v>917</v>
      </c>
      <c r="GR93" s="5" t="str">
        <f t="shared" ca="1" si="388"/>
        <v>VIGENTE</v>
      </c>
      <c r="GS93" s="3"/>
      <c r="GT93" s="4">
        <v>45478</v>
      </c>
      <c r="GU93" s="4">
        <f t="shared" si="320"/>
        <v>47304</v>
      </c>
      <c r="GV93" s="8">
        <f t="shared" ca="1" si="321"/>
        <v>1170</v>
      </c>
      <c r="GW93" s="5" t="str">
        <f t="shared" ca="1" si="389"/>
        <v>VIGENTE</v>
      </c>
      <c r="GX93" s="3"/>
      <c r="GY93" s="4">
        <v>45258</v>
      </c>
      <c r="GZ93" s="4">
        <f t="shared" si="323"/>
        <v>47085</v>
      </c>
      <c r="HA93" s="8">
        <f t="shared" ca="1" si="324"/>
        <v>951</v>
      </c>
      <c r="HB93" s="5" t="str">
        <f t="shared" ca="1" si="390"/>
        <v>VIGENTE</v>
      </c>
      <c r="HC93" s="6"/>
      <c r="HD93" s="4">
        <v>44879</v>
      </c>
      <c r="HE93" s="4">
        <f>DATE(YEAR(HD93)+5,MONTH(HD93),DAY(HD93))</f>
        <v>46705</v>
      </c>
      <c r="HF93" s="8">
        <f ca="1">HE93-TODAY()</f>
        <v>571</v>
      </c>
      <c r="HG93" s="5" t="str">
        <f t="shared" ca="1" si="399"/>
        <v>VIGENTE</v>
      </c>
      <c r="HH93" s="2"/>
      <c r="HI93" s="4">
        <v>45370</v>
      </c>
      <c r="HJ93" s="4">
        <f>DATE(YEAR(HI93)+5,MONTH(HI93),DAY(HI93))</f>
        <v>47196</v>
      </c>
      <c r="HK93" s="8">
        <f ca="1">HJ93-TODAY()</f>
        <v>1062</v>
      </c>
      <c r="HL93" s="5" t="str">
        <f t="shared" ca="1" si="395"/>
        <v>VIGENTE</v>
      </c>
      <c r="HM93" s="2"/>
      <c r="HN93" s="3">
        <v>45374</v>
      </c>
      <c r="HO93" s="4">
        <f>DATE(YEAR(HN93)+5,MONTH(HN93),DAY(HN93))</f>
        <v>47200</v>
      </c>
      <c r="HP93" s="8">
        <f ca="1">HO93-TODAY()</f>
        <v>1066</v>
      </c>
      <c r="HQ93" s="5" t="str">
        <f t="shared" ca="1" si="326"/>
        <v>VIGENTE</v>
      </c>
      <c r="HR93" s="2"/>
      <c r="HS93" s="4">
        <v>44987</v>
      </c>
      <c r="HT93" s="4">
        <f>DATE(YEAR(HS93)+5,MONTH(HS93),DAY(HS93))</f>
        <v>46814</v>
      </c>
      <c r="HU93" s="8">
        <f ca="1">HT93-TODAY()</f>
        <v>680</v>
      </c>
      <c r="HV93" s="5" t="str">
        <f t="shared" ca="1" si="327"/>
        <v>VIGENTE</v>
      </c>
      <c r="HW93" s="2"/>
      <c r="HX93" s="4">
        <v>44988</v>
      </c>
      <c r="HY93" s="4">
        <f>DATE(YEAR(HX93)+5,MONTH(HX93),DAY(HX93))</f>
        <v>46815</v>
      </c>
      <c r="HZ93" s="8">
        <f ca="1">HY93-TODAY()</f>
        <v>681</v>
      </c>
      <c r="IA93" s="5" t="str">
        <f t="shared" ca="1" si="328"/>
        <v>VIGENTE</v>
      </c>
      <c r="IB93" s="2"/>
      <c r="IC93" s="4">
        <v>45049</v>
      </c>
      <c r="ID93" s="4">
        <f>DATE(YEAR(IC93)+5,MONTH(IC93),DAY(IC93))</f>
        <v>46876</v>
      </c>
      <c r="IE93" s="8">
        <f ca="1">ID93-TODAY()</f>
        <v>742</v>
      </c>
      <c r="IF93" s="5" t="str">
        <f t="shared" ca="1" si="329"/>
        <v>VIGENTE</v>
      </c>
      <c r="IG93" s="6"/>
      <c r="IH93" s="4">
        <v>45009</v>
      </c>
      <c r="II93" s="4">
        <f>DATE(YEAR(IH93)+5,MONTH(IH93),DAY(IH93))</f>
        <v>46836</v>
      </c>
      <c r="IJ93" s="8">
        <f ca="1">II93-TODAY()</f>
        <v>702</v>
      </c>
      <c r="IK93" s="5" t="str">
        <f t="shared" ca="1" si="330"/>
        <v>VIGENTE</v>
      </c>
      <c r="IL93" s="2"/>
      <c r="IM93" s="4">
        <v>45064</v>
      </c>
      <c r="IN93" s="4">
        <f>DATE(YEAR(IM93)+5,MONTH(IM93),DAY(IM93))</f>
        <v>46891</v>
      </c>
      <c r="IO93" s="8">
        <f ca="1">IN93-TODAY()</f>
        <v>757</v>
      </c>
      <c r="IP93" s="5" t="str">
        <f t="shared" ca="1" si="331"/>
        <v>VIGENTE</v>
      </c>
      <c r="IQ93" s="2"/>
      <c r="IR93" s="4">
        <v>45013</v>
      </c>
      <c r="IS93" s="4">
        <f>DATE(YEAR(IR93)+5,MONTH(IR93),DAY(IR93))</f>
        <v>46840</v>
      </c>
      <c r="IT93" s="8">
        <f ca="1">IS93-TODAY()</f>
        <v>706</v>
      </c>
      <c r="IU93" s="5" t="str">
        <f t="shared" ca="1" si="332"/>
        <v>VIGENTE</v>
      </c>
      <c r="IV93" s="2"/>
      <c r="IW93" s="4">
        <v>44996</v>
      </c>
      <c r="IX93" s="4">
        <f>DATE(YEAR(IW93)+5,MONTH(IW93),DAY(IW93))</f>
        <v>46823</v>
      </c>
      <c r="IY93" s="8">
        <f ca="1">IX93-TODAY()</f>
        <v>689</v>
      </c>
      <c r="IZ93" s="5" t="str">
        <f t="shared" ca="1" si="333"/>
        <v>VIGENTE</v>
      </c>
      <c r="JA93" s="3"/>
      <c r="JB93" s="3"/>
      <c r="JC93" s="4"/>
      <c r="JD93" s="8"/>
      <c r="JE93" s="5" t="str">
        <f t="shared" si="334"/>
        <v>NO APLICA</v>
      </c>
      <c r="JF93" s="6"/>
      <c r="JG93" s="6"/>
      <c r="JH93" s="6"/>
      <c r="JI93" s="6"/>
      <c r="JJ93" s="5" t="str">
        <f t="shared" si="335"/>
        <v>NO APLICA</v>
      </c>
      <c r="JK93" s="6"/>
      <c r="JL93" s="6"/>
      <c r="JM93" s="6"/>
      <c r="JN93" s="6"/>
      <c r="JO93" s="5" t="str">
        <f t="shared" si="336"/>
        <v>NO APLICA</v>
      </c>
      <c r="JP93" s="6"/>
      <c r="JQ93" s="6"/>
      <c r="JR93" s="6"/>
      <c r="JS93" s="6"/>
      <c r="JT93" s="5" t="str">
        <f t="shared" si="337"/>
        <v>NO APLICA</v>
      </c>
      <c r="JU93" s="5"/>
      <c r="JV93" s="5"/>
      <c r="JW93" s="5"/>
      <c r="JX93" s="5"/>
      <c r="JY93" s="5" t="str">
        <f t="shared" si="338"/>
        <v>NO APLICA</v>
      </c>
      <c r="JZ93" s="5"/>
      <c r="KA93" s="2"/>
      <c r="KB93" s="4"/>
      <c r="KC93" s="8"/>
      <c r="KD93" s="5" t="str">
        <f t="shared" si="339"/>
        <v>NO APLICA</v>
      </c>
      <c r="KE93" s="5"/>
      <c r="KF93" s="2"/>
      <c r="KG93" s="4"/>
      <c r="KH93" s="8"/>
      <c r="KI93" s="5" t="str">
        <f t="shared" si="365"/>
        <v>NO APLICA</v>
      </c>
      <c r="KJ93" s="5"/>
      <c r="KK93" s="2"/>
      <c r="KL93" s="4"/>
      <c r="KM93" s="8"/>
      <c r="KN93" s="5" t="str">
        <f t="shared" si="340"/>
        <v>NO APLICA</v>
      </c>
      <c r="KO93" s="5"/>
      <c r="KP93" s="2"/>
      <c r="KQ93" s="4"/>
      <c r="KR93" s="8"/>
      <c r="KS93" s="5" t="str">
        <f t="shared" si="366"/>
        <v>NO APLICA</v>
      </c>
      <c r="KT93" s="2"/>
      <c r="KU93" s="6"/>
      <c r="KV93" s="4"/>
      <c r="KW93" s="8"/>
      <c r="KX93" s="5" t="str">
        <f t="shared" si="375"/>
        <v>NO APLICA</v>
      </c>
      <c r="KY93" s="5"/>
      <c r="KZ93" s="6"/>
      <c r="LA93" s="4"/>
      <c r="LB93" s="8"/>
      <c r="LC93" s="5" t="str">
        <f t="shared" si="367"/>
        <v>NO APLICA</v>
      </c>
      <c r="LD93" s="6"/>
      <c r="LE93" s="4">
        <v>45611</v>
      </c>
      <c r="LF93" s="4">
        <f>DATE(YEAR(LE93)+2,MONTH(LE93),DAY(LE93))</f>
        <v>46341</v>
      </c>
      <c r="LG93" s="8">
        <f ca="1">LF93-TODAY()</f>
        <v>207</v>
      </c>
      <c r="LH93" s="5" t="str">
        <f t="shared" ca="1" si="341"/>
        <v>VIGENTE</v>
      </c>
      <c r="LI93" s="5"/>
      <c r="LJ93" s="5"/>
      <c r="LK93" s="4"/>
      <c r="LL93" s="8"/>
      <c r="LM93" s="5" t="str">
        <f t="shared" si="376"/>
        <v>NO APLICA</v>
      </c>
      <c r="LN93" s="2"/>
      <c r="LO93" s="6"/>
      <c r="LP93" s="4"/>
      <c r="LQ93" s="8"/>
      <c r="LR93" s="5" t="str">
        <f t="shared" si="368"/>
        <v>NO APLICA</v>
      </c>
      <c r="LS93" s="6"/>
      <c r="LT93" s="6"/>
      <c r="LU93" s="4"/>
      <c r="LV93" s="8"/>
      <c r="LW93" s="5" t="str">
        <f t="shared" si="369"/>
        <v>NO APLICA</v>
      </c>
      <c r="LX93" s="6"/>
      <c r="LY93" s="6"/>
      <c r="LZ93" s="4"/>
      <c r="MA93" s="8"/>
      <c r="MB93" s="5" t="str">
        <f t="shared" si="370"/>
        <v>NO APLICA</v>
      </c>
      <c r="MC93" s="2"/>
      <c r="MD93" s="2"/>
      <c r="ME93" s="4"/>
      <c r="MF93" s="8"/>
      <c r="MG93" s="5" t="str">
        <f t="shared" si="342"/>
        <v>NO APLICA</v>
      </c>
      <c r="MH93" s="2"/>
      <c r="MI93" s="2"/>
      <c r="MJ93" s="4"/>
      <c r="MK93" s="8"/>
      <c r="ML93" s="5" t="str">
        <f t="shared" si="343"/>
        <v>NO APLICA</v>
      </c>
      <c r="MM93" s="5"/>
      <c r="MN93" s="2"/>
      <c r="MO93" s="4"/>
      <c r="MP93" s="8"/>
      <c r="MQ93" s="5" t="str">
        <f t="shared" si="344"/>
        <v>NO APLICA</v>
      </c>
      <c r="MR93" s="5"/>
      <c r="MS93" s="2"/>
      <c r="MT93" s="4"/>
      <c r="MU93" s="2"/>
      <c r="MV93" s="5" t="str">
        <f t="shared" si="345"/>
        <v>NO APLICA</v>
      </c>
      <c r="MW93" s="2"/>
      <c r="MX93" s="6"/>
      <c r="MY93" s="4"/>
      <c r="MZ93" s="8"/>
      <c r="NA93" s="5" t="str">
        <f t="shared" si="346"/>
        <v>NO APLICA</v>
      </c>
      <c r="NB93" s="2"/>
      <c r="NC93" s="6"/>
      <c r="ND93" s="4"/>
      <c r="NE93" s="8"/>
      <c r="NF93" s="5" t="str">
        <f t="shared" si="347"/>
        <v>NO APLICA</v>
      </c>
      <c r="NG93" s="2"/>
      <c r="NH93" s="6"/>
      <c r="NI93" s="4"/>
      <c r="NJ93" s="8"/>
      <c r="NK93" s="5" t="str">
        <f t="shared" si="348"/>
        <v>NO APLICA</v>
      </c>
      <c r="NL93" s="2"/>
      <c r="NM93" s="2"/>
      <c r="NN93" s="4"/>
      <c r="NO93" s="8"/>
      <c r="NP93" s="5" t="str">
        <f t="shared" si="349"/>
        <v>NO APLICA</v>
      </c>
      <c r="NQ93" s="2"/>
      <c r="NR93" s="2"/>
      <c r="NS93" s="4"/>
      <c r="NT93" s="2"/>
      <c r="NU93" s="5" t="str">
        <f t="shared" si="350"/>
        <v>NO APLICA</v>
      </c>
      <c r="NV93" s="6"/>
      <c r="NW93" s="6"/>
      <c r="NX93" s="4"/>
      <c r="NY93" s="8"/>
      <c r="NZ93" s="5" t="str">
        <f t="shared" si="351"/>
        <v>NO APLICA</v>
      </c>
      <c r="OA93" s="6"/>
      <c r="OB93" s="6"/>
      <c r="OC93" s="6"/>
      <c r="OD93" s="6"/>
      <c r="OE93" s="5" t="str">
        <f t="shared" si="352"/>
        <v>NO APLICA</v>
      </c>
      <c r="OF93" s="2"/>
      <c r="OG93" s="2"/>
      <c r="OH93" s="4"/>
      <c r="OI93" s="8"/>
      <c r="OJ93" s="5" t="str">
        <f t="shared" si="353"/>
        <v>NO APLICA</v>
      </c>
      <c r="OK93" s="6"/>
      <c r="OL93" s="6"/>
      <c r="OM93" s="6"/>
      <c r="ON93" s="6"/>
      <c r="OO93" s="5" t="str">
        <f t="shared" si="354"/>
        <v>NO APLICA</v>
      </c>
      <c r="OP93" s="6"/>
      <c r="OQ93" s="6"/>
      <c r="OR93" s="6"/>
      <c r="OS93" s="6"/>
      <c r="OT93" s="5" t="str">
        <f t="shared" si="355"/>
        <v>NO APLICA</v>
      </c>
      <c r="OU93" s="6"/>
      <c r="OV93" s="6"/>
      <c r="OW93" s="6"/>
      <c r="OX93" s="6"/>
      <c r="OY93" s="5" t="str">
        <f t="shared" si="356"/>
        <v>NO APLICA</v>
      </c>
      <c r="OZ93" s="6"/>
      <c r="PA93" s="6"/>
      <c r="PB93" s="6"/>
      <c r="PC93" s="6"/>
      <c r="PD93" s="5" t="str">
        <f t="shared" si="357"/>
        <v>NO APLICA</v>
      </c>
      <c r="PE93" s="6"/>
      <c r="PF93" s="6"/>
      <c r="PG93" s="6"/>
      <c r="PH93" s="6"/>
      <c r="PI93" s="5" t="str">
        <f t="shared" si="358"/>
        <v>NO APLICA</v>
      </c>
      <c r="PJ93" s="5"/>
      <c r="PK93" s="6"/>
      <c r="PL93" s="4"/>
      <c r="PM93" s="8"/>
      <c r="PN93" s="5" t="str">
        <f t="shared" si="359"/>
        <v>NO APLICA</v>
      </c>
      <c r="PO93" s="6"/>
      <c r="PP93" s="6"/>
      <c r="PQ93" s="6"/>
      <c r="PR93" s="6"/>
      <c r="PS93" s="5" t="str">
        <f t="shared" si="360"/>
        <v>NO APLICA</v>
      </c>
      <c r="PT93" s="5"/>
      <c r="PU93" s="6"/>
      <c r="PV93" s="6"/>
      <c r="PW93" s="6"/>
      <c r="PX93" s="5" t="str">
        <f t="shared" si="361"/>
        <v>NO APLICA</v>
      </c>
    </row>
    <row r="94" spans="1:440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178</v>
      </c>
      <c r="T94" s="5" t="str">
        <f t="shared" ca="1" si="362"/>
        <v>VIGENTE</v>
      </c>
      <c r="U94" s="6" t="s">
        <v>335</v>
      </c>
      <c r="V94" s="4">
        <v>45309</v>
      </c>
      <c r="W94" s="4">
        <f t="shared" si="248"/>
        <v>47136</v>
      </c>
      <c r="X94" s="8">
        <f t="shared" ca="1" si="249"/>
        <v>1002</v>
      </c>
      <c r="Y94" s="5" t="str">
        <f t="shared" ca="1" si="250"/>
        <v>VIGENTE</v>
      </c>
      <c r="Z94" s="6"/>
      <c r="AA94" s="6"/>
      <c r="AB94" s="4"/>
      <c r="AC94" s="8"/>
      <c r="AD94" s="23" t="str">
        <f>IF(AC94&gt;=91,"VIGENTE",IF(AC94&gt;=1,"POR VENCER",IF(AC94&lt;=-1,"VENCIDA",IF(AA94=0,"PENDIENTE"))))</f>
        <v>PENDIENTE</v>
      </c>
      <c r="AE94" s="6"/>
      <c r="AF94" s="4">
        <v>45936</v>
      </c>
      <c r="AG94" s="4">
        <f>DATE(YEAR(AF94)+2,MONTH(AF94),DAY(AF94))</f>
        <v>46666</v>
      </c>
      <c r="AH94" s="8">
        <f t="shared" ca="1" si="252"/>
        <v>532</v>
      </c>
      <c r="AI94" s="5" t="str">
        <f t="shared" ca="1" si="224"/>
        <v>VIGENTE</v>
      </c>
      <c r="AJ94" s="6"/>
      <c r="AK94" s="4">
        <v>45937</v>
      </c>
      <c r="AL94" s="4">
        <f t="shared" si="400"/>
        <v>46667</v>
      </c>
      <c r="AM94" s="8">
        <f t="shared" ca="1" si="253"/>
        <v>533</v>
      </c>
      <c r="AN94" s="5" t="str">
        <f t="shared" ca="1" si="254"/>
        <v>VIGENTE</v>
      </c>
      <c r="AO94" s="4"/>
      <c r="AP94" s="4">
        <v>45989</v>
      </c>
      <c r="AQ94" s="4">
        <f t="shared" si="401"/>
        <v>46719</v>
      </c>
      <c r="AR94" s="8">
        <f t="shared" ca="1" si="255"/>
        <v>585</v>
      </c>
      <c r="AS94" s="5" t="str">
        <f t="shared" ca="1" si="256"/>
        <v>VIGENTE</v>
      </c>
      <c r="AT94" s="4"/>
      <c r="AU94" s="4">
        <v>45972</v>
      </c>
      <c r="AV94" s="4">
        <f t="shared" si="402"/>
        <v>46702</v>
      </c>
      <c r="AW94" s="8">
        <f t="shared" ca="1" si="257"/>
        <v>568</v>
      </c>
      <c r="AX94" s="5" t="str">
        <f t="shared" ca="1" si="258"/>
        <v>VIGENTE</v>
      </c>
      <c r="AY94" s="3"/>
      <c r="AZ94" s="4">
        <v>46041</v>
      </c>
      <c r="BA94" s="4">
        <f>DATE(YEAR(AZ94)+2,MONTH(AZ94),DAY(AZ94))</f>
        <v>46771</v>
      </c>
      <c r="BB94" s="8">
        <f t="shared" ca="1" si="259"/>
        <v>637</v>
      </c>
      <c r="BC94" s="5" t="str">
        <f t="shared" ca="1" si="260"/>
        <v>VIGENTE</v>
      </c>
      <c r="BD94" s="6"/>
      <c r="BE94" s="4">
        <v>45997</v>
      </c>
      <c r="BF94" s="4">
        <f t="shared" si="408"/>
        <v>46727</v>
      </c>
      <c r="BG94" s="8">
        <f t="shared" ca="1" si="261"/>
        <v>593</v>
      </c>
      <c r="BH94" s="5" t="str">
        <f t="shared" ca="1" si="262"/>
        <v>VIGENTE</v>
      </c>
      <c r="BI94" s="4"/>
      <c r="BJ94" s="4">
        <v>46017</v>
      </c>
      <c r="BK94" s="4">
        <f>DATE(YEAR(BJ94)+2,MONTH(BJ94),DAY(BJ94))</f>
        <v>46747</v>
      </c>
      <c r="BL94" s="8">
        <f t="shared" ca="1" si="263"/>
        <v>613</v>
      </c>
      <c r="BM94" s="5" t="str">
        <f t="shared" ca="1" si="264"/>
        <v>VIGENTE</v>
      </c>
      <c r="BN94" s="4"/>
      <c r="BO94" s="4">
        <v>46050</v>
      </c>
      <c r="BP94" s="4">
        <f>DATE(YEAR(BO94)+2,MONTH(BO94),DAY(BO94))</f>
        <v>46780</v>
      </c>
      <c r="BQ94" s="8">
        <f t="shared" ca="1" si="265"/>
        <v>646</v>
      </c>
      <c r="BR94" s="5" t="str">
        <f t="shared" ca="1" si="266"/>
        <v>VIGENTE</v>
      </c>
      <c r="BS94" s="3"/>
      <c r="BT94" s="4">
        <v>46031</v>
      </c>
      <c r="BU94" s="4">
        <f>DATE(YEAR(BT94)+2,MONTH(BT94),DAY(BT94))</f>
        <v>46761</v>
      </c>
      <c r="BV94" s="8">
        <f t="shared" ca="1" si="267"/>
        <v>627</v>
      </c>
      <c r="BW94" s="5" t="str">
        <f t="shared" ca="1" si="268"/>
        <v>VIGENTE</v>
      </c>
      <c r="BX94" s="6"/>
      <c r="BY94" s="4">
        <v>45986</v>
      </c>
      <c r="BZ94" s="4">
        <f t="shared" si="403"/>
        <v>46716</v>
      </c>
      <c r="CA94" s="8">
        <f t="shared" ca="1" si="269"/>
        <v>582</v>
      </c>
      <c r="CB94" s="5" t="str">
        <f t="shared" ca="1" si="270"/>
        <v>VIGENTE</v>
      </c>
      <c r="CC94" s="6" t="s">
        <v>68</v>
      </c>
      <c r="CD94" s="4">
        <v>45723</v>
      </c>
      <c r="CE94" s="4">
        <f t="shared" si="397"/>
        <v>47184</v>
      </c>
      <c r="CF94" s="8">
        <f t="shared" ca="1" si="398"/>
        <v>1050</v>
      </c>
      <c r="CG94" s="5" t="str">
        <f t="shared" ca="1" si="273"/>
        <v>VIGENTE</v>
      </c>
      <c r="CH94" s="4"/>
      <c r="CI94" s="4">
        <v>46018</v>
      </c>
      <c r="CJ94" s="4">
        <f>DATE(YEAR(CI94)+2,MONTH(CI94),DAY(CI94))</f>
        <v>46748</v>
      </c>
      <c r="CK94" s="8">
        <f t="shared" ca="1" si="274"/>
        <v>614</v>
      </c>
      <c r="CL94" s="5" t="str">
        <f t="shared" ca="1" si="275"/>
        <v>VIGENTE</v>
      </c>
      <c r="CM94" s="4"/>
      <c r="CN94" s="4">
        <v>45979</v>
      </c>
      <c r="CO94" s="4">
        <f>DATE(YEAR(CN94)+2,MONTH(CN94),DAY(CN94))</f>
        <v>46709</v>
      </c>
      <c r="CP94" s="8">
        <f t="shared" ca="1" si="276"/>
        <v>575</v>
      </c>
      <c r="CQ94" s="5" t="str">
        <f t="shared" ca="1" si="277"/>
        <v>VIGENTE</v>
      </c>
      <c r="CR94" s="4"/>
      <c r="CS94" s="4">
        <v>46043</v>
      </c>
      <c r="CT94" s="4">
        <f>DATE(YEAR(CS94)+2,MONTH(CS94),DAY(CS94))</f>
        <v>46773</v>
      </c>
      <c r="CU94" s="8">
        <f t="shared" ca="1" si="278"/>
        <v>639</v>
      </c>
      <c r="CV94" s="5" t="str">
        <f t="shared" ca="1" si="279"/>
        <v>VIGENTE</v>
      </c>
      <c r="CW94" s="4"/>
      <c r="CX94" s="4">
        <v>46000</v>
      </c>
      <c r="CY94" s="4">
        <f>DATE(YEAR(CX94)+2,MONTH(CX94),DAY(CX94))</f>
        <v>46730</v>
      </c>
      <c r="CZ94" s="8">
        <f t="shared" ca="1" si="280"/>
        <v>596</v>
      </c>
      <c r="DA94" s="5" t="str">
        <f t="shared" ca="1" si="281"/>
        <v>VIGENTE</v>
      </c>
      <c r="DB94" s="3"/>
      <c r="DC94" s="4">
        <v>45996</v>
      </c>
      <c r="DD94" s="4">
        <f>DATE(YEAR(DC94)+2,MONTH(DC94),DAY(DC94))</f>
        <v>46726</v>
      </c>
      <c r="DE94" s="8">
        <f t="shared" ca="1" si="282"/>
        <v>592</v>
      </c>
      <c r="DF94" s="5" t="str">
        <f t="shared" ca="1" si="283"/>
        <v>VIGENTE</v>
      </c>
      <c r="DG94" s="4"/>
      <c r="DH94" s="4">
        <v>45975</v>
      </c>
      <c r="DI94" s="4">
        <f>DATE(YEAR(DH94)+2,MONTH(DH94),DAY(DH94))</f>
        <v>46705</v>
      </c>
      <c r="DJ94" s="8">
        <f t="shared" ca="1" si="284"/>
        <v>571</v>
      </c>
      <c r="DK94" s="5" t="str">
        <f t="shared" ca="1" si="285"/>
        <v>VIGENTE</v>
      </c>
      <c r="DL94" s="4"/>
      <c r="DM94" s="4">
        <v>45982</v>
      </c>
      <c r="DN94" s="4">
        <f>DATE(YEAR(DM94)+2,MONTH(DM94),DAY(DM94))</f>
        <v>46712</v>
      </c>
      <c r="DO94" s="8">
        <f t="shared" ca="1" si="286"/>
        <v>578</v>
      </c>
      <c r="DP94" s="5" t="str">
        <f t="shared" ca="1" si="287"/>
        <v>VIGENTE</v>
      </c>
      <c r="DQ94" s="4"/>
      <c r="DR94" s="3">
        <v>46009</v>
      </c>
      <c r="DS94" s="4">
        <f>DATE(YEAR(DR94)+2,MONTH(DR94),DAY(DR94))</f>
        <v>46739</v>
      </c>
      <c r="DT94" s="8">
        <f t="shared" ca="1" si="288"/>
        <v>605</v>
      </c>
      <c r="DU94" s="5" t="str">
        <f t="shared" ca="1" si="289"/>
        <v>VIGENTE</v>
      </c>
      <c r="DV94" s="4"/>
      <c r="DW94" s="4">
        <v>46032</v>
      </c>
      <c r="DX94" s="4">
        <f>DATE(YEAR(DW94)+2,MONTH(DW94),DAY(DW94))</f>
        <v>46762</v>
      </c>
      <c r="DY94" s="8">
        <f t="shared" ca="1" si="290"/>
        <v>628</v>
      </c>
      <c r="DZ94" s="5" t="str">
        <f t="shared" ca="1" si="291"/>
        <v>VIGENTE</v>
      </c>
      <c r="EA94" s="4"/>
      <c r="EB94" s="4">
        <v>45994</v>
      </c>
      <c r="EC94" s="4">
        <f>DATE(YEAR(EB94)+2,MONTH(EB94),DAY(EB94))</f>
        <v>46724</v>
      </c>
      <c r="ED94" s="8">
        <f t="shared" ca="1" si="292"/>
        <v>590</v>
      </c>
      <c r="EE94" s="5" t="str">
        <f t="shared" ca="1" si="293"/>
        <v>VIGENTE</v>
      </c>
      <c r="EF94" s="3"/>
      <c r="EG94" s="3">
        <v>46015</v>
      </c>
      <c r="EH94" s="4">
        <f t="shared" si="364"/>
        <v>46380</v>
      </c>
      <c r="EI94" s="8">
        <f t="shared" ca="1" si="294"/>
        <v>246</v>
      </c>
      <c r="EJ94" s="5" t="str">
        <f t="shared" ca="1" si="295"/>
        <v>VIGENTE</v>
      </c>
      <c r="EK94" s="4"/>
      <c r="EL94" s="4">
        <v>45995</v>
      </c>
      <c r="EM94" s="4">
        <f>DATE(YEAR(EL94)+2,MONTH(EL94),DAY(EL94))</f>
        <v>46725</v>
      </c>
      <c r="EN94" s="8">
        <f t="shared" ca="1" si="296"/>
        <v>591</v>
      </c>
      <c r="EO94" s="5" t="str">
        <f t="shared" ca="1" si="297"/>
        <v>VIGENTE</v>
      </c>
      <c r="EP94" s="6"/>
      <c r="EQ94" s="4">
        <v>45999</v>
      </c>
      <c r="ER94" s="4">
        <f>DATE(YEAR(EQ94)+2,MONTH(EQ94),DAY(EQ94))</f>
        <v>46729</v>
      </c>
      <c r="ES94" s="8">
        <f t="shared" ca="1" si="298"/>
        <v>595</v>
      </c>
      <c r="ET94" s="5" t="str">
        <f t="shared" ca="1" si="299"/>
        <v>VIGENTE</v>
      </c>
      <c r="EU94" s="4"/>
      <c r="EV94" s="4">
        <v>45964</v>
      </c>
      <c r="EW94" s="4">
        <f>DATE(YEAR(EV94)+2,MONTH(EV94),DAY(EV94))</f>
        <v>46694</v>
      </c>
      <c r="EX94" s="8">
        <f t="shared" ca="1" si="300"/>
        <v>560</v>
      </c>
      <c r="EY94" s="5" t="str">
        <f t="shared" ca="1" si="301"/>
        <v>VIGENTE</v>
      </c>
      <c r="EZ94" s="6"/>
      <c r="FA94" s="4">
        <v>45988</v>
      </c>
      <c r="FB94" s="4">
        <f t="shared" si="406"/>
        <v>46718</v>
      </c>
      <c r="FC94" s="8">
        <f t="shared" ca="1" si="302"/>
        <v>584</v>
      </c>
      <c r="FD94" s="5" t="str">
        <f t="shared" ca="1" si="303"/>
        <v>VIGENTE</v>
      </c>
      <c r="FE94" s="4"/>
      <c r="FF94" s="4">
        <v>45962</v>
      </c>
      <c r="FG94" s="4">
        <f t="shared" si="407"/>
        <v>46692</v>
      </c>
      <c r="FH94" s="8">
        <f t="shared" ca="1" si="304"/>
        <v>558</v>
      </c>
      <c r="FI94" s="5" t="str">
        <f t="shared" ca="1" si="305"/>
        <v>VIGENTE</v>
      </c>
      <c r="FJ94" s="4"/>
      <c r="FK94" s="4">
        <v>46039</v>
      </c>
      <c r="FL94" s="4">
        <f>DATE(YEAR(FK94)+2,MONTH(FK94),DAY(FK94))</f>
        <v>46769</v>
      </c>
      <c r="FM94" s="8">
        <f t="shared" ca="1" si="306"/>
        <v>635</v>
      </c>
      <c r="FN94" s="5" t="str">
        <f t="shared" ca="1" si="307"/>
        <v>VIGENTE</v>
      </c>
      <c r="FO94" s="4"/>
      <c r="FP94" s="4">
        <v>46034</v>
      </c>
      <c r="FQ94" s="4">
        <f>DATE(YEAR(FP94)+2,MONTH(FP94),DAY(FP94))</f>
        <v>46764</v>
      </c>
      <c r="FR94" s="8">
        <f t="shared" ca="1" si="308"/>
        <v>630</v>
      </c>
      <c r="FS94" s="5" t="str">
        <f t="shared" ca="1" si="309"/>
        <v>VIGENTE</v>
      </c>
      <c r="FT94" s="4"/>
      <c r="FU94" s="4">
        <v>46004</v>
      </c>
      <c r="FV94" s="4">
        <f>DATE(YEAR(FU94)+2,MONTH(FU94),DAY(FU94))</f>
        <v>46734</v>
      </c>
      <c r="FW94" s="8">
        <f t="shared" ca="1" si="310"/>
        <v>600</v>
      </c>
      <c r="FX94" s="5" t="str">
        <f t="shared" ca="1" si="311"/>
        <v>VIGENTE</v>
      </c>
      <c r="FY94" s="4"/>
      <c r="FZ94" s="4">
        <v>45925</v>
      </c>
      <c r="GA94" s="4">
        <f>DATE(YEAR(FZ94)+2,MONTH(FZ94),DAY(FZ94))</f>
        <v>46655</v>
      </c>
      <c r="GB94" s="8">
        <f t="shared" ca="1" si="312"/>
        <v>521</v>
      </c>
      <c r="GC94" s="5" t="str">
        <f t="shared" ca="1" si="313"/>
        <v>VIGENTE</v>
      </c>
      <c r="GD94" s="4"/>
      <c r="GE94" s="4">
        <v>45960</v>
      </c>
      <c r="GF94" s="4">
        <f>DATE(YEAR(GE94)+2,MONTH(GE94),DAY(GE94))</f>
        <v>46690</v>
      </c>
      <c r="GG94" s="8">
        <f t="shared" ca="1" si="314"/>
        <v>556</v>
      </c>
      <c r="GH94" s="5" t="str">
        <f t="shared" ca="1" si="315"/>
        <v>VIGENTE</v>
      </c>
      <c r="GI94" s="4"/>
      <c r="GJ94" s="4">
        <v>45499</v>
      </c>
      <c r="GK94" s="4">
        <f>DATE(YEAR(GJ94)+2,MONTH(GJ94),DAY(GJ94)-1)</f>
        <v>46228</v>
      </c>
      <c r="GL94" s="8">
        <f t="shared" ca="1" si="316"/>
        <v>94</v>
      </c>
      <c r="GM94" s="5" t="str">
        <f t="shared" ca="1" si="317"/>
        <v>VIGENTE</v>
      </c>
      <c r="GN94" s="4"/>
      <c r="GO94" s="4">
        <v>45299</v>
      </c>
      <c r="GP94" s="4">
        <f t="shared" si="318"/>
        <v>47126</v>
      </c>
      <c r="GQ94" s="8">
        <f t="shared" ca="1" si="394"/>
        <v>992</v>
      </c>
      <c r="GR94" s="5" t="str">
        <f t="shared" ca="1" si="388"/>
        <v>VIGENTE</v>
      </c>
      <c r="GS94" s="4"/>
      <c r="GT94" s="4">
        <v>45329</v>
      </c>
      <c r="GU94" s="4">
        <f t="shared" si="320"/>
        <v>47156</v>
      </c>
      <c r="GV94" s="8">
        <f t="shared" ca="1" si="321"/>
        <v>1022</v>
      </c>
      <c r="GW94" s="5" t="str">
        <f t="shared" ca="1" si="389"/>
        <v>VIGENTE</v>
      </c>
      <c r="GX94" s="6"/>
      <c r="GY94" s="4">
        <v>45343</v>
      </c>
      <c r="GZ94" s="4">
        <f t="shared" si="323"/>
        <v>47170</v>
      </c>
      <c r="HA94" s="8">
        <f t="shared" ca="1" si="324"/>
        <v>1036</v>
      </c>
      <c r="HB94" s="5" t="str">
        <f t="shared" ca="1" si="390"/>
        <v>VIGENTE</v>
      </c>
      <c r="HC94" s="6"/>
      <c r="HD94" s="4">
        <v>45317</v>
      </c>
      <c r="HE94" s="4">
        <f>DATE(YEAR(HD94)+5,MONTH(HD94),DAY(HD94))</f>
        <v>47144</v>
      </c>
      <c r="HF94" s="8">
        <f ca="1">HE94-TODAY()</f>
        <v>1010</v>
      </c>
      <c r="HG94" s="5" t="str">
        <f t="shared" ca="1" si="399"/>
        <v>VIGENTE</v>
      </c>
      <c r="HH94" s="6"/>
      <c r="HI94" s="6"/>
      <c r="HJ94" s="4"/>
      <c r="HK94" s="8"/>
      <c r="HL94" s="5" t="str">
        <f t="shared" si="395"/>
        <v>NO APLICA</v>
      </c>
      <c r="HM94" s="2"/>
      <c r="HN94" s="2"/>
      <c r="HO94" s="4"/>
      <c r="HP94" s="2"/>
      <c r="HQ94" s="5" t="str">
        <f t="shared" si="326"/>
        <v>NO APLICA</v>
      </c>
      <c r="HR94" s="6"/>
      <c r="HS94" s="6"/>
      <c r="HT94" s="4"/>
      <c r="HU94" s="8"/>
      <c r="HV94" s="5" t="str">
        <f t="shared" si="327"/>
        <v>NO APLICA</v>
      </c>
      <c r="HW94" s="6"/>
      <c r="HX94" s="6"/>
      <c r="HY94" s="4"/>
      <c r="HZ94" s="8"/>
      <c r="IA94" s="5" t="str">
        <f t="shared" si="328"/>
        <v>NO APLICA</v>
      </c>
      <c r="IB94" s="6"/>
      <c r="IC94" s="6"/>
      <c r="ID94" s="4"/>
      <c r="IE94" s="8"/>
      <c r="IF94" s="5" t="str">
        <f t="shared" si="329"/>
        <v>NO APLICA</v>
      </c>
      <c r="IG94" s="6"/>
      <c r="IH94" s="6"/>
      <c r="II94" s="4"/>
      <c r="IJ94" s="6"/>
      <c r="IK94" s="5" t="str">
        <f t="shared" si="330"/>
        <v>NO APLICA</v>
      </c>
      <c r="IL94" s="6"/>
      <c r="IM94" s="6"/>
      <c r="IN94" s="4"/>
      <c r="IO94" s="8"/>
      <c r="IP94" s="5" t="str">
        <f t="shared" si="331"/>
        <v>NO APLICA</v>
      </c>
      <c r="IQ94" s="6"/>
      <c r="IR94" s="6"/>
      <c r="IS94" s="4"/>
      <c r="IT94" s="8"/>
      <c r="IU94" s="5" t="str">
        <f t="shared" si="332"/>
        <v>NO APLICA</v>
      </c>
      <c r="IV94" s="6"/>
      <c r="IW94" s="6"/>
      <c r="IX94" s="4"/>
      <c r="IY94" s="8"/>
      <c r="IZ94" s="5" t="str">
        <f t="shared" si="333"/>
        <v>NO APLICA</v>
      </c>
      <c r="JA94" s="3"/>
      <c r="JB94" s="3"/>
      <c r="JC94" s="4"/>
      <c r="JD94" s="8"/>
      <c r="JE94" s="5" t="str">
        <f t="shared" si="334"/>
        <v>NO APLICA</v>
      </c>
      <c r="JF94" s="6"/>
      <c r="JG94" s="6"/>
      <c r="JH94" s="6"/>
      <c r="JI94" s="6"/>
      <c r="JJ94" s="5" t="str">
        <f t="shared" si="335"/>
        <v>NO APLICA</v>
      </c>
      <c r="JK94" s="6"/>
      <c r="JL94" s="6"/>
      <c r="JM94" s="6"/>
      <c r="JN94" s="6"/>
      <c r="JO94" s="5" t="str">
        <f t="shared" si="336"/>
        <v>NO APLICA</v>
      </c>
      <c r="JP94" s="6"/>
      <c r="JQ94" s="6"/>
      <c r="JR94" s="6"/>
      <c r="JS94" s="6"/>
      <c r="JT94" s="5" t="str">
        <f t="shared" si="337"/>
        <v>NO APLICA</v>
      </c>
      <c r="JU94" s="5"/>
      <c r="JV94" s="5"/>
      <c r="JW94" s="5"/>
      <c r="JX94" s="5"/>
      <c r="JY94" s="5" t="str">
        <f t="shared" si="338"/>
        <v>NO APLICA</v>
      </c>
      <c r="JZ94" s="5"/>
      <c r="KA94" s="2"/>
      <c r="KB94" s="4"/>
      <c r="KC94" s="8"/>
      <c r="KD94" s="5" t="str">
        <f t="shared" si="339"/>
        <v>NO APLICA</v>
      </c>
      <c r="KE94" s="5"/>
      <c r="KF94" s="2"/>
      <c r="KG94" s="4"/>
      <c r="KH94" s="8"/>
      <c r="KI94" s="5" t="str">
        <f t="shared" si="365"/>
        <v>NO APLICA</v>
      </c>
      <c r="KJ94" s="5"/>
      <c r="KK94" s="2"/>
      <c r="KL94" s="4"/>
      <c r="KM94" s="8"/>
      <c r="KN94" s="5" t="str">
        <f t="shared" si="340"/>
        <v>NO APLICA</v>
      </c>
      <c r="KO94" s="5"/>
      <c r="KP94" s="3">
        <v>45346</v>
      </c>
      <c r="KQ94" s="4">
        <f>DATE(YEAR(KP94)+5,MONTH(KP94),DAY(KP94))</f>
        <v>47173</v>
      </c>
      <c r="KR94" s="8">
        <f ca="1">KQ94-TODAY()</f>
        <v>1039</v>
      </c>
      <c r="KS94" s="5" t="str">
        <f t="shared" ca="1" si="366"/>
        <v>VIGENTE</v>
      </c>
      <c r="KT94" s="6"/>
      <c r="KU94" s="6"/>
      <c r="KV94" s="4"/>
      <c r="KW94" s="6"/>
      <c r="KX94" s="5" t="str">
        <f t="shared" si="375"/>
        <v>NO APLICA</v>
      </c>
      <c r="KY94" s="5"/>
      <c r="KZ94" s="6"/>
      <c r="LA94" s="4"/>
      <c r="LB94" s="6"/>
      <c r="LC94" s="5" t="str">
        <f t="shared" si="367"/>
        <v>NO APLICA</v>
      </c>
      <c r="LD94" s="6"/>
      <c r="LE94" s="6"/>
      <c r="LF94" s="6"/>
      <c r="LG94" s="6"/>
      <c r="LH94" s="5" t="str">
        <f t="shared" si="341"/>
        <v>NO APLICA</v>
      </c>
      <c r="LI94" s="5"/>
      <c r="LJ94" s="5"/>
      <c r="LK94" s="4"/>
      <c r="LL94" s="8"/>
      <c r="LM94" s="5" t="str">
        <f t="shared" si="376"/>
        <v>NO APLICA</v>
      </c>
      <c r="LN94" s="6"/>
      <c r="LO94" s="6"/>
      <c r="LP94" s="4"/>
      <c r="LQ94" s="8"/>
      <c r="LR94" s="5" t="str">
        <f t="shared" si="368"/>
        <v>NO APLICA</v>
      </c>
      <c r="LS94" s="6"/>
      <c r="LT94" s="6"/>
      <c r="LU94" s="4"/>
      <c r="LV94" s="6"/>
      <c r="LW94" s="5" t="str">
        <f t="shared" si="369"/>
        <v>NO APLICA</v>
      </c>
      <c r="LX94" s="6"/>
      <c r="LY94" s="6"/>
      <c r="LZ94" s="4"/>
      <c r="MA94" s="6"/>
      <c r="MB94" s="5" t="str">
        <f t="shared" si="370"/>
        <v>NO APLICA</v>
      </c>
      <c r="MC94" s="6"/>
      <c r="MD94" s="6"/>
      <c r="ME94" s="4"/>
      <c r="MF94" s="6"/>
      <c r="MG94" s="5" t="str">
        <f t="shared" si="342"/>
        <v>NO APLICA</v>
      </c>
      <c r="MH94" s="6"/>
      <c r="MI94" s="6"/>
      <c r="MJ94" s="4"/>
      <c r="MK94" s="6"/>
      <c r="ML94" s="5" t="str">
        <f t="shared" si="343"/>
        <v>NO APLICA</v>
      </c>
      <c r="MM94" s="5"/>
      <c r="MN94" s="6"/>
      <c r="MO94" s="4"/>
      <c r="MP94" s="6"/>
      <c r="MQ94" s="5" t="str">
        <f t="shared" si="344"/>
        <v>NO APLICA</v>
      </c>
      <c r="MR94" s="5"/>
      <c r="MS94" s="6"/>
      <c r="MT94" s="6"/>
      <c r="MU94" s="6"/>
      <c r="MV94" s="5" t="str">
        <f t="shared" si="345"/>
        <v>NO APLICA</v>
      </c>
      <c r="MW94" s="6"/>
      <c r="MX94" s="6"/>
      <c r="MY94" s="4"/>
      <c r="MZ94" s="6"/>
      <c r="NA94" s="5" t="str">
        <f t="shared" si="346"/>
        <v>NO APLICA</v>
      </c>
      <c r="NB94" s="6"/>
      <c r="NC94" s="6"/>
      <c r="ND94" s="4"/>
      <c r="NE94" s="6"/>
      <c r="NF94" s="5" t="str">
        <f t="shared" si="347"/>
        <v>NO APLICA</v>
      </c>
      <c r="NG94" s="6"/>
      <c r="NH94" s="6"/>
      <c r="NI94" s="4"/>
      <c r="NJ94" s="6"/>
      <c r="NK94" s="5" t="str">
        <f t="shared" si="348"/>
        <v>NO APLICA</v>
      </c>
      <c r="NL94" s="6"/>
      <c r="NM94" s="6"/>
      <c r="NN94" s="4"/>
      <c r="NO94" s="6"/>
      <c r="NP94" s="5" t="str">
        <f t="shared" si="349"/>
        <v>NO APLICA</v>
      </c>
      <c r="NQ94" s="6"/>
      <c r="NR94" s="6"/>
      <c r="NS94" s="4"/>
      <c r="NT94" s="6"/>
      <c r="NU94" s="5" t="str">
        <f t="shared" si="350"/>
        <v>NO APLICA</v>
      </c>
      <c r="NV94" s="6"/>
      <c r="NW94" s="6"/>
      <c r="NX94" s="4"/>
      <c r="NY94" s="8"/>
      <c r="NZ94" s="5" t="str">
        <f t="shared" si="351"/>
        <v>NO APLICA</v>
      </c>
      <c r="OA94" s="6"/>
      <c r="OB94" s="6"/>
      <c r="OC94" s="6"/>
      <c r="OD94" s="6"/>
      <c r="OE94" s="5" t="str">
        <f t="shared" si="352"/>
        <v>NO APLICA</v>
      </c>
      <c r="OF94" s="6"/>
      <c r="OG94" s="6"/>
      <c r="OH94" s="6"/>
      <c r="OI94" s="6"/>
      <c r="OJ94" s="5" t="str">
        <f t="shared" si="353"/>
        <v>NO APLICA</v>
      </c>
      <c r="OK94" s="6"/>
      <c r="OL94" s="6"/>
      <c r="OM94" s="6"/>
      <c r="ON94" s="6"/>
      <c r="OO94" s="5" t="str">
        <f t="shared" si="354"/>
        <v>NO APLICA</v>
      </c>
      <c r="OP94" s="6"/>
      <c r="OQ94" s="6"/>
      <c r="OR94" s="6"/>
      <c r="OS94" s="6"/>
      <c r="OT94" s="5" t="str">
        <f t="shared" si="355"/>
        <v>NO APLICA</v>
      </c>
      <c r="OU94" s="6"/>
      <c r="OV94" s="6"/>
      <c r="OW94" s="6"/>
      <c r="OX94" s="6"/>
      <c r="OY94" s="5" t="str">
        <f t="shared" si="356"/>
        <v>NO APLICA</v>
      </c>
      <c r="OZ94" s="6"/>
      <c r="PA94" s="6"/>
      <c r="PB94" s="6"/>
      <c r="PC94" s="6"/>
      <c r="PD94" s="5" t="str">
        <f t="shared" si="357"/>
        <v>NO APLICA</v>
      </c>
      <c r="PE94" s="6"/>
      <c r="PF94" s="6"/>
      <c r="PG94" s="6"/>
      <c r="PH94" s="6"/>
      <c r="PI94" s="5" t="str">
        <f t="shared" si="358"/>
        <v>NO APLICA</v>
      </c>
      <c r="PJ94" s="5"/>
      <c r="PK94" s="6"/>
      <c r="PL94" s="6"/>
      <c r="PM94" s="6"/>
      <c r="PN94" s="5" t="str">
        <f t="shared" si="359"/>
        <v>NO APLICA</v>
      </c>
      <c r="PO94" s="6"/>
      <c r="PP94" s="6"/>
      <c r="PQ94" s="6"/>
      <c r="PR94" s="6"/>
      <c r="PS94" s="5" t="str">
        <f t="shared" si="360"/>
        <v>NO APLICA</v>
      </c>
      <c r="PT94" s="5"/>
      <c r="PU94" s="6"/>
      <c r="PV94" s="6"/>
      <c r="PW94" s="6"/>
      <c r="PX94" s="5" t="str">
        <f t="shared" si="361"/>
        <v>NO APLICA</v>
      </c>
    </row>
    <row r="95" spans="1:440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337</v>
      </c>
      <c r="V95" s="4">
        <v>45156</v>
      </c>
      <c r="W95" s="4">
        <f t="shared" si="248"/>
        <v>46983</v>
      </c>
      <c r="X95" s="8">
        <f t="shared" ca="1" si="249"/>
        <v>849</v>
      </c>
      <c r="Y95" s="5" t="str">
        <f t="shared" ca="1" si="250"/>
        <v>VIGENTE</v>
      </c>
      <c r="Z95" s="2" t="s">
        <v>338</v>
      </c>
      <c r="AA95" s="4">
        <v>45162</v>
      </c>
      <c r="AB95" s="4">
        <f>DATE(YEAR(AA95)+5,MONTH(AA95),DAY(AA95))</f>
        <v>46989</v>
      </c>
      <c r="AC95" s="8">
        <f ca="1">AB95-TODAY()</f>
        <v>855</v>
      </c>
      <c r="AD95" s="5" t="str">
        <f t="shared" ref="AD95:AD103" ca="1" si="409">IF(AC95&gt;=91,"VIGENTE",IF(AC95&gt;=1,"POR VENCER",IF(AC95&lt;=-1,"VENCIDA",IF(AA95=0,"NO APLICA"))))</f>
        <v>VIGENTE</v>
      </c>
      <c r="AE95" s="3"/>
      <c r="AF95" s="4">
        <v>45902</v>
      </c>
      <c r="AG95" s="4">
        <f>DATE(YEAR(AF95)+2,MONTH(AF95),DAY(AF95))</f>
        <v>46632</v>
      </c>
      <c r="AH95" s="8">
        <f t="shared" ca="1" si="252"/>
        <v>498</v>
      </c>
      <c r="AI95" s="5" t="str">
        <f t="shared" ca="1" si="224"/>
        <v>VIGENTE</v>
      </c>
      <c r="AJ95" s="3"/>
      <c r="AK95" s="4">
        <v>45903</v>
      </c>
      <c r="AL95" s="4">
        <f t="shared" si="400"/>
        <v>46633</v>
      </c>
      <c r="AM95" s="8">
        <f t="shared" ca="1" si="253"/>
        <v>499</v>
      </c>
      <c r="AN95" s="5" t="str">
        <f t="shared" ca="1" si="254"/>
        <v>VIGENTE</v>
      </c>
      <c r="AO95" s="3"/>
      <c r="AP95" s="4">
        <v>45989</v>
      </c>
      <c r="AQ95" s="4">
        <f t="shared" si="401"/>
        <v>46719</v>
      </c>
      <c r="AR95" s="8">
        <f t="shared" ca="1" si="255"/>
        <v>585</v>
      </c>
      <c r="AS95" s="5" t="str">
        <f t="shared" ca="1" si="256"/>
        <v>VIGENTE</v>
      </c>
      <c r="AT95" s="3"/>
      <c r="AU95" s="4">
        <v>45972</v>
      </c>
      <c r="AV95" s="4">
        <f t="shared" si="402"/>
        <v>46702</v>
      </c>
      <c r="AW95" s="8">
        <f t="shared" ca="1" si="257"/>
        <v>568</v>
      </c>
      <c r="AX95" s="5" t="str">
        <f t="shared" ca="1" si="258"/>
        <v>VIGENTE</v>
      </c>
      <c r="AY95" s="3"/>
      <c r="AZ95" s="4">
        <v>45943</v>
      </c>
      <c r="BA95" s="4">
        <f>DATE(YEAR(AZ95)+2,MONTH(AZ95),DAY(AZ95))</f>
        <v>46673</v>
      </c>
      <c r="BB95" s="8">
        <f t="shared" ca="1" si="259"/>
        <v>539</v>
      </c>
      <c r="BC95" s="5" t="str">
        <f t="shared" ca="1" si="260"/>
        <v>VIGENTE</v>
      </c>
      <c r="BD95" s="2"/>
      <c r="BE95" s="4">
        <v>45987</v>
      </c>
      <c r="BF95" s="4">
        <f t="shared" si="408"/>
        <v>46717</v>
      </c>
      <c r="BG95" s="8">
        <f t="shared" ca="1" si="261"/>
        <v>583</v>
      </c>
      <c r="BH95" s="5" t="str">
        <f t="shared" ca="1" si="262"/>
        <v>VIGENTE</v>
      </c>
      <c r="BI95" s="3"/>
      <c r="BJ95" s="4">
        <v>45976</v>
      </c>
      <c r="BK95" s="4">
        <f>DATE(YEAR(BJ95)+2,MONTH(BJ95),DAY(BJ95))</f>
        <v>46706</v>
      </c>
      <c r="BL95" s="8">
        <f t="shared" ca="1" si="263"/>
        <v>572</v>
      </c>
      <c r="BM95" s="5" t="str">
        <f t="shared" ca="1" si="264"/>
        <v>VIGENTE</v>
      </c>
      <c r="BN95" s="3"/>
      <c r="BO95" s="4">
        <v>45876</v>
      </c>
      <c r="BP95" s="4">
        <f>DATE(YEAR(BO95)+2,MONTH(BO95),DAY(BO95))</f>
        <v>46606</v>
      </c>
      <c r="BQ95" s="8">
        <f t="shared" ca="1" si="265"/>
        <v>472</v>
      </c>
      <c r="BR95" s="5" t="str">
        <f t="shared" ca="1" si="266"/>
        <v>VIGENTE</v>
      </c>
      <c r="BS95" s="3"/>
      <c r="BT95" s="4">
        <v>45853</v>
      </c>
      <c r="BU95" s="4">
        <f>DATE(YEAR(BT95)+2,MONTH(BT95),DAY(BT95))</f>
        <v>46583</v>
      </c>
      <c r="BV95" s="8">
        <f t="shared" ca="1" si="267"/>
        <v>449</v>
      </c>
      <c r="BW95" s="5" t="str">
        <f t="shared" ca="1" si="268"/>
        <v>VIGENTE</v>
      </c>
      <c r="BX95" s="3"/>
      <c r="BY95" s="4">
        <v>45974</v>
      </c>
      <c r="BZ95" s="4">
        <f t="shared" si="403"/>
        <v>46704</v>
      </c>
      <c r="CA95" s="8">
        <f t="shared" ca="1" si="269"/>
        <v>570</v>
      </c>
      <c r="CB95" s="5" t="str">
        <f t="shared" ca="1" si="270"/>
        <v>VIGENTE</v>
      </c>
      <c r="CC95" s="6" t="s">
        <v>73</v>
      </c>
      <c r="CD95" s="4">
        <v>45164</v>
      </c>
      <c r="CE95" s="4">
        <f t="shared" si="397"/>
        <v>46625</v>
      </c>
      <c r="CF95" s="8">
        <f t="shared" ca="1" si="398"/>
        <v>491</v>
      </c>
      <c r="CG95" s="5" t="str">
        <f t="shared" ca="1" si="273"/>
        <v>VIGENTE</v>
      </c>
      <c r="CH95" s="4"/>
      <c r="CI95" s="4">
        <v>45895</v>
      </c>
      <c r="CJ95" s="4">
        <f>DATE(YEAR(CI95)+2,MONTH(CI95),DAY(CI95))</f>
        <v>46625</v>
      </c>
      <c r="CK95" s="8">
        <f t="shared" ca="1" si="274"/>
        <v>491</v>
      </c>
      <c r="CL95" s="5" t="str">
        <f t="shared" ca="1" si="275"/>
        <v>VIGENTE</v>
      </c>
      <c r="CM95" s="4"/>
      <c r="CN95" s="4">
        <v>45979</v>
      </c>
      <c r="CO95" s="4">
        <f>DATE(YEAR(CN95)+2,MONTH(CN95),DAY(CN95))</f>
        <v>46709</v>
      </c>
      <c r="CP95" s="8">
        <f t="shared" ca="1" si="276"/>
        <v>575</v>
      </c>
      <c r="CQ95" s="5" t="str">
        <f t="shared" ca="1" si="277"/>
        <v>VIGENTE</v>
      </c>
      <c r="CR95" s="2"/>
      <c r="CS95" s="4">
        <v>45939</v>
      </c>
      <c r="CT95" s="4">
        <f>DATE(YEAR(CS95)+2,MONTH(CS95),DAY(CS95))</f>
        <v>46669</v>
      </c>
      <c r="CU95" s="8">
        <f t="shared" ca="1" si="278"/>
        <v>535</v>
      </c>
      <c r="CV95" s="5" t="str">
        <f t="shared" ca="1" si="279"/>
        <v>VIGENTE</v>
      </c>
      <c r="CW95" s="3"/>
      <c r="CX95" s="4">
        <v>46000</v>
      </c>
      <c r="CY95" s="4">
        <f>DATE(YEAR(CX95)+2,MONTH(CX95),DAY(CX95))</f>
        <v>46730</v>
      </c>
      <c r="CZ95" s="8">
        <f t="shared" ca="1" si="280"/>
        <v>596</v>
      </c>
      <c r="DA95" s="5" t="str">
        <f t="shared" ca="1" si="281"/>
        <v>VIGENTE</v>
      </c>
      <c r="DB95" s="3"/>
      <c r="DC95" s="4">
        <v>45836</v>
      </c>
      <c r="DD95" s="4">
        <f>DATE(YEAR(DC95)+2,MONTH(DC95),DAY(DC95))</f>
        <v>46566</v>
      </c>
      <c r="DE95" s="8">
        <f t="shared" ca="1" si="282"/>
        <v>432</v>
      </c>
      <c r="DF95" s="5" t="str">
        <f t="shared" ca="1" si="283"/>
        <v>VIGENTE</v>
      </c>
      <c r="DG95" s="3"/>
      <c r="DH95" s="4">
        <v>45924</v>
      </c>
      <c r="DI95" s="4">
        <f>DATE(YEAR(DH95)+2,MONTH(DH95),DAY(DH95))</f>
        <v>46654</v>
      </c>
      <c r="DJ95" s="8">
        <f t="shared" ca="1" si="284"/>
        <v>520</v>
      </c>
      <c r="DK95" s="5" t="str">
        <f t="shared" ca="1" si="285"/>
        <v>VIGENTE</v>
      </c>
      <c r="DL95" s="3"/>
      <c r="DM95" s="4">
        <v>45857</v>
      </c>
      <c r="DN95" s="4">
        <f>DATE(YEAR(DM95)+2,MONTH(DM95),DAY(DM95))</f>
        <v>46587</v>
      </c>
      <c r="DO95" s="8">
        <f t="shared" ca="1" si="286"/>
        <v>453</v>
      </c>
      <c r="DP95" s="5" t="str">
        <f t="shared" ca="1" si="287"/>
        <v>VIGENTE</v>
      </c>
      <c r="DQ95" s="4"/>
      <c r="DR95" s="4">
        <v>46018</v>
      </c>
      <c r="DS95" s="4">
        <f>DATE(YEAR(DR95)+2,MONTH(DR95),DAY(DR95))</f>
        <v>46748</v>
      </c>
      <c r="DT95" s="8">
        <f t="shared" ca="1" si="288"/>
        <v>614</v>
      </c>
      <c r="DU95" s="5" t="str">
        <f t="shared" ca="1" si="289"/>
        <v>VIGENTE</v>
      </c>
      <c r="DV95" s="3"/>
      <c r="DW95" s="4">
        <v>46020</v>
      </c>
      <c r="DX95" s="4">
        <f>DATE(YEAR(DW95)+2,MONTH(DW95),DAY(DW95))</f>
        <v>46750</v>
      </c>
      <c r="DY95" s="8">
        <f t="shared" ca="1" si="290"/>
        <v>616</v>
      </c>
      <c r="DZ95" s="5" t="str">
        <f t="shared" ca="1" si="291"/>
        <v>VIGENTE</v>
      </c>
      <c r="EA95" s="3"/>
      <c r="EB95" s="4">
        <v>45829</v>
      </c>
      <c r="EC95" s="4">
        <f>DATE(YEAR(EB95)+2,MONTH(EB95),DAY(EB95))</f>
        <v>46559</v>
      </c>
      <c r="ED95" s="8">
        <f t="shared" ca="1" si="292"/>
        <v>425</v>
      </c>
      <c r="EE95" s="5" t="str">
        <f t="shared" ca="1" si="293"/>
        <v>VIGENTE</v>
      </c>
      <c r="EF95" s="4"/>
      <c r="EG95" s="4">
        <v>45808</v>
      </c>
      <c r="EH95" s="4">
        <f t="shared" si="364"/>
        <v>46173</v>
      </c>
      <c r="EI95" s="8">
        <f t="shared" ca="1" si="294"/>
        <v>39</v>
      </c>
      <c r="EJ95" s="5" t="str">
        <f t="shared" ca="1" si="295"/>
        <v>POR VENCER</v>
      </c>
      <c r="EK95" s="3"/>
      <c r="EL95" s="4">
        <v>45983</v>
      </c>
      <c r="EM95" s="4">
        <f>DATE(YEAR(EL95)+2,MONTH(EL95),DAY(EL95))</f>
        <v>46713</v>
      </c>
      <c r="EN95" s="8">
        <f t="shared" ca="1" si="296"/>
        <v>579</v>
      </c>
      <c r="EO95" s="5" t="str">
        <f t="shared" ca="1" si="297"/>
        <v>VIGENTE</v>
      </c>
      <c r="EP95" s="2"/>
      <c r="EQ95" s="4">
        <v>45999</v>
      </c>
      <c r="ER95" s="4">
        <f>DATE(YEAR(EQ95)+2,MONTH(EQ95),DAY(EQ95))</f>
        <v>46729</v>
      </c>
      <c r="ES95" s="8">
        <f t="shared" ca="1" si="298"/>
        <v>595</v>
      </c>
      <c r="ET95" s="5" t="str">
        <f t="shared" ca="1" si="299"/>
        <v>VIGENTE</v>
      </c>
      <c r="EU95" s="3"/>
      <c r="EV95" s="4">
        <v>45973</v>
      </c>
      <c r="EW95" s="4">
        <f>DATE(YEAR(EV95)+2,MONTH(EV95),DAY(EV95))</f>
        <v>46703</v>
      </c>
      <c r="EX95" s="8">
        <f t="shared" ca="1" si="300"/>
        <v>569</v>
      </c>
      <c r="EY95" s="5" t="str">
        <f t="shared" ca="1" si="301"/>
        <v>VIGENTE</v>
      </c>
      <c r="EZ95" s="3"/>
      <c r="FA95" s="4">
        <v>45922</v>
      </c>
      <c r="FB95" s="4">
        <f t="shared" si="406"/>
        <v>46652</v>
      </c>
      <c r="FC95" s="8">
        <f t="shared" ca="1" si="302"/>
        <v>518</v>
      </c>
      <c r="FD95" s="5" t="str">
        <f t="shared" ca="1" si="303"/>
        <v>VIGENTE</v>
      </c>
      <c r="FE95" s="2"/>
      <c r="FF95" s="4">
        <v>46009</v>
      </c>
      <c r="FG95" s="4">
        <f t="shared" si="407"/>
        <v>46739</v>
      </c>
      <c r="FH95" s="8">
        <f t="shared" ca="1" si="304"/>
        <v>605</v>
      </c>
      <c r="FI95" s="5" t="str">
        <f t="shared" ca="1" si="305"/>
        <v>VIGENTE</v>
      </c>
      <c r="FJ95" s="3"/>
      <c r="FK95" s="4">
        <v>45850</v>
      </c>
      <c r="FL95" s="4">
        <f>DATE(YEAR(FK95)+2,MONTH(FK95),DAY(FK95))</f>
        <v>46580</v>
      </c>
      <c r="FM95" s="8">
        <f t="shared" ca="1" si="306"/>
        <v>446</v>
      </c>
      <c r="FN95" s="5" t="str">
        <f t="shared" ca="1" si="307"/>
        <v>VIGENTE</v>
      </c>
      <c r="FO95" s="3"/>
      <c r="FP95" s="4">
        <v>45957</v>
      </c>
      <c r="FQ95" s="4">
        <f>DATE(YEAR(FP95)+2,MONTH(FP95),DAY(FP95))</f>
        <v>46687</v>
      </c>
      <c r="FR95" s="8">
        <f t="shared" ca="1" si="308"/>
        <v>553</v>
      </c>
      <c r="FS95" s="5" t="str">
        <f t="shared" ca="1" si="309"/>
        <v>VIGENTE</v>
      </c>
      <c r="FT95" s="3"/>
      <c r="FU95" s="4">
        <v>46014</v>
      </c>
      <c r="FV95" s="4">
        <f>DATE(YEAR(FU95)+2,MONTH(FU95),DAY(FU95))</f>
        <v>46744</v>
      </c>
      <c r="FW95" s="8">
        <f t="shared" ca="1" si="310"/>
        <v>610</v>
      </c>
      <c r="FX95" s="5" t="str">
        <f t="shared" ca="1" si="311"/>
        <v>VIGENTE</v>
      </c>
      <c r="FY95" s="3"/>
      <c r="FZ95" s="4">
        <v>46030</v>
      </c>
      <c r="GA95" s="4">
        <f>DATE(YEAR(FZ95)+2,MONTH(FZ95),DAY(FZ95))</f>
        <v>46760</v>
      </c>
      <c r="GB95" s="8">
        <f t="shared" ca="1" si="312"/>
        <v>626</v>
      </c>
      <c r="GC95" s="5" t="str">
        <f t="shared" ca="1" si="313"/>
        <v>VIGENTE</v>
      </c>
      <c r="GD95" s="3"/>
      <c r="GE95" s="4">
        <v>45912</v>
      </c>
      <c r="GF95" s="4">
        <f>DATE(YEAR(GE95)+2,MONTH(GE95),DAY(GE95))</f>
        <v>46642</v>
      </c>
      <c r="GG95" s="8">
        <f t="shared" ca="1" si="314"/>
        <v>508</v>
      </c>
      <c r="GH95" s="5" t="str">
        <f t="shared" ca="1" si="315"/>
        <v>VIGENTE</v>
      </c>
      <c r="GI95" s="3"/>
      <c r="GJ95" s="4">
        <v>45923</v>
      </c>
      <c r="GK95" s="4">
        <f>DATE(YEAR(GJ95)+2,MONTH(GJ95),DAY(GJ95))</f>
        <v>46653</v>
      </c>
      <c r="GL95" s="8">
        <f t="shared" ca="1" si="316"/>
        <v>519</v>
      </c>
      <c r="GM95" s="5" t="str">
        <f t="shared" ca="1" si="317"/>
        <v>VIGENTE</v>
      </c>
      <c r="GN95" s="4"/>
      <c r="GO95" s="4">
        <v>45299</v>
      </c>
      <c r="GP95" s="4">
        <f t="shared" si="318"/>
        <v>47126</v>
      </c>
      <c r="GQ95" s="8">
        <f t="shared" ca="1" si="394"/>
        <v>992</v>
      </c>
      <c r="GR95" s="5" t="str">
        <f t="shared" ca="1" si="388"/>
        <v>VIGENTE</v>
      </c>
      <c r="GS95" s="3"/>
      <c r="GT95" s="4">
        <v>45195</v>
      </c>
      <c r="GU95" s="4">
        <f t="shared" si="320"/>
        <v>47022</v>
      </c>
      <c r="GV95" s="8">
        <f t="shared" ca="1" si="321"/>
        <v>888</v>
      </c>
      <c r="GW95" s="5" t="str">
        <f t="shared" ca="1" si="389"/>
        <v>VIGENTE</v>
      </c>
      <c r="GX95" s="2"/>
      <c r="GY95" s="4">
        <v>45251</v>
      </c>
      <c r="GZ95" s="4">
        <f t="shared" si="323"/>
        <v>47078</v>
      </c>
      <c r="HA95" s="8">
        <f t="shared" ca="1" si="324"/>
        <v>944</v>
      </c>
      <c r="HB95" s="5" t="str">
        <f t="shared" ca="1" si="390"/>
        <v>VIGENTE</v>
      </c>
      <c r="HC95" s="6"/>
      <c r="HD95" s="4">
        <v>45227</v>
      </c>
      <c r="HE95" s="4">
        <f>DATE(YEAR(HD95)+5,MONTH(HD95),DAY(HD95))</f>
        <v>47054</v>
      </c>
      <c r="HF95" s="8">
        <f ca="1">HE95-TODAY()</f>
        <v>920</v>
      </c>
      <c r="HG95" s="5" t="str">
        <f t="shared" ca="1" si="399"/>
        <v>VIGENTE</v>
      </c>
      <c r="HH95" s="2"/>
      <c r="HI95" s="6"/>
      <c r="HJ95" s="4"/>
      <c r="HK95" s="8"/>
      <c r="HL95" s="5" t="str">
        <f t="shared" si="395"/>
        <v>NO APLICA</v>
      </c>
      <c r="HM95" s="2"/>
      <c r="HN95" s="2"/>
      <c r="HO95" s="4"/>
      <c r="HP95" s="2"/>
      <c r="HQ95" s="5" t="str">
        <f t="shared" si="326"/>
        <v>NO APLICA</v>
      </c>
      <c r="HR95" s="2"/>
      <c r="HS95" s="6"/>
      <c r="HT95" s="4"/>
      <c r="HU95" s="8"/>
      <c r="HV95" s="5" t="str">
        <f t="shared" si="327"/>
        <v>NO APLICA</v>
      </c>
      <c r="HW95" s="2"/>
      <c r="HX95" s="4">
        <v>45395</v>
      </c>
      <c r="HY95" s="4">
        <f>DATE(YEAR(HX95)+5,MONTH(HX95),DAY(HX95))</f>
        <v>47221</v>
      </c>
      <c r="HZ95" s="8">
        <f ca="1">HY95-TODAY()</f>
        <v>1087</v>
      </c>
      <c r="IA95" s="5" t="str">
        <f t="shared" ca="1" si="328"/>
        <v>VIGENTE</v>
      </c>
      <c r="IB95" s="2"/>
      <c r="IC95" s="4">
        <v>45355</v>
      </c>
      <c r="ID95" s="4">
        <f>DATE(YEAR(IC95)+5,MONTH(IC95),DAY(IC95))</f>
        <v>47181</v>
      </c>
      <c r="IE95" s="8">
        <f ca="1">ID95-TODAY()</f>
        <v>1047</v>
      </c>
      <c r="IF95" s="5" t="str">
        <f t="shared" ca="1" si="329"/>
        <v>VIGENTE</v>
      </c>
      <c r="IG95" s="6"/>
      <c r="IH95" s="6"/>
      <c r="II95" s="4"/>
      <c r="IJ95" s="8"/>
      <c r="IK95" s="5" t="str">
        <f t="shared" si="330"/>
        <v>NO APLICA</v>
      </c>
      <c r="IL95" s="2"/>
      <c r="IM95" s="4">
        <v>45304</v>
      </c>
      <c r="IN95" s="4">
        <f>DATE(YEAR(IM95)+5,MONTH(IM95),DAY(IM95))</f>
        <v>47131</v>
      </c>
      <c r="IO95" s="8">
        <f ca="1">IN95-TODAY()</f>
        <v>997</v>
      </c>
      <c r="IP95" s="5" t="str">
        <f t="shared" ca="1" si="331"/>
        <v>VIGENTE</v>
      </c>
      <c r="IQ95" s="2"/>
      <c r="IR95" s="4">
        <v>45288</v>
      </c>
      <c r="IS95" s="4">
        <f>DATE(YEAR(IR95)+5,MONTH(IR95),DAY(IR95))</f>
        <v>47115</v>
      </c>
      <c r="IT95" s="8">
        <f ca="1">IS95-TODAY()</f>
        <v>981</v>
      </c>
      <c r="IU95" s="5" t="str">
        <f t="shared" ca="1" si="332"/>
        <v>VIGENTE</v>
      </c>
      <c r="IV95" s="2"/>
      <c r="IW95" s="6"/>
      <c r="IX95" s="4"/>
      <c r="IY95" s="8"/>
      <c r="IZ95" s="5" t="str">
        <f t="shared" si="333"/>
        <v>NO APLICA</v>
      </c>
      <c r="JA95" s="3"/>
      <c r="JB95" s="3"/>
      <c r="JC95" s="4"/>
      <c r="JD95" s="8"/>
      <c r="JE95" s="5" t="str">
        <f t="shared" si="334"/>
        <v>NO APLICA</v>
      </c>
      <c r="JF95" s="6"/>
      <c r="JG95" s="6"/>
      <c r="JH95" s="6"/>
      <c r="JI95" s="6"/>
      <c r="JJ95" s="5" t="str">
        <f t="shared" si="335"/>
        <v>NO APLICA</v>
      </c>
      <c r="JK95" s="6"/>
      <c r="JL95" s="6"/>
      <c r="JM95" s="6"/>
      <c r="JN95" s="6"/>
      <c r="JO95" s="5" t="str">
        <f t="shared" si="336"/>
        <v>NO APLICA</v>
      </c>
      <c r="JP95" s="6"/>
      <c r="JQ95" s="6"/>
      <c r="JR95" s="6"/>
      <c r="JS95" s="6"/>
      <c r="JT95" s="5" t="str">
        <f t="shared" si="337"/>
        <v>NO APLICA</v>
      </c>
      <c r="JU95" s="5"/>
      <c r="JV95" s="5"/>
      <c r="JW95" s="5"/>
      <c r="JX95" s="5"/>
      <c r="JY95" s="5" t="str">
        <f t="shared" si="338"/>
        <v>NO APLICA</v>
      </c>
      <c r="JZ95" s="5"/>
      <c r="KA95" s="2"/>
      <c r="KB95" s="4"/>
      <c r="KC95" s="8"/>
      <c r="KD95" s="5" t="str">
        <f t="shared" si="339"/>
        <v>NO APLICA</v>
      </c>
      <c r="KE95" s="5"/>
      <c r="KF95" s="2"/>
      <c r="KG95" s="4"/>
      <c r="KH95" s="8"/>
      <c r="KI95" s="5" t="str">
        <f t="shared" si="365"/>
        <v>NO APLICA</v>
      </c>
      <c r="KJ95" s="5"/>
      <c r="KK95" s="2"/>
      <c r="KL95" s="4"/>
      <c r="KM95" s="8"/>
      <c r="KN95" s="5" t="str">
        <f t="shared" si="340"/>
        <v>NO APLICA</v>
      </c>
      <c r="KO95" s="5"/>
      <c r="KP95" s="2"/>
      <c r="KQ95" s="4"/>
      <c r="KR95" s="8"/>
      <c r="KS95" s="5" t="str">
        <f t="shared" si="366"/>
        <v>NO APLICA</v>
      </c>
      <c r="KT95" s="2"/>
      <c r="KU95" s="6"/>
      <c r="KV95" s="4"/>
      <c r="KW95" s="8"/>
      <c r="KX95" s="5" t="str">
        <f t="shared" si="375"/>
        <v>NO APLICA</v>
      </c>
      <c r="KY95" s="5"/>
      <c r="KZ95" s="6"/>
      <c r="LA95" s="4"/>
      <c r="LB95" s="8"/>
      <c r="LC95" s="5" t="str">
        <f t="shared" si="367"/>
        <v>NO APLICA</v>
      </c>
      <c r="LD95" s="6"/>
      <c r="LE95" s="6"/>
      <c r="LF95" s="4"/>
      <c r="LG95" s="8"/>
      <c r="LH95" s="5" t="str">
        <f t="shared" si="341"/>
        <v>NO APLICA</v>
      </c>
      <c r="LI95" s="5"/>
      <c r="LJ95" s="5"/>
      <c r="LK95" s="4"/>
      <c r="LL95" s="8"/>
      <c r="LM95" s="5" t="str">
        <f t="shared" si="376"/>
        <v>NO APLICA</v>
      </c>
      <c r="LN95" s="2"/>
      <c r="LO95" s="6"/>
      <c r="LP95" s="4"/>
      <c r="LQ95" s="8"/>
      <c r="LR95" s="5" t="str">
        <f t="shared" si="368"/>
        <v>NO APLICA</v>
      </c>
      <c r="LS95" s="6"/>
      <c r="LT95" s="6"/>
      <c r="LU95" s="4"/>
      <c r="LV95" s="8"/>
      <c r="LW95" s="5" t="str">
        <f t="shared" si="369"/>
        <v>NO APLICA</v>
      </c>
      <c r="LX95" s="6"/>
      <c r="LY95" s="6"/>
      <c r="LZ95" s="4"/>
      <c r="MA95" s="8"/>
      <c r="MB95" s="5" t="str">
        <f t="shared" si="370"/>
        <v>NO APLICA</v>
      </c>
      <c r="MC95" s="2"/>
      <c r="MD95" s="2"/>
      <c r="ME95" s="4"/>
      <c r="MF95" s="8"/>
      <c r="MG95" s="5" t="str">
        <f t="shared" si="342"/>
        <v>NO APLICA</v>
      </c>
      <c r="MH95" s="2"/>
      <c r="MI95" s="2"/>
      <c r="MJ95" s="4"/>
      <c r="MK95" s="8"/>
      <c r="ML95" s="5" t="str">
        <f t="shared" si="343"/>
        <v>NO APLICA</v>
      </c>
      <c r="MM95" s="5"/>
      <c r="MN95" s="2"/>
      <c r="MO95" s="4"/>
      <c r="MP95" s="8"/>
      <c r="MQ95" s="5" t="str">
        <f t="shared" si="344"/>
        <v>NO APLICA</v>
      </c>
      <c r="MR95" s="5"/>
      <c r="MS95" s="2"/>
      <c r="MT95" s="4"/>
      <c r="MU95" s="2"/>
      <c r="MV95" s="5" t="str">
        <f t="shared" si="345"/>
        <v>NO APLICA</v>
      </c>
      <c r="MW95" s="2"/>
      <c r="MX95" s="6"/>
      <c r="MY95" s="4"/>
      <c r="MZ95" s="8"/>
      <c r="NA95" s="5" t="str">
        <f t="shared" si="346"/>
        <v>NO APLICA</v>
      </c>
      <c r="NB95" s="2"/>
      <c r="NC95" s="6"/>
      <c r="ND95" s="4"/>
      <c r="NE95" s="8"/>
      <c r="NF95" s="5" t="str">
        <f t="shared" si="347"/>
        <v>NO APLICA</v>
      </c>
      <c r="NG95" s="2"/>
      <c r="NH95" s="6"/>
      <c r="NI95" s="4"/>
      <c r="NJ95" s="8"/>
      <c r="NK95" s="5" t="str">
        <f t="shared" si="348"/>
        <v>NO APLICA</v>
      </c>
      <c r="NL95" s="2"/>
      <c r="NM95" s="2"/>
      <c r="NN95" s="4"/>
      <c r="NO95" s="8"/>
      <c r="NP95" s="5" t="str">
        <f t="shared" si="349"/>
        <v>NO APLICA</v>
      </c>
      <c r="NQ95" s="2"/>
      <c r="NR95" s="2"/>
      <c r="NS95" s="4"/>
      <c r="NT95" s="2"/>
      <c r="NU95" s="5" t="str">
        <f t="shared" si="350"/>
        <v>NO APLICA</v>
      </c>
      <c r="NV95" s="6"/>
      <c r="NW95" s="6"/>
      <c r="NX95" s="4"/>
      <c r="NY95" s="8"/>
      <c r="NZ95" s="5" t="str">
        <f t="shared" si="351"/>
        <v>NO APLICA</v>
      </c>
      <c r="OA95" s="6"/>
      <c r="OB95" s="6"/>
      <c r="OC95" s="6"/>
      <c r="OD95" s="6"/>
      <c r="OE95" s="5" t="str">
        <f t="shared" si="352"/>
        <v>NO APLICA</v>
      </c>
      <c r="OF95" s="6"/>
      <c r="OG95" s="6"/>
      <c r="OH95" s="4"/>
      <c r="OI95" s="8"/>
      <c r="OJ95" s="5" t="str">
        <f t="shared" si="353"/>
        <v>NO APLICA</v>
      </c>
      <c r="OK95" s="6"/>
      <c r="OL95" s="6"/>
      <c r="OM95" s="6"/>
      <c r="ON95" s="6"/>
      <c r="OO95" s="5" t="str">
        <f t="shared" si="354"/>
        <v>NO APLICA</v>
      </c>
      <c r="OP95" s="6"/>
      <c r="OQ95" s="6"/>
      <c r="OR95" s="6"/>
      <c r="OS95" s="6"/>
      <c r="OT95" s="5" t="str">
        <f t="shared" si="355"/>
        <v>NO APLICA</v>
      </c>
      <c r="OU95" s="6"/>
      <c r="OV95" s="6"/>
      <c r="OW95" s="6"/>
      <c r="OX95" s="6"/>
      <c r="OY95" s="5" t="str">
        <f t="shared" si="356"/>
        <v>NO APLICA</v>
      </c>
      <c r="OZ95" s="6"/>
      <c r="PA95" s="6"/>
      <c r="PB95" s="6"/>
      <c r="PC95" s="6"/>
      <c r="PD95" s="5" t="str">
        <f t="shared" si="357"/>
        <v>NO APLICA</v>
      </c>
      <c r="PE95" s="6"/>
      <c r="PF95" s="6"/>
      <c r="PG95" s="6"/>
      <c r="PH95" s="6"/>
      <c r="PI95" s="5" t="str">
        <f t="shared" si="358"/>
        <v>NO APLICA</v>
      </c>
      <c r="PJ95" s="5"/>
      <c r="PK95" s="6"/>
      <c r="PL95" s="4"/>
      <c r="PM95" s="8"/>
      <c r="PN95" s="5" t="str">
        <f t="shared" si="359"/>
        <v>NO APLICA</v>
      </c>
      <c r="PO95" s="6"/>
      <c r="PP95" s="6"/>
      <c r="PQ95" s="6"/>
      <c r="PR95" s="6"/>
      <c r="PS95" s="5" t="str">
        <f t="shared" si="360"/>
        <v>NO APLICA</v>
      </c>
      <c r="PT95" s="5"/>
      <c r="PU95" s="6"/>
      <c r="PV95" s="6"/>
      <c r="PW95" s="6"/>
      <c r="PX95" s="5" t="str">
        <f t="shared" si="361"/>
        <v>NO APLICA</v>
      </c>
    </row>
    <row r="96" spans="1:440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340</v>
      </c>
      <c r="V96" s="4">
        <v>45500</v>
      </c>
      <c r="W96" s="4">
        <f t="shared" si="248"/>
        <v>47326</v>
      </c>
      <c r="X96" s="8">
        <f t="shared" ca="1" si="249"/>
        <v>1192</v>
      </c>
      <c r="Y96" s="5" t="str">
        <f t="shared" ca="1" si="250"/>
        <v>VIGENTE</v>
      </c>
      <c r="Z96" s="2" t="s">
        <v>341</v>
      </c>
      <c r="AA96" s="4">
        <v>44988</v>
      </c>
      <c r="AB96" s="4">
        <f>DATE(YEAR(AA96)+5,MONTH(AA96),DAY(AA96))</f>
        <v>46815</v>
      </c>
      <c r="AC96" s="8">
        <f ca="1">AB96-TODAY()</f>
        <v>681</v>
      </c>
      <c r="AD96" s="5" t="str">
        <f t="shared" ca="1" si="409"/>
        <v>VIGENTE</v>
      </c>
      <c r="AE96" s="3"/>
      <c r="AF96" s="4">
        <v>45609</v>
      </c>
      <c r="AG96" s="4">
        <f>DATE(YEAR(AF96)+2,MONTH(AF96),DAY(AF96)-1)</f>
        <v>46338</v>
      </c>
      <c r="AH96" s="8">
        <f t="shared" ca="1" si="252"/>
        <v>204</v>
      </c>
      <c r="AI96" s="5" t="str">
        <f t="shared" ca="1" si="224"/>
        <v>VIGENTE</v>
      </c>
      <c r="AJ96" s="3"/>
      <c r="AK96" s="4">
        <v>45959</v>
      </c>
      <c r="AL96" s="4">
        <f t="shared" si="400"/>
        <v>46689</v>
      </c>
      <c r="AM96" s="8">
        <f t="shared" ca="1" si="253"/>
        <v>555</v>
      </c>
      <c r="AN96" s="5" t="str">
        <f t="shared" ca="1" si="254"/>
        <v>VIGENTE</v>
      </c>
      <c r="AO96" s="3"/>
      <c r="AP96" s="4">
        <v>45703</v>
      </c>
      <c r="AQ96" s="4">
        <f>DATE(YEAR(AP96)+2,MONTH(AP96),DAY(AP96)-1)</f>
        <v>46432</v>
      </c>
      <c r="AR96" s="8">
        <f t="shared" ca="1" si="255"/>
        <v>298</v>
      </c>
      <c r="AS96" s="5" t="str">
        <f t="shared" ca="1" si="256"/>
        <v>VIGENTE</v>
      </c>
      <c r="AT96" s="3"/>
      <c r="AU96" s="4">
        <v>45720</v>
      </c>
      <c r="AV96" s="4">
        <f>DATE(YEAR(AU96)+2,MONTH(AU96),DAY(AU96)-1)</f>
        <v>46449</v>
      </c>
      <c r="AW96" s="8">
        <f t="shared" ca="1" si="257"/>
        <v>315</v>
      </c>
      <c r="AX96" s="5" t="str">
        <f t="shared" ca="1" si="258"/>
        <v>VIGENTE</v>
      </c>
      <c r="AY96" s="3"/>
      <c r="AZ96" s="4">
        <v>45717</v>
      </c>
      <c r="BA96" s="4">
        <f>DATE(YEAR(AZ96)+2,MONTH(AZ96),DAY(AZ96)-1)</f>
        <v>46446</v>
      </c>
      <c r="BB96" s="8">
        <f t="shared" ca="1" si="259"/>
        <v>312</v>
      </c>
      <c r="BC96" s="5" t="str">
        <f t="shared" ca="1" si="260"/>
        <v>VIGENTE</v>
      </c>
      <c r="BD96" s="3"/>
      <c r="BE96" s="4">
        <v>45968</v>
      </c>
      <c r="BF96" s="4">
        <f t="shared" si="408"/>
        <v>46698</v>
      </c>
      <c r="BG96" s="8">
        <f t="shared" ca="1" si="261"/>
        <v>564</v>
      </c>
      <c r="BH96" s="5" t="str">
        <f t="shared" ca="1" si="262"/>
        <v>VIGENTE</v>
      </c>
      <c r="BI96" s="3"/>
      <c r="BJ96" s="4">
        <v>46035</v>
      </c>
      <c r="BK96" s="4">
        <f>DATE(YEAR(BJ96)+2,MONTH(BJ96),DAY(BJ96))</f>
        <v>46765</v>
      </c>
      <c r="BL96" s="8">
        <f t="shared" ca="1" si="263"/>
        <v>631</v>
      </c>
      <c r="BM96" s="5" t="str">
        <f t="shared" ca="1" si="264"/>
        <v>VIGENTE</v>
      </c>
      <c r="BN96" s="3"/>
      <c r="BO96" s="4">
        <v>45701</v>
      </c>
      <c r="BP96" s="4">
        <f>DATE(YEAR(BO96)+2,MONTH(BO96),DAY(BO96)-1)</f>
        <v>46430</v>
      </c>
      <c r="BQ96" s="8">
        <f t="shared" ca="1" si="265"/>
        <v>296</v>
      </c>
      <c r="BR96" s="5" t="str">
        <f t="shared" ca="1" si="266"/>
        <v>VIGENTE</v>
      </c>
      <c r="BS96" s="3"/>
      <c r="BT96" s="4">
        <v>45736</v>
      </c>
      <c r="BU96" s="4">
        <f>DATE(YEAR(BT96)+2,MONTH(BT96),DAY(BT96)-1)</f>
        <v>46465</v>
      </c>
      <c r="BV96" s="8">
        <f t="shared" ca="1" si="267"/>
        <v>331</v>
      </c>
      <c r="BW96" s="5" t="str">
        <f t="shared" ca="1" si="268"/>
        <v>VIGENTE</v>
      </c>
      <c r="BX96" s="3"/>
      <c r="BY96" s="4">
        <v>45954</v>
      </c>
      <c r="BZ96" s="4">
        <f t="shared" si="403"/>
        <v>46684</v>
      </c>
      <c r="CA96" s="8">
        <f t="shared" ca="1" si="269"/>
        <v>550</v>
      </c>
      <c r="CB96" s="5" t="str">
        <f t="shared" ca="1" si="270"/>
        <v>VIGENTE</v>
      </c>
      <c r="CC96" s="6" t="s">
        <v>73</v>
      </c>
      <c r="CD96" s="4">
        <v>45301</v>
      </c>
      <c r="CE96" s="4">
        <f t="shared" si="397"/>
        <v>46762</v>
      </c>
      <c r="CF96" s="8">
        <f t="shared" ca="1" si="398"/>
        <v>628</v>
      </c>
      <c r="CG96" s="5" t="str">
        <f t="shared" ca="1" si="273"/>
        <v>VIGENTE</v>
      </c>
      <c r="CH96" s="4"/>
      <c r="CI96" s="4">
        <v>45929</v>
      </c>
      <c r="CJ96" s="4">
        <f>DATE(YEAR(CI96)+2,MONTH(CI96),DAY(CI96))</f>
        <v>46659</v>
      </c>
      <c r="CK96" s="8">
        <f t="shared" ca="1" si="274"/>
        <v>525</v>
      </c>
      <c r="CL96" s="5" t="str">
        <f t="shared" ca="1" si="275"/>
        <v>VIGENTE</v>
      </c>
      <c r="CM96" s="3"/>
      <c r="CN96" s="4">
        <v>45684</v>
      </c>
      <c r="CO96" s="4">
        <f>DATE(YEAR(CN96)+2,MONTH(CN96),DAY(CN96)-1)</f>
        <v>46413</v>
      </c>
      <c r="CP96" s="8">
        <f t="shared" ca="1" si="276"/>
        <v>279</v>
      </c>
      <c r="CQ96" s="5" t="str">
        <f t="shared" ca="1" si="277"/>
        <v>VIGENTE</v>
      </c>
      <c r="CR96" s="3"/>
      <c r="CS96" s="4">
        <v>45645</v>
      </c>
      <c r="CT96" s="4">
        <f>DATE(YEAR(CS96)+2,MONTH(CS96),DAY(CS96)-1)</f>
        <v>46374</v>
      </c>
      <c r="CU96" s="8">
        <f t="shared" ca="1" si="278"/>
        <v>240</v>
      </c>
      <c r="CV96" s="5" t="str">
        <f t="shared" ca="1" si="279"/>
        <v>VIGENTE</v>
      </c>
      <c r="CW96" s="3"/>
      <c r="CX96" s="4">
        <v>45661</v>
      </c>
      <c r="CY96" s="4">
        <f>DATE(YEAR(CX96)+2,MONTH(CX96),DAY(CX96)-1)</f>
        <v>46390</v>
      </c>
      <c r="CZ96" s="8">
        <f t="shared" ca="1" si="280"/>
        <v>256</v>
      </c>
      <c r="DA96" s="5" t="str">
        <f t="shared" ca="1" si="281"/>
        <v>VIGENTE</v>
      </c>
      <c r="DB96" s="3"/>
      <c r="DC96" s="4">
        <v>45549</v>
      </c>
      <c r="DD96" s="4">
        <f>DATE(YEAR(DC96)+2,MONTH(DC96),DAY(DC96)-1)</f>
        <v>46278</v>
      </c>
      <c r="DE96" s="8">
        <f t="shared" ca="1" si="282"/>
        <v>144</v>
      </c>
      <c r="DF96" s="5" t="str">
        <f t="shared" ca="1" si="283"/>
        <v>VIGENTE</v>
      </c>
      <c r="DG96" s="3"/>
      <c r="DH96" s="4">
        <v>45734</v>
      </c>
      <c r="DI96" s="4">
        <f>DATE(YEAR(DH96)+2,MONTH(DH96),DAY(DH96)-1)</f>
        <v>46463</v>
      </c>
      <c r="DJ96" s="8">
        <f t="shared" ca="1" si="284"/>
        <v>329</v>
      </c>
      <c r="DK96" s="5" t="str">
        <f t="shared" ca="1" si="285"/>
        <v>VIGENTE</v>
      </c>
      <c r="DL96" s="3"/>
      <c r="DM96" s="4">
        <v>45731</v>
      </c>
      <c r="DN96" s="4">
        <f>DATE(YEAR(DM96)+2,MONTH(DM96),DAY(DM96)-1)</f>
        <v>46460</v>
      </c>
      <c r="DO96" s="8">
        <f t="shared" ca="1" si="286"/>
        <v>326</v>
      </c>
      <c r="DP96" s="5" t="str">
        <f t="shared" ca="1" si="287"/>
        <v>VIGENTE</v>
      </c>
      <c r="DQ96" s="3"/>
      <c r="DR96" s="4">
        <v>45685</v>
      </c>
      <c r="DS96" s="4">
        <f>DATE(YEAR(DR96)+2,MONTH(DR96),DAY(DR96)-1)</f>
        <v>46414</v>
      </c>
      <c r="DT96" s="8">
        <f t="shared" ca="1" si="288"/>
        <v>280</v>
      </c>
      <c r="DU96" s="5" t="str">
        <f t="shared" ca="1" si="289"/>
        <v>VIGENTE</v>
      </c>
      <c r="DV96" s="3"/>
      <c r="DW96" s="4">
        <v>45751</v>
      </c>
      <c r="DX96" s="4">
        <f>DATE(YEAR(DW96)+2,MONTH(DW96),DAY(DW96)-1)</f>
        <v>46480</v>
      </c>
      <c r="DY96" s="8">
        <f t="shared" ca="1" si="290"/>
        <v>346</v>
      </c>
      <c r="DZ96" s="5" t="str">
        <f t="shared" ca="1" si="291"/>
        <v>VIGENTE</v>
      </c>
      <c r="EA96" s="3"/>
      <c r="EB96" s="4">
        <v>45583</v>
      </c>
      <c r="EC96" s="4">
        <f>DATE(YEAR(EB96)+2,MONTH(EB96),DAY(EB96)-1)</f>
        <v>46312</v>
      </c>
      <c r="ED96" s="8">
        <f t="shared" ca="1" si="292"/>
        <v>178</v>
      </c>
      <c r="EE96" s="5" t="str">
        <f t="shared" ca="1" si="293"/>
        <v>VIGENTE</v>
      </c>
      <c r="EF96" s="3"/>
      <c r="EG96" s="4">
        <v>45808</v>
      </c>
      <c r="EH96" s="4">
        <f t="shared" si="364"/>
        <v>46173</v>
      </c>
      <c r="EI96" s="8">
        <f t="shared" ca="1" si="294"/>
        <v>39</v>
      </c>
      <c r="EJ96" s="5" t="str">
        <f t="shared" ca="1" si="295"/>
        <v>POR VENCER</v>
      </c>
      <c r="EK96" s="3"/>
      <c r="EL96" s="4">
        <v>45660</v>
      </c>
      <c r="EM96" s="4">
        <f>DATE(YEAR(EL96)+2,MONTH(EL96),DAY(EL96)-1)</f>
        <v>46389</v>
      </c>
      <c r="EN96" s="8">
        <f t="shared" ca="1" si="296"/>
        <v>255</v>
      </c>
      <c r="EO96" s="5" t="str">
        <f t="shared" ca="1" si="297"/>
        <v>VIGENTE</v>
      </c>
      <c r="EP96" s="2"/>
      <c r="EQ96" s="4">
        <v>45755</v>
      </c>
      <c r="ER96" s="4">
        <f>DATE(YEAR(EQ96)+2,MONTH(EQ96),DAY(EQ96)-1)</f>
        <v>46484</v>
      </c>
      <c r="ES96" s="8">
        <f t="shared" ca="1" si="298"/>
        <v>350</v>
      </c>
      <c r="ET96" s="5" t="str">
        <f t="shared" ca="1" si="299"/>
        <v>VIGENTE</v>
      </c>
      <c r="EU96" s="3"/>
      <c r="EV96" s="4">
        <v>45953</v>
      </c>
      <c r="EW96" s="4">
        <f>DATE(YEAR(EV96)+2,MONTH(EV96),DAY(EV96))</f>
        <v>46683</v>
      </c>
      <c r="EX96" s="8">
        <f t="shared" ca="1" si="300"/>
        <v>549</v>
      </c>
      <c r="EY96" s="5" t="str">
        <f t="shared" ca="1" si="301"/>
        <v>VIGENTE</v>
      </c>
      <c r="EZ96" s="3"/>
      <c r="FA96" s="4">
        <v>45931</v>
      </c>
      <c r="FB96" s="4">
        <f t="shared" si="406"/>
        <v>46661</v>
      </c>
      <c r="FC96" s="8">
        <f t="shared" ca="1" si="302"/>
        <v>527</v>
      </c>
      <c r="FD96" s="5" t="str">
        <f t="shared" ca="1" si="303"/>
        <v>VIGENTE</v>
      </c>
      <c r="FE96" s="3"/>
      <c r="FF96" s="4">
        <v>45932</v>
      </c>
      <c r="FG96" s="4">
        <f t="shared" si="407"/>
        <v>46662</v>
      </c>
      <c r="FH96" s="8">
        <f t="shared" ca="1" si="304"/>
        <v>528</v>
      </c>
      <c r="FI96" s="5" t="str">
        <f t="shared" ca="1" si="305"/>
        <v>VIGENTE</v>
      </c>
      <c r="FJ96" s="3"/>
      <c r="FK96" s="4">
        <v>45670</v>
      </c>
      <c r="FL96" s="4">
        <f>DATE(YEAR(FK96)+2,MONTH(FK96),DAY(FK96)-1)</f>
        <v>46399</v>
      </c>
      <c r="FM96" s="8">
        <f t="shared" ca="1" si="306"/>
        <v>265</v>
      </c>
      <c r="FN96" s="5" t="str">
        <f t="shared" ca="1" si="307"/>
        <v>VIGENTE</v>
      </c>
      <c r="FO96" s="3"/>
      <c r="FP96" s="4">
        <v>45678</v>
      </c>
      <c r="FQ96" s="4">
        <f>DATE(YEAR(FP96)+2,MONTH(FP96),DAY(FP96)-1)</f>
        <v>46407</v>
      </c>
      <c r="FR96" s="8">
        <f t="shared" ca="1" si="308"/>
        <v>273</v>
      </c>
      <c r="FS96" s="5" t="str">
        <f t="shared" ca="1" si="309"/>
        <v>VIGENTE</v>
      </c>
      <c r="FT96" s="3"/>
      <c r="FU96" s="4">
        <v>45941</v>
      </c>
      <c r="FV96" s="4">
        <f>DATE(YEAR(FU96)+2,MONTH(FU96),DAY(FU96))</f>
        <v>46671</v>
      </c>
      <c r="FW96" s="8">
        <f t="shared" ca="1" si="310"/>
        <v>537</v>
      </c>
      <c r="FX96" s="5" t="str">
        <f t="shared" ca="1" si="311"/>
        <v>VIGENTE</v>
      </c>
      <c r="FY96" s="3"/>
      <c r="FZ96" s="4">
        <v>45715</v>
      </c>
      <c r="GA96" s="4">
        <f>DATE(YEAR(FZ96)+2,MONTH(FZ96),DAY(FZ96)-1)</f>
        <v>46444</v>
      </c>
      <c r="GB96" s="8">
        <f t="shared" ca="1" si="312"/>
        <v>310</v>
      </c>
      <c r="GC96" s="5" t="str">
        <f t="shared" ca="1" si="313"/>
        <v>VIGENTE</v>
      </c>
      <c r="GD96" s="3"/>
      <c r="GE96" s="4">
        <v>45672</v>
      </c>
      <c r="GF96" s="4">
        <f>DATE(YEAR(GE96)+2,MONTH(GE96),DAY(GE96)-1)</f>
        <v>46401</v>
      </c>
      <c r="GG96" s="8">
        <f t="shared" ca="1" si="314"/>
        <v>267</v>
      </c>
      <c r="GH96" s="5" t="str">
        <f t="shared" ca="1" si="315"/>
        <v>VIGENTE</v>
      </c>
      <c r="GI96" s="3"/>
      <c r="GJ96" s="4">
        <v>45687</v>
      </c>
      <c r="GK96" s="4">
        <f>DATE(YEAR(GJ96)+2,MONTH(GJ96),DAY(GJ96)-1)</f>
        <v>46416</v>
      </c>
      <c r="GL96" s="8">
        <f t="shared" ca="1" si="316"/>
        <v>282</v>
      </c>
      <c r="GM96" s="5" t="str">
        <f t="shared" ca="1" si="317"/>
        <v>VIGENTE</v>
      </c>
      <c r="GN96" s="4"/>
      <c r="GO96" s="4">
        <v>45159</v>
      </c>
      <c r="GP96" s="4">
        <f t="shared" si="318"/>
        <v>46986</v>
      </c>
      <c r="GQ96" s="8">
        <f t="shared" ca="1" si="394"/>
        <v>852</v>
      </c>
      <c r="GR96" s="5" t="str">
        <f t="shared" ca="1" si="388"/>
        <v>VIGENTE</v>
      </c>
      <c r="GS96" s="3"/>
      <c r="GT96" s="4">
        <v>44979</v>
      </c>
      <c r="GU96" s="4">
        <f t="shared" si="320"/>
        <v>46805</v>
      </c>
      <c r="GV96" s="8">
        <f t="shared" ca="1" si="321"/>
        <v>671</v>
      </c>
      <c r="GW96" s="5" t="str">
        <f t="shared" ca="1" si="389"/>
        <v>VIGENTE</v>
      </c>
      <c r="GX96" s="3"/>
      <c r="GY96" s="4">
        <v>45160</v>
      </c>
      <c r="GZ96" s="4">
        <f t="shared" si="323"/>
        <v>46987</v>
      </c>
      <c r="HA96" s="8">
        <f t="shared" ca="1" si="324"/>
        <v>853</v>
      </c>
      <c r="HB96" s="5" t="str">
        <f t="shared" ca="1" si="390"/>
        <v>VIGENTE</v>
      </c>
      <c r="HC96" s="6"/>
      <c r="HD96" s="4">
        <v>45196</v>
      </c>
      <c r="HE96" s="4">
        <f>DATE(YEAR(HD96)+5,MONTH(HD96),DAY(HD96))</f>
        <v>47023</v>
      </c>
      <c r="HF96" s="8">
        <f ca="1">HE96-TODAY()</f>
        <v>889</v>
      </c>
      <c r="HG96" s="5" t="str">
        <f t="shared" ca="1" si="399"/>
        <v>VIGENTE</v>
      </c>
      <c r="HH96" s="2"/>
      <c r="HI96" s="6"/>
      <c r="HJ96" s="4"/>
      <c r="HK96" s="8"/>
      <c r="HL96" s="5" t="str">
        <f t="shared" si="395"/>
        <v>NO APLICA</v>
      </c>
      <c r="HM96" s="2"/>
      <c r="HN96" s="2"/>
      <c r="HO96" s="4"/>
      <c r="HP96" s="2"/>
      <c r="HQ96" s="5" t="str">
        <f t="shared" si="326"/>
        <v>NO APLICA</v>
      </c>
      <c r="HR96" s="3"/>
      <c r="HS96" s="4">
        <v>45260</v>
      </c>
      <c r="HT96" s="4">
        <f>DATE(YEAR(HS96)+5,MONTH(HS96),DAY(HS96))</f>
        <v>47087</v>
      </c>
      <c r="HU96" s="8">
        <f ca="1">HT96-TODAY()</f>
        <v>953</v>
      </c>
      <c r="HV96" s="5" t="str">
        <f t="shared" ca="1" si="327"/>
        <v>VIGENTE</v>
      </c>
      <c r="HW96" s="3"/>
      <c r="HX96" s="4">
        <v>45205</v>
      </c>
      <c r="HY96" s="4">
        <f>DATE(YEAR(HX96)+5,MONTH(HX96),DAY(HX96))</f>
        <v>47032</v>
      </c>
      <c r="HZ96" s="8">
        <f ca="1">HY96-TODAY()</f>
        <v>898</v>
      </c>
      <c r="IA96" s="5" t="str">
        <f t="shared" ca="1" si="328"/>
        <v>VIGENTE</v>
      </c>
      <c r="IB96" s="3"/>
      <c r="IC96" s="4">
        <v>45154</v>
      </c>
      <c r="ID96" s="4">
        <f>DATE(YEAR(IC96)+5,MONTH(IC96),DAY(IC96))</f>
        <v>46981</v>
      </c>
      <c r="IE96" s="8">
        <f ca="1">ID96-TODAY()</f>
        <v>847</v>
      </c>
      <c r="IF96" s="5" t="str">
        <f t="shared" ca="1" si="329"/>
        <v>VIGENTE</v>
      </c>
      <c r="IG96" s="4"/>
      <c r="IH96" s="4">
        <v>45246</v>
      </c>
      <c r="II96" s="4">
        <f>DATE(YEAR(IH96)+5,MONTH(IH96),DAY(IH96))</f>
        <v>47073</v>
      </c>
      <c r="IJ96" s="8">
        <f ca="1">II96-TODAY()</f>
        <v>939</v>
      </c>
      <c r="IK96" s="5" t="str">
        <f t="shared" ca="1" si="330"/>
        <v>VIGENTE</v>
      </c>
      <c r="IL96" s="3"/>
      <c r="IM96" s="4">
        <v>45259</v>
      </c>
      <c r="IN96" s="4">
        <f>DATE(YEAR(IM96)+5,MONTH(IM96),DAY(IM96))</f>
        <v>47086</v>
      </c>
      <c r="IO96" s="8">
        <f ca="1">IN96-TODAY()</f>
        <v>952</v>
      </c>
      <c r="IP96" s="5" t="str">
        <f t="shared" ca="1" si="331"/>
        <v>VIGENTE</v>
      </c>
      <c r="IQ96" s="3"/>
      <c r="IR96" s="4">
        <v>45191</v>
      </c>
      <c r="IS96" s="4">
        <f>DATE(YEAR(IR96)+5,MONTH(IR96),DAY(IR96))</f>
        <v>47018</v>
      </c>
      <c r="IT96" s="8">
        <f ca="1">IS96-TODAY()</f>
        <v>884</v>
      </c>
      <c r="IU96" s="5" t="str">
        <f t="shared" ca="1" si="332"/>
        <v>VIGENTE</v>
      </c>
      <c r="IV96" s="3"/>
      <c r="IW96" s="4">
        <v>45289</v>
      </c>
      <c r="IX96" s="4">
        <f>DATE(YEAR(IW96)+5,MONTH(IW96),DAY(IW96))</f>
        <v>47116</v>
      </c>
      <c r="IY96" s="8">
        <f ca="1">IX96-TODAY()</f>
        <v>982</v>
      </c>
      <c r="IZ96" s="5" t="str">
        <f t="shared" ca="1" si="333"/>
        <v>VIGENTE</v>
      </c>
      <c r="JA96" s="3"/>
      <c r="JB96" s="3"/>
      <c r="JC96" s="4"/>
      <c r="JD96" s="8"/>
      <c r="JE96" s="5" t="str">
        <f t="shared" si="334"/>
        <v>NO APLICA</v>
      </c>
      <c r="JF96" s="6"/>
      <c r="JG96" s="6"/>
      <c r="JH96" s="6"/>
      <c r="JI96" s="6"/>
      <c r="JJ96" s="5" t="str">
        <f t="shared" si="335"/>
        <v>NO APLICA</v>
      </c>
      <c r="JK96" s="6"/>
      <c r="JL96" s="6"/>
      <c r="JM96" s="6"/>
      <c r="JN96" s="6"/>
      <c r="JO96" s="5" t="str">
        <f t="shared" si="336"/>
        <v>NO APLICA</v>
      </c>
      <c r="JP96" s="6"/>
      <c r="JQ96" s="6"/>
      <c r="JR96" s="6"/>
      <c r="JS96" s="6"/>
      <c r="JT96" s="5" t="str">
        <f t="shared" si="337"/>
        <v>NO APLICA</v>
      </c>
      <c r="JU96" s="5"/>
      <c r="JV96" s="5"/>
      <c r="JW96" s="5"/>
      <c r="JX96" s="5"/>
      <c r="JY96" s="5" t="str">
        <f t="shared" si="338"/>
        <v>NO APLICA</v>
      </c>
      <c r="JZ96" s="5"/>
      <c r="KA96" s="2"/>
      <c r="KB96" s="4"/>
      <c r="KC96" s="8"/>
      <c r="KD96" s="5" t="str">
        <f t="shared" si="339"/>
        <v>NO APLICA</v>
      </c>
      <c r="KE96" s="5"/>
      <c r="KF96" s="2"/>
      <c r="KG96" s="4"/>
      <c r="KH96" s="8"/>
      <c r="KI96" s="5" t="str">
        <f t="shared" si="365"/>
        <v>NO APLICA</v>
      </c>
      <c r="KJ96" s="5"/>
      <c r="KK96" s="2"/>
      <c r="KL96" s="4"/>
      <c r="KM96" s="8"/>
      <c r="KN96" s="5" t="str">
        <f t="shared" si="340"/>
        <v>NO APLICA</v>
      </c>
      <c r="KO96" s="5"/>
      <c r="KP96" s="2"/>
      <c r="KQ96" s="4"/>
      <c r="KR96" s="8"/>
      <c r="KS96" s="5" t="str">
        <f t="shared" si="366"/>
        <v>NO APLICA</v>
      </c>
      <c r="KT96" s="2"/>
      <c r="KU96" s="6"/>
      <c r="KV96" s="4"/>
      <c r="KW96" s="8"/>
      <c r="KX96" s="5" t="str">
        <f t="shared" si="375"/>
        <v>NO APLICA</v>
      </c>
      <c r="KY96" s="5"/>
      <c r="KZ96" s="4">
        <v>44603</v>
      </c>
      <c r="LA96" s="4">
        <f>DATE(YEAR(KZ96)+5,MONTH(KZ96),DAY(KZ96))</f>
        <v>46429</v>
      </c>
      <c r="LB96" s="8">
        <f ca="1">LA96-TODAY()</f>
        <v>295</v>
      </c>
      <c r="LC96" s="5" t="str">
        <f t="shared" ca="1" si="367"/>
        <v>VIGENTE</v>
      </c>
      <c r="LD96" s="6"/>
      <c r="LE96" s="6"/>
      <c r="LF96" s="4"/>
      <c r="LG96" s="8"/>
      <c r="LH96" s="5" t="str">
        <f t="shared" si="341"/>
        <v>NO APLICA</v>
      </c>
      <c r="LI96" s="5"/>
      <c r="LJ96" s="5"/>
      <c r="LK96" s="4"/>
      <c r="LL96" s="8"/>
      <c r="LM96" s="5" t="str">
        <f t="shared" si="376"/>
        <v>NO APLICA</v>
      </c>
      <c r="LN96" s="2"/>
      <c r="LO96" s="6"/>
      <c r="LP96" s="4"/>
      <c r="LQ96" s="8"/>
      <c r="LR96" s="5" t="str">
        <f t="shared" si="368"/>
        <v>NO APLICA</v>
      </c>
      <c r="LS96" s="6"/>
      <c r="LT96" s="6"/>
      <c r="LU96" s="4"/>
      <c r="LV96" s="8"/>
      <c r="LW96" s="5" t="str">
        <f t="shared" si="369"/>
        <v>NO APLICA</v>
      </c>
      <c r="LX96" s="6"/>
      <c r="LY96" s="6"/>
      <c r="LZ96" s="4"/>
      <c r="MA96" s="8"/>
      <c r="MB96" s="5" t="str">
        <f t="shared" si="370"/>
        <v>NO APLICA</v>
      </c>
      <c r="MC96" s="2"/>
      <c r="MD96" s="2"/>
      <c r="ME96" s="4"/>
      <c r="MF96" s="8"/>
      <c r="MG96" s="5" t="str">
        <f t="shared" si="342"/>
        <v>NO APLICA</v>
      </c>
      <c r="MH96" s="2"/>
      <c r="MI96" s="2"/>
      <c r="MJ96" s="4"/>
      <c r="MK96" s="8"/>
      <c r="ML96" s="5" t="str">
        <f t="shared" si="343"/>
        <v>NO APLICA</v>
      </c>
      <c r="MM96" s="5"/>
      <c r="MN96" s="2"/>
      <c r="MO96" s="4"/>
      <c r="MP96" s="8"/>
      <c r="MQ96" s="5" t="str">
        <f t="shared" si="344"/>
        <v>NO APLICA</v>
      </c>
      <c r="MR96" s="5"/>
      <c r="MS96" s="2"/>
      <c r="MT96" s="4"/>
      <c r="MU96" s="2"/>
      <c r="MV96" s="5" t="str">
        <f t="shared" si="345"/>
        <v>NO APLICA</v>
      </c>
      <c r="MW96" s="2"/>
      <c r="MX96" s="6"/>
      <c r="MY96" s="4"/>
      <c r="MZ96" s="8"/>
      <c r="NA96" s="5" t="str">
        <f t="shared" si="346"/>
        <v>NO APLICA</v>
      </c>
      <c r="NB96" s="2"/>
      <c r="NC96" s="6"/>
      <c r="ND96" s="4"/>
      <c r="NE96" s="8"/>
      <c r="NF96" s="5" t="str">
        <f t="shared" si="347"/>
        <v>NO APLICA</v>
      </c>
      <c r="NG96" s="2"/>
      <c r="NH96" s="6"/>
      <c r="NI96" s="4"/>
      <c r="NJ96" s="8"/>
      <c r="NK96" s="5" t="str">
        <f t="shared" si="348"/>
        <v>NO APLICA</v>
      </c>
      <c r="NL96" s="2"/>
      <c r="NM96" s="2"/>
      <c r="NN96" s="4"/>
      <c r="NO96" s="8"/>
      <c r="NP96" s="5" t="str">
        <f t="shared" si="349"/>
        <v>NO APLICA</v>
      </c>
      <c r="NQ96" s="2"/>
      <c r="NR96" s="2"/>
      <c r="NS96" s="4"/>
      <c r="NT96" s="2"/>
      <c r="NU96" s="5" t="str">
        <f t="shared" si="350"/>
        <v>NO APLICA</v>
      </c>
      <c r="NV96" s="6"/>
      <c r="NW96" s="6"/>
      <c r="NX96" s="4"/>
      <c r="NY96" s="8"/>
      <c r="NZ96" s="5" t="str">
        <f t="shared" si="351"/>
        <v>NO APLICA</v>
      </c>
      <c r="OA96" s="6"/>
      <c r="OB96" s="6"/>
      <c r="OC96" s="6"/>
      <c r="OD96" s="6"/>
      <c r="OE96" s="5" t="str">
        <f t="shared" si="352"/>
        <v>NO APLICA</v>
      </c>
      <c r="OF96" s="2"/>
      <c r="OG96" s="2"/>
      <c r="OH96" s="4"/>
      <c r="OI96" s="8"/>
      <c r="OJ96" s="5" t="str">
        <f t="shared" si="353"/>
        <v>NO APLICA</v>
      </c>
      <c r="OK96" s="6"/>
      <c r="OL96" s="6"/>
      <c r="OM96" s="6"/>
      <c r="ON96" s="6"/>
      <c r="OO96" s="5" t="str">
        <f t="shared" si="354"/>
        <v>NO APLICA</v>
      </c>
      <c r="OP96" s="6"/>
      <c r="OQ96" s="6"/>
      <c r="OR96" s="6"/>
      <c r="OS96" s="6"/>
      <c r="OT96" s="5" t="str">
        <f t="shared" si="355"/>
        <v>NO APLICA</v>
      </c>
      <c r="OU96" s="6"/>
      <c r="OV96" s="6"/>
      <c r="OW96" s="6"/>
      <c r="OX96" s="6"/>
      <c r="OY96" s="5" t="str">
        <f t="shared" si="356"/>
        <v>NO APLICA</v>
      </c>
      <c r="OZ96" s="6"/>
      <c r="PA96" s="6"/>
      <c r="PB96" s="6"/>
      <c r="PC96" s="6"/>
      <c r="PD96" s="5" t="str">
        <f t="shared" si="357"/>
        <v>NO APLICA</v>
      </c>
      <c r="PE96" s="6"/>
      <c r="PF96" s="6"/>
      <c r="PG96" s="6"/>
      <c r="PH96" s="6"/>
      <c r="PI96" s="5" t="str">
        <f t="shared" si="358"/>
        <v>NO APLICA</v>
      </c>
      <c r="PJ96" s="5"/>
      <c r="PK96" s="6"/>
      <c r="PL96" s="4"/>
      <c r="PM96" s="8"/>
      <c r="PN96" s="5" t="str">
        <f t="shared" si="359"/>
        <v>NO APLICA</v>
      </c>
      <c r="PO96" s="6"/>
      <c r="PP96" s="6"/>
      <c r="PQ96" s="6"/>
      <c r="PR96" s="6"/>
      <c r="PS96" s="5" t="str">
        <f t="shared" si="360"/>
        <v>NO APLICA</v>
      </c>
      <c r="PT96" s="5"/>
      <c r="PU96" s="6"/>
      <c r="PV96" s="6"/>
      <c r="PW96" s="6"/>
      <c r="PX96" s="5" t="str">
        <f t="shared" si="361"/>
        <v>NO APLICA</v>
      </c>
    </row>
    <row r="97" spans="1:440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343</v>
      </c>
      <c r="V97" s="4">
        <v>45391</v>
      </c>
      <c r="W97" s="4">
        <f t="shared" si="248"/>
        <v>47217</v>
      </c>
      <c r="X97" s="8">
        <f t="shared" ca="1" si="249"/>
        <v>1083</v>
      </c>
      <c r="Y97" s="5" t="str">
        <f t="shared" ca="1" si="250"/>
        <v>VIGENTE</v>
      </c>
      <c r="Z97" s="2" t="s">
        <v>344</v>
      </c>
      <c r="AA97" s="4">
        <v>45233</v>
      </c>
      <c r="AB97" s="4">
        <f>DATE(YEAR(AA97)+5,MONTH(AA97),DAY(AA97))</f>
        <v>47060</v>
      </c>
      <c r="AC97" s="8">
        <f ca="1">AB97-TODAY()</f>
        <v>926</v>
      </c>
      <c r="AD97" s="5" t="str">
        <f t="shared" ca="1" si="409"/>
        <v>VIGENTE</v>
      </c>
      <c r="AE97" s="3"/>
      <c r="AF97" s="4">
        <v>45902</v>
      </c>
      <c r="AG97" s="4">
        <f>DATE(YEAR(AF97)+2,MONTH(AF97),DAY(AF97))</f>
        <v>46632</v>
      </c>
      <c r="AH97" s="8">
        <f t="shared" ca="1" si="252"/>
        <v>498</v>
      </c>
      <c r="AI97" s="5" t="str">
        <f t="shared" ca="1" si="224"/>
        <v>VIGENTE</v>
      </c>
      <c r="AJ97" s="3"/>
      <c r="AK97" s="4">
        <v>45903</v>
      </c>
      <c r="AL97" s="4">
        <f t="shared" si="400"/>
        <v>46633</v>
      </c>
      <c r="AM97" s="8">
        <f t="shared" ca="1" si="253"/>
        <v>499</v>
      </c>
      <c r="AN97" s="5" t="str">
        <f t="shared" ca="1" si="254"/>
        <v>VIGENTE</v>
      </c>
      <c r="AO97" s="3"/>
      <c r="AP97" s="4">
        <v>45904</v>
      </c>
      <c r="AQ97" s="4">
        <f>DATE(YEAR(AP97)+2,MONTH(AP97),DAY(AP97))</f>
        <v>46634</v>
      </c>
      <c r="AR97" s="8">
        <f t="shared" ca="1" si="255"/>
        <v>500</v>
      </c>
      <c r="AS97" s="5" t="str">
        <f t="shared" ca="1" si="256"/>
        <v>VIGENTE</v>
      </c>
      <c r="AT97" s="2"/>
      <c r="AU97" s="4">
        <v>45952</v>
      </c>
      <c r="AV97" s="4">
        <f>DATE(YEAR(AU97)+2,MONTH(AU97),DAY(AU97))</f>
        <v>46682</v>
      </c>
      <c r="AW97" s="8">
        <f t="shared" ca="1" si="257"/>
        <v>548</v>
      </c>
      <c r="AX97" s="5" t="str">
        <f t="shared" ca="1" si="258"/>
        <v>VIGENTE</v>
      </c>
      <c r="AY97" s="3"/>
      <c r="AZ97" s="4">
        <v>45943</v>
      </c>
      <c r="BA97" s="4">
        <f>DATE(YEAR(AZ97)+2,MONTH(AZ97),DAY(AZ97))</f>
        <v>46673</v>
      </c>
      <c r="BB97" s="8">
        <f t="shared" ca="1" si="259"/>
        <v>539</v>
      </c>
      <c r="BC97" s="5" t="str">
        <f t="shared" ca="1" si="260"/>
        <v>VIGENTE</v>
      </c>
      <c r="BD97" s="2"/>
      <c r="BE97" s="4">
        <v>45997</v>
      </c>
      <c r="BF97" s="4">
        <f t="shared" si="408"/>
        <v>46727</v>
      </c>
      <c r="BG97" s="8">
        <f t="shared" ca="1" si="261"/>
        <v>593</v>
      </c>
      <c r="BH97" s="5" t="str">
        <f t="shared" ca="1" si="262"/>
        <v>VIGENTE</v>
      </c>
      <c r="BI97" s="3"/>
      <c r="BJ97" s="4">
        <v>45976</v>
      </c>
      <c r="BK97" s="4">
        <f>DATE(YEAR(BJ97)+2,MONTH(BJ97),DAY(BJ97))</f>
        <v>46706</v>
      </c>
      <c r="BL97" s="8">
        <f t="shared" ca="1" si="263"/>
        <v>572</v>
      </c>
      <c r="BM97" s="5" t="str">
        <f t="shared" ca="1" si="264"/>
        <v>VIGENTE</v>
      </c>
      <c r="BN97" s="4"/>
      <c r="BO97" s="4">
        <v>45981</v>
      </c>
      <c r="BP97" s="4">
        <f>DATE(YEAR(BO97)+2,MONTH(BO97),DAY(BO97))</f>
        <v>46711</v>
      </c>
      <c r="BQ97" s="8">
        <f t="shared" ca="1" si="265"/>
        <v>577</v>
      </c>
      <c r="BR97" s="5" t="str">
        <f t="shared" ca="1" si="266"/>
        <v>VIGENTE</v>
      </c>
      <c r="BS97" s="3"/>
      <c r="BT97" s="4">
        <v>45871</v>
      </c>
      <c r="BU97" s="4">
        <f>DATE(YEAR(BT97)+2,MONTH(BT97),DAY(BT97))</f>
        <v>46601</v>
      </c>
      <c r="BV97" s="8">
        <f t="shared" ca="1" si="267"/>
        <v>467</v>
      </c>
      <c r="BW97" s="5" t="str">
        <f t="shared" ca="1" si="268"/>
        <v>VIGENTE</v>
      </c>
      <c r="BX97" s="3"/>
      <c r="BY97" s="4">
        <v>46011</v>
      </c>
      <c r="BZ97" s="4">
        <f t="shared" si="403"/>
        <v>46741</v>
      </c>
      <c r="CA97" s="8">
        <f t="shared" ca="1" si="269"/>
        <v>607</v>
      </c>
      <c r="CB97" s="5" t="str">
        <f t="shared" ca="1" si="270"/>
        <v>VIGENTE</v>
      </c>
      <c r="CC97" s="6" t="s">
        <v>345</v>
      </c>
      <c r="CD97" s="4">
        <v>45266</v>
      </c>
      <c r="CE97" s="4">
        <f t="shared" si="397"/>
        <v>46727</v>
      </c>
      <c r="CF97" s="8">
        <f t="shared" ca="1" si="398"/>
        <v>593</v>
      </c>
      <c r="CG97" s="5" t="str">
        <f t="shared" ca="1" si="273"/>
        <v>VIGENTE</v>
      </c>
      <c r="CH97" s="4"/>
      <c r="CI97" s="4">
        <v>46018</v>
      </c>
      <c r="CJ97" s="4">
        <f>DATE(YEAR(CI97)+2,MONTH(CI97),DAY(CI97))</f>
        <v>46748</v>
      </c>
      <c r="CK97" s="8">
        <f t="shared" ca="1" si="274"/>
        <v>614</v>
      </c>
      <c r="CL97" s="5" t="str">
        <f t="shared" ca="1" si="275"/>
        <v>VIGENTE</v>
      </c>
      <c r="CM97" s="4"/>
      <c r="CN97" s="4">
        <v>45979</v>
      </c>
      <c r="CO97" s="4">
        <f>DATE(YEAR(CN97)+2,MONTH(CN97),DAY(CN97))</f>
        <v>46709</v>
      </c>
      <c r="CP97" s="8">
        <f t="shared" ca="1" si="276"/>
        <v>575</v>
      </c>
      <c r="CQ97" s="5" t="str">
        <f t="shared" ca="1" si="277"/>
        <v>VIGENTE</v>
      </c>
      <c r="CR97" s="3"/>
      <c r="CS97" s="4">
        <v>45965</v>
      </c>
      <c r="CT97" s="4">
        <f>DATE(YEAR(CS97)+2,MONTH(CS97),DAY(CS97))</f>
        <v>46695</v>
      </c>
      <c r="CU97" s="8">
        <f t="shared" ca="1" si="278"/>
        <v>561</v>
      </c>
      <c r="CV97" s="5" t="str">
        <f t="shared" ca="1" si="279"/>
        <v>VIGENTE</v>
      </c>
      <c r="CW97" s="3"/>
      <c r="CX97" s="4">
        <v>45878</v>
      </c>
      <c r="CY97" s="4">
        <f>DATE(YEAR(CX97)+2,MONTH(CX97),DAY(CX97))</f>
        <v>46608</v>
      </c>
      <c r="CZ97" s="8">
        <f t="shared" ca="1" si="280"/>
        <v>474</v>
      </c>
      <c r="DA97" s="5" t="str">
        <f t="shared" ca="1" si="281"/>
        <v>VIGENTE</v>
      </c>
      <c r="DB97" s="4"/>
      <c r="DC97" s="4">
        <v>46045</v>
      </c>
      <c r="DD97" s="4">
        <f>DATE(YEAR(DC97)+2,MONTH(DC97),DAY(DC97))</f>
        <v>46775</v>
      </c>
      <c r="DE97" s="8">
        <f t="shared" ca="1" si="282"/>
        <v>641</v>
      </c>
      <c r="DF97" s="5" t="str">
        <f t="shared" ca="1" si="283"/>
        <v>VIGENTE</v>
      </c>
      <c r="DG97" s="3"/>
      <c r="DH97" s="4">
        <v>45924</v>
      </c>
      <c r="DI97" s="4">
        <f>DATE(YEAR(DH97)+2,MONTH(DH97),DAY(DH97))</f>
        <v>46654</v>
      </c>
      <c r="DJ97" s="8">
        <f t="shared" ca="1" si="284"/>
        <v>520</v>
      </c>
      <c r="DK97" s="5" t="str">
        <f t="shared" ca="1" si="285"/>
        <v>VIGENTE</v>
      </c>
      <c r="DL97" s="3"/>
      <c r="DM97" s="4">
        <v>45982</v>
      </c>
      <c r="DN97" s="4">
        <f>DATE(YEAR(DM97)+2,MONTH(DM97),DAY(DM97))</f>
        <v>46712</v>
      </c>
      <c r="DO97" s="8">
        <f t="shared" ca="1" si="286"/>
        <v>578</v>
      </c>
      <c r="DP97" s="5" t="str">
        <f t="shared" ca="1" si="287"/>
        <v>VIGENTE</v>
      </c>
      <c r="DQ97" s="3"/>
      <c r="DR97" s="4">
        <v>45918</v>
      </c>
      <c r="DS97" s="4">
        <f>DATE(YEAR(DR97)+2,MONTH(DR97),DAY(DR97))</f>
        <v>46648</v>
      </c>
      <c r="DT97" s="8">
        <f t="shared" ca="1" si="288"/>
        <v>514</v>
      </c>
      <c r="DU97" s="5" t="str">
        <f t="shared" ca="1" si="289"/>
        <v>VIGENTE</v>
      </c>
      <c r="DV97" s="3"/>
      <c r="DW97" s="4">
        <v>46099</v>
      </c>
      <c r="DX97" s="4">
        <f>DATE(YEAR(DW97)+2,MONTH(DW97),DAY(DW97))</f>
        <v>46830</v>
      </c>
      <c r="DY97" s="8">
        <f t="shared" ca="1" si="290"/>
        <v>696</v>
      </c>
      <c r="DZ97" s="5" t="str">
        <f t="shared" ca="1" si="291"/>
        <v>VIGENTE</v>
      </c>
      <c r="EA97" s="4"/>
      <c r="EB97" s="4">
        <v>45994</v>
      </c>
      <c r="EC97" s="4">
        <f>DATE(YEAR(EB97)+2,MONTH(EB97),DAY(EB97))</f>
        <v>46724</v>
      </c>
      <c r="ED97" s="8">
        <f t="shared" ca="1" si="292"/>
        <v>590</v>
      </c>
      <c r="EE97" s="5" t="str">
        <f t="shared" ca="1" si="293"/>
        <v>VIGENTE</v>
      </c>
      <c r="EF97" s="3"/>
      <c r="EG97" s="4">
        <v>45948</v>
      </c>
      <c r="EH97" s="4">
        <f t="shared" si="364"/>
        <v>46313</v>
      </c>
      <c r="EI97" s="8">
        <f t="shared" ca="1" si="294"/>
        <v>179</v>
      </c>
      <c r="EJ97" s="5" t="str">
        <f t="shared" ca="1" si="295"/>
        <v>VIGENTE</v>
      </c>
      <c r="EK97" s="3"/>
      <c r="EL97" s="4">
        <v>45983</v>
      </c>
      <c r="EM97" s="4">
        <f>DATE(YEAR(EL97)+2,MONTH(EL97),DAY(EL97))</f>
        <v>46713</v>
      </c>
      <c r="EN97" s="8">
        <f t="shared" ca="1" si="296"/>
        <v>579</v>
      </c>
      <c r="EO97" s="5" t="str">
        <f t="shared" ca="1" si="297"/>
        <v>VIGENTE</v>
      </c>
      <c r="EP97" s="2"/>
      <c r="EQ97" s="4">
        <v>45999</v>
      </c>
      <c r="ER97" s="4">
        <f>DATE(YEAR(EQ97)+2,MONTH(EQ97),DAY(EQ97))</f>
        <v>46729</v>
      </c>
      <c r="ES97" s="8">
        <f t="shared" ca="1" si="298"/>
        <v>595</v>
      </c>
      <c r="ET97" s="5" t="str">
        <f t="shared" ca="1" si="299"/>
        <v>VIGENTE</v>
      </c>
      <c r="EU97" s="3"/>
      <c r="EV97" s="4">
        <v>46037</v>
      </c>
      <c r="EW97" s="4">
        <f>DATE(YEAR(EV97)+2,MONTH(EV97),DAY(EV97))</f>
        <v>46767</v>
      </c>
      <c r="EX97" s="8">
        <f t="shared" ca="1" si="300"/>
        <v>633</v>
      </c>
      <c r="EY97" s="5" t="str">
        <f t="shared" ca="1" si="301"/>
        <v>VIGENTE</v>
      </c>
      <c r="EZ97" s="3"/>
      <c r="FA97" s="4">
        <v>46017</v>
      </c>
      <c r="FB97" s="4">
        <f t="shared" si="406"/>
        <v>46747</v>
      </c>
      <c r="FC97" s="8">
        <f t="shared" ca="1" si="302"/>
        <v>613</v>
      </c>
      <c r="FD97" s="5" t="str">
        <f t="shared" ca="1" si="303"/>
        <v>VIGENTE</v>
      </c>
      <c r="FE97" s="3"/>
      <c r="FF97" s="4">
        <v>45969</v>
      </c>
      <c r="FG97" s="4">
        <f t="shared" si="407"/>
        <v>46699</v>
      </c>
      <c r="FH97" s="8">
        <f t="shared" ca="1" si="304"/>
        <v>565</v>
      </c>
      <c r="FI97" s="5" t="str">
        <f t="shared" ca="1" si="305"/>
        <v>VIGENTE</v>
      </c>
      <c r="FJ97" s="3"/>
      <c r="FK97" s="4">
        <v>45920</v>
      </c>
      <c r="FL97" s="4">
        <f>DATE(YEAR(FK97)+2,MONTH(FK97),DAY(FK97))</f>
        <v>46650</v>
      </c>
      <c r="FM97" s="8">
        <f t="shared" ca="1" si="306"/>
        <v>516</v>
      </c>
      <c r="FN97" s="5" t="str">
        <f t="shared" ca="1" si="307"/>
        <v>VIGENTE</v>
      </c>
      <c r="FO97" s="3"/>
      <c r="FP97" s="4">
        <v>45957</v>
      </c>
      <c r="FQ97" s="4">
        <f>DATE(YEAR(FP97)+2,MONTH(FP97),DAY(FP97))</f>
        <v>46687</v>
      </c>
      <c r="FR97" s="8">
        <f t="shared" ca="1" si="308"/>
        <v>553</v>
      </c>
      <c r="FS97" s="5" t="str">
        <f t="shared" ca="1" si="309"/>
        <v>VIGENTE</v>
      </c>
      <c r="FT97" s="3"/>
      <c r="FU97" s="4">
        <v>45875</v>
      </c>
      <c r="FV97" s="4">
        <f>DATE(YEAR(FU97)+2,MONTH(FU97),DAY(FU97))</f>
        <v>46605</v>
      </c>
      <c r="FW97" s="8">
        <f t="shared" ca="1" si="310"/>
        <v>471</v>
      </c>
      <c r="FX97" s="5" t="str">
        <f t="shared" ca="1" si="311"/>
        <v>VIGENTE</v>
      </c>
      <c r="FY97" s="3"/>
      <c r="FZ97" s="4">
        <v>45874</v>
      </c>
      <c r="GA97" s="4">
        <f>DATE(YEAR(FZ97)+2,MONTH(FZ97),DAY(FZ97))</f>
        <v>46604</v>
      </c>
      <c r="GB97" s="8">
        <f t="shared" ca="1" si="312"/>
        <v>470</v>
      </c>
      <c r="GC97" s="5" t="str">
        <f t="shared" ca="1" si="313"/>
        <v>VIGENTE</v>
      </c>
      <c r="GD97" s="3"/>
      <c r="GE97" s="4">
        <v>45912</v>
      </c>
      <c r="GF97" s="4">
        <f>DATE(YEAR(GE97)+2,MONTH(GE97),DAY(GE97))</f>
        <v>46642</v>
      </c>
      <c r="GG97" s="8">
        <f t="shared" ca="1" si="314"/>
        <v>508</v>
      </c>
      <c r="GH97" s="5" t="str">
        <f t="shared" ca="1" si="315"/>
        <v>VIGENTE</v>
      </c>
      <c r="GI97" s="3"/>
      <c r="GJ97" s="4">
        <v>46044</v>
      </c>
      <c r="GK97" s="4">
        <f>DATE(YEAR(GJ97)+2,MONTH(GJ97),DAY(GJ97))</f>
        <v>46774</v>
      </c>
      <c r="GL97" s="8">
        <f t="shared" ca="1" si="316"/>
        <v>640</v>
      </c>
      <c r="GM97" s="5" t="str">
        <f t="shared" ca="1" si="317"/>
        <v>VIGENTE</v>
      </c>
      <c r="GN97" s="4"/>
      <c r="GO97" s="4">
        <v>45367</v>
      </c>
      <c r="GP97" s="4">
        <f t="shared" si="318"/>
        <v>47193</v>
      </c>
      <c r="GQ97" s="8">
        <f t="shared" ca="1" si="394"/>
        <v>1059</v>
      </c>
      <c r="GR97" s="5" t="str">
        <f t="shared" ca="1" si="388"/>
        <v>VIGENTE</v>
      </c>
      <c r="GS97" s="3"/>
      <c r="GT97" s="4">
        <v>45329</v>
      </c>
      <c r="GU97" s="4">
        <f t="shared" si="320"/>
        <v>47156</v>
      </c>
      <c r="GV97" s="8">
        <f t="shared" ca="1" si="321"/>
        <v>1022</v>
      </c>
      <c r="GW97" s="5" t="str">
        <f t="shared" ca="1" si="389"/>
        <v>VIGENTE</v>
      </c>
      <c r="GX97" s="2"/>
      <c r="GY97" s="4">
        <v>45479</v>
      </c>
      <c r="GZ97" s="4">
        <f t="shared" si="323"/>
        <v>47305</v>
      </c>
      <c r="HA97" s="8">
        <f t="shared" ca="1" si="324"/>
        <v>1171</v>
      </c>
      <c r="HB97" s="5" t="str">
        <f t="shared" ca="1" si="390"/>
        <v>VIGENTE</v>
      </c>
      <c r="HC97" s="6"/>
      <c r="HD97" s="4">
        <v>45222</v>
      </c>
      <c r="HE97" s="4">
        <f>DATE(YEAR(HD97)+5,MONTH(HD97),DAY(HD97))</f>
        <v>47049</v>
      </c>
      <c r="HF97" s="8">
        <f ca="1">HE97-TODAY()</f>
        <v>915</v>
      </c>
      <c r="HG97" s="5" t="str">
        <f t="shared" ca="1" si="399"/>
        <v>VIGENTE</v>
      </c>
      <c r="HH97" s="2"/>
      <c r="HI97" s="6"/>
      <c r="HJ97" s="4"/>
      <c r="HK97" s="8"/>
      <c r="HL97" s="5" t="str">
        <f t="shared" si="395"/>
        <v>NO APLICA</v>
      </c>
      <c r="HM97" s="2"/>
      <c r="HN97" s="2"/>
      <c r="HO97" s="4"/>
      <c r="HP97" s="2"/>
      <c r="HQ97" s="5" t="str">
        <f t="shared" si="326"/>
        <v>NO APLICA</v>
      </c>
      <c r="HR97" s="2"/>
      <c r="HS97" s="4">
        <v>45300</v>
      </c>
      <c r="HT97" s="4">
        <f>DATE(YEAR(HS97)+5,MONTH(HS97),DAY(HS97))</f>
        <v>47127</v>
      </c>
      <c r="HU97" s="8">
        <f ca="1">HT97-TODAY()</f>
        <v>993</v>
      </c>
      <c r="HV97" s="5" t="str">
        <f t="shared" ca="1" si="327"/>
        <v>VIGENTE</v>
      </c>
      <c r="HW97" s="2"/>
      <c r="HX97" s="6"/>
      <c r="HY97" s="4"/>
      <c r="HZ97" s="8"/>
      <c r="IA97" s="5" t="str">
        <f t="shared" si="328"/>
        <v>NO APLICA</v>
      </c>
      <c r="IB97" s="2"/>
      <c r="IC97" s="6"/>
      <c r="ID97" s="4"/>
      <c r="IE97" s="8"/>
      <c r="IF97" s="5" t="str">
        <f t="shared" si="329"/>
        <v>NO APLICA</v>
      </c>
      <c r="IG97" s="6"/>
      <c r="IH97" s="6"/>
      <c r="II97" s="4"/>
      <c r="IJ97" s="8"/>
      <c r="IK97" s="5" t="str">
        <f t="shared" si="330"/>
        <v>NO APLICA</v>
      </c>
      <c r="IL97" s="2"/>
      <c r="IM97" s="6"/>
      <c r="IN97" s="4"/>
      <c r="IO97" s="8"/>
      <c r="IP97" s="5" t="str">
        <f t="shared" si="331"/>
        <v>NO APLICA</v>
      </c>
      <c r="IQ97" s="2"/>
      <c r="IR97" s="4">
        <v>45350</v>
      </c>
      <c r="IS97" s="4">
        <f>DATE(YEAR(IR97)+5,MONTH(IR97),DAY(IR97))</f>
        <v>47177</v>
      </c>
      <c r="IT97" s="8">
        <f ca="1">IS97-TODAY()</f>
        <v>1043</v>
      </c>
      <c r="IU97" s="5" t="str">
        <f t="shared" ca="1" si="332"/>
        <v>VIGENTE</v>
      </c>
      <c r="IV97" s="2"/>
      <c r="IW97" s="6"/>
      <c r="IX97" s="4"/>
      <c r="IY97" s="8"/>
      <c r="IZ97" s="5" t="str">
        <f t="shared" si="333"/>
        <v>NO APLICA</v>
      </c>
      <c r="JA97" s="3"/>
      <c r="JB97" s="3"/>
      <c r="JC97" s="4"/>
      <c r="JD97" s="8"/>
      <c r="JE97" s="5" t="str">
        <f t="shared" si="334"/>
        <v>NO APLICA</v>
      </c>
      <c r="JF97" s="6"/>
      <c r="JG97" s="6"/>
      <c r="JH97" s="6"/>
      <c r="JI97" s="6"/>
      <c r="JJ97" s="5" t="str">
        <f t="shared" si="335"/>
        <v>NO APLICA</v>
      </c>
      <c r="JK97" s="6"/>
      <c r="JL97" s="6"/>
      <c r="JM97" s="6"/>
      <c r="JN97" s="6"/>
      <c r="JO97" s="5" t="str">
        <f t="shared" si="336"/>
        <v>NO APLICA</v>
      </c>
      <c r="JP97" s="6"/>
      <c r="JQ97" s="6"/>
      <c r="JR97" s="6"/>
      <c r="JS97" s="6"/>
      <c r="JT97" s="5" t="str">
        <f t="shared" si="337"/>
        <v>NO APLICA</v>
      </c>
      <c r="JU97" s="5"/>
      <c r="JV97" s="5"/>
      <c r="JW97" s="5"/>
      <c r="JX97" s="5"/>
      <c r="JY97" s="5" t="str">
        <f t="shared" si="338"/>
        <v>NO APLICA</v>
      </c>
      <c r="JZ97" s="5"/>
      <c r="KA97" s="2"/>
      <c r="KB97" s="4"/>
      <c r="KC97" s="8"/>
      <c r="KD97" s="5" t="str">
        <f t="shared" si="339"/>
        <v>NO APLICA</v>
      </c>
      <c r="KE97" s="5"/>
      <c r="KF97" s="3">
        <v>45328</v>
      </c>
      <c r="KG97" s="4">
        <f>DATE(YEAR(KF97)+5,MONTH(KF97),DAY(KF97)-1)</f>
        <v>47154</v>
      </c>
      <c r="KH97" s="8">
        <f ca="1">KG97-TODAY()</f>
        <v>1020</v>
      </c>
      <c r="KI97" s="5" t="str">
        <f t="shared" ca="1" si="365"/>
        <v>VIGENTE</v>
      </c>
      <c r="KJ97" s="5"/>
      <c r="KK97" s="2"/>
      <c r="KL97" s="4"/>
      <c r="KM97" s="8"/>
      <c r="KN97" s="5" t="str">
        <f t="shared" si="340"/>
        <v>NO APLICA</v>
      </c>
      <c r="KO97" s="5"/>
      <c r="KP97" s="3">
        <v>45346</v>
      </c>
      <c r="KQ97" s="4">
        <f>DATE(YEAR(KP97)+5,MONTH(KP97),DAY(KP97))</f>
        <v>47173</v>
      </c>
      <c r="KR97" s="8">
        <f ca="1">KQ97-TODAY()</f>
        <v>1039</v>
      </c>
      <c r="KS97" s="5" t="str">
        <f t="shared" ca="1" si="366"/>
        <v>VIGENTE</v>
      </c>
      <c r="KT97" s="2"/>
      <c r="KU97" s="6"/>
      <c r="KV97" s="4"/>
      <c r="KW97" s="8"/>
      <c r="KX97" s="5" t="str">
        <f t="shared" si="375"/>
        <v>NO APLICA</v>
      </c>
      <c r="KY97" s="5"/>
      <c r="KZ97" s="6"/>
      <c r="LA97" s="4"/>
      <c r="LB97" s="8"/>
      <c r="LC97" s="5" t="str">
        <f t="shared" si="367"/>
        <v>NO APLICA</v>
      </c>
      <c r="LD97" s="6"/>
      <c r="LE97" s="4"/>
      <c r="LF97" s="4"/>
      <c r="LG97" s="8"/>
      <c r="LH97" s="5" t="str">
        <f t="shared" si="341"/>
        <v>NO APLICA</v>
      </c>
      <c r="LI97" s="5"/>
      <c r="LJ97" s="5"/>
      <c r="LK97" s="5"/>
      <c r="LL97" s="5"/>
      <c r="LM97" s="5" t="str">
        <f t="shared" si="376"/>
        <v>NO APLICA</v>
      </c>
      <c r="LN97" s="2"/>
      <c r="LO97" s="6"/>
      <c r="LP97" s="4"/>
      <c r="LQ97" s="8"/>
      <c r="LR97" s="5" t="str">
        <f t="shared" si="368"/>
        <v>NO APLICA</v>
      </c>
      <c r="LS97" s="6"/>
      <c r="LT97" s="6"/>
      <c r="LU97" s="4"/>
      <c r="LV97" s="8"/>
      <c r="LW97" s="5" t="str">
        <f t="shared" si="369"/>
        <v>NO APLICA</v>
      </c>
      <c r="LX97" s="6"/>
      <c r="LY97" s="6"/>
      <c r="LZ97" s="4"/>
      <c r="MA97" s="8"/>
      <c r="MB97" s="5" t="str">
        <f t="shared" si="370"/>
        <v>NO APLICA</v>
      </c>
      <c r="MC97" s="2"/>
      <c r="MD97" s="2"/>
      <c r="ME97" s="4"/>
      <c r="MF97" s="8"/>
      <c r="MG97" s="5" t="str">
        <f t="shared" si="342"/>
        <v>NO APLICA</v>
      </c>
      <c r="MH97" s="2"/>
      <c r="MI97" s="2"/>
      <c r="MJ97" s="4"/>
      <c r="MK97" s="8"/>
      <c r="ML97" s="5" t="str">
        <f t="shared" si="343"/>
        <v>NO APLICA</v>
      </c>
      <c r="MM97" s="5"/>
      <c r="MN97" s="2"/>
      <c r="MO97" s="4"/>
      <c r="MP97" s="8"/>
      <c r="MQ97" s="5" t="str">
        <f t="shared" si="344"/>
        <v>NO APLICA</v>
      </c>
      <c r="MR97" s="5"/>
      <c r="MS97" s="2"/>
      <c r="MT97" s="2"/>
      <c r="MU97" s="2"/>
      <c r="MV97" s="5" t="str">
        <f t="shared" si="345"/>
        <v>NO APLICA</v>
      </c>
      <c r="MW97" s="2"/>
      <c r="MX97" s="6"/>
      <c r="MY97" s="4"/>
      <c r="MZ97" s="8"/>
      <c r="NA97" s="5" t="str">
        <f t="shared" si="346"/>
        <v>NO APLICA</v>
      </c>
      <c r="NB97" s="2"/>
      <c r="NC97" s="6"/>
      <c r="ND97" s="4"/>
      <c r="NE97" s="8"/>
      <c r="NF97" s="5" t="str">
        <f t="shared" si="347"/>
        <v>NO APLICA</v>
      </c>
      <c r="NG97" s="2"/>
      <c r="NH97" s="6"/>
      <c r="NI97" s="4"/>
      <c r="NJ97" s="8"/>
      <c r="NK97" s="5" t="str">
        <f t="shared" si="348"/>
        <v>NO APLICA</v>
      </c>
      <c r="NL97" s="2"/>
      <c r="NM97" s="2"/>
      <c r="NN97" s="4"/>
      <c r="NO97" s="8"/>
      <c r="NP97" s="5" t="str">
        <f t="shared" si="349"/>
        <v>NO APLICA</v>
      </c>
      <c r="NQ97" s="2"/>
      <c r="NR97" s="2"/>
      <c r="NS97" s="4"/>
      <c r="NT97" s="2"/>
      <c r="NU97" s="5" t="str">
        <f t="shared" si="350"/>
        <v>NO APLICA</v>
      </c>
      <c r="NV97" s="6"/>
      <c r="NW97" s="6"/>
      <c r="NX97" s="4"/>
      <c r="NY97" s="8"/>
      <c r="NZ97" s="5" t="str">
        <f t="shared" si="351"/>
        <v>NO APLICA</v>
      </c>
      <c r="OA97" s="6"/>
      <c r="OB97" s="6"/>
      <c r="OC97" s="6"/>
      <c r="OD97" s="6"/>
      <c r="OE97" s="5" t="str">
        <f t="shared" si="352"/>
        <v>NO APLICA</v>
      </c>
      <c r="OF97" s="6"/>
      <c r="OG97" s="6"/>
      <c r="OH97" s="4"/>
      <c r="OI97" s="8"/>
      <c r="OJ97" s="5" t="str">
        <f t="shared" si="353"/>
        <v>NO APLICA</v>
      </c>
      <c r="OK97" s="6"/>
      <c r="OL97" s="6"/>
      <c r="OM97" s="6"/>
      <c r="ON97" s="6"/>
      <c r="OO97" s="5" t="str">
        <f t="shared" si="354"/>
        <v>NO APLICA</v>
      </c>
      <c r="OP97" s="6"/>
      <c r="OQ97" s="6"/>
      <c r="OR97" s="6"/>
      <c r="OS97" s="6"/>
      <c r="OT97" s="5" t="str">
        <f t="shared" si="355"/>
        <v>NO APLICA</v>
      </c>
      <c r="OU97" s="6"/>
      <c r="OV97" s="6"/>
      <c r="OW97" s="6"/>
      <c r="OX97" s="6"/>
      <c r="OY97" s="5" t="str">
        <f t="shared" si="356"/>
        <v>NO APLICA</v>
      </c>
      <c r="OZ97" s="6"/>
      <c r="PA97" s="6"/>
      <c r="PB97" s="6"/>
      <c r="PC97" s="6"/>
      <c r="PD97" s="5" t="str">
        <f t="shared" si="357"/>
        <v>NO APLICA</v>
      </c>
      <c r="PE97" s="6"/>
      <c r="PF97" s="6"/>
      <c r="PG97" s="6"/>
      <c r="PH97" s="6"/>
      <c r="PI97" s="5" t="str">
        <f t="shared" si="358"/>
        <v>NO APLICA</v>
      </c>
      <c r="PJ97" s="5"/>
      <c r="PK97" s="6"/>
      <c r="PL97" s="4"/>
      <c r="PM97" s="8"/>
      <c r="PN97" s="5" t="str">
        <f t="shared" si="359"/>
        <v>NO APLICA</v>
      </c>
      <c r="PO97" s="6"/>
      <c r="PP97" s="6"/>
      <c r="PQ97" s="6"/>
      <c r="PR97" s="6"/>
      <c r="PS97" s="5" t="str">
        <f t="shared" si="360"/>
        <v>NO APLICA</v>
      </c>
      <c r="PT97" s="5"/>
      <c r="PU97" s="6"/>
      <c r="PV97" s="6"/>
      <c r="PW97" s="6"/>
      <c r="PX97" s="5" t="str">
        <f t="shared" si="361"/>
        <v>NO APLICA</v>
      </c>
    </row>
    <row r="98" spans="1:440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716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347</v>
      </c>
      <c r="V98" s="4">
        <v>45041</v>
      </c>
      <c r="W98" s="4">
        <f t="shared" si="248"/>
        <v>46868</v>
      </c>
      <c r="X98" s="8">
        <f t="shared" ca="1" si="249"/>
        <v>734</v>
      </c>
      <c r="Y98" s="5" t="str">
        <f t="shared" ca="1" si="250"/>
        <v>VIGENTE</v>
      </c>
      <c r="Z98" s="2"/>
      <c r="AA98" s="6"/>
      <c r="AB98" s="4"/>
      <c r="AC98" s="8"/>
      <c r="AD98" s="5" t="str">
        <f t="shared" si="409"/>
        <v>NO APLICA</v>
      </c>
      <c r="AE98" s="3"/>
      <c r="AF98" s="4">
        <v>45721</v>
      </c>
      <c r="AG98" s="4">
        <f>DATE(YEAR(AF98)+2,MONTH(AF98),DAY(AF98)-1)</f>
        <v>46450</v>
      </c>
      <c r="AH98" s="8">
        <f t="shared" ca="1" si="252"/>
        <v>316</v>
      </c>
      <c r="AI98" s="5" t="str">
        <f t="shared" ca="1" si="224"/>
        <v>VIGENTE</v>
      </c>
      <c r="AJ98" s="3"/>
      <c r="AK98" s="4">
        <v>45602</v>
      </c>
      <c r="AL98" s="4">
        <f>DATE(YEAR(AK98)+2,MONTH(AK98),DAY(AK98)-1)</f>
        <v>46331</v>
      </c>
      <c r="AM98" s="8">
        <f t="shared" ca="1" si="253"/>
        <v>197</v>
      </c>
      <c r="AN98" s="5" t="str">
        <f t="shared" ca="1" si="254"/>
        <v>VIGENTE</v>
      </c>
      <c r="AO98" s="3"/>
      <c r="AP98" s="4">
        <v>45703</v>
      </c>
      <c r="AQ98" s="4">
        <f>DATE(YEAR(AP98)+2,MONTH(AP98),DAY(AP98)-1)</f>
        <v>46432</v>
      </c>
      <c r="AR98" s="8">
        <f t="shared" ca="1" si="255"/>
        <v>298</v>
      </c>
      <c r="AS98" s="5" t="str">
        <f t="shared" ca="1" si="256"/>
        <v>VIGENTE</v>
      </c>
      <c r="AT98" s="3"/>
      <c r="AU98" s="4">
        <v>45702</v>
      </c>
      <c r="AV98" s="4">
        <f>DATE(YEAR(AU98)+2,MONTH(AU98),DAY(AU98)-1)</f>
        <v>46431</v>
      </c>
      <c r="AW98" s="8">
        <f t="shared" ca="1" si="257"/>
        <v>297</v>
      </c>
      <c r="AX98" s="5" t="str">
        <f t="shared" ca="1" si="258"/>
        <v>VIGENTE</v>
      </c>
      <c r="AY98" s="3"/>
      <c r="AZ98" s="4">
        <v>45717</v>
      </c>
      <c r="BA98" s="4">
        <f>DATE(YEAR(AZ98)+2,MONTH(AZ98),DAY(AZ98)-1)</f>
        <v>46446</v>
      </c>
      <c r="BB98" s="8">
        <f t="shared" ca="1" si="259"/>
        <v>312</v>
      </c>
      <c r="BC98" s="5" t="str">
        <f t="shared" ca="1" si="260"/>
        <v>VIGENTE</v>
      </c>
      <c r="BD98" s="3"/>
      <c r="BE98" s="4">
        <v>45698</v>
      </c>
      <c r="BF98" s="4">
        <f>DATE(YEAR(BE98)+2,MONTH(BE98),DAY(BE98)-1)</f>
        <v>46427</v>
      </c>
      <c r="BG98" s="8">
        <f t="shared" ca="1" si="261"/>
        <v>293</v>
      </c>
      <c r="BH98" s="5" t="str">
        <f t="shared" ca="1" si="262"/>
        <v>VIGENTE</v>
      </c>
      <c r="BI98" s="3"/>
      <c r="BJ98" s="4">
        <v>45600</v>
      </c>
      <c r="BK98" s="4">
        <f>DATE(YEAR(BJ98)+2,MONTH(BJ98),DAY(BJ98)-1)</f>
        <v>46329</v>
      </c>
      <c r="BL98" s="8">
        <f t="shared" ca="1" si="263"/>
        <v>195</v>
      </c>
      <c r="BM98" s="5" t="str">
        <f t="shared" ca="1" si="264"/>
        <v>VIGENTE</v>
      </c>
      <c r="BN98" s="3"/>
      <c r="BO98" s="4">
        <v>45701</v>
      </c>
      <c r="BP98" s="4">
        <f>DATE(YEAR(BO98)+2,MONTH(BO98),DAY(BO98)-1)</f>
        <v>46430</v>
      </c>
      <c r="BQ98" s="8">
        <f t="shared" ca="1" si="265"/>
        <v>296</v>
      </c>
      <c r="BR98" s="5" t="str">
        <f t="shared" ca="1" si="266"/>
        <v>VIGENTE</v>
      </c>
      <c r="BS98" s="3"/>
      <c r="BT98" s="4">
        <v>45611</v>
      </c>
      <c r="BU98" s="4">
        <f>DATE(YEAR(BT98)+2,MONTH(BT98),DAY(BT98)-1)</f>
        <v>46340</v>
      </c>
      <c r="BV98" s="8">
        <f t="shared" ca="1" si="267"/>
        <v>206</v>
      </c>
      <c r="BW98" s="5" t="str">
        <f t="shared" ca="1" si="268"/>
        <v>VIGENTE</v>
      </c>
      <c r="BX98" s="3"/>
      <c r="BY98" s="4">
        <v>45629</v>
      </c>
      <c r="BZ98" s="4">
        <f>DATE(YEAR(BY98)+2,MONTH(BY98),DAY(BY98)-1)</f>
        <v>46358</v>
      </c>
      <c r="CA98" s="8">
        <f t="shared" ca="1" si="269"/>
        <v>224</v>
      </c>
      <c r="CB98" s="5" t="str">
        <f t="shared" ca="1" si="270"/>
        <v>VIGENTE</v>
      </c>
      <c r="CC98" s="6" t="s">
        <v>68</v>
      </c>
      <c r="CD98" s="4">
        <v>45828</v>
      </c>
      <c r="CE98" s="4">
        <f t="shared" si="397"/>
        <v>47289</v>
      </c>
      <c r="CF98" s="8">
        <f t="shared" ca="1" si="398"/>
        <v>1155</v>
      </c>
      <c r="CG98" s="5" t="str">
        <f t="shared" ca="1" si="273"/>
        <v>VIGENTE</v>
      </c>
      <c r="CH98" s="4"/>
      <c r="CI98" s="4">
        <v>45688</v>
      </c>
      <c r="CJ98" s="4">
        <f>DATE(YEAR(CI98)+2,MONTH(CI98),DAY(CI98)-1)</f>
        <v>46417</v>
      </c>
      <c r="CK98" s="8">
        <f t="shared" ca="1" si="274"/>
        <v>283</v>
      </c>
      <c r="CL98" s="5" t="str">
        <f t="shared" ca="1" si="275"/>
        <v>VIGENTE</v>
      </c>
      <c r="CM98" s="3"/>
      <c r="CN98" s="4">
        <v>45684</v>
      </c>
      <c r="CO98" s="4">
        <f>DATE(YEAR(CN98)+2,MONTH(CN98),DAY(CN98)-1)</f>
        <v>46413</v>
      </c>
      <c r="CP98" s="8">
        <f t="shared" ca="1" si="276"/>
        <v>279</v>
      </c>
      <c r="CQ98" s="5" t="str">
        <f t="shared" ca="1" si="277"/>
        <v>VIGENTE</v>
      </c>
      <c r="CR98" s="3"/>
      <c r="CS98" s="4">
        <v>45624</v>
      </c>
      <c r="CT98" s="4">
        <f>DATE(YEAR(CS98)+2,MONTH(CS98),DAY(CS98)-1)</f>
        <v>46353</v>
      </c>
      <c r="CU98" s="8">
        <f t="shared" ca="1" si="278"/>
        <v>219</v>
      </c>
      <c r="CV98" s="5" t="str">
        <f t="shared" ca="1" si="279"/>
        <v>VIGENTE</v>
      </c>
      <c r="CW98" s="3"/>
      <c r="CX98" s="4">
        <v>45744</v>
      </c>
      <c r="CY98" s="4">
        <f t="shared" ref="CY98:CY103" si="410">DATE(YEAR(CX98)+2,MONTH(CX98),DAY(CX98)-1)</f>
        <v>46473</v>
      </c>
      <c r="CZ98" s="8">
        <f t="shared" ca="1" si="280"/>
        <v>339</v>
      </c>
      <c r="DA98" s="5" t="str">
        <f t="shared" ca="1" si="281"/>
        <v>VIGENTE</v>
      </c>
      <c r="DB98" s="3"/>
      <c r="DC98" s="4">
        <v>45689</v>
      </c>
      <c r="DD98" s="4">
        <f>DATE(YEAR(DC98)+2,MONTH(DC98),DAY(DC98)-1)</f>
        <v>46418</v>
      </c>
      <c r="DE98" s="8">
        <f t="shared" ca="1" si="282"/>
        <v>284</v>
      </c>
      <c r="DF98" s="5" t="str">
        <f t="shared" ca="1" si="283"/>
        <v>VIGENTE</v>
      </c>
      <c r="DG98" s="3"/>
      <c r="DH98" s="4">
        <v>45696</v>
      </c>
      <c r="DI98" s="4">
        <f>DATE(YEAR(DH98)+2,MONTH(DH98),DAY(DH98)-1)</f>
        <v>46425</v>
      </c>
      <c r="DJ98" s="8">
        <f t="shared" ca="1" si="284"/>
        <v>291</v>
      </c>
      <c r="DK98" s="5" t="str">
        <f t="shared" ca="1" si="285"/>
        <v>VIGENTE</v>
      </c>
      <c r="DL98" s="3"/>
      <c r="DM98" s="4">
        <v>45731</v>
      </c>
      <c r="DN98" s="4">
        <f>DATE(YEAR(DM98)+2,MONTH(DM98),DAY(DM98)-1)</f>
        <v>46460</v>
      </c>
      <c r="DO98" s="8">
        <f t="shared" ca="1" si="286"/>
        <v>326</v>
      </c>
      <c r="DP98" s="5" t="str">
        <f t="shared" ca="1" si="287"/>
        <v>VIGENTE</v>
      </c>
      <c r="DQ98" s="3"/>
      <c r="DR98" s="4">
        <v>45707</v>
      </c>
      <c r="DS98" s="4">
        <f>DATE(YEAR(DR98)+2,MONTH(DR98),DAY(DR98)-1)</f>
        <v>46436</v>
      </c>
      <c r="DT98" s="8">
        <f t="shared" ca="1" si="288"/>
        <v>302</v>
      </c>
      <c r="DU98" s="5" t="str">
        <f t="shared" ca="1" si="289"/>
        <v>VIGENTE</v>
      </c>
      <c r="DV98" s="3"/>
      <c r="DW98" s="4">
        <v>45663</v>
      </c>
      <c r="DX98" s="4">
        <f>DATE(YEAR(DW98)+2,MONTH(DW98),DAY(DW98)-1)</f>
        <v>46392</v>
      </c>
      <c r="DY98" s="8">
        <f t="shared" ca="1" si="290"/>
        <v>258</v>
      </c>
      <c r="DZ98" s="5" t="str">
        <f t="shared" ca="1" si="291"/>
        <v>VIGENTE</v>
      </c>
      <c r="EA98" s="3"/>
      <c r="EB98" s="4">
        <v>45674</v>
      </c>
      <c r="EC98" s="4">
        <f>DATE(YEAR(EB98)+2,MONTH(EB98),DAY(EB98)-1)</f>
        <v>46403</v>
      </c>
      <c r="ED98" s="8">
        <f t="shared" ca="1" si="292"/>
        <v>269</v>
      </c>
      <c r="EE98" s="5" t="str">
        <f t="shared" ca="1" si="293"/>
        <v>VIGENTE</v>
      </c>
      <c r="EF98" s="3"/>
      <c r="EG98" s="3">
        <v>46085</v>
      </c>
      <c r="EH98" s="4">
        <f t="shared" si="364"/>
        <v>46450</v>
      </c>
      <c r="EI98" s="8">
        <f t="shared" ca="1" si="294"/>
        <v>316</v>
      </c>
      <c r="EJ98" s="5" t="str">
        <f t="shared" ca="1" si="295"/>
        <v>VIGENTE</v>
      </c>
      <c r="EK98" s="3"/>
      <c r="EL98" s="4">
        <v>45705</v>
      </c>
      <c r="EM98" s="4">
        <f>DATE(YEAR(EL98)+2,MONTH(EL98),DAY(EL98)-1)</f>
        <v>46434</v>
      </c>
      <c r="EN98" s="8">
        <f t="shared" ca="1" si="296"/>
        <v>300</v>
      </c>
      <c r="EO98" s="5" t="str">
        <f t="shared" ca="1" si="297"/>
        <v>VIGENTE</v>
      </c>
      <c r="EP98" s="3"/>
      <c r="EQ98" s="4">
        <v>45677</v>
      </c>
      <c r="ER98" s="4">
        <f>DATE(YEAR(EQ98)+2,MONTH(EQ98),DAY(EQ98)-1)</f>
        <v>46406</v>
      </c>
      <c r="ES98" s="8">
        <f t="shared" ca="1" si="298"/>
        <v>272</v>
      </c>
      <c r="ET98" s="5" t="str">
        <f t="shared" ca="1" si="299"/>
        <v>VIGENTE</v>
      </c>
      <c r="EU98" s="3"/>
      <c r="EV98" s="4">
        <v>45694</v>
      </c>
      <c r="EW98" s="4">
        <f>DATE(YEAR(EV98)+2,MONTH(EV98),DAY(EV98)-1)</f>
        <v>46423</v>
      </c>
      <c r="EX98" s="8">
        <f t="shared" ca="1" si="300"/>
        <v>289</v>
      </c>
      <c r="EY98" s="5" t="str">
        <f t="shared" ca="1" si="301"/>
        <v>VIGENTE</v>
      </c>
      <c r="EZ98" s="3"/>
      <c r="FA98" s="4">
        <v>45666</v>
      </c>
      <c r="FB98" s="4">
        <f>DATE(YEAR(FA98)+2,MONTH(FA98),DAY(FA98)-1)</f>
        <v>46395</v>
      </c>
      <c r="FC98" s="8">
        <f t="shared" ca="1" si="302"/>
        <v>261</v>
      </c>
      <c r="FD98" s="5" t="str">
        <f t="shared" ca="1" si="303"/>
        <v>VIGENTE</v>
      </c>
      <c r="FE98" s="3"/>
      <c r="FF98" s="4">
        <v>45722</v>
      </c>
      <c r="FG98" s="4">
        <f t="shared" si="407"/>
        <v>46452</v>
      </c>
      <c r="FH98" s="8">
        <f t="shared" ca="1" si="304"/>
        <v>318</v>
      </c>
      <c r="FI98" s="5" t="str">
        <f t="shared" ca="1" si="305"/>
        <v>VIGENTE</v>
      </c>
      <c r="FJ98" s="3"/>
      <c r="FK98" s="4">
        <v>45670</v>
      </c>
      <c r="FL98" s="4">
        <f>DATE(YEAR(FK98)+2,MONTH(FK98),DAY(FK98)-1)</f>
        <v>46399</v>
      </c>
      <c r="FM98" s="8">
        <f t="shared" ca="1" si="306"/>
        <v>265</v>
      </c>
      <c r="FN98" s="5" t="str">
        <f t="shared" ca="1" si="307"/>
        <v>VIGENTE</v>
      </c>
      <c r="FO98" s="3"/>
      <c r="FP98" s="4">
        <v>45678</v>
      </c>
      <c r="FQ98" s="4">
        <f>DATE(YEAR(FP98)+2,MONTH(FP98),DAY(FP98)-1)</f>
        <v>46407</v>
      </c>
      <c r="FR98" s="8">
        <f t="shared" ca="1" si="308"/>
        <v>273</v>
      </c>
      <c r="FS98" s="5" t="str">
        <f t="shared" ca="1" si="309"/>
        <v>VIGENTE</v>
      </c>
      <c r="FT98" s="3"/>
      <c r="FU98" s="4">
        <v>45700</v>
      </c>
      <c r="FV98" s="4">
        <f t="shared" ref="FV98:FV103" si="411">DATE(YEAR(FU98)+2,MONTH(FU98),DAY(FU98)-1)</f>
        <v>46429</v>
      </c>
      <c r="FW98" s="8">
        <f t="shared" ca="1" si="310"/>
        <v>295</v>
      </c>
      <c r="FX98" s="5" t="str">
        <f t="shared" ca="1" si="311"/>
        <v>VIGENTE</v>
      </c>
      <c r="FY98" s="3"/>
      <c r="FZ98" s="4">
        <v>45667</v>
      </c>
      <c r="GA98" s="4">
        <f>DATE(YEAR(FZ98)+2,MONTH(FZ98),DAY(FZ98)-1)</f>
        <v>46396</v>
      </c>
      <c r="GB98" s="8">
        <f t="shared" ca="1" si="312"/>
        <v>262</v>
      </c>
      <c r="GC98" s="5" t="str">
        <f t="shared" ca="1" si="313"/>
        <v>VIGENTE</v>
      </c>
      <c r="GD98" s="3"/>
      <c r="GE98" s="4">
        <v>45672</v>
      </c>
      <c r="GF98" s="4">
        <f>DATE(YEAR(GE98)+2,MONTH(GE98),DAY(GE98)-1)</f>
        <v>46401</v>
      </c>
      <c r="GG98" s="8">
        <f t="shared" ca="1" si="314"/>
        <v>267</v>
      </c>
      <c r="GH98" s="5" t="str">
        <f t="shared" ca="1" si="315"/>
        <v>VIGENTE</v>
      </c>
      <c r="GI98" s="3"/>
      <c r="GJ98" s="4">
        <v>45615</v>
      </c>
      <c r="GK98" s="4">
        <f>DATE(YEAR(GJ98)+2,MONTH(GJ98),DAY(GJ98)-1)</f>
        <v>46344</v>
      </c>
      <c r="GL98" s="8">
        <f t="shared" ca="1" si="316"/>
        <v>210</v>
      </c>
      <c r="GM98" s="5" t="str">
        <f t="shared" ca="1" si="317"/>
        <v>VIGENTE</v>
      </c>
      <c r="GN98" s="4"/>
      <c r="GO98" s="4">
        <v>45013</v>
      </c>
      <c r="GP98" s="4">
        <f t="shared" si="318"/>
        <v>46840</v>
      </c>
      <c r="GQ98" s="8">
        <f t="shared" ca="1" si="394"/>
        <v>706</v>
      </c>
      <c r="GR98" s="5" t="str">
        <f t="shared" ca="1" si="388"/>
        <v>VIGENTE</v>
      </c>
      <c r="GS98" s="3"/>
      <c r="GT98" s="4">
        <v>45099</v>
      </c>
      <c r="GU98" s="4">
        <f t="shared" si="320"/>
        <v>46926</v>
      </c>
      <c r="GV98" s="8">
        <f t="shared" ca="1" si="321"/>
        <v>792</v>
      </c>
      <c r="GW98" s="5" t="str">
        <f t="shared" ca="1" si="389"/>
        <v>VIGENTE</v>
      </c>
      <c r="GX98" s="2"/>
      <c r="GY98" s="4">
        <v>45073</v>
      </c>
      <c r="GZ98" s="4">
        <f t="shared" si="323"/>
        <v>46900</v>
      </c>
      <c r="HA98" s="8">
        <f t="shared" ca="1" si="324"/>
        <v>766</v>
      </c>
      <c r="HB98" s="5" t="str">
        <f t="shared" ca="1" si="390"/>
        <v>VIGENTE</v>
      </c>
      <c r="HC98" s="6"/>
      <c r="HD98" s="6"/>
      <c r="HE98" s="4"/>
      <c r="HF98" s="8"/>
      <c r="HG98" s="5" t="str">
        <f t="shared" si="399"/>
        <v>NO APLICA</v>
      </c>
      <c r="HH98" s="2"/>
      <c r="HI98" s="6"/>
      <c r="HJ98" s="4"/>
      <c r="HK98" s="8"/>
      <c r="HL98" s="5" t="str">
        <f t="shared" si="395"/>
        <v>NO APLICA</v>
      </c>
      <c r="HM98" s="2"/>
      <c r="HN98" s="2"/>
      <c r="HO98" s="4"/>
      <c r="HP98" s="2"/>
      <c r="HQ98" s="5" t="str">
        <f t="shared" si="326"/>
        <v>NO APLICA</v>
      </c>
      <c r="HR98" s="2"/>
      <c r="HS98" s="6"/>
      <c r="HT98" s="4"/>
      <c r="HU98" s="8"/>
      <c r="HV98" s="5" t="str">
        <f t="shared" si="327"/>
        <v>NO APLICA</v>
      </c>
      <c r="HW98" s="2"/>
      <c r="HX98" s="6"/>
      <c r="HY98" s="4"/>
      <c r="HZ98" s="8"/>
      <c r="IA98" s="5" t="str">
        <f t="shared" si="328"/>
        <v>NO APLICA</v>
      </c>
      <c r="IB98" s="2"/>
      <c r="IC98" s="6"/>
      <c r="ID98" s="4"/>
      <c r="IE98" s="8"/>
      <c r="IF98" s="5" t="str">
        <f t="shared" si="329"/>
        <v>NO APLICA</v>
      </c>
      <c r="IG98" s="6"/>
      <c r="IH98" s="6"/>
      <c r="II98" s="4"/>
      <c r="IJ98" s="8"/>
      <c r="IK98" s="5" t="str">
        <f t="shared" si="330"/>
        <v>NO APLICA</v>
      </c>
      <c r="IL98" s="2"/>
      <c r="IM98" s="6"/>
      <c r="IN98" s="4"/>
      <c r="IO98" s="8"/>
      <c r="IP98" s="5" t="str">
        <f t="shared" si="331"/>
        <v>NO APLICA</v>
      </c>
      <c r="IQ98" s="2"/>
      <c r="IR98" s="6"/>
      <c r="IS98" s="4"/>
      <c r="IT98" s="8"/>
      <c r="IU98" s="5" t="str">
        <f t="shared" si="332"/>
        <v>NO APLICA</v>
      </c>
      <c r="IV98" s="2"/>
      <c r="IW98" s="6"/>
      <c r="IX98" s="4"/>
      <c r="IY98" s="8"/>
      <c r="IZ98" s="5" t="str">
        <f t="shared" si="333"/>
        <v>NO APLICA</v>
      </c>
      <c r="JA98" s="3"/>
      <c r="JB98" s="3"/>
      <c r="JC98" s="4"/>
      <c r="JD98" s="8"/>
      <c r="JE98" s="5" t="str">
        <f t="shared" si="334"/>
        <v>NO APLICA</v>
      </c>
      <c r="JF98" s="6"/>
      <c r="JG98" s="6"/>
      <c r="JH98" s="6"/>
      <c r="JI98" s="6"/>
      <c r="JJ98" s="5" t="str">
        <f t="shared" si="335"/>
        <v>NO APLICA</v>
      </c>
      <c r="JK98" s="6"/>
      <c r="JL98" s="6"/>
      <c r="JM98" s="6"/>
      <c r="JN98" s="6"/>
      <c r="JO98" s="5" t="str">
        <f t="shared" si="336"/>
        <v>NO APLICA</v>
      </c>
      <c r="JP98" s="6"/>
      <c r="JQ98" s="6"/>
      <c r="JR98" s="6"/>
      <c r="JS98" s="6"/>
      <c r="JT98" s="5" t="str">
        <f t="shared" si="337"/>
        <v>NO APLICA</v>
      </c>
      <c r="JU98" s="5"/>
      <c r="JV98" s="5"/>
      <c r="JW98" s="5"/>
      <c r="JX98" s="5"/>
      <c r="JY98" s="5" t="str">
        <f t="shared" si="338"/>
        <v>NO APLICA</v>
      </c>
      <c r="JZ98" s="5"/>
      <c r="KA98" s="2"/>
      <c r="KB98" s="4"/>
      <c r="KC98" s="8"/>
      <c r="KD98" s="5" t="str">
        <f t="shared" si="339"/>
        <v>NO APLICA</v>
      </c>
      <c r="KE98" s="5"/>
      <c r="KF98" s="2"/>
      <c r="KG98" s="4"/>
      <c r="KH98" s="8"/>
      <c r="KI98" s="5" t="str">
        <f t="shared" si="365"/>
        <v>NO APLICA</v>
      </c>
      <c r="KJ98" s="5"/>
      <c r="KK98" s="2"/>
      <c r="KL98" s="4"/>
      <c r="KM98" s="8"/>
      <c r="KN98" s="5" t="str">
        <f t="shared" si="340"/>
        <v>NO APLICA</v>
      </c>
      <c r="KO98" s="5"/>
      <c r="KP98" s="2"/>
      <c r="KQ98" s="4"/>
      <c r="KR98" s="8"/>
      <c r="KS98" s="5" t="str">
        <f t="shared" si="366"/>
        <v>NO APLICA</v>
      </c>
      <c r="KT98" s="2"/>
      <c r="KU98" s="6"/>
      <c r="KV98" s="4"/>
      <c r="KW98" s="8"/>
      <c r="KX98" s="5" t="str">
        <f t="shared" si="375"/>
        <v>NO APLICA</v>
      </c>
      <c r="KY98" s="5"/>
      <c r="KZ98" s="6"/>
      <c r="LA98" s="4"/>
      <c r="LB98" s="8"/>
      <c r="LC98" s="5" t="str">
        <f t="shared" si="367"/>
        <v>NO APLICA</v>
      </c>
      <c r="LD98" s="6"/>
      <c r="LE98" s="6"/>
      <c r="LF98" s="4"/>
      <c r="LG98" s="8"/>
      <c r="LH98" s="5" t="str">
        <f t="shared" si="341"/>
        <v>NO APLICA</v>
      </c>
      <c r="LI98" s="5"/>
      <c r="LJ98" s="5"/>
      <c r="LK98" s="4"/>
      <c r="LL98" s="8"/>
      <c r="LM98" s="5" t="str">
        <f t="shared" si="376"/>
        <v>NO APLICA</v>
      </c>
      <c r="LN98" s="2"/>
      <c r="LO98" s="6"/>
      <c r="LP98" s="4"/>
      <c r="LQ98" s="8"/>
      <c r="LR98" s="5" t="str">
        <f t="shared" si="368"/>
        <v>NO APLICA</v>
      </c>
      <c r="LS98" s="6"/>
      <c r="LT98" s="6"/>
      <c r="LU98" s="4"/>
      <c r="LV98" s="8"/>
      <c r="LW98" s="5" t="str">
        <f t="shared" si="369"/>
        <v>NO APLICA</v>
      </c>
      <c r="LX98" s="6"/>
      <c r="LY98" s="6"/>
      <c r="LZ98" s="4"/>
      <c r="MA98" s="8"/>
      <c r="MB98" s="5" t="str">
        <f t="shared" si="370"/>
        <v>NO APLICA</v>
      </c>
      <c r="MC98" s="2"/>
      <c r="MD98" s="2"/>
      <c r="ME98" s="4"/>
      <c r="MF98" s="8"/>
      <c r="MG98" s="5" t="str">
        <f t="shared" si="342"/>
        <v>NO APLICA</v>
      </c>
      <c r="MH98" s="2"/>
      <c r="MI98" s="2"/>
      <c r="MJ98" s="4"/>
      <c r="MK98" s="8"/>
      <c r="ML98" s="5" t="str">
        <f t="shared" si="343"/>
        <v>NO APLICA</v>
      </c>
      <c r="MM98" s="5"/>
      <c r="MN98" s="2"/>
      <c r="MO98" s="4"/>
      <c r="MP98" s="8"/>
      <c r="MQ98" s="5" t="str">
        <f t="shared" si="344"/>
        <v>NO APLICA</v>
      </c>
      <c r="MR98" s="5"/>
      <c r="MS98" s="2"/>
      <c r="MT98" s="4"/>
      <c r="MU98" s="2"/>
      <c r="MV98" s="5" t="str">
        <f t="shared" si="345"/>
        <v>NO APLICA</v>
      </c>
      <c r="MW98" s="2"/>
      <c r="MX98" s="6"/>
      <c r="MY98" s="4"/>
      <c r="MZ98" s="8"/>
      <c r="NA98" s="5" t="str">
        <f t="shared" si="346"/>
        <v>NO APLICA</v>
      </c>
      <c r="NB98" s="2"/>
      <c r="NC98" s="6"/>
      <c r="ND98" s="4"/>
      <c r="NE98" s="8"/>
      <c r="NF98" s="5" t="str">
        <f t="shared" si="347"/>
        <v>NO APLICA</v>
      </c>
      <c r="NG98" s="2"/>
      <c r="NH98" s="6"/>
      <c r="NI98" s="4"/>
      <c r="NJ98" s="8"/>
      <c r="NK98" s="5" t="str">
        <f t="shared" si="348"/>
        <v>NO APLICA</v>
      </c>
      <c r="NL98" s="2"/>
      <c r="NM98" s="2"/>
      <c r="NN98" s="4"/>
      <c r="NO98" s="8"/>
      <c r="NP98" s="5" t="str">
        <f t="shared" si="349"/>
        <v>NO APLICA</v>
      </c>
      <c r="NQ98" s="2"/>
      <c r="NR98" s="2"/>
      <c r="NS98" s="4"/>
      <c r="NT98" s="2"/>
      <c r="NU98" s="5" t="str">
        <f t="shared" si="350"/>
        <v>NO APLICA</v>
      </c>
      <c r="NV98" s="6"/>
      <c r="NW98" s="6"/>
      <c r="NX98" s="4"/>
      <c r="NY98" s="8"/>
      <c r="NZ98" s="5" t="str">
        <f t="shared" si="351"/>
        <v>NO APLICA</v>
      </c>
      <c r="OA98" s="6"/>
      <c r="OB98" s="6"/>
      <c r="OC98" s="6"/>
      <c r="OD98" s="6"/>
      <c r="OE98" s="5" t="str">
        <f t="shared" si="352"/>
        <v>NO APLICA</v>
      </c>
      <c r="OF98" s="2"/>
      <c r="OG98" s="2"/>
      <c r="OH98" s="4"/>
      <c r="OI98" s="8"/>
      <c r="OJ98" s="5" t="str">
        <f t="shared" si="353"/>
        <v>NO APLICA</v>
      </c>
      <c r="OK98" s="6"/>
      <c r="OL98" s="6"/>
      <c r="OM98" s="6"/>
      <c r="ON98" s="6"/>
      <c r="OO98" s="5" t="str">
        <f t="shared" si="354"/>
        <v>NO APLICA</v>
      </c>
      <c r="OP98" s="6"/>
      <c r="OQ98" s="6"/>
      <c r="OR98" s="6"/>
      <c r="OS98" s="6"/>
      <c r="OT98" s="5" t="str">
        <f t="shared" si="355"/>
        <v>NO APLICA</v>
      </c>
      <c r="OU98" s="6"/>
      <c r="OV98" s="6"/>
      <c r="OW98" s="6"/>
      <c r="OX98" s="6"/>
      <c r="OY98" s="5" t="str">
        <f t="shared" si="356"/>
        <v>NO APLICA</v>
      </c>
      <c r="OZ98" s="6"/>
      <c r="PA98" s="6"/>
      <c r="PB98" s="6"/>
      <c r="PC98" s="6"/>
      <c r="PD98" s="5" t="str">
        <f t="shared" si="357"/>
        <v>NO APLICA</v>
      </c>
      <c r="PE98" s="6"/>
      <c r="PF98" s="6"/>
      <c r="PG98" s="6"/>
      <c r="PH98" s="6"/>
      <c r="PI98" s="5" t="str">
        <f t="shared" si="358"/>
        <v>NO APLICA</v>
      </c>
      <c r="PJ98" s="5"/>
      <c r="PK98" s="6"/>
      <c r="PL98" s="4"/>
      <c r="PM98" s="8"/>
      <c r="PN98" s="5" t="str">
        <f t="shared" si="359"/>
        <v>NO APLICA</v>
      </c>
      <c r="PO98" s="6"/>
      <c r="PP98" s="6"/>
      <c r="PQ98" s="6"/>
      <c r="PR98" s="6"/>
      <c r="PS98" s="5" t="str">
        <f t="shared" si="360"/>
        <v>NO APLICA</v>
      </c>
      <c r="PT98" s="5"/>
      <c r="PU98" s="6"/>
      <c r="PV98" s="6"/>
      <c r="PW98" s="6"/>
      <c r="PX98" s="5" t="str">
        <f t="shared" si="361"/>
        <v>NO APLICA</v>
      </c>
    </row>
    <row r="99" spans="1:440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349</v>
      </c>
      <c r="V99" s="4">
        <v>45309</v>
      </c>
      <c r="W99" s="4">
        <f t="shared" si="248"/>
        <v>47136</v>
      </c>
      <c r="X99" s="8">
        <f t="shared" ca="1" si="249"/>
        <v>1002</v>
      </c>
      <c r="Y99" s="5" t="str">
        <f t="shared" ca="1" si="250"/>
        <v>VIGENTE</v>
      </c>
      <c r="Z99" s="6" t="s">
        <v>350</v>
      </c>
      <c r="AA99" s="4">
        <v>45577</v>
      </c>
      <c r="AB99" s="4">
        <f>DATE(YEAR(AA99)+5,MONTH(AA99),DAY(AA99))</f>
        <v>47403</v>
      </c>
      <c r="AC99" s="8">
        <f ca="1">AB99-TODAY()</f>
        <v>1269</v>
      </c>
      <c r="AD99" s="5" t="str">
        <f t="shared" ca="1" si="409"/>
        <v>VIGENTE</v>
      </c>
      <c r="AE99" s="4"/>
      <c r="AF99" s="4">
        <v>46006</v>
      </c>
      <c r="AG99" s="4">
        <f>DATE(YEAR(AF99)+2,MONTH(AF99),DAY(AF99))</f>
        <v>46736</v>
      </c>
      <c r="AH99" s="8">
        <f t="shared" ca="1" si="252"/>
        <v>602</v>
      </c>
      <c r="AI99" s="5" t="str">
        <f t="shared" ca="1" si="224"/>
        <v>VIGENTE</v>
      </c>
      <c r="AJ99" s="4"/>
      <c r="AK99" s="4">
        <v>45959</v>
      </c>
      <c r="AL99" s="4">
        <f>DATE(YEAR(AK99)+2,MONTH(AK99),DAY(AK99))</f>
        <v>46689</v>
      </c>
      <c r="AM99" s="8">
        <f t="shared" ca="1" si="253"/>
        <v>555</v>
      </c>
      <c r="AN99" s="5" t="str">
        <f t="shared" ca="1" si="254"/>
        <v>VIGENTE</v>
      </c>
      <c r="AO99" s="6"/>
      <c r="AP99" s="4">
        <v>46048</v>
      </c>
      <c r="AQ99" s="4">
        <f>DATE(YEAR(AP99)+2,MONTH(AP99),DAY(AP99))</f>
        <v>46778</v>
      </c>
      <c r="AR99" s="8">
        <f t="shared" ca="1" si="255"/>
        <v>644</v>
      </c>
      <c r="AS99" s="5" t="str">
        <f t="shared" ca="1" si="256"/>
        <v>VIGENTE</v>
      </c>
      <c r="AT99" s="4"/>
      <c r="AU99" s="4">
        <v>45972</v>
      </c>
      <c r="AV99" s="4">
        <f>DATE(YEAR(AU99)+2,MONTH(AU99),DAY(AU99))</f>
        <v>46702</v>
      </c>
      <c r="AW99" s="8">
        <f t="shared" ca="1" si="257"/>
        <v>568</v>
      </c>
      <c r="AX99" s="5" t="str">
        <f t="shared" ca="1" si="258"/>
        <v>VIGENTE</v>
      </c>
      <c r="AY99" s="3"/>
      <c r="AZ99" s="4">
        <v>46041</v>
      </c>
      <c r="BA99" s="4">
        <f>DATE(YEAR(AZ99)+2,MONTH(AZ99),DAY(AZ99))</f>
        <v>46771</v>
      </c>
      <c r="BB99" s="8">
        <f t="shared" ca="1" si="259"/>
        <v>637</v>
      </c>
      <c r="BC99" s="5" t="str">
        <f t="shared" ca="1" si="260"/>
        <v>VIGENTE</v>
      </c>
      <c r="BD99" s="6"/>
      <c r="BE99" s="4">
        <v>45987</v>
      </c>
      <c r="BF99" s="4">
        <f>DATE(YEAR(BE99)+2,MONTH(BE99),DAY(BE99))</f>
        <v>46717</v>
      </c>
      <c r="BG99" s="8">
        <f t="shared" ca="1" si="261"/>
        <v>583</v>
      </c>
      <c r="BH99" s="5" t="str">
        <f t="shared" ca="1" si="262"/>
        <v>VIGENTE</v>
      </c>
      <c r="BI99" s="4"/>
      <c r="BJ99" s="4">
        <v>46056</v>
      </c>
      <c r="BK99" s="4">
        <f>DATE(YEAR(BJ99)+2,MONTH(BJ99),DAY(BJ99))</f>
        <v>46786</v>
      </c>
      <c r="BL99" s="8">
        <f t="shared" ca="1" si="263"/>
        <v>652</v>
      </c>
      <c r="BM99" s="5" t="str">
        <f t="shared" ca="1" si="264"/>
        <v>VIGENTE</v>
      </c>
      <c r="BN99" s="4"/>
      <c r="BO99" s="4">
        <v>45988</v>
      </c>
      <c r="BP99" s="4">
        <f>DATE(YEAR(BO99)+2,MONTH(BO99),DAY(BO99))</f>
        <v>46718</v>
      </c>
      <c r="BQ99" s="8">
        <f t="shared" ca="1" si="265"/>
        <v>584</v>
      </c>
      <c r="BR99" s="5" t="str">
        <f t="shared" ca="1" si="266"/>
        <v>VIGENTE</v>
      </c>
      <c r="BS99" s="3"/>
      <c r="BT99" s="4">
        <v>46031</v>
      </c>
      <c r="BU99" s="4">
        <f>DATE(YEAR(BT99)+2,MONTH(BT99),DAY(BT99))</f>
        <v>46761</v>
      </c>
      <c r="BV99" s="8">
        <f t="shared" ca="1" si="267"/>
        <v>627</v>
      </c>
      <c r="BW99" s="5" t="str">
        <f t="shared" ca="1" si="268"/>
        <v>VIGENTE</v>
      </c>
      <c r="BX99" s="4"/>
      <c r="BY99" s="4">
        <v>45974</v>
      </c>
      <c r="BZ99" s="4">
        <f>DATE(YEAR(BY99)+2,MONTH(BY99),DAY(BY99))</f>
        <v>46704</v>
      </c>
      <c r="CA99" s="8">
        <f t="shared" ca="1" si="269"/>
        <v>570</v>
      </c>
      <c r="CB99" s="5" t="str">
        <f t="shared" ca="1" si="270"/>
        <v>VIGENTE</v>
      </c>
      <c r="CC99" s="6" t="s">
        <v>73</v>
      </c>
      <c r="CD99" s="4">
        <v>45565</v>
      </c>
      <c r="CE99" s="4">
        <f t="shared" si="397"/>
        <v>47026</v>
      </c>
      <c r="CF99" s="8">
        <f t="shared" ca="1" si="398"/>
        <v>892</v>
      </c>
      <c r="CG99" s="5" t="str">
        <f t="shared" ca="1" si="273"/>
        <v>VIGENTE</v>
      </c>
      <c r="CH99" s="4"/>
      <c r="CI99" s="4">
        <v>46018</v>
      </c>
      <c r="CJ99" s="4">
        <f>DATE(YEAR(CI99)+2,MONTH(CI99),DAY(CI99))</f>
        <v>46748</v>
      </c>
      <c r="CK99" s="8">
        <f t="shared" ca="1" si="274"/>
        <v>614</v>
      </c>
      <c r="CL99" s="5" t="str">
        <f t="shared" ca="1" si="275"/>
        <v>VIGENTE</v>
      </c>
      <c r="CM99" s="4"/>
      <c r="CN99" s="4">
        <v>46038</v>
      </c>
      <c r="CO99" s="4">
        <f>DATE(YEAR(CN99)+2,MONTH(CN99),DAY(CN99))</f>
        <v>46768</v>
      </c>
      <c r="CP99" s="8">
        <f t="shared" ca="1" si="276"/>
        <v>634</v>
      </c>
      <c r="CQ99" s="5" t="str">
        <f t="shared" ca="1" si="277"/>
        <v>VIGENTE</v>
      </c>
      <c r="CR99" s="4"/>
      <c r="CS99" s="4">
        <v>46043</v>
      </c>
      <c r="CT99" s="4">
        <f>DATE(YEAR(CS99)+2,MONTH(CS99),DAY(CS99))</f>
        <v>46773</v>
      </c>
      <c r="CU99" s="8">
        <f t="shared" ca="1" si="278"/>
        <v>639</v>
      </c>
      <c r="CV99" s="5" t="str">
        <f t="shared" ca="1" si="279"/>
        <v>VIGENTE</v>
      </c>
      <c r="CW99" s="4"/>
      <c r="CX99" s="4">
        <v>45646</v>
      </c>
      <c r="CY99" s="4">
        <f t="shared" si="410"/>
        <v>46375</v>
      </c>
      <c r="CZ99" s="8">
        <f t="shared" ca="1" si="280"/>
        <v>241</v>
      </c>
      <c r="DA99" s="5" t="str">
        <f t="shared" ca="1" si="281"/>
        <v>VIGENTE</v>
      </c>
      <c r="DB99" s="4"/>
      <c r="DC99" s="4">
        <v>45996</v>
      </c>
      <c r="DD99" s="4">
        <f>DATE(YEAR(DC99)+2,MONTH(DC99),DAY(DC99))</f>
        <v>46726</v>
      </c>
      <c r="DE99" s="8">
        <f t="shared" ca="1" si="282"/>
        <v>592</v>
      </c>
      <c r="DF99" s="5" t="str">
        <f t="shared" ca="1" si="283"/>
        <v>VIGENTE</v>
      </c>
      <c r="DG99" s="4"/>
      <c r="DH99" s="4">
        <v>46073</v>
      </c>
      <c r="DI99" s="4">
        <f>DATE(YEAR(DH99)+2,MONTH(DH99),DAY(DH99))</f>
        <v>46803</v>
      </c>
      <c r="DJ99" s="8">
        <f t="shared" ca="1" si="284"/>
        <v>669</v>
      </c>
      <c r="DK99" s="5" t="str">
        <f t="shared" ca="1" si="285"/>
        <v>VIGENTE</v>
      </c>
      <c r="DL99" s="4"/>
      <c r="DM99" s="4">
        <v>46046</v>
      </c>
      <c r="DN99" s="4">
        <f>DATE(YEAR(DM99)+2,MONTH(DM99),DAY(DM99))</f>
        <v>46776</v>
      </c>
      <c r="DO99" s="8">
        <f t="shared" ca="1" si="286"/>
        <v>642</v>
      </c>
      <c r="DP99" s="5" t="str">
        <f t="shared" ca="1" si="287"/>
        <v>VIGENTE</v>
      </c>
      <c r="DQ99" s="6"/>
      <c r="DR99" s="4">
        <v>46072</v>
      </c>
      <c r="DS99" s="4">
        <f>DATE(YEAR(DR99)+2,MONTH(DR99),DAY(DR99))</f>
        <v>46802</v>
      </c>
      <c r="DT99" s="8">
        <f t="shared" ca="1" si="288"/>
        <v>668</v>
      </c>
      <c r="DU99" s="5" t="str">
        <f t="shared" ca="1" si="289"/>
        <v>VIGENTE</v>
      </c>
      <c r="DV99" s="4"/>
      <c r="DW99" s="4">
        <v>46032</v>
      </c>
      <c r="DX99" s="4">
        <f>DATE(YEAR(DW99)+2,MONTH(DW99),DAY(DW99))</f>
        <v>46762</v>
      </c>
      <c r="DY99" s="8">
        <f t="shared" ca="1" si="290"/>
        <v>628</v>
      </c>
      <c r="DZ99" s="5" t="str">
        <f t="shared" ca="1" si="291"/>
        <v>VIGENTE</v>
      </c>
      <c r="EA99" s="4"/>
      <c r="EB99" s="4">
        <v>45462</v>
      </c>
      <c r="EC99" s="4">
        <f>DATE(YEAR(EB99)+2,MONTH(EB99),DAY(EB99)-1)</f>
        <v>46191</v>
      </c>
      <c r="ED99" s="8">
        <f t="shared" ca="1" si="292"/>
        <v>57</v>
      </c>
      <c r="EE99" s="5" t="str">
        <f t="shared" ca="1" si="293"/>
        <v>POR VENCER</v>
      </c>
      <c r="EF99" s="3"/>
      <c r="EG99" s="4">
        <v>45808</v>
      </c>
      <c r="EH99" s="4">
        <f t="shared" si="364"/>
        <v>46173</v>
      </c>
      <c r="EI99" s="8">
        <f t="shared" ca="1" si="294"/>
        <v>39</v>
      </c>
      <c r="EJ99" s="5" t="str">
        <f t="shared" ca="1" si="295"/>
        <v>POR VENCER</v>
      </c>
      <c r="EK99" s="3"/>
      <c r="EL99" s="4">
        <v>45983</v>
      </c>
      <c r="EM99" s="4">
        <f>DATE(YEAR(EL99)+2,MONTH(EL99),DAY(EL99))</f>
        <v>46713</v>
      </c>
      <c r="EN99" s="8">
        <f t="shared" ca="1" si="296"/>
        <v>579</v>
      </c>
      <c r="EO99" s="5" t="str">
        <f t="shared" ca="1" si="297"/>
        <v>VIGENTE</v>
      </c>
      <c r="EP99" s="6"/>
      <c r="EQ99" s="4">
        <v>45999</v>
      </c>
      <c r="ER99" s="4">
        <f>DATE(YEAR(EQ99)+2,MONTH(EQ99),DAY(EQ99))</f>
        <v>46729</v>
      </c>
      <c r="ES99" s="8">
        <f t="shared" ca="1" si="298"/>
        <v>595</v>
      </c>
      <c r="ET99" s="5" t="str">
        <f t="shared" ca="1" si="299"/>
        <v>VIGENTE</v>
      </c>
      <c r="EU99" s="3"/>
      <c r="EV99" s="4">
        <v>46037</v>
      </c>
      <c r="EW99" s="4">
        <f>DATE(YEAR(EV99)+2,MONTH(EV99),DAY(EV99))</f>
        <v>46767</v>
      </c>
      <c r="EX99" s="8">
        <f t="shared" ca="1" si="300"/>
        <v>633</v>
      </c>
      <c r="EY99" s="5" t="str">
        <f t="shared" ca="1" si="301"/>
        <v>VIGENTE</v>
      </c>
      <c r="EZ99" s="6"/>
      <c r="FA99" s="4">
        <v>46091</v>
      </c>
      <c r="FB99" s="4">
        <f>DATE(YEAR(FA99)+2,MONTH(FA99),DAY(FA99))</f>
        <v>46822</v>
      </c>
      <c r="FC99" s="8">
        <f t="shared" ca="1" si="302"/>
        <v>688</v>
      </c>
      <c r="FD99" s="5" t="str">
        <f t="shared" ca="1" si="303"/>
        <v>VIGENTE</v>
      </c>
      <c r="FE99" s="6"/>
      <c r="FF99" s="4">
        <v>45506</v>
      </c>
      <c r="FG99" s="4">
        <f>DATE(YEAR(FF99)+2,MONTH(FF99),DAY(FF99)-1)</f>
        <v>46235</v>
      </c>
      <c r="FH99" s="8">
        <f t="shared" ca="1" si="304"/>
        <v>101</v>
      </c>
      <c r="FI99" s="5" t="str">
        <f t="shared" ca="1" si="305"/>
        <v>VIGENTE</v>
      </c>
      <c r="FJ99" s="4"/>
      <c r="FK99" s="4">
        <v>46049</v>
      </c>
      <c r="FL99" s="4">
        <f>DATE(YEAR(FK99)+2,MONTH(FK99),DAY(FK99))</f>
        <v>46779</v>
      </c>
      <c r="FM99" s="8">
        <f t="shared" ca="1" si="306"/>
        <v>645</v>
      </c>
      <c r="FN99" s="5" t="str">
        <f t="shared" ca="1" si="307"/>
        <v>VIGENTE</v>
      </c>
      <c r="FO99" s="4"/>
      <c r="FP99" s="4">
        <v>46057</v>
      </c>
      <c r="FQ99" s="4">
        <f>DATE(YEAR(FP99)+2,MONTH(FP99),DAY(FP99))</f>
        <v>46787</v>
      </c>
      <c r="FR99" s="8">
        <f t="shared" ca="1" si="308"/>
        <v>653</v>
      </c>
      <c r="FS99" s="5" t="str">
        <f t="shared" ca="1" si="309"/>
        <v>VIGENTE</v>
      </c>
      <c r="FT99" s="4"/>
      <c r="FU99" s="4">
        <v>45587</v>
      </c>
      <c r="FV99" s="4">
        <f t="shared" si="411"/>
        <v>46316</v>
      </c>
      <c r="FW99" s="8">
        <f t="shared" ca="1" si="310"/>
        <v>182</v>
      </c>
      <c r="FX99" s="5" t="str">
        <f t="shared" ca="1" si="311"/>
        <v>VIGENTE</v>
      </c>
      <c r="FY99" s="4"/>
      <c r="FZ99" s="4">
        <v>46030</v>
      </c>
      <c r="GA99" s="4">
        <f>DATE(YEAR(FZ99)+2,MONTH(FZ99),DAY(FZ99))</f>
        <v>46760</v>
      </c>
      <c r="GB99" s="8">
        <f t="shared" ca="1" si="312"/>
        <v>626</v>
      </c>
      <c r="GC99" s="5" t="str">
        <f t="shared" ca="1" si="313"/>
        <v>VIGENTE</v>
      </c>
      <c r="GD99" s="4"/>
      <c r="GE99" s="4">
        <v>46079</v>
      </c>
      <c r="GF99" s="4">
        <f>DATE(YEAR(GE99)+2,MONTH(GE99),DAY(GE99))</f>
        <v>46809</v>
      </c>
      <c r="GG99" s="8">
        <f t="shared" ca="1" si="314"/>
        <v>675</v>
      </c>
      <c r="GH99" s="5" t="str">
        <f t="shared" ca="1" si="315"/>
        <v>VIGENTE</v>
      </c>
      <c r="GI99" s="3"/>
      <c r="GJ99" s="4">
        <v>46044</v>
      </c>
      <c r="GK99" s="4">
        <f>DATE(YEAR(GJ99)+2,MONTH(GJ99),DAY(GJ99))</f>
        <v>46774</v>
      </c>
      <c r="GL99" s="8">
        <f t="shared" ca="1" si="316"/>
        <v>640</v>
      </c>
      <c r="GM99" s="5" t="str">
        <f t="shared" ca="1" si="317"/>
        <v>VIGENTE</v>
      </c>
      <c r="GN99" s="4"/>
      <c r="GO99" s="4">
        <v>45367</v>
      </c>
      <c r="GP99" s="4">
        <f t="shared" si="318"/>
        <v>47193</v>
      </c>
      <c r="GQ99" s="8">
        <f t="shared" ca="1" si="394"/>
        <v>1059</v>
      </c>
      <c r="GR99" s="5" t="str">
        <f t="shared" ca="1" si="388"/>
        <v>VIGENTE</v>
      </c>
      <c r="GS99" s="4"/>
      <c r="GT99" s="4">
        <v>45507</v>
      </c>
      <c r="GU99" s="4">
        <f t="shared" si="320"/>
        <v>47333</v>
      </c>
      <c r="GV99" s="8">
        <f t="shared" ca="1" si="321"/>
        <v>1199</v>
      </c>
      <c r="GW99" s="5" t="str">
        <f t="shared" ca="1" si="389"/>
        <v>VIGENTE</v>
      </c>
      <c r="GX99" s="6"/>
      <c r="GY99" s="6"/>
      <c r="GZ99" s="4">
        <f t="shared" si="323"/>
        <v>1827</v>
      </c>
      <c r="HA99" s="8">
        <f t="shared" ca="1" si="324"/>
        <v>-44307</v>
      </c>
      <c r="HB99" s="5" t="str">
        <f ca="1">IF(HA99&gt;=61,"VIGENTE",IF(HA99&gt;=1,"POR VENCER",IF(HA99&lt;=-1,"PROGRAMAR",IF(GY99=0,"NO APLICA"))))</f>
        <v>PROGRAMAR</v>
      </c>
      <c r="HC99" s="6"/>
      <c r="HD99" s="6"/>
      <c r="HE99" s="4">
        <f t="shared" ref="HE99:HE104" si="412">DATE(YEAR(HD99)+5,MONTH(HD99),DAY(HD99))</f>
        <v>1827</v>
      </c>
      <c r="HF99" s="8">
        <f t="shared" ref="HF99:HF104" ca="1" si="413">HE99-TODAY()</f>
        <v>-44307</v>
      </c>
      <c r="HG99" s="5" t="str">
        <f ca="1">IF(HF99&gt;=61,"VIGENTE",IF(HF99&gt;=1,"POR VENCER",IF(HF99&lt;=-1,"PROGRAMAR",IF(HD99=0,"NO APLICA"))))</f>
        <v>PROGRAMAR</v>
      </c>
      <c r="HH99" s="6"/>
      <c r="HI99" s="6"/>
      <c r="HJ99" s="4"/>
      <c r="HK99" s="8"/>
      <c r="HL99" s="5" t="str">
        <f t="shared" si="395"/>
        <v>NO APLICA</v>
      </c>
      <c r="HM99" s="2"/>
      <c r="HN99" s="2"/>
      <c r="HO99" s="4"/>
      <c r="HP99" s="2"/>
      <c r="HQ99" s="5" t="str">
        <f t="shared" si="326"/>
        <v>NO APLICA</v>
      </c>
      <c r="HR99" s="6"/>
      <c r="HS99" s="6"/>
      <c r="HT99" s="4"/>
      <c r="HU99" s="8"/>
      <c r="HV99" s="5" t="str">
        <f t="shared" si="327"/>
        <v>NO APLICA</v>
      </c>
      <c r="HW99" s="6"/>
      <c r="HX99" s="6"/>
      <c r="HY99" s="4"/>
      <c r="HZ99" s="8"/>
      <c r="IA99" s="5" t="str">
        <f t="shared" si="328"/>
        <v>NO APLICA</v>
      </c>
      <c r="IB99" s="6"/>
      <c r="IC99" s="4"/>
      <c r="ID99" s="4"/>
      <c r="IE99" s="8"/>
      <c r="IF99" s="5" t="str">
        <f t="shared" si="329"/>
        <v>NO APLICA</v>
      </c>
      <c r="IG99" s="6"/>
      <c r="IH99" s="6"/>
      <c r="II99" s="4"/>
      <c r="IJ99" s="6"/>
      <c r="IK99" s="5" t="str">
        <f t="shared" si="330"/>
        <v>NO APLICA</v>
      </c>
      <c r="IL99" s="6"/>
      <c r="IM99" s="6"/>
      <c r="IN99" s="4"/>
      <c r="IO99" s="8"/>
      <c r="IP99" s="5" t="str">
        <f t="shared" si="331"/>
        <v>NO APLICA</v>
      </c>
      <c r="IQ99" s="6"/>
      <c r="IR99" s="4">
        <v>45402</v>
      </c>
      <c r="IS99" s="4">
        <f>DATE(YEAR(IR99)+5,MONTH(IR99),DAY(IR99))</f>
        <v>47228</v>
      </c>
      <c r="IT99" s="8">
        <f ca="1">IS99-TODAY()</f>
        <v>1094</v>
      </c>
      <c r="IU99" s="5" t="str">
        <f t="shared" ca="1" si="332"/>
        <v>VIGENTE</v>
      </c>
      <c r="IV99" s="6"/>
      <c r="IW99" s="6"/>
      <c r="IX99" s="4"/>
      <c r="IY99" s="8"/>
      <c r="IZ99" s="5" t="str">
        <f t="shared" si="333"/>
        <v>NO APLICA</v>
      </c>
      <c r="JA99" s="3"/>
      <c r="JB99" s="3"/>
      <c r="JC99" s="4"/>
      <c r="JD99" s="8"/>
      <c r="JE99" s="5" t="str">
        <f t="shared" si="334"/>
        <v>NO APLICA</v>
      </c>
      <c r="JF99" s="6"/>
      <c r="JG99" s="6"/>
      <c r="JH99" s="6"/>
      <c r="JI99" s="6"/>
      <c r="JJ99" s="5" t="str">
        <f t="shared" si="335"/>
        <v>NO APLICA</v>
      </c>
      <c r="JK99" s="6"/>
      <c r="JL99" s="6"/>
      <c r="JM99" s="6"/>
      <c r="JN99" s="6"/>
      <c r="JO99" s="5" t="str">
        <f t="shared" si="336"/>
        <v>NO APLICA</v>
      </c>
      <c r="JP99" s="6"/>
      <c r="JQ99" s="6"/>
      <c r="JR99" s="6"/>
      <c r="JS99" s="6"/>
      <c r="JT99" s="5" t="str">
        <f t="shared" si="337"/>
        <v>NO APLICA</v>
      </c>
      <c r="JU99" s="5"/>
      <c r="JV99" s="5"/>
      <c r="JW99" s="5"/>
      <c r="JX99" s="5"/>
      <c r="JY99" s="5" t="str">
        <f t="shared" si="338"/>
        <v>NO APLICA</v>
      </c>
      <c r="JZ99" s="5"/>
      <c r="KA99" s="2"/>
      <c r="KB99" s="4"/>
      <c r="KC99" s="8"/>
      <c r="KD99" s="5" t="str">
        <f t="shared" si="339"/>
        <v>NO APLICA</v>
      </c>
      <c r="KE99" s="5"/>
      <c r="KF99" s="3">
        <v>45328</v>
      </c>
      <c r="KG99" s="4">
        <f>DATE(YEAR(KF99)+5,MONTH(KF99),DAY(KF99)-1)</f>
        <v>47154</v>
      </c>
      <c r="KH99" s="8">
        <f ca="1">KG99-TODAY()</f>
        <v>1020</v>
      </c>
      <c r="KI99" s="5" t="str">
        <f t="shared" ca="1" si="365"/>
        <v>VIGENTE</v>
      </c>
      <c r="KJ99" s="5"/>
      <c r="KK99" s="2"/>
      <c r="KL99" s="4"/>
      <c r="KM99" s="8"/>
      <c r="KN99" s="5" t="str">
        <f t="shared" si="340"/>
        <v>NO APLICA</v>
      </c>
      <c r="KO99" s="5"/>
      <c r="KP99" s="3">
        <v>45346</v>
      </c>
      <c r="KQ99" s="4">
        <f>DATE(YEAR(KP99)+5,MONTH(KP99),DAY(KP99))</f>
        <v>47173</v>
      </c>
      <c r="KR99" s="8">
        <f ca="1">KQ99-TODAY()</f>
        <v>1039</v>
      </c>
      <c r="KS99" s="5" t="str">
        <f t="shared" ca="1" si="366"/>
        <v>VIGENTE</v>
      </c>
      <c r="KT99" s="6"/>
      <c r="KU99" s="6"/>
      <c r="KV99" s="4"/>
      <c r="KW99" s="6"/>
      <c r="KX99" s="5" t="str">
        <f t="shared" si="375"/>
        <v>NO APLICA</v>
      </c>
      <c r="KY99" s="5"/>
      <c r="KZ99" s="6"/>
      <c r="LA99" s="4"/>
      <c r="LB99" s="6"/>
      <c r="LC99" s="5" t="str">
        <f t="shared" si="367"/>
        <v>NO APLICA</v>
      </c>
      <c r="LD99" s="6"/>
      <c r="LE99" s="4"/>
      <c r="LF99" s="4"/>
      <c r="LG99" s="8"/>
      <c r="LH99" s="5" t="str">
        <f t="shared" si="341"/>
        <v>NO APLICA</v>
      </c>
      <c r="LI99" s="5"/>
      <c r="LJ99" s="5"/>
      <c r="LK99" s="4"/>
      <c r="LL99" s="8"/>
      <c r="LM99" s="5" t="str">
        <f t="shared" si="376"/>
        <v>NO APLICA</v>
      </c>
      <c r="LN99" s="6"/>
      <c r="LO99" s="6"/>
      <c r="LP99" s="4"/>
      <c r="LQ99" s="8"/>
      <c r="LR99" s="5" t="str">
        <f t="shared" si="368"/>
        <v>NO APLICA</v>
      </c>
      <c r="LS99" s="6"/>
      <c r="LT99" s="6"/>
      <c r="LU99" s="4"/>
      <c r="LV99" s="6"/>
      <c r="LW99" s="5" t="str">
        <f t="shared" si="369"/>
        <v>NO APLICA</v>
      </c>
      <c r="LX99" s="6"/>
      <c r="LY99" s="6"/>
      <c r="LZ99" s="4"/>
      <c r="MA99" s="6"/>
      <c r="MB99" s="5" t="str">
        <f t="shared" si="370"/>
        <v>NO APLICA</v>
      </c>
      <c r="MC99" s="6"/>
      <c r="MD99" s="6"/>
      <c r="ME99" s="4"/>
      <c r="MF99" s="6"/>
      <c r="MG99" s="5" t="str">
        <f t="shared" si="342"/>
        <v>NO APLICA</v>
      </c>
      <c r="MH99" s="6"/>
      <c r="MI99" s="6"/>
      <c r="MJ99" s="4"/>
      <c r="MK99" s="6"/>
      <c r="ML99" s="5" t="str">
        <f t="shared" si="343"/>
        <v>NO APLICA</v>
      </c>
      <c r="MM99" s="5"/>
      <c r="MN99" s="6"/>
      <c r="MO99" s="4"/>
      <c r="MP99" s="6"/>
      <c r="MQ99" s="5" t="str">
        <f t="shared" si="344"/>
        <v>NO APLICA</v>
      </c>
      <c r="MR99" s="5"/>
      <c r="MS99" s="6"/>
      <c r="MT99" s="6"/>
      <c r="MU99" s="6"/>
      <c r="MV99" s="5" t="str">
        <f t="shared" si="345"/>
        <v>NO APLICA</v>
      </c>
      <c r="MW99" s="6"/>
      <c r="MX99" s="6"/>
      <c r="MY99" s="4"/>
      <c r="MZ99" s="6"/>
      <c r="NA99" s="5" t="str">
        <f t="shared" si="346"/>
        <v>NO APLICA</v>
      </c>
      <c r="NB99" s="6"/>
      <c r="NC99" s="6"/>
      <c r="ND99" s="4"/>
      <c r="NE99" s="6"/>
      <c r="NF99" s="5" t="str">
        <f t="shared" si="347"/>
        <v>NO APLICA</v>
      </c>
      <c r="NG99" s="6"/>
      <c r="NH99" s="6"/>
      <c r="NI99" s="4"/>
      <c r="NJ99" s="6"/>
      <c r="NK99" s="5" t="str">
        <f t="shared" si="348"/>
        <v>NO APLICA</v>
      </c>
      <c r="NL99" s="6"/>
      <c r="NM99" s="6"/>
      <c r="NN99" s="4"/>
      <c r="NO99" s="6"/>
      <c r="NP99" s="5" t="str">
        <f t="shared" si="349"/>
        <v>NO APLICA</v>
      </c>
      <c r="NQ99" s="6"/>
      <c r="NR99" s="6"/>
      <c r="NS99" s="4"/>
      <c r="NT99" s="6"/>
      <c r="NU99" s="5" t="str">
        <f t="shared" si="350"/>
        <v>NO APLICA</v>
      </c>
      <c r="NV99" s="6"/>
      <c r="NW99" s="6"/>
      <c r="NX99" s="4"/>
      <c r="NY99" s="8"/>
      <c r="NZ99" s="5" t="str">
        <f t="shared" si="351"/>
        <v>NO APLICA</v>
      </c>
      <c r="OA99" s="6"/>
      <c r="OB99" s="6"/>
      <c r="OC99" s="6"/>
      <c r="OD99" s="6"/>
      <c r="OE99" s="5" t="str">
        <f t="shared" si="352"/>
        <v>NO APLICA</v>
      </c>
      <c r="OF99" s="6"/>
      <c r="OG99" s="6"/>
      <c r="OH99" s="6"/>
      <c r="OI99" s="6"/>
      <c r="OJ99" s="5" t="str">
        <f t="shared" si="353"/>
        <v>NO APLICA</v>
      </c>
      <c r="OK99" s="6"/>
      <c r="OL99" s="6"/>
      <c r="OM99" s="6"/>
      <c r="ON99" s="6"/>
      <c r="OO99" s="5" t="str">
        <f t="shared" si="354"/>
        <v>NO APLICA</v>
      </c>
      <c r="OP99" s="6"/>
      <c r="OQ99" s="6"/>
      <c r="OR99" s="6"/>
      <c r="OS99" s="6"/>
      <c r="OT99" s="5" t="str">
        <f t="shared" si="355"/>
        <v>NO APLICA</v>
      </c>
      <c r="OU99" s="6"/>
      <c r="OV99" s="6"/>
      <c r="OW99" s="6"/>
      <c r="OX99" s="6"/>
      <c r="OY99" s="5" t="str">
        <f t="shared" si="356"/>
        <v>NO APLICA</v>
      </c>
      <c r="OZ99" s="6"/>
      <c r="PA99" s="6"/>
      <c r="PB99" s="6"/>
      <c r="PC99" s="6"/>
      <c r="PD99" s="5" t="str">
        <f t="shared" si="357"/>
        <v>NO APLICA</v>
      </c>
      <c r="PE99" s="6"/>
      <c r="PF99" s="6"/>
      <c r="PG99" s="6"/>
      <c r="PH99" s="6"/>
      <c r="PI99" s="5" t="str">
        <f t="shared" si="358"/>
        <v>NO APLICA</v>
      </c>
      <c r="PJ99" s="5"/>
      <c r="PK99" s="6"/>
      <c r="PL99" s="6"/>
      <c r="PM99" s="6"/>
      <c r="PN99" s="5" t="str">
        <f t="shared" si="359"/>
        <v>NO APLICA</v>
      </c>
      <c r="PO99" s="6"/>
      <c r="PP99" s="6"/>
      <c r="PQ99" s="6"/>
      <c r="PR99" s="6"/>
      <c r="PS99" s="5" t="str">
        <f t="shared" si="360"/>
        <v>NO APLICA</v>
      </c>
      <c r="PT99" s="5"/>
      <c r="PU99" s="6"/>
      <c r="PV99" s="6"/>
      <c r="PW99" s="6"/>
      <c r="PX99" s="5" t="str">
        <f t="shared" si="361"/>
        <v>NO APLICA</v>
      </c>
    </row>
    <row r="100" spans="1:440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352</v>
      </c>
      <c r="V100" s="4">
        <v>45500</v>
      </c>
      <c r="W100" s="4">
        <f t="shared" si="248"/>
        <v>47326</v>
      </c>
      <c r="X100" s="8">
        <f t="shared" ca="1" si="249"/>
        <v>1192</v>
      </c>
      <c r="Y100" s="5" t="str">
        <f t="shared" ca="1" si="250"/>
        <v>VIGENTE</v>
      </c>
      <c r="Z100" s="2" t="s">
        <v>353</v>
      </c>
      <c r="AA100" s="4">
        <v>44603</v>
      </c>
      <c r="AB100" s="4">
        <f>DATE(YEAR(AA100)+5,MONTH(AA100),DAY(AA100))</f>
        <v>46429</v>
      </c>
      <c r="AC100" s="8">
        <f ca="1">AB100-TODAY()</f>
        <v>295</v>
      </c>
      <c r="AD100" s="5" t="str">
        <f t="shared" ca="1" si="409"/>
        <v>VIGENTE</v>
      </c>
      <c r="AE100" s="3"/>
      <c r="AF100" s="4">
        <v>45902</v>
      </c>
      <c r="AG100" s="4">
        <f>DATE(YEAR(AF100)+2,MONTH(AF100),DAY(AF100))</f>
        <v>46632</v>
      </c>
      <c r="AH100" s="8">
        <f t="shared" ca="1" si="252"/>
        <v>498</v>
      </c>
      <c r="AI100" s="5" t="str">
        <f t="shared" ca="1" si="224"/>
        <v>VIGENTE</v>
      </c>
      <c r="AJ100" s="3"/>
      <c r="AK100" s="4">
        <v>45926</v>
      </c>
      <c r="AL100" s="4">
        <f>DATE(YEAR(AK100)+2,MONTH(AK100),DAY(AK100))</f>
        <v>46656</v>
      </c>
      <c r="AM100" s="8">
        <f t="shared" ca="1" si="253"/>
        <v>522</v>
      </c>
      <c r="AN100" s="5" t="str">
        <f t="shared" ca="1" si="254"/>
        <v>VIGENTE</v>
      </c>
      <c r="AO100" s="3"/>
      <c r="AP100" s="4">
        <v>45904</v>
      </c>
      <c r="AQ100" s="4">
        <f>DATE(YEAR(AP100)+2,MONTH(AP100),DAY(AP100))</f>
        <v>46634</v>
      </c>
      <c r="AR100" s="8">
        <f t="shared" ca="1" si="255"/>
        <v>500</v>
      </c>
      <c r="AS100" s="5" t="str">
        <f t="shared" ca="1" si="256"/>
        <v>VIGENTE</v>
      </c>
      <c r="AT100" s="3"/>
      <c r="AU100" s="4">
        <v>45990</v>
      </c>
      <c r="AV100" s="4">
        <f>DATE(YEAR(AU100)+2,MONTH(AU100),DAY(AU100))</f>
        <v>46720</v>
      </c>
      <c r="AW100" s="8">
        <f t="shared" ca="1" si="257"/>
        <v>586</v>
      </c>
      <c r="AX100" s="5" t="str">
        <f t="shared" ca="1" si="258"/>
        <v>VIGENTE</v>
      </c>
      <c r="AY100" s="3"/>
      <c r="AZ100" s="4">
        <v>45980</v>
      </c>
      <c r="BA100" s="4">
        <f>DATE(YEAR(AZ100)+2,MONTH(AZ100),DAY(AZ100))</f>
        <v>46710</v>
      </c>
      <c r="BB100" s="8">
        <f t="shared" ca="1" si="259"/>
        <v>576</v>
      </c>
      <c r="BC100" s="5" t="str">
        <f t="shared" ca="1" si="260"/>
        <v>VIGENTE</v>
      </c>
      <c r="BD100" s="3"/>
      <c r="BE100" s="4">
        <v>45987</v>
      </c>
      <c r="BF100" s="4">
        <f>DATE(YEAR(BE100)+2,MONTH(BE100),DAY(BE100))</f>
        <v>46717</v>
      </c>
      <c r="BG100" s="8">
        <f t="shared" ca="1" si="261"/>
        <v>583</v>
      </c>
      <c r="BH100" s="5" t="str">
        <f t="shared" ca="1" si="262"/>
        <v>VIGENTE</v>
      </c>
      <c r="BI100" s="3"/>
      <c r="BJ100" s="4">
        <v>46035</v>
      </c>
      <c r="BK100" s="4">
        <f>DATE(YEAR(BJ100)+2,MONTH(BJ100),DAY(BJ100))</f>
        <v>46765</v>
      </c>
      <c r="BL100" s="8">
        <f t="shared" ca="1" si="263"/>
        <v>631</v>
      </c>
      <c r="BM100" s="5" t="str">
        <f t="shared" ca="1" si="264"/>
        <v>VIGENTE</v>
      </c>
      <c r="BN100" s="3"/>
      <c r="BO100" s="4">
        <v>46069</v>
      </c>
      <c r="BP100" s="4">
        <f>DATE(YEAR(BO100)+2,MONTH(BO100),DAY(BO100))</f>
        <v>46799</v>
      </c>
      <c r="BQ100" s="8">
        <f t="shared" ca="1" si="265"/>
        <v>665</v>
      </c>
      <c r="BR100" s="5" t="str">
        <f t="shared" ca="1" si="266"/>
        <v>VIGENTE</v>
      </c>
      <c r="BS100" s="3"/>
      <c r="BT100" s="4">
        <v>45871</v>
      </c>
      <c r="BU100" s="4">
        <f>DATE(YEAR(BT100)+2,MONTH(BT100),DAY(BT100))</f>
        <v>46601</v>
      </c>
      <c r="BV100" s="8">
        <f t="shared" ca="1" si="267"/>
        <v>467</v>
      </c>
      <c r="BW100" s="5" t="str">
        <f t="shared" ca="1" si="268"/>
        <v>VIGENTE</v>
      </c>
      <c r="BX100" s="3"/>
      <c r="BY100" s="4">
        <v>45954</v>
      </c>
      <c r="BZ100" s="4">
        <f>DATE(YEAR(BY100)+2,MONTH(BY100),DAY(BY100))</f>
        <v>46684</v>
      </c>
      <c r="CA100" s="8">
        <f t="shared" ca="1" si="269"/>
        <v>550</v>
      </c>
      <c r="CB100" s="5" t="str">
        <f t="shared" ca="1" si="270"/>
        <v>VIGENTE</v>
      </c>
      <c r="CC100" s="6" t="s">
        <v>73</v>
      </c>
      <c r="CD100" s="4">
        <v>45301</v>
      </c>
      <c r="CE100" s="4">
        <f t="shared" si="397"/>
        <v>46762</v>
      </c>
      <c r="CF100" s="8">
        <f t="shared" ca="1" si="398"/>
        <v>628</v>
      </c>
      <c r="CG100" s="5" t="str">
        <f t="shared" ca="1" si="273"/>
        <v>VIGENTE</v>
      </c>
      <c r="CH100" s="4"/>
      <c r="CI100" s="4">
        <v>45929</v>
      </c>
      <c r="CJ100" s="4">
        <f>DATE(YEAR(CI100)+2,MONTH(CI100),DAY(CI100))</f>
        <v>46659</v>
      </c>
      <c r="CK100" s="8">
        <f t="shared" ca="1" si="274"/>
        <v>525</v>
      </c>
      <c r="CL100" s="5" t="str">
        <f t="shared" ca="1" si="275"/>
        <v>VIGENTE</v>
      </c>
      <c r="CM100" s="3"/>
      <c r="CN100" s="4">
        <v>45898</v>
      </c>
      <c r="CO100" s="4">
        <f>DATE(YEAR(CN100)+2,MONTH(CN100),DAY(CN100))</f>
        <v>46628</v>
      </c>
      <c r="CP100" s="8">
        <f t="shared" ca="1" si="276"/>
        <v>494</v>
      </c>
      <c r="CQ100" s="5" t="str">
        <f t="shared" ca="1" si="277"/>
        <v>VIGENTE</v>
      </c>
      <c r="CR100" s="4"/>
      <c r="CS100" s="4">
        <v>45631</v>
      </c>
      <c r="CT100" s="4">
        <f>DATE(YEAR(CS100)+2,MONTH(CS100),DAY(CS100)-1)</f>
        <v>46360</v>
      </c>
      <c r="CU100" s="8">
        <f t="shared" ca="1" si="278"/>
        <v>226</v>
      </c>
      <c r="CV100" s="5" t="str">
        <f t="shared" ca="1" si="279"/>
        <v>VIGENTE</v>
      </c>
      <c r="CW100" s="3"/>
      <c r="CX100" s="4">
        <v>45665</v>
      </c>
      <c r="CY100" s="4">
        <f t="shared" si="410"/>
        <v>46394</v>
      </c>
      <c r="CZ100" s="8">
        <f t="shared" ca="1" si="280"/>
        <v>260</v>
      </c>
      <c r="DA100" s="5" t="str">
        <f t="shared" ca="1" si="281"/>
        <v>VIGENTE</v>
      </c>
      <c r="DB100" s="4"/>
      <c r="DC100" s="4">
        <v>45689</v>
      </c>
      <c r="DD100" s="4">
        <f>DATE(YEAR(DC100)+2,MONTH(DC100),DAY(DC100)-1)</f>
        <v>46418</v>
      </c>
      <c r="DE100" s="8">
        <f t="shared" ca="1" si="282"/>
        <v>284</v>
      </c>
      <c r="DF100" s="5" t="str">
        <f t="shared" ca="1" si="283"/>
        <v>VIGENTE</v>
      </c>
      <c r="DG100" s="3"/>
      <c r="DH100" s="4">
        <v>45899</v>
      </c>
      <c r="DI100" s="4">
        <f>DATE(YEAR(DH100)+2,MONTH(DH100),DAY(DH100))</f>
        <v>46629</v>
      </c>
      <c r="DJ100" s="8">
        <f t="shared" ca="1" si="284"/>
        <v>495</v>
      </c>
      <c r="DK100" s="5" t="str">
        <f t="shared" ca="1" si="285"/>
        <v>VIGENTE</v>
      </c>
      <c r="DL100" s="3"/>
      <c r="DM100" s="4">
        <v>45473</v>
      </c>
      <c r="DN100" s="4">
        <f>DATE(YEAR(DM100)+2,MONTH(DM100),DAY(DM100)-1)</f>
        <v>46202</v>
      </c>
      <c r="DO100" s="8">
        <f t="shared" ca="1" si="286"/>
        <v>68</v>
      </c>
      <c r="DP100" s="5" t="str">
        <f t="shared" ca="1" si="287"/>
        <v>POR VENCER</v>
      </c>
      <c r="DQ100" s="3"/>
      <c r="DR100" s="4">
        <v>45852</v>
      </c>
      <c r="DS100" s="4">
        <f>DATE(YEAR(DR100)+2,MONTH(DR100),DAY(DR100)-1)</f>
        <v>46581</v>
      </c>
      <c r="DT100" s="8">
        <f t="shared" ca="1" si="288"/>
        <v>447</v>
      </c>
      <c r="DU100" s="5" t="str">
        <f t="shared" ca="1" si="289"/>
        <v>VIGENTE</v>
      </c>
      <c r="DV100" s="3"/>
      <c r="DW100" s="4">
        <v>45934</v>
      </c>
      <c r="DX100" s="4">
        <f>DATE(YEAR(DW100)+2,MONTH(DW100),DAY(DW100))</f>
        <v>46664</v>
      </c>
      <c r="DY100" s="8">
        <f t="shared" ca="1" si="290"/>
        <v>530</v>
      </c>
      <c r="DZ100" s="5" t="str">
        <f t="shared" ca="1" si="291"/>
        <v>VIGENTE</v>
      </c>
      <c r="EA100" s="3"/>
      <c r="EB100" s="4">
        <v>45883</v>
      </c>
      <c r="EC100" s="4">
        <f>DATE(YEAR(EB100)+2,MONTH(EB100),DAY(EB100))</f>
        <v>46613</v>
      </c>
      <c r="ED100" s="8">
        <f t="shared" ca="1" si="292"/>
        <v>479</v>
      </c>
      <c r="EE100" s="5" t="str">
        <f t="shared" ca="1" si="293"/>
        <v>VIGENTE</v>
      </c>
      <c r="EF100" s="3"/>
      <c r="EG100" s="3">
        <v>46002</v>
      </c>
      <c r="EH100" s="4">
        <f t="shared" si="364"/>
        <v>46367</v>
      </c>
      <c r="EI100" s="8">
        <f t="shared" ca="1" si="294"/>
        <v>233</v>
      </c>
      <c r="EJ100" s="5" t="str">
        <f t="shared" ca="1" si="295"/>
        <v>VIGENTE</v>
      </c>
      <c r="EK100" s="3"/>
      <c r="EL100" s="4">
        <v>45966</v>
      </c>
      <c r="EM100" s="4">
        <f>DATE(YEAR(EL100)+2,MONTH(EL100),DAY(EL100))</f>
        <v>46696</v>
      </c>
      <c r="EN100" s="8">
        <f t="shared" ca="1" si="296"/>
        <v>562</v>
      </c>
      <c r="EO100" s="5" t="str">
        <f t="shared" ca="1" si="297"/>
        <v>VIGENTE</v>
      </c>
      <c r="EP100" s="3"/>
      <c r="EQ100" s="4">
        <v>45999</v>
      </c>
      <c r="ER100" s="4">
        <f>DATE(YEAR(EQ100)+2,MONTH(EQ100),DAY(EQ100))</f>
        <v>46729</v>
      </c>
      <c r="ES100" s="8">
        <f t="shared" ca="1" si="298"/>
        <v>595</v>
      </c>
      <c r="ET100" s="5" t="str">
        <f t="shared" ca="1" si="299"/>
        <v>VIGENTE</v>
      </c>
      <c r="EU100" s="3"/>
      <c r="EV100" s="4">
        <v>45953</v>
      </c>
      <c r="EW100" s="4">
        <f>DATE(YEAR(EV100)+2,MONTH(EV100),DAY(EV100))</f>
        <v>46683</v>
      </c>
      <c r="EX100" s="8">
        <f t="shared" ca="1" si="300"/>
        <v>549</v>
      </c>
      <c r="EY100" s="5" t="str">
        <f t="shared" ca="1" si="301"/>
        <v>VIGENTE</v>
      </c>
      <c r="EZ100" s="3"/>
      <c r="FA100" s="4">
        <v>45922</v>
      </c>
      <c r="FB100" s="4">
        <f>DATE(YEAR(FA100)+2,MONTH(FA100),DAY(FA100))</f>
        <v>46652</v>
      </c>
      <c r="FC100" s="8">
        <f t="shared" ca="1" si="302"/>
        <v>518</v>
      </c>
      <c r="FD100" s="5" t="str">
        <f t="shared" ca="1" si="303"/>
        <v>VIGENTE</v>
      </c>
      <c r="FE100" s="3"/>
      <c r="FF100" s="4">
        <v>45962</v>
      </c>
      <c r="FG100" s="4">
        <f>DATE(YEAR(FF100)+2,MONTH(FF100),DAY(FF100))</f>
        <v>46692</v>
      </c>
      <c r="FH100" s="8">
        <f t="shared" ca="1" si="304"/>
        <v>558</v>
      </c>
      <c r="FI100" s="5" t="str">
        <f t="shared" ca="1" si="305"/>
        <v>VIGENTE</v>
      </c>
      <c r="FJ100" s="3"/>
      <c r="FK100" s="4">
        <v>45920</v>
      </c>
      <c r="FL100" s="4">
        <f>DATE(YEAR(FK100)+2,MONTH(FK100),DAY(FK100))</f>
        <v>46650</v>
      </c>
      <c r="FM100" s="8">
        <f t="shared" ca="1" si="306"/>
        <v>516</v>
      </c>
      <c r="FN100" s="5" t="str">
        <f t="shared" ca="1" si="307"/>
        <v>VIGENTE</v>
      </c>
      <c r="FO100" s="3"/>
      <c r="FP100" s="4">
        <v>45957</v>
      </c>
      <c r="FQ100" s="4">
        <f>DATE(YEAR(FP100)+2,MONTH(FP100),DAY(FP100))</f>
        <v>46687</v>
      </c>
      <c r="FR100" s="8">
        <f t="shared" ca="1" si="308"/>
        <v>553</v>
      </c>
      <c r="FS100" s="5" t="str">
        <f t="shared" ca="1" si="309"/>
        <v>VIGENTE</v>
      </c>
      <c r="FT100" s="4"/>
      <c r="FU100" s="4">
        <v>45574</v>
      </c>
      <c r="FV100" s="4">
        <f t="shared" si="411"/>
        <v>46303</v>
      </c>
      <c r="FW100" s="8">
        <f t="shared" ca="1" si="310"/>
        <v>169</v>
      </c>
      <c r="FX100" s="5" t="str">
        <f t="shared" ca="1" si="311"/>
        <v>VIGENTE</v>
      </c>
      <c r="FY100" s="3"/>
      <c r="FZ100" s="4">
        <v>46030</v>
      </c>
      <c r="GA100" s="4">
        <f>DATE(YEAR(FZ100)+2,MONTH(FZ100),DAY(FZ100))</f>
        <v>46760</v>
      </c>
      <c r="GB100" s="8">
        <f t="shared" ca="1" si="312"/>
        <v>626</v>
      </c>
      <c r="GC100" s="5" t="str">
        <f t="shared" ca="1" si="313"/>
        <v>VIGENTE</v>
      </c>
      <c r="GD100" s="3"/>
      <c r="GE100" s="4">
        <v>45960</v>
      </c>
      <c r="GF100" s="4">
        <f>DATE(YEAR(GE100)+2,MONTH(GE100),DAY(GE100))</f>
        <v>46690</v>
      </c>
      <c r="GG100" s="8">
        <f t="shared" ca="1" si="314"/>
        <v>556</v>
      </c>
      <c r="GH100" s="5" t="str">
        <f t="shared" ca="1" si="315"/>
        <v>VIGENTE</v>
      </c>
      <c r="GI100" s="3"/>
      <c r="GJ100" s="4">
        <v>45958</v>
      </c>
      <c r="GK100" s="4">
        <f>DATE(YEAR(GJ100)+2,MONTH(GJ100),DAY(GJ100))</f>
        <v>46688</v>
      </c>
      <c r="GL100" s="8">
        <f t="shared" ca="1" si="316"/>
        <v>554</v>
      </c>
      <c r="GM100" s="5" t="str">
        <f t="shared" ca="1" si="317"/>
        <v>VIGENTE</v>
      </c>
      <c r="GN100" s="4"/>
      <c r="GO100" s="4">
        <v>45265</v>
      </c>
      <c r="GP100" s="4">
        <f t="shared" si="318"/>
        <v>47092</v>
      </c>
      <c r="GQ100" s="8">
        <f t="shared" ca="1" si="394"/>
        <v>958</v>
      </c>
      <c r="GR100" s="5" t="str">
        <f t="shared" ca="1" si="388"/>
        <v>VIGENTE</v>
      </c>
      <c r="GS100" s="3"/>
      <c r="GT100" s="4">
        <v>45329</v>
      </c>
      <c r="GU100" s="4">
        <f t="shared" si="320"/>
        <v>47156</v>
      </c>
      <c r="GV100" s="8">
        <f t="shared" ca="1" si="321"/>
        <v>1022</v>
      </c>
      <c r="GW100" s="5" t="str">
        <f t="shared" ca="1" si="389"/>
        <v>VIGENTE</v>
      </c>
      <c r="GX100" s="3"/>
      <c r="GY100" s="4">
        <v>45268</v>
      </c>
      <c r="GZ100" s="4">
        <f t="shared" si="323"/>
        <v>47095</v>
      </c>
      <c r="HA100" s="8">
        <f t="shared" ca="1" si="324"/>
        <v>961</v>
      </c>
      <c r="HB100" s="5" t="str">
        <f t="shared" ref="HB100:HB105" ca="1" si="414">IF(HA100&gt;=91,"VIGENTE",IF(HA100&gt;=1,"POR VENCER",IF(HA100&lt;=-1,"VENCIDA",IF(GY100=0,"NO APLICA"))))</f>
        <v>VIGENTE</v>
      </c>
      <c r="HC100" s="6"/>
      <c r="HD100" s="4">
        <v>44876</v>
      </c>
      <c r="HE100" s="4">
        <f t="shared" si="412"/>
        <v>46702</v>
      </c>
      <c r="HF100" s="8">
        <f t="shared" ca="1" si="413"/>
        <v>568</v>
      </c>
      <c r="HG100" s="5" t="str">
        <f t="shared" ref="HG100:HG105" ca="1" si="415">IF(HF100&gt;=61,"VIGENTE",IF(HF100&gt;=1,"POR VENCER",IF(HF100&lt;=-1,"VENCIDA",IF(HD100=0,"NO APLICA"))))</f>
        <v>VIGENTE</v>
      </c>
      <c r="HH100" s="2"/>
      <c r="HI100" s="6"/>
      <c r="HJ100" s="4"/>
      <c r="HK100" s="8"/>
      <c r="HL100" s="5" t="str">
        <f t="shared" si="395"/>
        <v>NO APLICA</v>
      </c>
      <c r="HM100" s="2"/>
      <c r="HN100" s="2"/>
      <c r="HO100" s="4"/>
      <c r="HP100" s="2"/>
      <c r="HQ100" s="5" t="str">
        <f t="shared" si="326"/>
        <v>NO APLICA</v>
      </c>
      <c r="HR100" s="3"/>
      <c r="HS100" s="4">
        <v>45306</v>
      </c>
      <c r="HT100" s="4">
        <f>DATE(YEAR(HS100)+5,MONTH(HS100),DAY(HS100))</f>
        <v>47133</v>
      </c>
      <c r="HU100" s="8">
        <f ca="1">HT100-TODAY()</f>
        <v>999</v>
      </c>
      <c r="HV100" s="5" t="str">
        <f t="shared" ca="1" si="327"/>
        <v>VIGENTE</v>
      </c>
      <c r="HW100" s="3"/>
      <c r="HX100" s="4">
        <v>45475</v>
      </c>
      <c r="HY100" s="4">
        <f>DATE(YEAR(HX100)+5,MONTH(HX100),DAY(HX100))</f>
        <v>47301</v>
      </c>
      <c r="HZ100" s="8">
        <f ca="1">HY100-TODAY()</f>
        <v>1167</v>
      </c>
      <c r="IA100" s="5" t="str">
        <f t="shared" ca="1" si="328"/>
        <v>VIGENTE</v>
      </c>
      <c r="IB100" s="3"/>
      <c r="IC100" s="4">
        <v>45483</v>
      </c>
      <c r="ID100" s="4">
        <f>DATE(YEAR(IC100)+5,MONTH(IC100),DAY(IC100))</f>
        <v>47309</v>
      </c>
      <c r="IE100" s="8">
        <f ca="1">ID100-TODAY()</f>
        <v>1175</v>
      </c>
      <c r="IF100" s="5" t="str">
        <f t="shared" ca="1" si="329"/>
        <v>VIGENTE</v>
      </c>
      <c r="IG100" s="4"/>
      <c r="IH100" s="4">
        <v>45429</v>
      </c>
      <c r="II100" s="4">
        <f>DATE(YEAR(IH100)+5,MONTH(IH100),DAY(IH100))</f>
        <v>47255</v>
      </c>
      <c r="IJ100" s="8">
        <f ca="1">II100-TODAY()</f>
        <v>1121</v>
      </c>
      <c r="IK100" s="5" t="str">
        <f t="shared" ca="1" si="330"/>
        <v>VIGENTE</v>
      </c>
      <c r="IL100" s="3"/>
      <c r="IM100" s="4">
        <v>45460</v>
      </c>
      <c r="IN100" s="4">
        <f>DATE(YEAR(IM100)+5,MONTH(IM100),DAY(IM100))</f>
        <v>47286</v>
      </c>
      <c r="IO100" s="8">
        <f ca="1">IN100-TODAY()</f>
        <v>1152</v>
      </c>
      <c r="IP100" s="5" t="str">
        <f t="shared" ca="1" si="331"/>
        <v>VIGENTE</v>
      </c>
      <c r="IQ100" s="3"/>
      <c r="IR100" s="4">
        <v>45435</v>
      </c>
      <c r="IS100" s="4">
        <f>DATE(YEAR(IR100)+5,MONTH(IR100),DAY(IR100))</f>
        <v>47261</v>
      </c>
      <c r="IT100" s="8">
        <f ca="1">IS100-TODAY()</f>
        <v>1127</v>
      </c>
      <c r="IU100" s="5" t="str">
        <f t="shared" ca="1" si="332"/>
        <v>VIGENTE</v>
      </c>
      <c r="IV100" s="3"/>
      <c r="IW100" s="4">
        <v>45446</v>
      </c>
      <c r="IX100" s="4">
        <f>DATE(YEAR(IW100)+5,MONTH(IW100),DAY(IW100))</f>
        <v>47272</v>
      </c>
      <c r="IY100" s="8">
        <f ca="1">IX100-TODAY()</f>
        <v>1138</v>
      </c>
      <c r="IZ100" s="5" t="str">
        <f t="shared" ca="1" si="333"/>
        <v>VIGENTE</v>
      </c>
      <c r="JA100" s="3"/>
      <c r="JB100" s="3"/>
      <c r="JC100" s="4"/>
      <c r="JD100" s="8"/>
      <c r="JE100" s="5" t="str">
        <f t="shared" si="334"/>
        <v>NO APLICA</v>
      </c>
      <c r="JF100" s="4"/>
      <c r="JG100" s="4"/>
      <c r="JH100" s="4"/>
      <c r="JI100" s="8"/>
      <c r="JJ100" s="5" t="str">
        <f t="shared" si="335"/>
        <v>NO APLICA</v>
      </c>
      <c r="JK100" s="4"/>
      <c r="JL100" s="4"/>
      <c r="JM100" s="4"/>
      <c r="JN100" s="8"/>
      <c r="JO100" s="5" t="str">
        <f t="shared" si="336"/>
        <v>NO APLICA</v>
      </c>
      <c r="JP100" s="4"/>
      <c r="JQ100" s="4"/>
      <c r="JR100" s="4"/>
      <c r="JS100" s="8"/>
      <c r="JT100" s="5" t="str">
        <f t="shared" si="337"/>
        <v>NO APLICA</v>
      </c>
      <c r="JU100" s="5"/>
      <c r="JV100" s="5"/>
      <c r="JW100" s="5"/>
      <c r="JX100" s="5"/>
      <c r="JY100" s="5" t="str">
        <f t="shared" si="338"/>
        <v>NO APLICA</v>
      </c>
      <c r="JZ100" s="5"/>
      <c r="KA100" s="2"/>
      <c r="KB100" s="4"/>
      <c r="KC100" s="8"/>
      <c r="KD100" s="5" t="str">
        <f t="shared" si="339"/>
        <v>NO APLICA</v>
      </c>
      <c r="KE100" s="5"/>
      <c r="KF100" s="2"/>
      <c r="KG100" s="4"/>
      <c r="KH100" s="8"/>
      <c r="KI100" s="5" t="str">
        <f t="shared" si="365"/>
        <v>NO APLICA</v>
      </c>
      <c r="KJ100" s="5"/>
      <c r="KK100" s="2"/>
      <c r="KL100" s="4"/>
      <c r="KM100" s="8"/>
      <c r="KN100" s="5" t="str">
        <f t="shared" si="340"/>
        <v>NO APLICA</v>
      </c>
      <c r="KO100" s="5"/>
      <c r="KP100" s="2"/>
      <c r="KQ100" s="4"/>
      <c r="KR100" s="8"/>
      <c r="KS100" s="5" t="str">
        <f t="shared" si="366"/>
        <v>NO APLICA</v>
      </c>
      <c r="KT100" s="2"/>
      <c r="KU100" s="6"/>
      <c r="KV100" s="4"/>
      <c r="KW100" s="8"/>
      <c r="KX100" s="5" t="str">
        <f t="shared" si="375"/>
        <v>NO APLICA</v>
      </c>
      <c r="KY100" s="5"/>
      <c r="KZ100" s="6"/>
      <c r="LA100" s="4"/>
      <c r="LB100" s="8"/>
      <c r="LC100" s="5" t="str">
        <f t="shared" si="367"/>
        <v>NO APLICA</v>
      </c>
      <c r="LD100" s="6"/>
      <c r="LE100" s="4"/>
      <c r="LF100" s="4"/>
      <c r="LG100" s="8"/>
      <c r="LH100" s="5" t="str">
        <f t="shared" si="341"/>
        <v>NO APLICA</v>
      </c>
      <c r="LI100" s="5"/>
      <c r="LJ100" s="5"/>
      <c r="LK100" s="4"/>
      <c r="LL100" s="8"/>
      <c r="LM100" s="5" t="str">
        <f t="shared" si="376"/>
        <v>NO APLICA</v>
      </c>
      <c r="LN100" s="2"/>
      <c r="LO100" s="6"/>
      <c r="LP100" s="4"/>
      <c r="LQ100" s="8"/>
      <c r="LR100" s="5" t="str">
        <f t="shared" si="368"/>
        <v>NO APLICA</v>
      </c>
      <c r="LS100" s="6"/>
      <c r="LT100" s="6"/>
      <c r="LU100" s="4"/>
      <c r="LV100" s="8"/>
      <c r="LW100" s="5" t="str">
        <f t="shared" si="369"/>
        <v>NO APLICA</v>
      </c>
      <c r="LX100" s="6"/>
      <c r="LY100" s="6"/>
      <c r="LZ100" s="4"/>
      <c r="MA100" s="8"/>
      <c r="MB100" s="5" t="str">
        <f t="shared" si="370"/>
        <v>NO APLICA</v>
      </c>
      <c r="MC100" s="2"/>
      <c r="MD100" s="2"/>
      <c r="ME100" s="4"/>
      <c r="MF100" s="8"/>
      <c r="MG100" s="5" t="str">
        <f t="shared" si="342"/>
        <v>NO APLICA</v>
      </c>
      <c r="MH100" s="2"/>
      <c r="MI100" s="2"/>
      <c r="MJ100" s="4"/>
      <c r="MK100" s="8"/>
      <c r="ML100" s="5" t="str">
        <f t="shared" si="343"/>
        <v>NO APLICA</v>
      </c>
      <c r="MM100" s="5"/>
      <c r="MN100" s="2"/>
      <c r="MO100" s="4"/>
      <c r="MP100" s="8"/>
      <c r="MQ100" s="5" t="str">
        <f t="shared" si="344"/>
        <v>NO APLICA</v>
      </c>
      <c r="MR100" s="5"/>
      <c r="MS100" s="2"/>
      <c r="MT100" s="4"/>
      <c r="MU100" s="2"/>
      <c r="MV100" s="5" t="str">
        <f t="shared" si="345"/>
        <v>NO APLICA</v>
      </c>
      <c r="MW100" s="2"/>
      <c r="MX100" s="6"/>
      <c r="MY100" s="4"/>
      <c r="MZ100" s="8"/>
      <c r="NA100" s="5" t="str">
        <f t="shared" si="346"/>
        <v>NO APLICA</v>
      </c>
      <c r="NB100" s="2"/>
      <c r="NC100" s="6"/>
      <c r="ND100" s="4"/>
      <c r="NE100" s="8"/>
      <c r="NF100" s="5" t="str">
        <f t="shared" si="347"/>
        <v>NO APLICA</v>
      </c>
      <c r="NG100" s="2"/>
      <c r="NH100" s="6"/>
      <c r="NI100" s="4"/>
      <c r="NJ100" s="8"/>
      <c r="NK100" s="5" t="str">
        <f t="shared" si="348"/>
        <v>NO APLICA</v>
      </c>
      <c r="NL100" s="2"/>
      <c r="NM100" s="2"/>
      <c r="NN100" s="4"/>
      <c r="NO100" s="2"/>
      <c r="NP100" s="5" t="str">
        <f t="shared" si="349"/>
        <v>NO APLICA</v>
      </c>
      <c r="NQ100" s="2"/>
      <c r="NR100" s="2"/>
      <c r="NS100" s="2"/>
      <c r="NT100" s="2"/>
      <c r="NU100" s="5" t="str">
        <f t="shared" si="350"/>
        <v>NO APLICA</v>
      </c>
      <c r="NV100" s="6"/>
      <c r="NW100" s="6"/>
      <c r="NX100" s="4"/>
      <c r="NY100" s="8"/>
      <c r="NZ100" s="5" t="str">
        <f t="shared" si="351"/>
        <v>NO APLICA</v>
      </c>
      <c r="OA100" s="6"/>
      <c r="OB100" s="6"/>
      <c r="OC100" s="6"/>
      <c r="OD100" s="6"/>
      <c r="OE100" s="5" t="str">
        <f t="shared" si="352"/>
        <v>NO APLICA</v>
      </c>
      <c r="OF100" s="6"/>
      <c r="OG100" s="6"/>
      <c r="OH100" s="4"/>
      <c r="OI100" s="8"/>
      <c r="OJ100" s="5" t="str">
        <f t="shared" si="353"/>
        <v>NO APLICA</v>
      </c>
      <c r="OK100" s="6"/>
      <c r="OL100" s="6"/>
      <c r="OM100" s="6"/>
      <c r="ON100" s="6"/>
      <c r="OO100" s="5" t="str">
        <f t="shared" si="354"/>
        <v>NO APLICA</v>
      </c>
      <c r="OP100" s="6"/>
      <c r="OQ100" s="6"/>
      <c r="OR100" s="6"/>
      <c r="OS100" s="6"/>
      <c r="OT100" s="5" t="str">
        <f t="shared" si="355"/>
        <v>NO APLICA</v>
      </c>
      <c r="OU100" s="6"/>
      <c r="OV100" s="6"/>
      <c r="OW100" s="6"/>
      <c r="OX100" s="6"/>
      <c r="OY100" s="5" t="str">
        <f t="shared" si="356"/>
        <v>NO APLICA</v>
      </c>
      <c r="OZ100" s="6"/>
      <c r="PA100" s="6"/>
      <c r="PB100" s="6"/>
      <c r="PC100" s="6"/>
      <c r="PD100" s="5" t="str">
        <f t="shared" si="357"/>
        <v>NO APLICA</v>
      </c>
      <c r="PE100" s="6"/>
      <c r="PF100" s="6"/>
      <c r="PG100" s="6"/>
      <c r="PH100" s="6"/>
      <c r="PI100" s="5" t="str">
        <f t="shared" si="358"/>
        <v>NO APLICA</v>
      </c>
      <c r="PJ100" s="5"/>
      <c r="PK100" s="6"/>
      <c r="PL100" s="4"/>
      <c r="PM100" s="8"/>
      <c r="PN100" s="5" t="str">
        <f t="shared" si="359"/>
        <v>NO APLICA</v>
      </c>
      <c r="PO100" s="6"/>
      <c r="PP100" s="6"/>
      <c r="PQ100" s="6"/>
      <c r="PR100" s="6"/>
      <c r="PS100" s="5" t="str">
        <f t="shared" si="360"/>
        <v>NO APLICA</v>
      </c>
      <c r="PT100" s="5"/>
      <c r="PU100" s="6"/>
      <c r="PV100" s="6"/>
      <c r="PW100" s="6"/>
      <c r="PX100" s="5" t="str">
        <f t="shared" si="361"/>
        <v>NO APLICA</v>
      </c>
    </row>
    <row r="101" spans="1:440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355</v>
      </c>
      <c r="V101" s="4">
        <v>45492</v>
      </c>
      <c r="W101" s="4">
        <f t="shared" si="248"/>
        <v>47318</v>
      </c>
      <c r="X101" s="8">
        <f t="shared" ca="1" si="249"/>
        <v>1184</v>
      </c>
      <c r="Y101" s="5" t="str">
        <f t="shared" ca="1" si="250"/>
        <v>VIGENTE</v>
      </c>
      <c r="Z101" s="2" t="s">
        <v>356</v>
      </c>
      <c r="AA101" s="4">
        <v>44831</v>
      </c>
      <c r="AB101" s="4">
        <f>DATE(YEAR(AA101)+5,MONTH(AA101),DAY(AA101))</f>
        <v>46657</v>
      </c>
      <c r="AC101" s="8">
        <f ca="1">AB101-TODAY()</f>
        <v>523</v>
      </c>
      <c r="AD101" s="5" t="str">
        <f t="shared" ca="1" si="409"/>
        <v>VIGENTE</v>
      </c>
      <c r="AE101" s="3"/>
      <c r="AF101" s="3">
        <v>45594</v>
      </c>
      <c r="AG101" s="4">
        <f>DATE(YEAR(AF101)+2,MONTH(AF101),DAY(AF101)-1)</f>
        <v>46323</v>
      </c>
      <c r="AH101" s="8">
        <f t="shared" ca="1" si="252"/>
        <v>189</v>
      </c>
      <c r="AI101" s="5" t="str">
        <f t="shared" ca="1" si="224"/>
        <v>VIGENTE</v>
      </c>
      <c r="AJ101" s="3"/>
      <c r="AK101" s="4">
        <v>45937</v>
      </c>
      <c r="AL101" s="4">
        <f>DATE(YEAR(AK101)+2,MONTH(AK101),DAY(AK101))</f>
        <v>46667</v>
      </c>
      <c r="AM101" s="8">
        <f t="shared" ca="1" si="253"/>
        <v>533</v>
      </c>
      <c r="AN101" s="5" t="str">
        <f t="shared" ca="1" si="254"/>
        <v>VIGENTE</v>
      </c>
      <c r="AO101" s="3"/>
      <c r="AP101" s="4">
        <v>46048</v>
      </c>
      <c r="AQ101" s="4">
        <f>DATE(YEAR(AP101)+2,MONTH(AP101),DAY(AP101))</f>
        <v>46778</v>
      </c>
      <c r="AR101" s="8">
        <f t="shared" ca="1" si="255"/>
        <v>644</v>
      </c>
      <c r="AS101" s="5" t="str">
        <f t="shared" ca="1" si="256"/>
        <v>VIGENTE</v>
      </c>
      <c r="AT101" s="3"/>
      <c r="AU101" s="4">
        <v>46070</v>
      </c>
      <c r="AV101" s="4">
        <f>DATE(YEAR(AU101)+2,MONTH(AU101),DAY(AU101))</f>
        <v>46800</v>
      </c>
      <c r="AW101" s="8">
        <f t="shared" ca="1" si="257"/>
        <v>666</v>
      </c>
      <c r="AX101" s="5" t="str">
        <f t="shared" ca="1" si="258"/>
        <v>VIGENTE</v>
      </c>
      <c r="AY101" s="3"/>
      <c r="AZ101" s="4">
        <v>46041</v>
      </c>
      <c r="BA101" s="4">
        <f>DATE(YEAR(AZ101)+2,MONTH(AZ101),DAY(AZ101))</f>
        <v>46771</v>
      </c>
      <c r="BB101" s="8">
        <f t="shared" ca="1" si="259"/>
        <v>637</v>
      </c>
      <c r="BC101" s="5" t="str">
        <f t="shared" ca="1" si="260"/>
        <v>VIGENTE</v>
      </c>
      <c r="BD101" s="3"/>
      <c r="BE101" s="4">
        <v>45987</v>
      </c>
      <c r="BF101" s="4">
        <f>DATE(YEAR(BE101)+2,MONTH(BE101),DAY(BE101))</f>
        <v>46717</v>
      </c>
      <c r="BG101" s="8">
        <f t="shared" ca="1" si="261"/>
        <v>583</v>
      </c>
      <c r="BH101" s="5" t="str">
        <f t="shared" ca="1" si="262"/>
        <v>VIGENTE</v>
      </c>
      <c r="BI101" s="3"/>
      <c r="BJ101" s="4">
        <v>46035</v>
      </c>
      <c r="BK101" s="4">
        <f>DATE(YEAR(BJ101)+2,MONTH(BJ101),DAY(BJ101))</f>
        <v>46765</v>
      </c>
      <c r="BL101" s="8">
        <f t="shared" ca="1" si="263"/>
        <v>631</v>
      </c>
      <c r="BM101" s="5" t="str">
        <f t="shared" ca="1" si="264"/>
        <v>VIGENTE</v>
      </c>
      <c r="BN101" s="3"/>
      <c r="BO101" s="4">
        <v>46069</v>
      </c>
      <c r="BP101" s="4">
        <f>DATE(YEAR(BO101)+2,MONTH(BO101),DAY(BO101))</f>
        <v>46799</v>
      </c>
      <c r="BQ101" s="8">
        <f t="shared" ca="1" si="265"/>
        <v>665</v>
      </c>
      <c r="BR101" s="5" t="str">
        <f t="shared" ca="1" si="266"/>
        <v>VIGENTE</v>
      </c>
      <c r="BS101" s="3"/>
      <c r="BT101" s="4">
        <v>45449</v>
      </c>
      <c r="BU101" s="4">
        <f>DATE(YEAR(BT101)+2,MONTH(BT101),DAY(BT101)-1)</f>
        <v>46178</v>
      </c>
      <c r="BV101" s="8">
        <f t="shared" ca="1" si="267"/>
        <v>44</v>
      </c>
      <c r="BW101" s="5" t="str">
        <f t="shared" ca="1" si="268"/>
        <v>POR VENCER</v>
      </c>
      <c r="BX101" s="3"/>
      <c r="BY101" s="4">
        <v>45944</v>
      </c>
      <c r="BZ101" s="4">
        <f>DATE(YEAR(BY101)+2,MONTH(BY101),DAY(BY101))</f>
        <v>46674</v>
      </c>
      <c r="CA101" s="8">
        <f t="shared" ca="1" si="269"/>
        <v>540</v>
      </c>
      <c r="CB101" s="5" t="str">
        <f t="shared" ca="1" si="270"/>
        <v>VIGENTE</v>
      </c>
      <c r="CC101" s="6" t="s">
        <v>73</v>
      </c>
      <c r="CD101" s="4">
        <v>45282</v>
      </c>
      <c r="CE101" s="4">
        <f t="shared" si="397"/>
        <v>46743</v>
      </c>
      <c r="CF101" s="8">
        <f t="shared" ca="1" si="398"/>
        <v>609</v>
      </c>
      <c r="CG101" s="5" t="str">
        <f t="shared" ca="1" si="273"/>
        <v>VIGENTE</v>
      </c>
      <c r="CH101" s="4"/>
      <c r="CI101" s="4">
        <v>46064</v>
      </c>
      <c r="CJ101" s="4">
        <f>DATE(YEAR(CI101)+2,MONTH(CI101),DAY(CI101))</f>
        <v>46794</v>
      </c>
      <c r="CK101" s="8">
        <f t="shared" ca="1" si="274"/>
        <v>660</v>
      </c>
      <c r="CL101" s="5" t="str">
        <f t="shared" ca="1" si="275"/>
        <v>VIGENTE</v>
      </c>
      <c r="CM101" s="3"/>
      <c r="CN101" s="4">
        <v>46101</v>
      </c>
      <c r="CO101" s="4">
        <f>DATE(YEAR(CN101)+2,MONTH(CN101),DAY(CN101))</f>
        <v>46832</v>
      </c>
      <c r="CP101" s="8">
        <f t="shared" ca="1" si="276"/>
        <v>698</v>
      </c>
      <c r="CQ101" s="5" t="str">
        <f t="shared" ca="1" si="277"/>
        <v>VIGENTE</v>
      </c>
      <c r="CR101" s="3"/>
      <c r="CS101" s="4">
        <v>45631</v>
      </c>
      <c r="CT101" s="4">
        <f>DATE(YEAR(CS101)+2,MONTH(CS101),DAY(CS101)-1)</f>
        <v>46360</v>
      </c>
      <c r="CU101" s="8">
        <f t="shared" ca="1" si="278"/>
        <v>226</v>
      </c>
      <c r="CV101" s="5" t="str">
        <f t="shared" ca="1" si="279"/>
        <v>VIGENTE</v>
      </c>
      <c r="CW101" s="3"/>
      <c r="CX101" s="4">
        <v>45665</v>
      </c>
      <c r="CY101" s="4">
        <f t="shared" si="410"/>
        <v>46394</v>
      </c>
      <c r="CZ101" s="8">
        <f t="shared" ca="1" si="280"/>
        <v>260</v>
      </c>
      <c r="DA101" s="5" t="str">
        <f t="shared" ca="1" si="281"/>
        <v>VIGENTE</v>
      </c>
      <c r="DB101" s="3"/>
      <c r="DC101" s="4">
        <v>45689</v>
      </c>
      <c r="DD101" s="4">
        <f>DATE(YEAR(DC101)+2,MONTH(DC101),DAY(DC101)-1)</f>
        <v>46418</v>
      </c>
      <c r="DE101" s="8">
        <f t="shared" ca="1" si="282"/>
        <v>284</v>
      </c>
      <c r="DF101" s="5" t="str">
        <f t="shared" ca="1" si="283"/>
        <v>VIGENTE</v>
      </c>
      <c r="DG101" s="3"/>
      <c r="DH101" s="4">
        <v>46029</v>
      </c>
      <c r="DI101" s="4">
        <f>DATE(YEAR(DH101)+2,MONTH(DH101),DAY(DH101))</f>
        <v>46759</v>
      </c>
      <c r="DJ101" s="8">
        <f t="shared" ca="1" si="284"/>
        <v>625</v>
      </c>
      <c r="DK101" s="5" t="str">
        <f t="shared" ca="1" si="285"/>
        <v>VIGENTE</v>
      </c>
      <c r="DL101" s="3"/>
      <c r="DM101" s="4">
        <v>45473</v>
      </c>
      <c r="DN101" s="4">
        <f>DATE(YEAR(DM101)+2,MONTH(DM101),DAY(DM101)-1)</f>
        <v>46202</v>
      </c>
      <c r="DO101" s="8">
        <f t="shared" ca="1" si="286"/>
        <v>68</v>
      </c>
      <c r="DP101" s="5" t="str">
        <f t="shared" ca="1" si="287"/>
        <v>POR VENCER</v>
      </c>
      <c r="DQ101" s="3"/>
      <c r="DR101" s="4">
        <v>46053</v>
      </c>
      <c r="DS101" s="4">
        <f>DATE(YEAR(DR101)+2,MONTH(DR101),DAY(DR101))</f>
        <v>46783</v>
      </c>
      <c r="DT101" s="8">
        <f t="shared" ca="1" si="288"/>
        <v>649</v>
      </c>
      <c r="DU101" s="5" t="str">
        <f t="shared" ca="1" si="289"/>
        <v>VIGENTE</v>
      </c>
      <c r="DV101" s="3"/>
      <c r="DW101" s="4">
        <v>46099</v>
      </c>
      <c r="DX101" s="4">
        <f>DATE(YEAR(DW101)+2,MONTH(DW101),DAY(DW101))</f>
        <v>46830</v>
      </c>
      <c r="DY101" s="8">
        <f t="shared" ca="1" si="290"/>
        <v>696</v>
      </c>
      <c r="DZ101" s="5" t="str">
        <f t="shared" ca="1" si="291"/>
        <v>VIGENTE</v>
      </c>
      <c r="EA101" s="3"/>
      <c r="EB101" s="4">
        <v>46104</v>
      </c>
      <c r="EC101" s="4">
        <f>DATE(YEAR(EB101)+2,MONTH(EB101),DAY(EB101))</f>
        <v>46835</v>
      </c>
      <c r="ED101" s="8">
        <f t="shared" ca="1" si="292"/>
        <v>701</v>
      </c>
      <c r="EE101" s="5" t="str">
        <f t="shared" ca="1" si="293"/>
        <v>VIGENTE</v>
      </c>
      <c r="EF101" s="3"/>
      <c r="EG101" s="4">
        <v>45812</v>
      </c>
      <c r="EH101" s="4">
        <f t="shared" si="364"/>
        <v>46177</v>
      </c>
      <c r="EI101" s="8">
        <f t="shared" ca="1" si="294"/>
        <v>43</v>
      </c>
      <c r="EJ101" s="5" t="str">
        <f t="shared" ca="1" si="295"/>
        <v>POR VENCER</v>
      </c>
      <c r="EK101" s="3"/>
      <c r="EL101" s="4">
        <v>45460</v>
      </c>
      <c r="EM101" s="4">
        <f>DATE(YEAR(EL101)+2,MONTH(EL101),DAY(EL101)-1)</f>
        <v>46189</v>
      </c>
      <c r="EN101" s="8">
        <f t="shared" ca="1" si="296"/>
        <v>55</v>
      </c>
      <c r="EO101" s="5" t="str">
        <f t="shared" ca="1" si="297"/>
        <v>POR VENCER</v>
      </c>
      <c r="EP101" s="3"/>
      <c r="EQ101" s="4">
        <v>46094</v>
      </c>
      <c r="ER101" s="4">
        <f>DATE(YEAR(EQ101)+2,MONTH(EQ101),DAY(EQ101))</f>
        <v>46825</v>
      </c>
      <c r="ES101" s="8">
        <f t="shared" ca="1" si="298"/>
        <v>691</v>
      </c>
      <c r="ET101" s="5" t="str">
        <f t="shared" ca="1" si="299"/>
        <v>VIGENTE</v>
      </c>
      <c r="EU101" s="3"/>
      <c r="EV101" s="4">
        <v>45953</v>
      </c>
      <c r="EW101" s="4">
        <f>DATE(YEAR(EV101)+2,MONTH(EV101),DAY(EV101))</f>
        <v>46683</v>
      </c>
      <c r="EX101" s="8">
        <f t="shared" ca="1" si="300"/>
        <v>549</v>
      </c>
      <c r="EY101" s="5" t="str">
        <f t="shared" ca="1" si="301"/>
        <v>VIGENTE</v>
      </c>
      <c r="EZ101" s="3"/>
      <c r="FA101" s="4">
        <v>45988</v>
      </c>
      <c r="FB101" s="4">
        <f>DATE(YEAR(FA101)+2,MONTH(FA101),DAY(FA101))</f>
        <v>46718</v>
      </c>
      <c r="FC101" s="8">
        <f t="shared" ca="1" si="302"/>
        <v>584</v>
      </c>
      <c r="FD101" s="5" t="str">
        <f t="shared" ca="1" si="303"/>
        <v>VIGENTE</v>
      </c>
      <c r="FE101" s="3"/>
      <c r="FF101" s="4">
        <v>45969</v>
      </c>
      <c r="FG101" s="4">
        <f>DATE(YEAR(FF101)+2,MONTH(FF101),DAY(FF101))</f>
        <v>46699</v>
      </c>
      <c r="FH101" s="8">
        <f t="shared" ca="1" si="304"/>
        <v>565</v>
      </c>
      <c r="FI101" s="5" t="str">
        <f t="shared" ca="1" si="305"/>
        <v>VIGENTE</v>
      </c>
      <c r="FJ101" s="3"/>
      <c r="FK101" s="4">
        <v>45479</v>
      </c>
      <c r="FL101" s="4">
        <f>DATE(YEAR(FK101)+2,MONTH(FK101),DAY(FK101)-1)</f>
        <v>46208</v>
      </c>
      <c r="FM101" s="8">
        <f t="shared" ca="1" si="306"/>
        <v>74</v>
      </c>
      <c r="FN101" s="5" t="str">
        <f t="shared" ca="1" si="307"/>
        <v>POR VENCER</v>
      </c>
      <c r="FO101" s="3"/>
      <c r="FP101" s="4">
        <v>45458</v>
      </c>
      <c r="FQ101" s="4">
        <f>DATE(YEAR(FP101)+2,MONTH(FP101),DAY(FP101)-1)</f>
        <v>46187</v>
      </c>
      <c r="FR101" s="8">
        <f t="shared" ca="1" si="308"/>
        <v>53</v>
      </c>
      <c r="FS101" s="5" t="str">
        <f t="shared" ca="1" si="309"/>
        <v>POR VENCER</v>
      </c>
      <c r="FT101" s="3"/>
      <c r="FU101" s="4">
        <v>45574</v>
      </c>
      <c r="FV101" s="4">
        <f t="shared" si="411"/>
        <v>46303</v>
      </c>
      <c r="FW101" s="8">
        <f t="shared" ca="1" si="310"/>
        <v>169</v>
      </c>
      <c r="FX101" s="5" t="str">
        <f t="shared" ca="1" si="311"/>
        <v>VIGENTE</v>
      </c>
      <c r="FY101" s="3"/>
      <c r="FZ101" s="4">
        <v>45667</v>
      </c>
      <c r="GA101" s="4">
        <f>DATE(YEAR(FZ101)+2,MONTH(FZ101),DAY(FZ101)-1)</f>
        <v>46396</v>
      </c>
      <c r="GB101" s="8">
        <f t="shared" ca="1" si="312"/>
        <v>262</v>
      </c>
      <c r="GC101" s="5" t="str">
        <f t="shared" ca="1" si="313"/>
        <v>VIGENTE</v>
      </c>
      <c r="GD101" s="3"/>
      <c r="GE101" s="4">
        <v>46036</v>
      </c>
      <c r="GF101" s="4">
        <f>DATE(YEAR(GE101)+2,MONTH(GE101),DAY(GE101))</f>
        <v>46766</v>
      </c>
      <c r="GG101" s="8">
        <f t="shared" ca="1" si="314"/>
        <v>632</v>
      </c>
      <c r="GH101" s="5" t="str">
        <f t="shared" ca="1" si="315"/>
        <v>VIGENTE</v>
      </c>
      <c r="GI101" s="3"/>
      <c r="GJ101" s="4">
        <v>45923</v>
      </c>
      <c r="GK101" s="4">
        <f>DATE(YEAR(GJ101)+2,MONTH(GJ101),DAY(GJ101))</f>
        <v>46653</v>
      </c>
      <c r="GL101" s="8">
        <f t="shared" ca="1" si="316"/>
        <v>519</v>
      </c>
      <c r="GM101" s="5" t="str">
        <f t="shared" ca="1" si="317"/>
        <v>VIGENTE</v>
      </c>
      <c r="GN101" s="4"/>
      <c r="GO101" s="4">
        <v>45459</v>
      </c>
      <c r="GP101" s="4">
        <f t="shared" si="318"/>
        <v>47285</v>
      </c>
      <c r="GQ101" s="8">
        <f t="shared" ca="1" si="394"/>
        <v>1151</v>
      </c>
      <c r="GR101" s="5" t="str">
        <f t="shared" ca="1" si="388"/>
        <v>VIGENTE</v>
      </c>
      <c r="GS101" s="3"/>
      <c r="GT101" s="4">
        <v>45464</v>
      </c>
      <c r="GU101" s="4">
        <f t="shared" si="320"/>
        <v>47290</v>
      </c>
      <c r="GV101" s="8">
        <f t="shared" ca="1" si="321"/>
        <v>1156</v>
      </c>
      <c r="GW101" s="5" t="str">
        <f t="shared" ca="1" si="389"/>
        <v>VIGENTE</v>
      </c>
      <c r="GX101" s="3"/>
      <c r="GY101" s="4">
        <v>45454</v>
      </c>
      <c r="GZ101" s="4">
        <f t="shared" si="323"/>
        <v>47280</v>
      </c>
      <c r="HA101" s="8">
        <f t="shared" ca="1" si="324"/>
        <v>1146</v>
      </c>
      <c r="HB101" s="5" t="str">
        <f t="shared" ca="1" si="414"/>
        <v>VIGENTE</v>
      </c>
      <c r="HC101" s="6"/>
      <c r="HD101" s="4">
        <v>44862</v>
      </c>
      <c r="HE101" s="4">
        <f t="shared" si="412"/>
        <v>46688</v>
      </c>
      <c r="HF101" s="8">
        <f t="shared" ca="1" si="413"/>
        <v>554</v>
      </c>
      <c r="HG101" s="5" t="str">
        <f t="shared" ca="1" si="415"/>
        <v>VIGENTE</v>
      </c>
      <c r="HH101" s="3"/>
      <c r="HI101" s="4">
        <v>45368</v>
      </c>
      <c r="HJ101" s="4">
        <f>DATE(YEAR(HI101)+5,MONTH(HI101),DAY(HI101))</f>
        <v>47194</v>
      </c>
      <c r="HK101" s="8">
        <f ca="1">HJ101-TODAY()</f>
        <v>1060</v>
      </c>
      <c r="HL101" s="5" t="str">
        <f t="shared" ca="1" si="395"/>
        <v>VIGENTE</v>
      </c>
      <c r="HM101" s="2"/>
      <c r="HN101" s="2"/>
      <c r="HO101" s="4"/>
      <c r="HP101" s="2"/>
      <c r="HQ101" s="5" t="str">
        <f t="shared" si="326"/>
        <v>NO APLICA</v>
      </c>
      <c r="HR101" s="3"/>
      <c r="HS101" s="4">
        <v>45274</v>
      </c>
      <c r="HT101" s="4">
        <f>DATE(YEAR(HS101)+5,MONTH(HS101),DAY(HS101))</f>
        <v>47101</v>
      </c>
      <c r="HU101" s="8">
        <f ca="1">HT101-TODAY()</f>
        <v>967</v>
      </c>
      <c r="HV101" s="5" t="str">
        <f t="shared" ca="1" si="327"/>
        <v>VIGENTE</v>
      </c>
      <c r="HW101" s="3"/>
      <c r="HX101" s="4">
        <v>45234</v>
      </c>
      <c r="HY101" s="4">
        <f>DATE(YEAR(HX101)+5,MONTH(HX101),DAY(HX101))</f>
        <v>47061</v>
      </c>
      <c r="HZ101" s="8">
        <f ca="1">HY101-TODAY()</f>
        <v>927</v>
      </c>
      <c r="IA101" s="5" t="str">
        <f t="shared" ca="1" si="328"/>
        <v>VIGENTE</v>
      </c>
      <c r="IB101" s="3"/>
      <c r="IC101" s="4">
        <v>45236</v>
      </c>
      <c r="ID101" s="4">
        <f>DATE(YEAR(IC101)+5,MONTH(IC101),DAY(IC101))</f>
        <v>47063</v>
      </c>
      <c r="IE101" s="8">
        <f ca="1">ID101-TODAY()</f>
        <v>929</v>
      </c>
      <c r="IF101" s="5" t="str">
        <f t="shared" ca="1" si="329"/>
        <v>VIGENTE</v>
      </c>
      <c r="IG101" s="4"/>
      <c r="IH101" s="4">
        <v>45262</v>
      </c>
      <c r="II101" s="4">
        <f>DATE(YEAR(IH101)+5,MONTH(IH101),DAY(IH101))</f>
        <v>47089</v>
      </c>
      <c r="IJ101" s="8">
        <f ca="1">II101-TODAY()</f>
        <v>955</v>
      </c>
      <c r="IK101" s="5" t="str">
        <f t="shared" ca="1" si="330"/>
        <v>VIGENTE</v>
      </c>
      <c r="IL101" s="3"/>
      <c r="IM101" s="4">
        <v>45239</v>
      </c>
      <c r="IN101" s="4">
        <f>DATE(YEAR(IM101)+5,MONTH(IM101),DAY(IM101))</f>
        <v>47066</v>
      </c>
      <c r="IO101" s="8">
        <f ca="1">IN101-TODAY()</f>
        <v>932</v>
      </c>
      <c r="IP101" s="5" t="str">
        <f t="shared" ca="1" si="331"/>
        <v>VIGENTE</v>
      </c>
      <c r="IQ101" s="3"/>
      <c r="IR101" s="4">
        <v>45233</v>
      </c>
      <c r="IS101" s="4">
        <f>DATE(YEAR(IR101)+5,MONTH(IR101),DAY(IR101))</f>
        <v>47060</v>
      </c>
      <c r="IT101" s="8">
        <f ca="1">IS101-TODAY()</f>
        <v>926</v>
      </c>
      <c r="IU101" s="5" t="str">
        <f t="shared" ca="1" si="332"/>
        <v>VIGENTE</v>
      </c>
      <c r="IV101" s="3"/>
      <c r="IW101" s="4">
        <v>45224</v>
      </c>
      <c r="IX101" s="4">
        <f>DATE(YEAR(IW101)+5,MONTH(IW101),DAY(IW101))</f>
        <v>47051</v>
      </c>
      <c r="IY101" s="8">
        <f ca="1">IX101-TODAY()</f>
        <v>917</v>
      </c>
      <c r="IZ101" s="5" t="str">
        <f t="shared" ca="1" si="333"/>
        <v>VIGENTE</v>
      </c>
      <c r="JA101" s="3"/>
      <c r="JB101" s="3"/>
      <c r="JC101" s="4"/>
      <c r="JD101" s="8"/>
      <c r="JE101" s="5" t="str">
        <f t="shared" si="334"/>
        <v>NO APLICA</v>
      </c>
      <c r="JF101" s="6"/>
      <c r="JG101" s="6"/>
      <c r="JH101" s="6"/>
      <c r="JI101" s="6"/>
      <c r="JJ101" s="5" t="str">
        <f t="shared" si="335"/>
        <v>NO APLICA</v>
      </c>
      <c r="JK101" s="6"/>
      <c r="JL101" s="6"/>
      <c r="JM101" s="6"/>
      <c r="JN101" s="6"/>
      <c r="JO101" s="5" t="str">
        <f t="shared" si="336"/>
        <v>NO APLICA</v>
      </c>
      <c r="JP101" s="6"/>
      <c r="JQ101" s="6"/>
      <c r="JR101" s="6"/>
      <c r="JS101" s="6"/>
      <c r="JT101" s="5" t="str">
        <f t="shared" si="337"/>
        <v>NO APLICA</v>
      </c>
      <c r="JU101" s="5"/>
      <c r="JV101" s="5"/>
      <c r="JW101" s="5"/>
      <c r="JX101" s="5"/>
      <c r="JY101" s="5" t="str">
        <f t="shared" si="338"/>
        <v>NO APLICA</v>
      </c>
      <c r="JZ101" s="5"/>
      <c r="KA101" s="2"/>
      <c r="KB101" s="4"/>
      <c r="KC101" s="8"/>
      <c r="KD101" s="5" t="str">
        <f t="shared" si="339"/>
        <v>NO APLICA</v>
      </c>
      <c r="KE101" s="5"/>
      <c r="KF101" s="2"/>
      <c r="KG101" s="4"/>
      <c r="KH101" s="8"/>
      <c r="KI101" s="5" t="str">
        <f t="shared" si="365"/>
        <v>NO APLICA</v>
      </c>
      <c r="KJ101" s="5"/>
      <c r="KK101" s="2"/>
      <c r="KL101" s="4"/>
      <c r="KM101" s="8"/>
      <c r="KN101" s="5" t="str">
        <f t="shared" si="340"/>
        <v>NO APLICA</v>
      </c>
      <c r="KO101" s="5"/>
      <c r="KP101" s="2"/>
      <c r="KQ101" s="4"/>
      <c r="KR101" s="8"/>
      <c r="KS101" s="5" t="str">
        <f t="shared" si="366"/>
        <v>NO APLICA</v>
      </c>
      <c r="KT101" s="2"/>
      <c r="KU101" s="6"/>
      <c r="KV101" s="4"/>
      <c r="KW101" s="8"/>
      <c r="KX101" s="5" t="str">
        <f t="shared" si="375"/>
        <v>NO APLICA</v>
      </c>
      <c r="KY101" s="5"/>
      <c r="KZ101" s="4">
        <v>44603</v>
      </c>
      <c r="LA101" s="4">
        <f>DATE(YEAR(KZ101)+5,MONTH(KZ101),DAY(KZ101))</f>
        <v>46429</v>
      </c>
      <c r="LB101" s="8">
        <f ca="1">LA101-TODAY()</f>
        <v>295</v>
      </c>
      <c r="LC101" s="5" t="str">
        <f t="shared" ca="1" si="367"/>
        <v>VIGENTE</v>
      </c>
      <c r="LD101" s="4"/>
      <c r="LE101" s="4"/>
      <c r="LF101" s="4"/>
      <c r="LG101" s="8"/>
      <c r="LH101" s="5" t="str">
        <f t="shared" si="341"/>
        <v>NO APLICA</v>
      </c>
      <c r="LI101" s="5"/>
      <c r="LJ101" s="5"/>
      <c r="LK101" s="4"/>
      <c r="LL101" s="8"/>
      <c r="LM101" s="5" t="str">
        <f t="shared" si="376"/>
        <v>NO APLICA</v>
      </c>
      <c r="LN101" s="2"/>
      <c r="LO101" s="6"/>
      <c r="LP101" s="4"/>
      <c r="LQ101" s="8"/>
      <c r="LR101" s="5" t="str">
        <f t="shared" si="368"/>
        <v>NO APLICA</v>
      </c>
      <c r="LS101" s="6"/>
      <c r="LT101" s="6"/>
      <c r="LU101" s="4"/>
      <c r="LV101" s="8"/>
      <c r="LW101" s="5" t="str">
        <f t="shared" si="369"/>
        <v>NO APLICA</v>
      </c>
      <c r="LX101" s="6"/>
      <c r="LY101" s="6"/>
      <c r="LZ101" s="4"/>
      <c r="MA101" s="8"/>
      <c r="MB101" s="5" t="str">
        <f t="shared" si="370"/>
        <v>NO APLICA</v>
      </c>
      <c r="MC101" s="2"/>
      <c r="MD101" s="2"/>
      <c r="ME101" s="4"/>
      <c r="MF101" s="8"/>
      <c r="MG101" s="5" t="str">
        <f t="shared" si="342"/>
        <v>NO APLICA</v>
      </c>
      <c r="MH101" s="2"/>
      <c r="MI101" s="2"/>
      <c r="MJ101" s="4"/>
      <c r="MK101" s="8"/>
      <c r="ML101" s="5" t="str">
        <f t="shared" si="343"/>
        <v>NO APLICA</v>
      </c>
      <c r="MM101" s="5"/>
      <c r="MN101" s="2"/>
      <c r="MO101" s="4"/>
      <c r="MP101" s="8"/>
      <c r="MQ101" s="5" t="str">
        <f t="shared" si="344"/>
        <v>NO APLICA</v>
      </c>
      <c r="MR101" s="5"/>
      <c r="MS101" s="2"/>
      <c r="MT101" s="4"/>
      <c r="MU101" s="2"/>
      <c r="MV101" s="5" t="str">
        <f t="shared" si="345"/>
        <v>NO APLICA</v>
      </c>
      <c r="MW101" s="2"/>
      <c r="MX101" s="6"/>
      <c r="MY101" s="4"/>
      <c r="MZ101" s="8"/>
      <c r="NA101" s="5" t="str">
        <f t="shared" si="346"/>
        <v>NO APLICA</v>
      </c>
      <c r="NB101" s="2"/>
      <c r="NC101" s="6"/>
      <c r="ND101" s="4"/>
      <c r="NE101" s="8"/>
      <c r="NF101" s="5" t="str">
        <f t="shared" si="347"/>
        <v>NO APLICA</v>
      </c>
      <c r="NG101" s="2"/>
      <c r="NH101" s="6"/>
      <c r="NI101" s="4"/>
      <c r="NJ101" s="8"/>
      <c r="NK101" s="5" t="str">
        <f t="shared" si="348"/>
        <v>NO APLICA</v>
      </c>
      <c r="NL101" s="2"/>
      <c r="NM101" s="2"/>
      <c r="NN101" s="4"/>
      <c r="NO101" s="8"/>
      <c r="NP101" s="5" t="str">
        <f t="shared" si="349"/>
        <v>NO APLICA</v>
      </c>
      <c r="NQ101" s="2"/>
      <c r="NR101" s="2"/>
      <c r="NS101" s="2"/>
      <c r="NT101" s="2"/>
      <c r="NU101" s="5" t="str">
        <f t="shared" si="350"/>
        <v>NO APLICA</v>
      </c>
      <c r="NV101" s="6"/>
      <c r="NW101" s="6"/>
      <c r="NX101" s="4"/>
      <c r="NY101" s="8"/>
      <c r="NZ101" s="5" t="str">
        <f t="shared" si="351"/>
        <v>NO APLICA</v>
      </c>
      <c r="OA101" s="6"/>
      <c r="OB101" s="6"/>
      <c r="OC101" s="6"/>
      <c r="OD101" s="6"/>
      <c r="OE101" s="5" t="str">
        <f t="shared" si="352"/>
        <v>NO APLICA</v>
      </c>
      <c r="OF101" s="6"/>
      <c r="OG101" s="6"/>
      <c r="OH101" s="4"/>
      <c r="OI101" s="8"/>
      <c r="OJ101" s="5" t="str">
        <f t="shared" si="353"/>
        <v>NO APLICA</v>
      </c>
      <c r="OK101" s="6"/>
      <c r="OL101" s="6"/>
      <c r="OM101" s="6"/>
      <c r="ON101" s="6"/>
      <c r="OO101" s="5" t="str">
        <f t="shared" si="354"/>
        <v>NO APLICA</v>
      </c>
      <c r="OP101" s="6"/>
      <c r="OQ101" s="6"/>
      <c r="OR101" s="6"/>
      <c r="OS101" s="6"/>
      <c r="OT101" s="5" t="str">
        <f t="shared" si="355"/>
        <v>NO APLICA</v>
      </c>
      <c r="OU101" s="6"/>
      <c r="OV101" s="6"/>
      <c r="OW101" s="6"/>
      <c r="OX101" s="6"/>
      <c r="OY101" s="5" t="str">
        <f t="shared" si="356"/>
        <v>NO APLICA</v>
      </c>
      <c r="OZ101" s="6"/>
      <c r="PA101" s="6"/>
      <c r="PB101" s="6"/>
      <c r="PC101" s="6"/>
      <c r="PD101" s="5" t="str">
        <f t="shared" si="357"/>
        <v>NO APLICA</v>
      </c>
      <c r="PE101" s="6"/>
      <c r="PF101" s="6"/>
      <c r="PG101" s="6"/>
      <c r="PH101" s="6"/>
      <c r="PI101" s="5" t="str">
        <f t="shared" si="358"/>
        <v>NO APLICA</v>
      </c>
      <c r="PJ101" s="5"/>
      <c r="PK101" s="6"/>
      <c r="PL101" s="4"/>
      <c r="PM101" s="8"/>
      <c r="PN101" s="5" t="str">
        <f t="shared" si="359"/>
        <v>NO APLICA</v>
      </c>
      <c r="PO101" s="6"/>
      <c r="PP101" s="6"/>
      <c r="PQ101" s="6"/>
      <c r="PR101" s="6"/>
      <c r="PS101" s="5" t="str">
        <f t="shared" si="360"/>
        <v>NO APLICA</v>
      </c>
      <c r="PT101" s="5"/>
      <c r="PU101" s="6"/>
      <c r="PV101" s="6"/>
      <c r="PW101" s="6"/>
      <c r="PX101" s="5" t="str">
        <f t="shared" si="361"/>
        <v>NO APLICA</v>
      </c>
    </row>
    <row r="102" spans="1:440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358</v>
      </c>
      <c r="V102" s="4">
        <v>44829</v>
      </c>
      <c r="W102" s="4">
        <f t="shared" si="248"/>
        <v>46655</v>
      </c>
      <c r="X102" s="8">
        <f t="shared" ca="1" si="249"/>
        <v>521</v>
      </c>
      <c r="Y102" s="5" t="str">
        <f t="shared" ca="1" si="250"/>
        <v>VIGENTE</v>
      </c>
      <c r="Z102" s="2" t="s">
        <v>359</v>
      </c>
      <c r="AA102" s="4">
        <v>44831</v>
      </c>
      <c r="AB102" s="4">
        <f>DATE(YEAR(AA102)+5,MONTH(AA102),DAY(AA102))</f>
        <v>46657</v>
      </c>
      <c r="AC102" s="8">
        <f ca="1">AB102-TODAY()</f>
        <v>523</v>
      </c>
      <c r="AD102" s="5" t="str">
        <f t="shared" ca="1" si="409"/>
        <v>VIGENTE</v>
      </c>
      <c r="AE102" s="3"/>
      <c r="AF102" s="4">
        <v>46006</v>
      </c>
      <c r="AG102" s="4">
        <f>DATE(YEAR(AF102)+2,MONTH(AF102),DAY(AF102))</f>
        <v>46736</v>
      </c>
      <c r="AH102" s="8">
        <f t="shared" ca="1" si="252"/>
        <v>602</v>
      </c>
      <c r="AI102" s="5" t="str">
        <f t="shared" ca="1" si="224"/>
        <v>VIGENTE</v>
      </c>
      <c r="AJ102" s="3"/>
      <c r="AK102" s="4">
        <v>45959</v>
      </c>
      <c r="AL102" s="4">
        <f>DATE(YEAR(AK102)+2,MONTH(AK102),DAY(AK102))</f>
        <v>46689</v>
      </c>
      <c r="AM102" s="8">
        <f t="shared" ca="1" si="253"/>
        <v>555</v>
      </c>
      <c r="AN102" s="5" t="str">
        <f t="shared" ca="1" si="254"/>
        <v>VIGENTE</v>
      </c>
      <c r="AO102" s="3"/>
      <c r="AP102" s="4">
        <v>45996</v>
      </c>
      <c r="AQ102" s="4">
        <f>DATE(YEAR(AP102)+2,MONTH(AP102),DAY(AP102))</f>
        <v>46726</v>
      </c>
      <c r="AR102" s="8">
        <f t="shared" ca="1" si="255"/>
        <v>592</v>
      </c>
      <c r="AS102" s="5" t="str">
        <f t="shared" ca="1" si="256"/>
        <v>VIGENTE</v>
      </c>
      <c r="AT102" s="3"/>
      <c r="AU102" s="4">
        <v>45972</v>
      </c>
      <c r="AV102" s="4">
        <f>DATE(YEAR(AU102)+2,MONTH(AU102),DAY(AU102))</f>
        <v>46702</v>
      </c>
      <c r="AW102" s="8">
        <f t="shared" ca="1" si="257"/>
        <v>568</v>
      </c>
      <c r="AX102" s="5" t="str">
        <f t="shared" ca="1" si="258"/>
        <v>VIGENTE</v>
      </c>
      <c r="AY102" s="3"/>
      <c r="AZ102" s="4">
        <v>45603</v>
      </c>
      <c r="BA102" s="4">
        <f>DATE(YEAR(AZ102)+2,MONTH(AZ102),DAY(AZ102)-1)</f>
        <v>46332</v>
      </c>
      <c r="BB102" s="8">
        <f t="shared" ca="1" si="259"/>
        <v>198</v>
      </c>
      <c r="BC102" s="5" t="str">
        <f t="shared" ca="1" si="260"/>
        <v>VIGENTE</v>
      </c>
      <c r="BD102" s="3"/>
      <c r="BE102" s="4">
        <v>46067</v>
      </c>
      <c r="BF102" s="4">
        <f>DATE(YEAR(BE102)+2,MONTH(BE102),DAY(BE102))</f>
        <v>46797</v>
      </c>
      <c r="BG102" s="8">
        <f t="shared" ca="1" si="261"/>
        <v>663</v>
      </c>
      <c r="BH102" s="5" t="str">
        <f t="shared" ca="1" si="262"/>
        <v>VIGENTE</v>
      </c>
      <c r="BI102" s="3"/>
      <c r="BJ102" s="4">
        <v>46035</v>
      </c>
      <c r="BK102" s="4">
        <f>DATE(YEAR(BJ102)+2,MONTH(BJ102),DAY(BJ102))</f>
        <v>46765</v>
      </c>
      <c r="BL102" s="8">
        <f t="shared" ca="1" si="263"/>
        <v>631</v>
      </c>
      <c r="BM102" s="5" t="str">
        <f t="shared" ca="1" si="264"/>
        <v>VIGENTE</v>
      </c>
      <c r="BN102" s="3"/>
      <c r="BO102" s="4">
        <v>46069</v>
      </c>
      <c r="BP102" s="4">
        <f>DATE(YEAR(BO102)+2,MONTH(BO102),DAY(BO102))</f>
        <v>46799</v>
      </c>
      <c r="BQ102" s="8">
        <f t="shared" ca="1" si="265"/>
        <v>665</v>
      </c>
      <c r="BR102" s="5" t="str">
        <f t="shared" ca="1" si="266"/>
        <v>VIGENTE</v>
      </c>
      <c r="BS102" s="3"/>
      <c r="BT102" s="4">
        <v>45695</v>
      </c>
      <c r="BU102" s="4">
        <f>DATE(YEAR(BT102)+2,MONTH(BT102),DAY(BT102)-1)</f>
        <v>46424</v>
      </c>
      <c r="BV102" s="8">
        <f t="shared" ca="1" si="267"/>
        <v>290</v>
      </c>
      <c r="BW102" s="5" t="str">
        <f t="shared" ca="1" si="268"/>
        <v>VIGENTE</v>
      </c>
      <c r="BX102" s="3"/>
      <c r="BY102" s="4">
        <v>45974</v>
      </c>
      <c r="BZ102" s="4">
        <f>DATE(YEAR(BY102)+2,MONTH(BY102),DAY(BY102))</f>
        <v>46704</v>
      </c>
      <c r="CA102" s="8">
        <f t="shared" ca="1" si="269"/>
        <v>570</v>
      </c>
      <c r="CB102" s="5" t="str">
        <f t="shared" ca="1" si="270"/>
        <v>VIGENTE</v>
      </c>
      <c r="CC102" s="6" t="s">
        <v>73</v>
      </c>
      <c r="CD102" s="4">
        <v>45282</v>
      </c>
      <c r="CE102" s="4">
        <f t="shared" si="397"/>
        <v>46743</v>
      </c>
      <c r="CF102" s="8">
        <f t="shared" ca="1" si="398"/>
        <v>609</v>
      </c>
      <c r="CG102" s="5" t="str">
        <f t="shared" ca="1" si="273"/>
        <v>VIGENTE</v>
      </c>
      <c r="CH102" s="4"/>
      <c r="CI102" s="4">
        <v>45688</v>
      </c>
      <c r="CJ102" s="4">
        <f>DATE(YEAR(CI102)+2,MONTH(CI102),DAY(CI102)-1)</f>
        <v>46417</v>
      </c>
      <c r="CK102" s="8">
        <f t="shared" ca="1" si="274"/>
        <v>283</v>
      </c>
      <c r="CL102" s="5" t="str">
        <f t="shared" ca="1" si="275"/>
        <v>VIGENTE</v>
      </c>
      <c r="CM102" s="3"/>
      <c r="CN102" s="4">
        <v>45726</v>
      </c>
      <c r="CO102" s="4">
        <f>DATE(YEAR(CN102)+2,MONTH(CN102),DAY(CN102)-1)</f>
        <v>46455</v>
      </c>
      <c r="CP102" s="8">
        <f t="shared" ca="1" si="276"/>
        <v>321</v>
      </c>
      <c r="CQ102" s="5" t="str">
        <f t="shared" ca="1" si="277"/>
        <v>VIGENTE</v>
      </c>
      <c r="CR102" s="3"/>
      <c r="CS102" s="4">
        <v>45631</v>
      </c>
      <c r="CT102" s="4">
        <f>DATE(YEAR(CS102)+2,MONTH(CS102),DAY(CS102)-1)</f>
        <v>46360</v>
      </c>
      <c r="CU102" s="8">
        <f t="shared" ca="1" si="278"/>
        <v>226</v>
      </c>
      <c r="CV102" s="5" t="str">
        <f t="shared" ca="1" si="279"/>
        <v>VIGENTE</v>
      </c>
      <c r="CW102" s="3"/>
      <c r="CX102" s="4">
        <v>45661</v>
      </c>
      <c r="CY102" s="4">
        <f t="shared" si="410"/>
        <v>46390</v>
      </c>
      <c r="CZ102" s="8">
        <f t="shared" ca="1" si="280"/>
        <v>256</v>
      </c>
      <c r="DA102" s="5" t="str">
        <f t="shared" ca="1" si="281"/>
        <v>VIGENTE</v>
      </c>
      <c r="DB102" s="3"/>
      <c r="DC102" s="4">
        <v>45607</v>
      </c>
      <c r="DD102" s="4">
        <f>DATE(YEAR(DC102)+2,MONTH(DC102),DAY(DC102)-1)</f>
        <v>46336</v>
      </c>
      <c r="DE102" s="8">
        <f t="shared" ca="1" si="282"/>
        <v>202</v>
      </c>
      <c r="DF102" s="5" t="str">
        <f t="shared" ca="1" si="283"/>
        <v>VIGENTE</v>
      </c>
      <c r="DG102" s="3"/>
      <c r="DH102" s="4">
        <v>45580</v>
      </c>
      <c r="DI102" s="4">
        <f>DATE(YEAR(DH102)+2,MONTH(DH102),DAY(DH102)-1)</f>
        <v>46309</v>
      </c>
      <c r="DJ102" s="8">
        <f t="shared" ca="1" si="284"/>
        <v>175</v>
      </c>
      <c r="DK102" s="5" t="str">
        <f t="shared" ca="1" si="285"/>
        <v>VIGENTE</v>
      </c>
      <c r="DL102" s="3"/>
      <c r="DM102" s="4">
        <v>46008</v>
      </c>
      <c r="DN102" s="4">
        <f>DATE(YEAR(DM102)+2,MONTH(DM102),DAY(DM102))</f>
        <v>46738</v>
      </c>
      <c r="DO102" s="8">
        <f t="shared" ca="1" si="286"/>
        <v>604</v>
      </c>
      <c r="DP102" s="5" t="str">
        <f t="shared" ca="1" si="287"/>
        <v>VIGENTE</v>
      </c>
      <c r="DQ102" s="3"/>
      <c r="DR102" s="4">
        <v>45685</v>
      </c>
      <c r="DS102" s="4">
        <f>DATE(YEAR(DR102)+2,MONTH(DR102),DAY(DR102)-1)</f>
        <v>46414</v>
      </c>
      <c r="DT102" s="8">
        <f t="shared" ca="1" si="288"/>
        <v>280</v>
      </c>
      <c r="DU102" s="5" t="str">
        <f t="shared" ca="1" si="289"/>
        <v>VIGENTE</v>
      </c>
      <c r="DV102" s="3"/>
      <c r="DW102" s="4">
        <v>45663</v>
      </c>
      <c r="DX102" s="4">
        <f>DATE(YEAR(DW102)+2,MONTH(DW102),DAY(DW102)-1)</f>
        <v>46392</v>
      </c>
      <c r="DY102" s="8">
        <f t="shared" ca="1" si="290"/>
        <v>258</v>
      </c>
      <c r="DZ102" s="5" t="str">
        <f t="shared" ca="1" si="291"/>
        <v>VIGENTE</v>
      </c>
      <c r="EA102" s="3"/>
      <c r="EB102" s="4">
        <v>45674</v>
      </c>
      <c r="EC102" s="4">
        <f>DATE(YEAR(EB102)+2,MONTH(EB102),DAY(EB102)-1)</f>
        <v>46403</v>
      </c>
      <c r="ED102" s="8">
        <f t="shared" ca="1" si="292"/>
        <v>269</v>
      </c>
      <c r="EE102" s="5" t="str">
        <f t="shared" ca="1" si="293"/>
        <v>VIGENTE</v>
      </c>
      <c r="EF102" s="3"/>
      <c r="EG102" s="3">
        <v>46085</v>
      </c>
      <c r="EH102" s="4">
        <f t="shared" si="364"/>
        <v>46450</v>
      </c>
      <c r="EI102" s="8">
        <f t="shared" ca="1" si="294"/>
        <v>316</v>
      </c>
      <c r="EJ102" s="5" t="str">
        <f t="shared" ca="1" si="295"/>
        <v>VIGENTE</v>
      </c>
      <c r="EK102" s="3"/>
      <c r="EL102" s="4">
        <v>45612</v>
      </c>
      <c r="EM102" s="4">
        <f>DATE(YEAR(EL102)+2,MONTH(EL102),DAY(EL102)-1)</f>
        <v>46341</v>
      </c>
      <c r="EN102" s="8">
        <f t="shared" ca="1" si="296"/>
        <v>207</v>
      </c>
      <c r="EO102" s="5" t="str">
        <f t="shared" ca="1" si="297"/>
        <v>VIGENTE</v>
      </c>
      <c r="EP102" s="2"/>
      <c r="EQ102" s="4">
        <v>45755</v>
      </c>
      <c r="ER102" s="4">
        <f>DATE(YEAR(EQ102)+2,MONTH(EQ102),DAY(EQ102)-1)</f>
        <v>46484</v>
      </c>
      <c r="ES102" s="8">
        <f t="shared" ca="1" si="298"/>
        <v>350</v>
      </c>
      <c r="ET102" s="5" t="str">
        <f t="shared" ca="1" si="299"/>
        <v>VIGENTE</v>
      </c>
      <c r="EU102" s="3"/>
      <c r="EV102" s="4">
        <v>45973</v>
      </c>
      <c r="EW102" s="4">
        <f>DATE(YEAR(EV102)+2,MONTH(EV102),DAY(EV102))</f>
        <v>46703</v>
      </c>
      <c r="EX102" s="8">
        <f t="shared" ca="1" si="300"/>
        <v>569</v>
      </c>
      <c r="EY102" s="5" t="str">
        <f t="shared" ca="1" si="301"/>
        <v>VIGENTE</v>
      </c>
      <c r="EZ102" s="3"/>
      <c r="FA102" s="4">
        <v>46017</v>
      </c>
      <c r="FB102" s="4">
        <f>DATE(YEAR(FA102)+2,MONTH(FA102),DAY(FA102))</f>
        <v>46747</v>
      </c>
      <c r="FC102" s="8">
        <f t="shared" ca="1" si="302"/>
        <v>613</v>
      </c>
      <c r="FD102" s="5" t="str">
        <f t="shared" ca="1" si="303"/>
        <v>VIGENTE</v>
      </c>
      <c r="FE102" s="3"/>
      <c r="FF102" s="4">
        <v>46009</v>
      </c>
      <c r="FG102" s="4">
        <f>DATE(YEAR(FF102)+2,MONTH(FF102),DAY(FF102))</f>
        <v>46739</v>
      </c>
      <c r="FH102" s="8">
        <f t="shared" ca="1" si="304"/>
        <v>605</v>
      </c>
      <c r="FI102" s="5" t="str">
        <f t="shared" ca="1" si="305"/>
        <v>VIGENTE</v>
      </c>
      <c r="FJ102" s="3"/>
      <c r="FK102" s="4">
        <v>45637</v>
      </c>
      <c r="FL102" s="4">
        <f>DATE(YEAR(FK102)+2,MONTH(FK102),DAY(FK102)-1)</f>
        <v>46366</v>
      </c>
      <c r="FM102" s="8">
        <f t="shared" ca="1" si="306"/>
        <v>232</v>
      </c>
      <c r="FN102" s="5" t="str">
        <f t="shared" ca="1" si="307"/>
        <v>VIGENTE</v>
      </c>
      <c r="FO102" s="3"/>
      <c r="FP102" s="4">
        <v>45605</v>
      </c>
      <c r="FQ102" s="4">
        <f>DATE(YEAR(FP102)+2,MONTH(FP102),DAY(FP102)-1)</f>
        <v>46334</v>
      </c>
      <c r="FR102" s="8">
        <f t="shared" ca="1" si="308"/>
        <v>200</v>
      </c>
      <c r="FS102" s="5" t="str">
        <f t="shared" ca="1" si="309"/>
        <v>VIGENTE</v>
      </c>
      <c r="FT102" s="3"/>
      <c r="FU102" s="4">
        <v>45587</v>
      </c>
      <c r="FV102" s="4">
        <f t="shared" si="411"/>
        <v>46316</v>
      </c>
      <c r="FW102" s="8">
        <f t="shared" ca="1" si="310"/>
        <v>182</v>
      </c>
      <c r="FX102" s="5" t="str">
        <f t="shared" ca="1" si="311"/>
        <v>VIGENTE</v>
      </c>
      <c r="FY102" s="3"/>
      <c r="FZ102" s="4">
        <v>45595</v>
      </c>
      <c r="GA102" s="4">
        <f>DATE(YEAR(FZ102)+2,MONTH(FZ102),DAY(FZ102)-1)</f>
        <v>46324</v>
      </c>
      <c r="GB102" s="8">
        <f t="shared" ca="1" si="312"/>
        <v>190</v>
      </c>
      <c r="GC102" s="5" t="str">
        <f t="shared" ca="1" si="313"/>
        <v>VIGENTE</v>
      </c>
      <c r="GD102" s="3"/>
      <c r="GE102" s="4">
        <v>45498</v>
      </c>
      <c r="GF102" s="4">
        <f>DATE(YEAR(GE102)+2,MONTH(GE102),DAY(GE102)-1)</f>
        <v>46227</v>
      </c>
      <c r="GG102" s="8">
        <f t="shared" ca="1" si="314"/>
        <v>93</v>
      </c>
      <c r="GH102" s="5" t="str">
        <f t="shared" ca="1" si="315"/>
        <v>VIGENTE</v>
      </c>
      <c r="GI102" s="3"/>
      <c r="GJ102" s="4">
        <v>45958</v>
      </c>
      <c r="GK102" s="4">
        <f>DATE(YEAR(GJ102)+2,MONTH(GJ102),DAY(GJ102))</f>
        <v>46688</v>
      </c>
      <c r="GL102" s="8">
        <f t="shared" ca="1" si="316"/>
        <v>554</v>
      </c>
      <c r="GM102" s="5" t="str">
        <f t="shared" ca="1" si="317"/>
        <v>VIGENTE</v>
      </c>
      <c r="GN102" s="4"/>
      <c r="GO102" s="4">
        <v>45283</v>
      </c>
      <c r="GP102" s="4">
        <f t="shared" si="318"/>
        <v>47110</v>
      </c>
      <c r="GQ102" s="8">
        <f t="shared" ca="1" si="394"/>
        <v>976</v>
      </c>
      <c r="GR102" s="5" t="str">
        <f t="shared" ca="1" si="388"/>
        <v>VIGENTE</v>
      </c>
      <c r="GS102" s="3"/>
      <c r="GT102" s="4">
        <v>45252</v>
      </c>
      <c r="GU102" s="4">
        <f t="shared" si="320"/>
        <v>47079</v>
      </c>
      <c r="GV102" s="8">
        <f t="shared" ca="1" si="321"/>
        <v>945</v>
      </c>
      <c r="GW102" s="5" t="str">
        <f t="shared" ca="1" si="389"/>
        <v>VIGENTE</v>
      </c>
      <c r="GX102" s="3"/>
      <c r="GY102" s="4">
        <v>45251</v>
      </c>
      <c r="GZ102" s="4">
        <f t="shared" si="323"/>
        <v>47078</v>
      </c>
      <c r="HA102" s="8">
        <f t="shared" ca="1" si="324"/>
        <v>944</v>
      </c>
      <c r="HB102" s="5" t="str">
        <f t="shared" ca="1" si="414"/>
        <v>VIGENTE</v>
      </c>
      <c r="HC102" s="6"/>
      <c r="HD102" s="4">
        <v>44862</v>
      </c>
      <c r="HE102" s="4">
        <f t="shared" si="412"/>
        <v>46688</v>
      </c>
      <c r="HF102" s="8">
        <f t="shared" ca="1" si="413"/>
        <v>554</v>
      </c>
      <c r="HG102" s="5" t="str">
        <f t="shared" ca="1" si="415"/>
        <v>VIGENTE</v>
      </c>
      <c r="HH102" s="3"/>
      <c r="HI102" s="4">
        <v>45341</v>
      </c>
      <c r="HJ102" s="4">
        <f>DATE(YEAR(HI102)+5,MONTH(HI102),DAY(HI102))</f>
        <v>47168</v>
      </c>
      <c r="HK102" s="8">
        <f ca="1">HJ102-TODAY()</f>
        <v>1034</v>
      </c>
      <c r="HL102" s="5" t="str">
        <f t="shared" ca="1" si="395"/>
        <v>VIGENTE</v>
      </c>
      <c r="HM102" s="2"/>
      <c r="HN102" s="3">
        <v>45386</v>
      </c>
      <c r="HO102" s="4">
        <f>DATE(YEAR(HN102)+5,MONTH(HN102),DAY(HN102))</f>
        <v>47212</v>
      </c>
      <c r="HP102" s="8">
        <f ca="1">HO102-TODAY()</f>
        <v>1078</v>
      </c>
      <c r="HQ102" s="5" t="str">
        <f t="shared" ca="1" si="326"/>
        <v>VIGENTE</v>
      </c>
      <c r="HR102" s="3"/>
      <c r="HS102" s="4">
        <v>45469</v>
      </c>
      <c r="HT102" s="4">
        <f>DATE(YEAR(HS102)+5,MONTH(HS102),DAY(HS102))</f>
        <v>47295</v>
      </c>
      <c r="HU102" s="8">
        <f ca="1">HT102-TODAY()</f>
        <v>1161</v>
      </c>
      <c r="HV102" s="5" t="str">
        <f t="shared" ca="1" si="327"/>
        <v>VIGENTE</v>
      </c>
      <c r="HW102" s="3"/>
      <c r="HX102" s="4">
        <v>45223</v>
      </c>
      <c r="HY102" s="4">
        <f>DATE(YEAR(HX102)+5,MONTH(HX102),DAY(HX102))</f>
        <v>47050</v>
      </c>
      <c r="HZ102" s="8">
        <f ca="1">HY102-TODAY()</f>
        <v>916</v>
      </c>
      <c r="IA102" s="5" t="str">
        <f t="shared" ca="1" si="328"/>
        <v>VIGENTE</v>
      </c>
      <c r="IB102" s="3"/>
      <c r="IC102" s="4">
        <v>45192</v>
      </c>
      <c r="ID102" s="4">
        <f>DATE(YEAR(IC102)+5,MONTH(IC102),DAY(IC102))</f>
        <v>47019</v>
      </c>
      <c r="IE102" s="8">
        <f ca="1">ID102-TODAY()</f>
        <v>885</v>
      </c>
      <c r="IF102" s="5" t="str">
        <f t="shared" ca="1" si="329"/>
        <v>VIGENTE</v>
      </c>
      <c r="IG102" s="4"/>
      <c r="IH102" s="4">
        <v>45455</v>
      </c>
      <c r="II102" s="4">
        <f>DATE(YEAR(IH102)+5,MONTH(IH102),DAY(IH102))</f>
        <v>47281</v>
      </c>
      <c r="IJ102" s="8">
        <f ca="1">II102-TODAY()</f>
        <v>1147</v>
      </c>
      <c r="IK102" s="5" t="str">
        <f t="shared" ca="1" si="330"/>
        <v>VIGENTE</v>
      </c>
      <c r="IL102" s="3"/>
      <c r="IM102" s="4">
        <v>45490</v>
      </c>
      <c r="IN102" s="4">
        <f>DATE(YEAR(IM102)+5,MONTH(IM102),DAY(IM102))</f>
        <v>47316</v>
      </c>
      <c r="IO102" s="8">
        <f ca="1">IN102-TODAY()</f>
        <v>1182</v>
      </c>
      <c r="IP102" s="5" t="str">
        <f t="shared" ca="1" si="331"/>
        <v>VIGENTE</v>
      </c>
      <c r="IQ102" s="3"/>
      <c r="IR102" s="4">
        <v>45191</v>
      </c>
      <c r="IS102" s="4">
        <f>DATE(YEAR(IR102)+5,MONTH(IR102),DAY(IR102))</f>
        <v>47018</v>
      </c>
      <c r="IT102" s="8">
        <f ca="1">IS102-TODAY()</f>
        <v>884</v>
      </c>
      <c r="IU102" s="5" t="str">
        <f t="shared" ca="1" si="332"/>
        <v>VIGENTE</v>
      </c>
      <c r="IV102" s="3"/>
      <c r="IW102" s="4">
        <v>45224</v>
      </c>
      <c r="IX102" s="4">
        <f>DATE(YEAR(IW102)+5,MONTH(IW102),DAY(IW102))</f>
        <v>47051</v>
      </c>
      <c r="IY102" s="8">
        <f ca="1">IX102-TODAY()</f>
        <v>917</v>
      </c>
      <c r="IZ102" s="5" t="str">
        <f t="shared" ca="1" si="333"/>
        <v>VIGENTE</v>
      </c>
      <c r="JA102" s="3"/>
      <c r="JB102" s="3"/>
      <c r="JC102" s="4"/>
      <c r="JD102" s="8"/>
      <c r="JE102" s="5" t="str">
        <f t="shared" si="334"/>
        <v>NO APLICA</v>
      </c>
      <c r="JF102" s="6"/>
      <c r="JG102" s="6"/>
      <c r="JH102" s="6"/>
      <c r="JI102" s="6"/>
      <c r="JJ102" s="5" t="str">
        <f t="shared" si="335"/>
        <v>NO APLICA</v>
      </c>
      <c r="JK102" s="6"/>
      <c r="JL102" s="6"/>
      <c r="JM102" s="6"/>
      <c r="JN102" s="6"/>
      <c r="JO102" s="5" t="str">
        <f t="shared" si="336"/>
        <v>NO APLICA</v>
      </c>
      <c r="JP102" s="6"/>
      <c r="JQ102" s="6"/>
      <c r="JR102" s="6"/>
      <c r="JS102" s="6"/>
      <c r="JT102" s="5" t="str">
        <f t="shared" si="337"/>
        <v>NO APLICA</v>
      </c>
      <c r="JU102" s="5"/>
      <c r="JV102" s="3"/>
      <c r="JW102" s="4"/>
      <c r="JX102" s="8"/>
      <c r="JY102" s="5" t="str">
        <f t="shared" si="338"/>
        <v>NO APLICA</v>
      </c>
      <c r="JZ102" s="5"/>
      <c r="KA102" s="2"/>
      <c r="KB102" s="4"/>
      <c r="KC102" s="8"/>
      <c r="KD102" s="5" t="str">
        <f t="shared" si="339"/>
        <v>NO APLICA</v>
      </c>
      <c r="KE102" s="5"/>
      <c r="KF102" s="2"/>
      <c r="KG102" s="4"/>
      <c r="KH102" s="8"/>
      <c r="KI102" s="5" t="str">
        <f t="shared" si="365"/>
        <v>NO APLICA</v>
      </c>
      <c r="KJ102" s="5"/>
      <c r="KK102" s="2"/>
      <c r="KL102" s="4"/>
      <c r="KM102" s="8"/>
      <c r="KN102" s="5" t="str">
        <f t="shared" si="340"/>
        <v>NO APLICA</v>
      </c>
      <c r="KO102" s="5"/>
      <c r="KP102" s="2"/>
      <c r="KQ102" s="4"/>
      <c r="KR102" s="8"/>
      <c r="KS102" s="5" t="str">
        <f t="shared" si="366"/>
        <v>NO APLICA</v>
      </c>
      <c r="KT102" s="3"/>
      <c r="KU102" s="4">
        <v>44656</v>
      </c>
      <c r="KV102" s="4">
        <f>DATE(YEAR(KU102)+5,MONTH(KU102),DAY(KU102))</f>
        <v>46482</v>
      </c>
      <c r="KW102" s="8">
        <f ca="1">KV102-TODAY()</f>
        <v>348</v>
      </c>
      <c r="KX102" s="5" t="str">
        <f t="shared" ca="1" si="375"/>
        <v>VIGENTE</v>
      </c>
      <c r="KY102" s="5"/>
      <c r="KZ102" s="6"/>
      <c r="LA102" s="4"/>
      <c r="LB102" s="8"/>
      <c r="LC102" s="5" t="str">
        <f t="shared" si="367"/>
        <v>NO APLICA</v>
      </c>
      <c r="LD102" s="4"/>
      <c r="LE102" s="4"/>
      <c r="LF102" s="4"/>
      <c r="LG102" s="8"/>
      <c r="LH102" s="5" t="str">
        <f t="shared" si="341"/>
        <v>NO APLICA</v>
      </c>
      <c r="LI102" s="5"/>
      <c r="LJ102" s="5"/>
      <c r="LK102" s="4"/>
      <c r="LL102" s="8"/>
      <c r="LM102" s="5" t="str">
        <f t="shared" si="376"/>
        <v>NO APLICA</v>
      </c>
      <c r="LN102" s="2"/>
      <c r="LO102" s="6"/>
      <c r="LP102" s="4"/>
      <c r="LQ102" s="8"/>
      <c r="LR102" s="5" t="str">
        <f t="shared" si="368"/>
        <v>NO APLICA</v>
      </c>
      <c r="LS102" s="6"/>
      <c r="LT102" s="6"/>
      <c r="LU102" s="4"/>
      <c r="LV102" s="8"/>
      <c r="LW102" s="5" t="str">
        <f t="shared" si="369"/>
        <v>NO APLICA</v>
      </c>
      <c r="LX102" s="6"/>
      <c r="LY102" s="6"/>
      <c r="LZ102" s="4"/>
      <c r="MA102" s="8"/>
      <c r="MB102" s="5" t="str">
        <f t="shared" si="370"/>
        <v>NO APLICA</v>
      </c>
      <c r="MC102" s="2"/>
      <c r="MD102" s="2"/>
      <c r="ME102" s="4"/>
      <c r="MF102" s="8"/>
      <c r="MG102" s="5" t="str">
        <f t="shared" si="342"/>
        <v>NO APLICA</v>
      </c>
      <c r="MH102" s="2"/>
      <c r="MI102" s="2"/>
      <c r="MJ102" s="4"/>
      <c r="MK102" s="8"/>
      <c r="ML102" s="5" t="str">
        <f t="shared" si="343"/>
        <v>NO APLICA</v>
      </c>
      <c r="MM102" s="5"/>
      <c r="MN102" s="2"/>
      <c r="MO102" s="4"/>
      <c r="MP102" s="8"/>
      <c r="MQ102" s="5" t="str">
        <f t="shared" si="344"/>
        <v>NO APLICA</v>
      </c>
      <c r="MR102" s="5"/>
      <c r="MS102" s="2"/>
      <c r="MT102" s="4"/>
      <c r="MU102" s="2"/>
      <c r="MV102" s="5" t="str">
        <f t="shared" si="345"/>
        <v>NO APLICA</v>
      </c>
      <c r="MW102" s="2"/>
      <c r="MX102" s="6"/>
      <c r="MY102" s="4"/>
      <c r="MZ102" s="8"/>
      <c r="NA102" s="5" t="str">
        <f t="shared" si="346"/>
        <v>NO APLICA</v>
      </c>
      <c r="NB102" s="2"/>
      <c r="NC102" s="6"/>
      <c r="ND102" s="4"/>
      <c r="NE102" s="8"/>
      <c r="NF102" s="5" t="str">
        <f t="shared" si="347"/>
        <v>NO APLICA</v>
      </c>
      <c r="NG102" s="2"/>
      <c r="NH102" s="6"/>
      <c r="NI102" s="4"/>
      <c r="NJ102" s="8"/>
      <c r="NK102" s="5" t="str">
        <f t="shared" si="348"/>
        <v>NO APLICA</v>
      </c>
      <c r="NL102" s="2"/>
      <c r="NM102" s="2"/>
      <c r="NN102" s="4"/>
      <c r="NO102" s="8"/>
      <c r="NP102" s="5" t="str">
        <f t="shared" si="349"/>
        <v>NO APLICA</v>
      </c>
      <c r="NQ102" s="2"/>
      <c r="NR102" s="2"/>
      <c r="NS102" s="2"/>
      <c r="NT102" s="2"/>
      <c r="NU102" s="5" t="str">
        <f t="shared" si="350"/>
        <v>NO APLICA</v>
      </c>
      <c r="NV102" s="6"/>
      <c r="NW102" s="6"/>
      <c r="NX102" s="4"/>
      <c r="NY102" s="8"/>
      <c r="NZ102" s="5" t="str">
        <f t="shared" si="351"/>
        <v>NO APLICA</v>
      </c>
      <c r="OA102" s="6"/>
      <c r="OB102" s="6"/>
      <c r="OC102" s="6"/>
      <c r="OD102" s="6"/>
      <c r="OE102" s="5" t="str">
        <f t="shared" si="352"/>
        <v>NO APLICA</v>
      </c>
      <c r="OF102" s="6"/>
      <c r="OG102" s="6"/>
      <c r="OH102" s="4"/>
      <c r="OI102" s="8"/>
      <c r="OJ102" s="5" t="str">
        <f t="shared" si="353"/>
        <v>NO APLICA</v>
      </c>
      <c r="OK102" s="6"/>
      <c r="OL102" s="6"/>
      <c r="OM102" s="6"/>
      <c r="ON102" s="6"/>
      <c r="OO102" s="5" t="str">
        <f t="shared" si="354"/>
        <v>NO APLICA</v>
      </c>
      <c r="OP102" s="6"/>
      <c r="OQ102" s="6"/>
      <c r="OR102" s="6"/>
      <c r="OS102" s="6"/>
      <c r="OT102" s="5" t="str">
        <f t="shared" si="355"/>
        <v>NO APLICA</v>
      </c>
      <c r="OU102" s="6"/>
      <c r="OV102" s="6"/>
      <c r="OW102" s="6"/>
      <c r="OX102" s="6"/>
      <c r="OY102" s="5" t="str">
        <f t="shared" si="356"/>
        <v>NO APLICA</v>
      </c>
      <c r="OZ102" s="6"/>
      <c r="PA102" s="6"/>
      <c r="PB102" s="6"/>
      <c r="PC102" s="6"/>
      <c r="PD102" s="5" t="str">
        <f t="shared" si="357"/>
        <v>NO APLICA</v>
      </c>
      <c r="PE102" s="6"/>
      <c r="PF102" s="6"/>
      <c r="PG102" s="6"/>
      <c r="PH102" s="6"/>
      <c r="PI102" s="5" t="str">
        <f t="shared" si="358"/>
        <v>NO APLICA</v>
      </c>
      <c r="PJ102" s="5"/>
      <c r="PK102" s="6"/>
      <c r="PL102" s="4"/>
      <c r="PM102" s="8"/>
      <c r="PN102" s="5" t="str">
        <f t="shared" si="359"/>
        <v>NO APLICA</v>
      </c>
      <c r="PO102" s="6"/>
      <c r="PP102" s="6"/>
      <c r="PQ102" s="6"/>
      <c r="PR102" s="6"/>
      <c r="PS102" s="5" t="str">
        <f t="shared" si="360"/>
        <v>NO APLICA</v>
      </c>
      <c r="PT102" s="5"/>
      <c r="PU102" s="6"/>
      <c r="PV102" s="6"/>
      <c r="PW102" s="6"/>
      <c r="PX102" s="5" t="str">
        <f t="shared" si="361"/>
        <v>NO APLICA</v>
      </c>
    </row>
    <row r="103" spans="1:440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353</v>
      </c>
      <c r="T103" s="5" t="str">
        <f t="shared" ca="1" si="362"/>
        <v>VIGENTE</v>
      </c>
      <c r="U103" s="2" t="s">
        <v>361</v>
      </c>
      <c r="V103" s="4">
        <v>44918</v>
      </c>
      <c r="W103" s="4">
        <f t="shared" si="248"/>
        <v>46744</v>
      </c>
      <c r="X103" s="8">
        <f t="shared" ca="1" si="249"/>
        <v>610</v>
      </c>
      <c r="Y103" s="5" t="str">
        <f t="shared" ca="1" si="250"/>
        <v>VIGENTE</v>
      </c>
      <c r="Z103" s="2" t="s">
        <v>362</v>
      </c>
      <c r="AA103" s="4">
        <v>44988</v>
      </c>
      <c r="AB103" s="4">
        <f>DATE(YEAR(AA103)+5,MONTH(AA103),DAY(AA103))</f>
        <v>46815</v>
      </c>
      <c r="AC103" s="8">
        <f ca="1">AB103-TODAY()</f>
        <v>681</v>
      </c>
      <c r="AD103" s="5" t="str">
        <f t="shared" ca="1" si="409"/>
        <v>VIGENTE</v>
      </c>
      <c r="AE103" s="3"/>
      <c r="AF103" s="4">
        <v>45594</v>
      </c>
      <c r="AG103" s="4">
        <f>DATE(YEAR(AF103)+2,MONTH(AF103),DAY(AF103)-1)</f>
        <v>46323</v>
      </c>
      <c r="AH103" s="8">
        <f t="shared" ca="1" si="252"/>
        <v>189</v>
      </c>
      <c r="AI103" s="5" t="str">
        <f t="shared" ca="1" si="224"/>
        <v>VIGENTE</v>
      </c>
      <c r="AJ103" s="3"/>
      <c r="AK103" s="4">
        <v>45710</v>
      </c>
      <c r="AL103" s="4">
        <f>DATE(YEAR(AK103)+2,MONTH(AK103),DAY(AK103)-1)</f>
        <v>46439</v>
      </c>
      <c r="AM103" s="8">
        <f t="shared" ca="1" si="253"/>
        <v>305</v>
      </c>
      <c r="AN103" s="5" t="str">
        <f t="shared" ca="1" si="254"/>
        <v>VIGENTE</v>
      </c>
      <c r="AO103" s="3"/>
      <c r="AP103" s="4">
        <v>45703</v>
      </c>
      <c r="AQ103" s="4">
        <f>DATE(YEAR(AP103)+2,MONTH(AP103),DAY(AP103)-1)</f>
        <v>46432</v>
      </c>
      <c r="AR103" s="8">
        <f t="shared" ca="1" si="255"/>
        <v>298</v>
      </c>
      <c r="AS103" s="5" t="str">
        <f t="shared" ca="1" si="256"/>
        <v>VIGENTE</v>
      </c>
      <c r="AT103" s="3"/>
      <c r="AU103" s="4">
        <v>45702</v>
      </c>
      <c r="AV103" s="4">
        <f>DATE(YEAR(AU103)+2,MONTH(AU103),DAY(AU103)-1)</f>
        <v>46431</v>
      </c>
      <c r="AW103" s="8">
        <f t="shared" ca="1" si="257"/>
        <v>297</v>
      </c>
      <c r="AX103" s="5" t="str">
        <f t="shared" ca="1" si="258"/>
        <v>VIGENTE</v>
      </c>
      <c r="AY103" s="3"/>
      <c r="AZ103" s="4">
        <v>45603</v>
      </c>
      <c r="BA103" s="4">
        <f>DATE(YEAR(AZ103)+2,MONTH(AZ103),DAY(AZ103)-1)</f>
        <v>46332</v>
      </c>
      <c r="BB103" s="8">
        <f t="shared" ca="1" si="259"/>
        <v>198</v>
      </c>
      <c r="BC103" s="5" t="str">
        <f t="shared" ca="1" si="260"/>
        <v>VIGENTE</v>
      </c>
      <c r="BD103" s="3"/>
      <c r="BE103" s="4">
        <v>45605</v>
      </c>
      <c r="BF103" s="4">
        <f>DATE(YEAR(BE103)+2,MONTH(BE103),DAY(BE103)-1)</f>
        <v>46334</v>
      </c>
      <c r="BG103" s="8">
        <f t="shared" ca="1" si="261"/>
        <v>200</v>
      </c>
      <c r="BH103" s="5" t="str">
        <f t="shared" ca="1" si="262"/>
        <v>VIGENTE</v>
      </c>
      <c r="BI103" s="3"/>
      <c r="BJ103" s="4">
        <v>45600</v>
      </c>
      <c r="BK103" s="4">
        <f>DATE(YEAR(BJ103)+2,MONTH(BJ103),DAY(BJ103)-1)</f>
        <v>46329</v>
      </c>
      <c r="BL103" s="8">
        <f t="shared" ca="1" si="263"/>
        <v>195</v>
      </c>
      <c r="BM103" s="5" t="str">
        <f t="shared" ca="1" si="264"/>
        <v>VIGENTE</v>
      </c>
      <c r="BN103" s="3"/>
      <c r="BO103" s="4">
        <v>45701</v>
      </c>
      <c r="BP103" s="4">
        <f>DATE(YEAR(BO103)+2,MONTH(BO103),DAY(BO103)-1)</f>
        <v>46430</v>
      </c>
      <c r="BQ103" s="8">
        <f t="shared" ca="1" si="265"/>
        <v>296</v>
      </c>
      <c r="BR103" s="5" t="str">
        <f t="shared" ca="1" si="266"/>
        <v>VIGENTE</v>
      </c>
      <c r="BS103" s="3"/>
      <c r="BT103" s="4">
        <v>45572</v>
      </c>
      <c r="BU103" s="4">
        <f>DATE(YEAR(BT103)+2,MONTH(BT103),DAY(BT103)-1)</f>
        <v>46301</v>
      </c>
      <c r="BV103" s="8">
        <f t="shared" ca="1" si="267"/>
        <v>167</v>
      </c>
      <c r="BW103" s="5" t="str">
        <f t="shared" ca="1" si="268"/>
        <v>VIGENTE</v>
      </c>
      <c r="BX103" s="3"/>
      <c r="BY103" s="4">
        <v>45629</v>
      </c>
      <c r="BZ103" s="4">
        <f>DATE(YEAR(BY103)+2,MONTH(BY103),DAY(BY103)-1)</f>
        <v>46358</v>
      </c>
      <c r="CA103" s="8">
        <f t="shared" ca="1" si="269"/>
        <v>224</v>
      </c>
      <c r="CB103" s="5" t="str">
        <f t="shared" ca="1" si="270"/>
        <v>VIGENTE</v>
      </c>
      <c r="CC103" s="6" t="s">
        <v>73</v>
      </c>
      <c r="CD103" s="4">
        <v>45282</v>
      </c>
      <c r="CE103" s="4">
        <f t="shared" si="397"/>
        <v>46743</v>
      </c>
      <c r="CF103" s="8">
        <f t="shared" ca="1" si="398"/>
        <v>609</v>
      </c>
      <c r="CG103" s="5" t="str">
        <f t="shared" ca="1" si="273"/>
        <v>VIGENTE</v>
      </c>
      <c r="CH103" s="4"/>
      <c r="CI103" s="4">
        <v>45601</v>
      </c>
      <c r="CJ103" s="4">
        <f>DATE(YEAR(CI103)+2,MONTH(CI103),DAY(CI103)-1)</f>
        <v>46330</v>
      </c>
      <c r="CK103" s="8">
        <f t="shared" ca="1" si="274"/>
        <v>196</v>
      </c>
      <c r="CL103" s="5" t="str">
        <f t="shared" ca="1" si="275"/>
        <v>VIGENTE</v>
      </c>
      <c r="CM103" s="3"/>
      <c r="CN103" s="4">
        <v>45618</v>
      </c>
      <c r="CO103" s="4">
        <f>DATE(YEAR(CN103)+2,MONTH(CN103),DAY(CN103)-1)</f>
        <v>46347</v>
      </c>
      <c r="CP103" s="8">
        <f t="shared" ca="1" si="276"/>
        <v>213</v>
      </c>
      <c r="CQ103" s="5" t="str">
        <f t="shared" ca="1" si="277"/>
        <v>VIGENTE</v>
      </c>
      <c r="CR103" s="3"/>
      <c r="CS103" s="4">
        <v>45631</v>
      </c>
      <c r="CT103" s="4">
        <f>DATE(YEAR(CS103)+2,MONTH(CS103),DAY(CS103)-1)</f>
        <v>46360</v>
      </c>
      <c r="CU103" s="8">
        <f t="shared" ca="1" si="278"/>
        <v>226</v>
      </c>
      <c r="CV103" s="5" t="str">
        <f t="shared" ca="1" si="279"/>
        <v>VIGENTE</v>
      </c>
      <c r="CW103" s="3"/>
      <c r="CX103" s="4">
        <v>45646</v>
      </c>
      <c r="CY103" s="4">
        <f t="shared" si="410"/>
        <v>46375</v>
      </c>
      <c r="CZ103" s="8">
        <f t="shared" ca="1" si="280"/>
        <v>241</v>
      </c>
      <c r="DA103" s="5" t="str">
        <f t="shared" ca="1" si="281"/>
        <v>VIGENTE</v>
      </c>
      <c r="DB103" s="3"/>
      <c r="DC103" s="4">
        <v>45689</v>
      </c>
      <c r="DD103" s="4">
        <f>DATE(YEAR(DC103)+2,MONTH(DC103),DAY(DC103)-1)</f>
        <v>46418</v>
      </c>
      <c r="DE103" s="8">
        <f t="shared" ca="1" si="282"/>
        <v>284</v>
      </c>
      <c r="DF103" s="5" t="str">
        <f t="shared" ca="1" si="283"/>
        <v>VIGENTE</v>
      </c>
      <c r="DG103" s="3"/>
      <c r="DH103" s="4">
        <v>45696</v>
      </c>
      <c r="DI103" s="4">
        <f>DATE(YEAR(DH103)+2,MONTH(DH103),DAY(DH103)-1)</f>
        <v>46425</v>
      </c>
      <c r="DJ103" s="8">
        <f t="shared" ca="1" si="284"/>
        <v>291</v>
      </c>
      <c r="DK103" s="5" t="str">
        <f t="shared" ca="1" si="285"/>
        <v>VIGENTE</v>
      </c>
      <c r="DL103" s="3"/>
      <c r="DM103" s="4">
        <v>45577</v>
      </c>
      <c r="DN103" s="4">
        <f>DATE(YEAR(DM103)+2,MONTH(DM103),DAY(DM103)-1)</f>
        <v>46306</v>
      </c>
      <c r="DO103" s="8">
        <f t="shared" ca="1" si="286"/>
        <v>172</v>
      </c>
      <c r="DP103" s="5" t="str">
        <f t="shared" ca="1" si="287"/>
        <v>VIGENTE</v>
      </c>
      <c r="DQ103" s="3"/>
      <c r="DR103" s="4">
        <v>45619</v>
      </c>
      <c r="DS103" s="4">
        <f>DATE(YEAR(DR103)+2,MONTH(DR103),DAY(DR103)-1)</f>
        <v>46348</v>
      </c>
      <c r="DT103" s="8">
        <f t="shared" ca="1" si="288"/>
        <v>214</v>
      </c>
      <c r="DU103" s="5" t="str">
        <f t="shared" ca="1" si="289"/>
        <v>VIGENTE</v>
      </c>
      <c r="DV103" s="3"/>
      <c r="DW103" s="4">
        <v>45582</v>
      </c>
      <c r="DX103" s="4">
        <f>DATE(YEAR(DW103)+2,MONTH(DW103),DAY(DW103)-1)</f>
        <v>46311</v>
      </c>
      <c r="DY103" s="8">
        <f t="shared" ca="1" si="290"/>
        <v>177</v>
      </c>
      <c r="DZ103" s="5" t="str">
        <f t="shared" ca="1" si="291"/>
        <v>VIGENTE</v>
      </c>
      <c r="EA103" s="3"/>
      <c r="EB103" s="4">
        <v>45602</v>
      </c>
      <c r="EC103" s="4">
        <f>DATE(YEAR(EB103)+2,MONTH(EB103),DAY(EB103)-1)</f>
        <v>46331</v>
      </c>
      <c r="ED103" s="8">
        <f t="shared" ca="1" si="292"/>
        <v>197</v>
      </c>
      <c r="EE103" s="5" t="str">
        <f t="shared" ca="1" si="293"/>
        <v>VIGENTE</v>
      </c>
      <c r="EF103" s="3"/>
      <c r="EG103" s="4">
        <v>45812</v>
      </c>
      <c r="EH103" s="4">
        <f t="shared" si="364"/>
        <v>46177</v>
      </c>
      <c r="EI103" s="8">
        <f t="shared" ca="1" si="294"/>
        <v>43</v>
      </c>
      <c r="EJ103" s="5" t="str">
        <f t="shared" ca="1" si="295"/>
        <v>POR VENCER</v>
      </c>
      <c r="EK103" s="3"/>
      <c r="EL103" s="4">
        <v>45671</v>
      </c>
      <c r="EM103" s="4">
        <f>DATE(YEAR(EL103)+2,MONTH(EL103),DAY(EL103)-1)</f>
        <v>46400</v>
      </c>
      <c r="EN103" s="8">
        <f t="shared" ca="1" si="296"/>
        <v>266</v>
      </c>
      <c r="EO103" s="5" t="str">
        <f t="shared" ca="1" si="297"/>
        <v>VIGENTE</v>
      </c>
      <c r="EP103" s="3"/>
      <c r="EQ103" s="4">
        <v>45575</v>
      </c>
      <c r="ER103" s="4">
        <f>DATE(YEAR(EQ103)+2,MONTH(EQ103),DAY(EQ103)-1)</f>
        <v>46304</v>
      </c>
      <c r="ES103" s="8">
        <f t="shared" ca="1" si="298"/>
        <v>170</v>
      </c>
      <c r="ET103" s="5" t="str">
        <f t="shared" ca="1" si="299"/>
        <v>VIGENTE</v>
      </c>
      <c r="EU103" s="3"/>
      <c r="EV103" s="4">
        <v>45610</v>
      </c>
      <c r="EW103" s="4">
        <f>DATE(YEAR(EV103)+2,MONTH(EV103),DAY(EV103)-1)</f>
        <v>46339</v>
      </c>
      <c r="EX103" s="8">
        <f t="shared" ca="1" si="300"/>
        <v>205</v>
      </c>
      <c r="EY103" s="5" t="str">
        <f t="shared" ca="1" si="301"/>
        <v>VIGENTE</v>
      </c>
      <c r="EZ103" s="3"/>
      <c r="FA103" s="4">
        <v>45611</v>
      </c>
      <c r="FB103" s="4">
        <f>DATE(YEAR(FA103)+2,MONTH(FA103),DAY(FA103)-1)</f>
        <v>46340</v>
      </c>
      <c r="FC103" s="8">
        <f t="shared" ca="1" si="302"/>
        <v>206</v>
      </c>
      <c r="FD103" s="5" t="str">
        <f t="shared" ca="1" si="303"/>
        <v>VIGENTE</v>
      </c>
      <c r="FE103" s="3"/>
      <c r="FF103" s="4">
        <v>45668</v>
      </c>
      <c r="FG103" s="4">
        <f>DATE(YEAR(FF103)+2,MONTH(FF103),DAY(FF103)-1)</f>
        <v>46397</v>
      </c>
      <c r="FH103" s="8">
        <f t="shared" ca="1" si="304"/>
        <v>263</v>
      </c>
      <c r="FI103" s="5" t="str">
        <f t="shared" ca="1" si="305"/>
        <v>VIGENTE</v>
      </c>
      <c r="FJ103" s="3"/>
      <c r="FK103" s="4">
        <v>45588</v>
      </c>
      <c r="FL103" s="4">
        <f>DATE(YEAR(FK103)+2,MONTH(FK103),DAY(FK103)-1)</f>
        <v>46317</v>
      </c>
      <c r="FM103" s="8">
        <f t="shared" ca="1" si="306"/>
        <v>183</v>
      </c>
      <c r="FN103" s="5" t="str">
        <f t="shared" ca="1" si="307"/>
        <v>VIGENTE</v>
      </c>
      <c r="FO103" s="3"/>
      <c r="FP103" s="4">
        <v>45664</v>
      </c>
      <c r="FQ103" s="4">
        <f>DATE(YEAR(FP103)+2,MONTH(FP103),DAY(FP103)-1)</f>
        <v>46393</v>
      </c>
      <c r="FR103" s="8">
        <f t="shared" ca="1" si="308"/>
        <v>259</v>
      </c>
      <c r="FS103" s="5" t="str">
        <f t="shared" ca="1" si="309"/>
        <v>VIGENTE</v>
      </c>
      <c r="FT103" s="3"/>
      <c r="FU103" s="4">
        <v>45700</v>
      </c>
      <c r="FV103" s="4">
        <f t="shared" si="411"/>
        <v>46429</v>
      </c>
      <c r="FW103" s="8">
        <f t="shared" ca="1" si="310"/>
        <v>295</v>
      </c>
      <c r="FX103" s="5" t="str">
        <f t="shared" ca="1" si="311"/>
        <v>VIGENTE</v>
      </c>
      <c r="FY103" s="3"/>
      <c r="FZ103" s="4">
        <v>45667</v>
      </c>
      <c r="GA103" s="4">
        <f>DATE(YEAR(FZ103)+2,MONTH(FZ103),DAY(FZ103)-1)</f>
        <v>46396</v>
      </c>
      <c r="GB103" s="8">
        <f t="shared" ca="1" si="312"/>
        <v>262</v>
      </c>
      <c r="GC103" s="5" t="str">
        <f t="shared" ca="1" si="313"/>
        <v>VIGENTE</v>
      </c>
      <c r="GD103" s="3"/>
      <c r="GE103" s="4">
        <v>45672</v>
      </c>
      <c r="GF103" s="4">
        <f>DATE(YEAR(GE103)+2,MONTH(GE103),DAY(GE103)-1)</f>
        <v>46401</v>
      </c>
      <c r="GG103" s="8">
        <f t="shared" ca="1" si="314"/>
        <v>267</v>
      </c>
      <c r="GH103" s="5" t="str">
        <f t="shared" ca="1" si="315"/>
        <v>VIGENTE</v>
      </c>
      <c r="GI103" s="3"/>
      <c r="GJ103" s="4">
        <v>45608</v>
      </c>
      <c r="GK103" s="4">
        <f>DATE(YEAR(GJ103)+2,MONTH(GJ103),DAY(GJ103)-1)</f>
        <v>46337</v>
      </c>
      <c r="GL103" s="8">
        <f t="shared" ca="1" si="316"/>
        <v>203</v>
      </c>
      <c r="GM103" s="5" t="str">
        <f t="shared" ca="1" si="317"/>
        <v>VIGENTE</v>
      </c>
      <c r="GN103" s="4"/>
      <c r="GO103" s="4">
        <v>44952</v>
      </c>
      <c r="GP103" s="4">
        <f t="shared" si="318"/>
        <v>46778</v>
      </c>
      <c r="GQ103" s="8">
        <f t="shared" ca="1" si="394"/>
        <v>644</v>
      </c>
      <c r="GR103" s="5" t="str">
        <f t="shared" ca="1" si="388"/>
        <v>VIGENTE</v>
      </c>
      <c r="GS103" s="3"/>
      <c r="GT103" s="4">
        <v>44961</v>
      </c>
      <c r="GU103" s="4">
        <f t="shared" si="320"/>
        <v>46787</v>
      </c>
      <c r="GV103" s="8">
        <f t="shared" ca="1" si="321"/>
        <v>653</v>
      </c>
      <c r="GW103" s="5" t="str">
        <f t="shared" ca="1" si="389"/>
        <v>VIGENTE</v>
      </c>
      <c r="GX103" s="2"/>
      <c r="GY103" s="4">
        <v>44980</v>
      </c>
      <c r="GZ103" s="4">
        <f t="shared" si="323"/>
        <v>46806</v>
      </c>
      <c r="HA103" s="8">
        <f t="shared" ca="1" si="324"/>
        <v>672</v>
      </c>
      <c r="HB103" s="5" t="str">
        <f t="shared" ca="1" si="414"/>
        <v>VIGENTE</v>
      </c>
      <c r="HC103" s="6"/>
      <c r="HD103" s="4">
        <v>45115</v>
      </c>
      <c r="HE103" s="4">
        <f t="shared" si="412"/>
        <v>46942</v>
      </c>
      <c r="HF103" s="8">
        <f t="shared" ca="1" si="413"/>
        <v>808</v>
      </c>
      <c r="HG103" s="5" t="str">
        <f t="shared" ca="1" si="415"/>
        <v>VIGENTE</v>
      </c>
      <c r="HH103" s="2"/>
      <c r="HI103" s="6"/>
      <c r="HJ103" s="4"/>
      <c r="HK103" s="8"/>
      <c r="HL103" s="5" t="str">
        <f t="shared" si="395"/>
        <v>NO APLICA</v>
      </c>
      <c r="HM103" s="2"/>
      <c r="HN103" s="5"/>
      <c r="HO103" s="4"/>
      <c r="HP103" s="5"/>
      <c r="HQ103" s="5" t="str">
        <f t="shared" si="326"/>
        <v>NO APLICA</v>
      </c>
      <c r="HR103" s="2"/>
      <c r="HS103" s="4">
        <v>45089</v>
      </c>
      <c r="HT103" s="4">
        <f>DATE(YEAR(HS103)+5,MONTH(HS103),DAY(HS103))</f>
        <v>46916</v>
      </c>
      <c r="HU103" s="8">
        <f ca="1">HT103-TODAY()</f>
        <v>782</v>
      </c>
      <c r="HV103" s="5" t="str">
        <f t="shared" ca="1" si="327"/>
        <v>VIGENTE</v>
      </c>
      <c r="HW103" s="2"/>
      <c r="HX103" s="4">
        <v>45092</v>
      </c>
      <c r="HY103" s="4">
        <f>DATE(YEAR(HX103)+5,MONTH(HX103),DAY(HX103))</f>
        <v>46919</v>
      </c>
      <c r="HZ103" s="8">
        <f ca="1">HY103-TODAY()</f>
        <v>785</v>
      </c>
      <c r="IA103" s="5" t="str">
        <f t="shared" ca="1" si="328"/>
        <v>VIGENTE</v>
      </c>
      <c r="IB103" s="2"/>
      <c r="IC103" s="4">
        <v>45100</v>
      </c>
      <c r="ID103" s="4">
        <f>DATE(YEAR(IC103)+5,MONTH(IC103),DAY(IC103))</f>
        <v>46927</v>
      </c>
      <c r="IE103" s="8">
        <f ca="1">ID103-TODAY()</f>
        <v>793</v>
      </c>
      <c r="IF103" s="5" t="str">
        <f t="shared" ca="1" si="329"/>
        <v>VIGENTE</v>
      </c>
      <c r="IG103" s="6"/>
      <c r="IH103" s="4">
        <v>45105</v>
      </c>
      <c r="II103" s="4">
        <f>DATE(YEAR(IH103)+5,MONTH(IH103),DAY(IH103))</f>
        <v>46932</v>
      </c>
      <c r="IJ103" s="8">
        <f ca="1">II103-TODAY()</f>
        <v>798</v>
      </c>
      <c r="IK103" s="5" t="str">
        <f t="shared" ca="1" si="330"/>
        <v>VIGENTE</v>
      </c>
      <c r="IL103" s="2"/>
      <c r="IM103" s="4">
        <v>45064</v>
      </c>
      <c r="IN103" s="4">
        <f>DATE(YEAR(IM103)+5,MONTH(IM103),DAY(IM103))</f>
        <v>46891</v>
      </c>
      <c r="IO103" s="8">
        <f ca="1">IN103-TODAY()</f>
        <v>757</v>
      </c>
      <c r="IP103" s="5" t="str">
        <f t="shared" ca="1" si="331"/>
        <v>VIGENTE</v>
      </c>
      <c r="IQ103" s="2"/>
      <c r="IR103" s="4">
        <v>45062</v>
      </c>
      <c r="IS103" s="4">
        <f>DATE(YEAR(IR103)+5,MONTH(IR103),DAY(IR103))</f>
        <v>46889</v>
      </c>
      <c r="IT103" s="8">
        <f ca="1">IS103-TODAY()</f>
        <v>755</v>
      </c>
      <c r="IU103" s="5" t="str">
        <f t="shared" ca="1" si="332"/>
        <v>VIGENTE</v>
      </c>
      <c r="IV103" s="2"/>
      <c r="IW103" s="4">
        <v>45101</v>
      </c>
      <c r="IX103" s="4">
        <f>DATE(YEAR(IW103)+5,MONTH(IW103),DAY(IW103))</f>
        <v>46928</v>
      </c>
      <c r="IY103" s="8">
        <f ca="1">IX103-TODAY()</f>
        <v>794</v>
      </c>
      <c r="IZ103" s="5" t="str">
        <f t="shared" ca="1" si="333"/>
        <v>VIGENTE</v>
      </c>
      <c r="JA103" s="3"/>
      <c r="JB103" s="3"/>
      <c r="JC103" s="4"/>
      <c r="JD103" s="8"/>
      <c r="JE103" s="5" t="str">
        <f t="shared" si="334"/>
        <v>NO APLICA</v>
      </c>
      <c r="JF103" s="6"/>
      <c r="JG103" s="6"/>
      <c r="JH103" s="6"/>
      <c r="JI103" s="6"/>
      <c r="JJ103" s="5" t="str">
        <f t="shared" si="335"/>
        <v>NO APLICA</v>
      </c>
      <c r="JK103" s="6"/>
      <c r="JL103" s="6"/>
      <c r="JM103" s="6"/>
      <c r="JN103" s="6"/>
      <c r="JO103" s="5" t="str">
        <f t="shared" si="336"/>
        <v>NO APLICA</v>
      </c>
      <c r="JP103" s="6"/>
      <c r="JQ103" s="6"/>
      <c r="JR103" s="6"/>
      <c r="JS103" s="6"/>
      <c r="JT103" s="5" t="str">
        <f t="shared" si="337"/>
        <v>NO APLICA</v>
      </c>
      <c r="JU103" s="5"/>
      <c r="JV103" s="5"/>
      <c r="JW103" s="5"/>
      <c r="JX103" s="5"/>
      <c r="JY103" s="5" t="str">
        <f t="shared" si="338"/>
        <v>NO APLICA</v>
      </c>
      <c r="JZ103" s="5"/>
      <c r="KA103" s="5"/>
      <c r="KB103" s="4"/>
      <c r="KC103" s="8"/>
      <c r="KD103" s="5" t="str">
        <f t="shared" si="339"/>
        <v>NO APLICA</v>
      </c>
      <c r="KE103" s="5"/>
      <c r="KF103" s="5"/>
      <c r="KG103" s="4"/>
      <c r="KH103" s="8"/>
      <c r="KI103" s="5" t="str">
        <f t="shared" si="365"/>
        <v>NO APLICA</v>
      </c>
      <c r="KJ103" s="5"/>
      <c r="KK103" s="3">
        <v>45364</v>
      </c>
      <c r="KL103" s="4">
        <f>DATE(YEAR(KK103)+5,MONTH(KK103),DAY(KK103))</f>
        <v>47190</v>
      </c>
      <c r="KM103" s="8">
        <f ca="1">KL103-TODAY()</f>
        <v>1056</v>
      </c>
      <c r="KN103" s="5" t="str">
        <f t="shared" ca="1" si="340"/>
        <v>VIGENTE</v>
      </c>
      <c r="KO103" s="5"/>
      <c r="KP103" s="2"/>
      <c r="KQ103" s="4"/>
      <c r="KR103" s="8"/>
      <c r="KS103" s="5" t="str">
        <f t="shared" si="366"/>
        <v>NO APLICA</v>
      </c>
      <c r="KT103" s="2"/>
      <c r="KU103" s="6"/>
      <c r="KV103" s="4"/>
      <c r="KW103" s="8"/>
      <c r="KX103" s="5" t="str">
        <f t="shared" si="375"/>
        <v>NO APLICA</v>
      </c>
      <c r="KY103" s="5"/>
      <c r="KZ103" s="4">
        <v>44545</v>
      </c>
      <c r="LA103" s="4">
        <f>DATE(YEAR(KZ103)+5,MONTH(KZ103),DAY(KZ103))</f>
        <v>46371</v>
      </c>
      <c r="LB103" s="8">
        <f ca="1">LA103-TODAY()</f>
        <v>237</v>
      </c>
      <c r="LC103" s="5" t="str">
        <f t="shared" ca="1" si="367"/>
        <v>VIGENTE</v>
      </c>
      <c r="LD103" s="6"/>
      <c r="LE103" s="6"/>
      <c r="LF103" s="4"/>
      <c r="LG103" s="8"/>
      <c r="LH103" s="5" t="str">
        <f t="shared" si="341"/>
        <v>NO APLICA</v>
      </c>
      <c r="LI103" s="5"/>
      <c r="LJ103" s="5"/>
      <c r="LK103" s="4"/>
      <c r="LL103" s="8"/>
      <c r="LM103" s="5" t="str">
        <f t="shared" si="376"/>
        <v>NO APLICA</v>
      </c>
      <c r="LN103" s="5"/>
      <c r="LO103" s="6"/>
      <c r="LP103" s="4"/>
      <c r="LQ103" s="8"/>
      <c r="LR103" s="5" t="str">
        <f t="shared" si="368"/>
        <v>NO APLICA</v>
      </c>
      <c r="LS103" s="6"/>
      <c r="LT103" s="6"/>
      <c r="LU103" s="4"/>
      <c r="LV103" s="8"/>
      <c r="LW103" s="5" t="str">
        <f t="shared" si="369"/>
        <v>NO APLICA</v>
      </c>
      <c r="LX103" s="6"/>
      <c r="LY103" s="6"/>
      <c r="LZ103" s="4"/>
      <c r="MA103" s="8"/>
      <c r="MB103" s="5" t="str">
        <f t="shared" si="370"/>
        <v>NO APLICA</v>
      </c>
      <c r="MC103" s="5"/>
      <c r="MD103" s="5"/>
      <c r="ME103" s="4"/>
      <c r="MF103" s="8"/>
      <c r="MG103" s="5" t="str">
        <f t="shared" si="342"/>
        <v>NO APLICA</v>
      </c>
      <c r="MH103" s="5"/>
      <c r="MI103" s="5"/>
      <c r="MJ103" s="4"/>
      <c r="MK103" s="8"/>
      <c r="ML103" s="5" t="str">
        <f t="shared" si="343"/>
        <v>NO APLICA</v>
      </c>
      <c r="MM103" s="5"/>
      <c r="MN103" s="5"/>
      <c r="MO103" s="4"/>
      <c r="MP103" s="8"/>
      <c r="MQ103" s="5" t="str">
        <f t="shared" si="344"/>
        <v>NO APLICA</v>
      </c>
      <c r="MR103" s="5"/>
      <c r="MS103" s="5"/>
      <c r="MT103" s="4"/>
      <c r="MU103" s="5"/>
      <c r="MV103" s="5" t="str">
        <f t="shared" si="345"/>
        <v>NO APLICA</v>
      </c>
      <c r="MW103" s="5"/>
      <c r="MX103" s="6"/>
      <c r="MY103" s="4"/>
      <c r="MZ103" s="8"/>
      <c r="NA103" s="5" t="str">
        <f t="shared" si="346"/>
        <v>NO APLICA</v>
      </c>
      <c r="NB103" s="5"/>
      <c r="NC103" s="6"/>
      <c r="ND103" s="4"/>
      <c r="NE103" s="8"/>
      <c r="NF103" s="5" t="str">
        <f t="shared" si="347"/>
        <v>NO APLICA</v>
      </c>
      <c r="NG103" s="5"/>
      <c r="NH103" s="6"/>
      <c r="NI103" s="4"/>
      <c r="NJ103" s="8"/>
      <c r="NK103" s="5" t="str">
        <f t="shared" si="348"/>
        <v>NO APLICA</v>
      </c>
      <c r="NL103" s="5"/>
      <c r="NM103" s="5"/>
      <c r="NN103" s="4"/>
      <c r="NO103" s="8"/>
      <c r="NP103" s="5" t="str">
        <f t="shared" si="349"/>
        <v>NO APLICA</v>
      </c>
      <c r="NQ103" s="5"/>
      <c r="NR103" s="5"/>
      <c r="NS103" s="5"/>
      <c r="NT103" s="5"/>
      <c r="NU103" s="5" t="str">
        <f t="shared" si="350"/>
        <v>NO APLICA</v>
      </c>
      <c r="NV103" s="6"/>
      <c r="NW103" s="6"/>
      <c r="NX103" s="6"/>
      <c r="NY103" s="6"/>
      <c r="NZ103" s="5" t="str">
        <f t="shared" si="351"/>
        <v>NO APLICA</v>
      </c>
      <c r="OA103" s="6"/>
      <c r="OB103" s="6"/>
      <c r="OC103" s="6"/>
      <c r="OD103" s="6"/>
      <c r="OE103" s="5" t="str">
        <f t="shared" si="352"/>
        <v>NO APLICA</v>
      </c>
      <c r="OF103" s="5"/>
      <c r="OG103" s="5"/>
      <c r="OH103" s="4"/>
      <c r="OI103" s="8"/>
      <c r="OJ103" s="5" t="str">
        <f t="shared" si="353"/>
        <v>NO APLICA</v>
      </c>
      <c r="OK103" s="6"/>
      <c r="OL103" s="6"/>
      <c r="OM103" s="6"/>
      <c r="ON103" s="6"/>
      <c r="OO103" s="5" t="str">
        <f t="shared" si="354"/>
        <v>NO APLICA</v>
      </c>
      <c r="OP103" s="6"/>
      <c r="OQ103" s="6"/>
      <c r="OR103" s="6"/>
      <c r="OS103" s="6"/>
      <c r="OT103" s="5" t="str">
        <f t="shared" si="355"/>
        <v>NO APLICA</v>
      </c>
      <c r="OU103" s="6"/>
      <c r="OV103" s="6"/>
      <c r="OW103" s="6"/>
      <c r="OX103" s="6"/>
      <c r="OY103" s="5" t="str">
        <f t="shared" si="356"/>
        <v>NO APLICA</v>
      </c>
      <c r="OZ103" s="6"/>
      <c r="PA103" s="6"/>
      <c r="PB103" s="6"/>
      <c r="PC103" s="6"/>
      <c r="PD103" s="5" t="str">
        <f t="shared" si="357"/>
        <v>NO APLICA</v>
      </c>
      <c r="PE103" s="6"/>
      <c r="PF103" s="6"/>
      <c r="PG103" s="6"/>
      <c r="PH103" s="6"/>
      <c r="PI103" s="5" t="str">
        <f t="shared" si="358"/>
        <v>NO APLICA</v>
      </c>
      <c r="PJ103" s="5"/>
      <c r="PK103" s="6"/>
      <c r="PL103" s="4"/>
      <c r="PM103" s="8"/>
      <c r="PN103" s="5" t="str">
        <f t="shared" si="359"/>
        <v>NO APLICA</v>
      </c>
      <c r="PO103" s="6"/>
      <c r="PP103" s="6"/>
      <c r="PQ103" s="6"/>
      <c r="PR103" s="6"/>
      <c r="PS103" s="5" t="str">
        <f t="shared" si="360"/>
        <v>NO APLICA</v>
      </c>
      <c r="PT103" s="5"/>
      <c r="PU103" s="6"/>
      <c r="PV103" s="6"/>
      <c r="PW103" s="6"/>
      <c r="PX103" s="5" t="str">
        <f t="shared" si="361"/>
        <v>NO APLICA</v>
      </c>
    </row>
    <row r="104" spans="1:440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192</v>
      </c>
      <c r="T104" s="5" t="str">
        <f t="shared" ca="1" si="362"/>
        <v>VIGENTE</v>
      </c>
      <c r="U104" s="6" t="s">
        <v>364</v>
      </c>
      <c r="V104" s="4">
        <v>45309</v>
      </c>
      <c r="W104" s="4">
        <f t="shared" si="248"/>
        <v>47136</v>
      </c>
      <c r="X104" s="8">
        <f t="shared" ca="1" si="249"/>
        <v>1002</v>
      </c>
      <c r="Y104" s="5" t="str">
        <f t="shared" ca="1" si="250"/>
        <v>VIGENTE</v>
      </c>
      <c r="Z104" s="6"/>
      <c r="AA104" s="6"/>
      <c r="AB104" s="4"/>
      <c r="AC104" s="8"/>
      <c r="AD104" s="23" t="str">
        <f>IF(AC104&gt;=91,"VIGENTE",IF(AC104&gt;=1,"POR VENCER",IF(AC104&lt;=-1,"VENCIDA",IF(AA104=0,"PENDIENTE"))))</f>
        <v>PENDIENTE</v>
      </c>
      <c r="AE104" s="6"/>
      <c r="AF104" s="4">
        <v>45936</v>
      </c>
      <c r="AG104" s="4">
        <f>DATE(YEAR(AF104)+2,MONTH(AF104),DAY(AF104))</f>
        <v>46666</v>
      </c>
      <c r="AH104" s="8">
        <f t="shared" ca="1" si="252"/>
        <v>532</v>
      </c>
      <c r="AI104" s="5" t="str">
        <f t="shared" ca="1" si="224"/>
        <v>VIGENTE</v>
      </c>
      <c r="AJ104" s="6"/>
      <c r="AK104" s="4">
        <v>45937</v>
      </c>
      <c r="AL104" s="4">
        <f>DATE(YEAR(AK104)+2,MONTH(AK104),DAY(AK104))</f>
        <v>46667</v>
      </c>
      <c r="AM104" s="8">
        <f t="shared" ca="1" si="253"/>
        <v>533</v>
      </c>
      <c r="AN104" s="5" t="str">
        <f t="shared" ca="1" si="254"/>
        <v>VIGENTE</v>
      </c>
      <c r="AO104" s="4"/>
      <c r="AP104" s="4">
        <v>45989</v>
      </c>
      <c r="AQ104" s="4">
        <f>DATE(YEAR(AP104)+2,MONTH(AP104),DAY(AP104))</f>
        <v>46719</v>
      </c>
      <c r="AR104" s="8">
        <f t="shared" ca="1" si="255"/>
        <v>585</v>
      </c>
      <c r="AS104" s="5" t="str">
        <f t="shared" ca="1" si="256"/>
        <v>VIGENTE</v>
      </c>
      <c r="AT104" s="4"/>
      <c r="AU104" s="4">
        <v>45972</v>
      </c>
      <c r="AV104" s="4">
        <f>DATE(YEAR(AU104)+2,MONTH(AU104),DAY(AU104))</f>
        <v>46702</v>
      </c>
      <c r="AW104" s="8">
        <f t="shared" ca="1" si="257"/>
        <v>568</v>
      </c>
      <c r="AX104" s="5" t="str">
        <f t="shared" ca="1" si="258"/>
        <v>VIGENTE</v>
      </c>
      <c r="AY104" s="3"/>
      <c r="AZ104" s="4">
        <v>46041</v>
      </c>
      <c r="BA104" s="4">
        <f>DATE(YEAR(AZ104)+2,MONTH(AZ104),DAY(AZ104))</f>
        <v>46771</v>
      </c>
      <c r="BB104" s="8">
        <f t="shared" ca="1" si="259"/>
        <v>637</v>
      </c>
      <c r="BC104" s="5" t="str">
        <f t="shared" ca="1" si="260"/>
        <v>VIGENTE</v>
      </c>
      <c r="BD104" s="6"/>
      <c r="BE104" s="4">
        <v>45997</v>
      </c>
      <c r="BF104" s="4">
        <f>DATE(YEAR(BE104)+2,MONTH(BE104),DAY(BE104))</f>
        <v>46727</v>
      </c>
      <c r="BG104" s="8">
        <f t="shared" ca="1" si="261"/>
        <v>593</v>
      </c>
      <c r="BH104" s="5" t="str">
        <f t="shared" ca="1" si="262"/>
        <v>VIGENTE</v>
      </c>
      <c r="BI104" s="4"/>
      <c r="BJ104" s="4">
        <v>46017</v>
      </c>
      <c r="BK104" s="4">
        <f>DATE(YEAR(BJ104)+2,MONTH(BJ104),DAY(BJ104))</f>
        <v>46747</v>
      </c>
      <c r="BL104" s="8">
        <f t="shared" ca="1" si="263"/>
        <v>613</v>
      </c>
      <c r="BM104" s="5" t="str">
        <f t="shared" ca="1" si="264"/>
        <v>VIGENTE</v>
      </c>
      <c r="BN104" s="4"/>
      <c r="BO104" s="4">
        <v>46050</v>
      </c>
      <c r="BP104" s="4">
        <f>DATE(YEAR(BO104)+2,MONTH(BO104),DAY(BO104))</f>
        <v>46780</v>
      </c>
      <c r="BQ104" s="8">
        <f t="shared" ca="1" si="265"/>
        <v>646</v>
      </c>
      <c r="BR104" s="5" t="str">
        <f t="shared" ca="1" si="266"/>
        <v>VIGENTE</v>
      </c>
      <c r="BS104" s="3"/>
      <c r="BT104" s="4">
        <v>46031</v>
      </c>
      <c r="BU104" s="4">
        <f>DATE(YEAR(BT104)+2,MONTH(BT104),DAY(BT104))</f>
        <v>46761</v>
      </c>
      <c r="BV104" s="8">
        <f t="shared" ca="1" si="267"/>
        <v>627</v>
      </c>
      <c r="BW104" s="5" t="str">
        <f t="shared" ca="1" si="268"/>
        <v>VIGENTE</v>
      </c>
      <c r="BX104" s="6"/>
      <c r="BY104" s="4">
        <v>45986</v>
      </c>
      <c r="BZ104" s="4">
        <f>DATE(YEAR(BY104)+2,MONTH(BY104),DAY(BY104))</f>
        <v>46716</v>
      </c>
      <c r="CA104" s="8">
        <f t="shared" ca="1" si="269"/>
        <v>582</v>
      </c>
      <c r="CB104" s="5" t="str">
        <f t="shared" ca="1" si="270"/>
        <v>VIGENTE</v>
      </c>
      <c r="CC104" s="6" t="s">
        <v>68</v>
      </c>
      <c r="CD104" s="4">
        <v>45723</v>
      </c>
      <c r="CE104" s="4">
        <f t="shared" si="397"/>
        <v>47184</v>
      </c>
      <c r="CF104" s="8">
        <f t="shared" ca="1" si="398"/>
        <v>1050</v>
      </c>
      <c r="CG104" s="5" t="str">
        <f t="shared" ca="1" si="273"/>
        <v>VIGENTE</v>
      </c>
      <c r="CH104" s="4"/>
      <c r="CI104" s="4">
        <v>46018</v>
      </c>
      <c r="CJ104" s="4">
        <f>DATE(YEAR(CI104)+2,MONTH(CI104),DAY(CI104))</f>
        <v>46748</v>
      </c>
      <c r="CK104" s="8">
        <f t="shared" ca="1" si="274"/>
        <v>614</v>
      </c>
      <c r="CL104" s="5" t="str">
        <f t="shared" ca="1" si="275"/>
        <v>VIGENTE</v>
      </c>
      <c r="CM104" s="4"/>
      <c r="CN104" s="4">
        <v>45979</v>
      </c>
      <c r="CO104" s="4">
        <f>DATE(YEAR(CN104)+2,MONTH(CN104),DAY(CN104))</f>
        <v>46709</v>
      </c>
      <c r="CP104" s="8">
        <f t="shared" ca="1" si="276"/>
        <v>575</v>
      </c>
      <c r="CQ104" s="5" t="str">
        <f t="shared" ca="1" si="277"/>
        <v>VIGENTE</v>
      </c>
      <c r="CR104" s="4"/>
      <c r="CS104" s="4">
        <v>46043</v>
      </c>
      <c r="CT104" s="4">
        <f>DATE(YEAR(CS104)+2,MONTH(CS104),DAY(CS104))</f>
        <v>46773</v>
      </c>
      <c r="CU104" s="8">
        <f t="shared" ca="1" si="278"/>
        <v>639</v>
      </c>
      <c r="CV104" s="5" t="str">
        <f t="shared" ca="1" si="279"/>
        <v>VIGENTE</v>
      </c>
      <c r="CW104" s="4"/>
      <c r="CX104" s="4">
        <v>46000</v>
      </c>
      <c r="CY104" s="4">
        <f>DATE(YEAR(CX104)+2,MONTH(CX104),DAY(CX104))</f>
        <v>46730</v>
      </c>
      <c r="CZ104" s="8">
        <f t="shared" ca="1" si="280"/>
        <v>596</v>
      </c>
      <c r="DA104" s="5" t="str">
        <f t="shared" ca="1" si="281"/>
        <v>VIGENTE</v>
      </c>
      <c r="DB104" s="3"/>
      <c r="DC104" s="4">
        <v>45996</v>
      </c>
      <c r="DD104" s="4">
        <f>DATE(YEAR(DC104)+2,MONTH(DC104),DAY(DC104))</f>
        <v>46726</v>
      </c>
      <c r="DE104" s="8">
        <f t="shared" ca="1" si="282"/>
        <v>592</v>
      </c>
      <c r="DF104" s="5" t="str">
        <f t="shared" ca="1" si="283"/>
        <v>VIGENTE</v>
      </c>
      <c r="DG104" s="4"/>
      <c r="DH104" s="4">
        <v>45975</v>
      </c>
      <c r="DI104" s="4">
        <f>DATE(YEAR(DH104)+2,MONTH(DH104),DAY(DH104))</f>
        <v>46705</v>
      </c>
      <c r="DJ104" s="8">
        <f t="shared" ca="1" si="284"/>
        <v>571</v>
      </c>
      <c r="DK104" s="5" t="str">
        <f t="shared" ca="1" si="285"/>
        <v>VIGENTE</v>
      </c>
      <c r="DL104" s="4"/>
      <c r="DM104" s="4">
        <v>45982</v>
      </c>
      <c r="DN104" s="4">
        <f>DATE(YEAR(DM104)+2,MONTH(DM104),DAY(DM104))</f>
        <v>46712</v>
      </c>
      <c r="DO104" s="8">
        <f t="shared" ca="1" si="286"/>
        <v>578</v>
      </c>
      <c r="DP104" s="5" t="str">
        <f t="shared" ca="1" si="287"/>
        <v>VIGENTE</v>
      </c>
      <c r="DQ104" s="4"/>
      <c r="DR104" s="3">
        <v>46009</v>
      </c>
      <c r="DS104" s="4">
        <f>DATE(YEAR(DR104)+2,MONTH(DR104),DAY(DR104))</f>
        <v>46739</v>
      </c>
      <c r="DT104" s="8">
        <f t="shared" ca="1" si="288"/>
        <v>605</v>
      </c>
      <c r="DU104" s="5" t="str">
        <f t="shared" ca="1" si="289"/>
        <v>VIGENTE</v>
      </c>
      <c r="DV104" s="4"/>
      <c r="DW104" s="4">
        <v>46032</v>
      </c>
      <c r="DX104" s="4">
        <f>DATE(YEAR(DW104)+2,MONTH(DW104),DAY(DW104))</f>
        <v>46762</v>
      </c>
      <c r="DY104" s="8">
        <f t="shared" ca="1" si="290"/>
        <v>628</v>
      </c>
      <c r="DZ104" s="5" t="str">
        <f t="shared" ca="1" si="291"/>
        <v>VIGENTE</v>
      </c>
      <c r="EA104" s="4"/>
      <c r="EB104" s="4">
        <v>45994</v>
      </c>
      <c r="EC104" s="4">
        <f>DATE(YEAR(EB104)+2,MONTH(EB104),DAY(EB104))</f>
        <v>46724</v>
      </c>
      <c r="ED104" s="8">
        <f t="shared" ca="1" si="292"/>
        <v>590</v>
      </c>
      <c r="EE104" s="5" t="str">
        <f t="shared" ca="1" si="293"/>
        <v>VIGENTE</v>
      </c>
      <c r="EF104" s="3"/>
      <c r="EG104" s="3">
        <v>46015</v>
      </c>
      <c r="EH104" s="4">
        <f t="shared" si="364"/>
        <v>46380</v>
      </c>
      <c r="EI104" s="8">
        <f t="shared" ca="1" si="294"/>
        <v>246</v>
      </c>
      <c r="EJ104" s="5" t="str">
        <f t="shared" ca="1" si="295"/>
        <v>VIGENTE</v>
      </c>
      <c r="EK104" s="3"/>
      <c r="EL104" s="4">
        <v>45983</v>
      </c>
      <c r="EM104" s="4">
        <f>DATE(YEAR(EL104)+2,MONTH(EL104),DAY(EL104))</f>
        <v>46713</v>
      </c>
      <c r="EN104" s="8">
        <f t="shared" ca="1" si="296"/>
        <v>579</v>
      </c>
      <c r="EO104" s="5" t="str">
        <f t="shared" ca="1" si="297"/>
        <v>VIGENTE</v>
      </c>
      <c r="EP104" s="6"/>
      <c r="EQ104" s="4">
        <v>45999</v>
      </c>
      <c r="ER104" s="4">
        <f>DATE(YEAR(EQ104)+2,MONTH(EQ104),DAY(EQ104))</f>
        <v>46729</v>
      </c>
      <c r="ES104" s="8">
        <f t="shared" ca="1" si="298"/>
        <v>595</v>
      </c>
      <c r="ET104" s="5" t="str">
        <f t="shared" ca="1" si="299"/>
        <v>VIGENTE</v>
      </c>
      <c r="EU104" s="4"/>
      <c r="EV104" s="4">
        <v>45964</v>
      </c>
      <c r="EW104" s="4">
        <f>DATE(YEAR(EV104)+2,MONTH(EV104),DAY(EV104))</f>
        <v>46694</v>
      </c>
      <c r="EX104" s="8">
        <f t="shared" ca="1" si="300"/>
        <v>560</v>
      </c>
      <c r="EY104" s="5" t="str">
        <f t="shared" ca="1" si="301"/>
        <v>VIGENTE</v>
      </c>
      <c r="EZ104" s="6"/>
      <c r="FA104" s="4">
        <v>45988</v>
      </c>
      <c r="FB104" s="4">
        <f>DATE(YEAR(FA104)+2,MONTH(FA104),DAY(FA104))</f>
        <v>46718</v>
      </c>
      <c r="FC104" s="8">
        <f t="shared" ca="1" si="302"/>
        <v>584</v>
      </c>
      <c r="FD104" s="5" t="str">
        <f t="shared" ca="1" si="303"/>
        <v>VIGENTE</v>
      </c>
      <c r="FE104" s="4"/>
      <c r="FF104" s="4">
        <v>45962</v>
      </c>
      <c r="FG104" s="4">
        <f>DATE(YEAR(FF104)+2,MONTH(FF104),DAY(FF104))</f>
        <v>46692</v>
      </c>
      <c r="FH104" s="8">
        <f t="shared" ca="1" si="304"/>
        <v>558</v>
      </c>
      <c r="FI104" s="5" t="str">
        <f t="shared" ca="1" si="305"/>
        <v>VIGENTE</v>
      </c>
      <c r="FJ104" s="4"/>
      <c r="FK104" s="4">
        <v>46039</v>
      </c>
      <c r="FL104" s="4">
        <f>DATE(YEAR(FK104)+2,MONTH(FK104),DAY(FK104))</f>
        <v>46769</v>
      </c>
      <c r="FM104" s="8">
        <f t="shared" ca="1" si="306"/>
        <v>635</v>
      </c>
      <c r="FN104" s="5" t="str">
        <f t="shared" ca="1" si="307"/>
        <v>VIGENTE</v>
      </c>
      <c r="FO104" s="4"/>
      <c r="FP104" s="4">
        <v>46034</v>
      </c>
      <c r="FQ104" s="4">
        <f>DATE(YEAR(FP104)+2,MONTH(FP104),DAY(FP104))</f>
        <v>46764</v>
      </c>
      <c r="FR104" s="8">
        <f t="shared" ca="1" si="308"/>
        <v>630</v>
      </c>
      <c r="FS104" s="5" t="str">
        <f t="shared" ca="1" si="309"/>
        <v>VIGENTE</v>
      </c>
      <c r="FT104" s="4"/>
      <c r="FU104" s="4">
        <v>46004</v>
      </c>
      <c r="FV104" s="4">
        <f>DATE(YEAR(FU104)+2,MONTH(FU104),DAY(FU104))</f>
        <v>46734</v>
      </c>
      <c r="FW104" s="8">
        <f t="shared" ca="1" si="310"/>
        <v>600</v>
      </c>
      <c r="FX104" s="5" t="str">
        <f t="shared" ca="1" si="311"/>
        <v>VIGENTE</v>
      </c>
      <c r="FY104" s="4"/>
      <c r="FZ104" s="4">
        <v>45925</v>
      </c>
      <c r="GA104" s="4">
        <f>DATE(YEAR(FZ104)+2,MONTH(FZ104),DAY(FZ104))</f>
        <v>46655</v>
      </c>
      <c r="GB104" s="8">
        <f t="shared" ca="1" si="312"/>
        <v>521</v>
      </c>
      <c r="GC104" s="5" t="str">
        <f t="shared" ca="1" si="313"/>
        <v>VIGENTE</v>
      </c>
      <c r="GD104" s="4"/>
      <c r="GE104" s="4">
        <v>45960</v>
      </c>
      <c r="GF104" s="4">
        <f>DATE(YEAR(GE104)+2,MONTH(GE104),DAY(GE104))</f>
        <v>46690</v>
      </c>
      <c r="GG104" s="8">
        <f t="shared" ca="1" si="314"/>
        <v>556</v>
      </c>
      <c r="GH104" s="5" t="str">
        <f t="shared" ca="1" si="315"/>
        <v>VIGENTE</v>
      </c>
      <c r="GI104" s="4"/>
      <c r="GJ104" s="4">
        <v>45499</v>
      </c>
      <c r="GK104" s="4">
        <f>DATE(YEAR(GJ104)+2,MONTH(GJ104),DAY(GJ104)-1)</f>
        <v>46228</v>
      </c>
      <c r="GL104" s="8">
        <f t="shared" ca="1" si="316"/>
        <v>94</v>
      </c>
      <c r="GM104" s="5" t="str">
        <f t="shared" ca="1" si="317"/>
        <v>VIGENTE</v>
      </c>
      <c r="GN104" s="4"/>
      <c r="GO104" s="4">
        <v>45299</v>
      </c>
      <c r="GP104" s="4">
        <f t="shared" si="318"/>
        <v>47126</v>
      </c>
      <c r="GQ104" s="8">
        <f t="shared" ca="1" si="394"/>
        <v>992</v>
      </c>
      <c r="GR104" s="5" t="str">
        <f t="shared" ca="1" si="388"/>
        <v>VIGENTE</v>
      </c>
      <c r="GS104" s="4"/>
      <c r="GT104" s="4">
        <v>45329</v>
      </c>
      <c r="GU104" s="4">
        <f t="shared" si="320"/>
        <v>47156</v>
      </c>
      <c r="GV104" s="8">
        <f t="shared" ca="1" si="321"/>
        <v>1022</v>
      </c>
      <c r="GW104" s="5" t="str">
        <f t="shared" ca="1" si="389"/>
        <v>VIGENTE</v>
      </c>
      <c r="GX104" s="6"/>
      <c r="GY104" s="4">
        <v>45343</v>
      </c>
      <c r="GZ104" s="4">
        <f t="shared" si="323"/>
        <v>47170</v>
      </c>
      <c r="HA104" s="8">
        <f t="shared" ca="1" si="324"/>
        <v>1036</v>
      </c>
      <c r="HB104" s="5" t="str">
        <f t="shared" ca="1" si="414"/>
        <v>VIGENTE</v>
      </c>
      <c r="HC104" s="6"/>
      <c r="HD104" s="4">
        <v>45317</v>
      </c>
      <c r="HE104" s="4">
        <f t="shared" si="412"/>
        <v>47144</v>
      </c>
      <c r="HF104" s="8">
        <f t="shared" ca="1" si="413"/>
        <v>1010</v>
      </c>
      <c r="HG104" s="5" t="str">
        <f t="shared" ca="1" si="415"/>
        <v>VIGENTE</v>
      </c>
      <c r="HH104" s="6"/>
      <c r="HI104" s="6"/>
      <c r="HJ104" s="4"/>
      <c r="HK104" s="8"/>
      <c r="HL104" s="5" t="str">
        <f t="shared" si="395"/>
        <v>NO APLICA</v>
      </c>
      <c r="HM104" s="2"/>
      <c r="HN104" s="2"/>
      <c r="HO104" s="4"/>
      <c r="HP104" s="2"/>
      <c r="HQ104" s="5" t="str">
        <f t="shared" si="326"/>
        <v>NO APLICA</v>
      </c>
      <c r="HR104" s="6"/>
      <c r="HS104" s="6"/>
      <c r="HT104" s="4"/>
      <c r="HU104" s="8"/>
      <c r="HV104" s="5" t="str">
        <f t="shared" si="327"/>
        <v>NO APLICA</v>
      </c>
      <c r="HW104" s="6"/>
      <c r="HX104" s="6"/>
      <c r="HY104" s="4"/>
      <c r="HZ104" s="8"/>
      <c r="IA104" s="5" t="str">
        <f t="shared" si="328"/>
        <v>NO APLICA</v>
      </c>
      <c r="IB104" s="6"/>
      <c r="IC104" s="6"/>
      <c r="ID104" s="4"/>
      <c r="IE104" s="8"/>
      <c r="IF104" s="5" t="str">
        <f t="shared" si="329"/>
        <v>NO APLICA</v>
      </c>
      <c r="IG104" s="6"/>
      <c r="IH104" s="6"/>
      <c r="II104" s="4"/>
      <c r="IJ104" s="6"/>
      <c r="IK104" s="5" t="str">
        <f t="shared" si="330"/>
        <v>NO APLICA</v>
      </c>
      <c r="IL104" s="6"/>
      <c r="IM104" s="6"/>
      <c r="IN104" s="4"/>
      <c r="IO104" s="8"/>
      <c r="IP104" s="5" t="str">
        <f t="shared" si="331"/>
        <v>NO APLICA</v>
      </c>
      <c r="IQ104" s="6"/>
      <c r="IR104" s="6"/>
      <c r="IS104" s="4"/>
      <c r="IT104" s="8"/>
      <c r="IU104" s="5" t="str">
        <f t="shared" si="332"/>
        <v>NO APLICA</v>
      </c>
      <c r="IV104" s="6"/>
      <c r="IW104" s="6"/>
      <c r="IX104" s="4"/>
      <c r="IY104" s="8"/>
      <c r="IZ104" s="5" t="str">
        <f t="shared" si="333"/>
        <v>NO APLICA</v>
      </c>
      <c r="JA104" s="3"/>
      <c r="JB104" s="3"/>
      <c r="JC104" s="4"/>
      <c r="JD104" s="8"/>
      <c r="JE104" s="5" t="str">
        <f t="shared" si="334"/>
        <v>NO APLICA</v>
      </c>
      <c r="JF104" s="6"/>
      <c r="JG104" s="6"/>
      <c r="JH104" s="6"/>
      <c r="JI104" s="6"/>
      <c r="JJ104" s="5" t="str">
        <f t="shared" si="335"/>
        <v>NO APLICA</v>
      </c>
      <c r="JK104" s="6"/>
      <c r="JL104" s="6"/>
      <c r="JM104" s="6"/>
      <c r="JN104" s="6"/>
      <c r="JO104" s="5" t="str">
        <f t="shared" si="336"/>
        <v>NO APLICA</v>
      </c>
      <c r="JP104" s="6"/>
      <c r="JQ104" s="6"/>
      <c r="JR104" s="6"/>
      <c r="JS104" s="6"/>
      <c r="JT104" s="5" t="str">
        <f t="shared" si="337"/>
        <v>NO APLICA</v>
      </c>
      <c r="JU104" s="5"/>
      <c r="JV104" s="5"/>
      <c r="JW104" s="5"/>
      <c r="JX104" s="5"/>
      <c r="JY104" s="5" t="str">
        <f t="shared" si="338"/>
        <v>NO APLICA</v>
      </c>
      <c r="JZ104" s="5"/>
      <c r="KA104" s="2"/>
      <c r="KB104" s="4"/>
      <c r="KC104" s="8"/>
      <c r="KD104" s="5" t="str">
        <f t="shared" si="339"/>
        <v>NO APLICA</v>
      </c>
      <c r="KE104" s="5"/>
      <c r="KF104" s="2"/>
      <c r="KG104" s="4"/>
      <c r="KH104" s="8"/>
      <c r="KI104" s="5" t="str">
        <f t="shared" si="365"/>
        <v>NO APLICA</v>
      </c>
      <c r="KJ104" s="5"/>
      <c r="KK104" s="2"/>
      <c r="KL104" s="4"/>
      <c r="KM104" s="8"/>
      <c r="KN104" s="5" t="str">
        <f t="shared" si="340"/>
        <v>NO APLICA</v>
      </c>
      <c r="KO104" s="5"/>
      <c r="KP104" s="2"/>
      <c r="KQ104" s="4"/>
      <c r="KR104" s="8"/>
      <c r="KS104" s="5" t="str">
        <f t="shared" si="366"/>
        <v>NO APLICA</v>
      </c>
      <c r="KT104" s="6"/>
      <c r="KU104" s="6"/>
      <c r="KV104" s="4"/>
      <c r="KW104" s="6"/>
      <c r="KX104" s="5" t="str">
        <f t="shared" si="375"/>
        <v>NO APLICA</v>
      </c>
      <c r="KY104" s="5"/>
      <c r="KZ104" s="6"/>
      <c r="LA104" s="4"/>
      <c r="LB104" s="6"/>
      <c r="LC104" s="5" t="str">
        <f t="shared" si="367"/>
        <v>NO APLICA</v>
      </c>
      <c r="LD104" s="6"/>
      <c r="LE104" s="6"/>
      <c r="LF104" s="6"/>
      <c r="LG104" s="6"/>
      <c r="LH104" s="5" t="str">
        <f t="shared" si="341"/>
        <v>NO APLICA</v>
      </c>
      <c r="LI104" s="5"/>
      <c r="LJ104" s="5"/>
      <c r="LK104" s="4"/>
      <c r="LL104" s="8"/>
      <c r="LM104" s="5" t="str">
        <f t="shared" si="376"/>
        <v>NO APLICA</v>
      </c>
      <c r="LN104" s="6"/>
      <c r="LO104" s="6"/>
      <c r="LP104" s="4"/>
      <c r="LQ104" s="8"/>
      <c r="LR104" s="5" t="str">
        <f t="shared" si="368"/>
        <v>NO APLICA</v>
      </c>
      <c r="LS104" s="6"/>
      <c r="LT104" s="6"/>
      <c r="LU104" s="4"/>
      <c r="LV104" s="6"/>
      <c r="LW104" s="5" t="str">
        <f t="shared" si="369"/>
        <v>NO APLICA</v>
      </c>
      <c r="LX104" s="6"/>
      <c r="LY104" s="6"/>
      <c r="LZ104" s="4"/>
      <c r="MA104" s="6"/>
      <c r="MB104" s="5" t="str">
        <f t="shared" si="370"/>
        <v>NO APLICA</v>
      </c>
      <c r="MC104" s="6"/>
      <c r="MD104" s="6"/>
      <c r="ME104" s="4"/>
      <c r="MF104" s="6"/>
      <c r="MG104" s="5" t="str">
        <f t="shared" si="342"/>
        <v>NO APLICA</v>
      </c>
      <c r="MH104" s="6"/>
      <c r="MI104" s="6"/>
      <c r="MJ104" s="4"/>
      <c r="MK104" s="6"/>
      <c r="ML104" s="5" t="str">
        <f t="shared" si="343"/>
        <v>NO APLICA</v>
      </c>
      <c r="MM104" s="5"/>
      <c r="MN104" s="6"/>
      <c r="MO104" s="4"/>
      <c r="MP104" s="6"/>
      <c r="MQ104" s="5" t="str">
        <f t="shared" si="344"/>
        <v>NO APLICA</v>
      </c>
      <c r="MR104" s="5"/>
      <c r="MS104" s="6"/>
      <c r="MT104" s="6"/>
      <c r="MU104" s="6"/>
      <c r="MV104" s="5" t="str">
        <f t="shared" si="345"/>
        <v>NO APLICA</v>
      </c>
      <c r="MW104" s="6"/>
      <c r="MX104" s="6"/>
      <c r="MY104" s="4"/>
      <c r="MZ104" s="6"/>
      <c r="NA104" s="5" t="str">
        <f t="shared" si="346"/>
        <v>NO APLICA</v>
      </c>
      <c r="NB104" s="6"/>
      <c r="NC104" s="6"/>
      <c r="ND104" s="4"/>
      <c r="NE104" s="6"/>
      <c r="NF104" s="5" t="str">
        <f t="shared" si="347"/>
        <v>NO APLICA</v>
      </c>
      <c r="NG104" s="6"/>
      <c r="NH104" s="6"/>
      <c r="NI104" s="4"/>
      <c r="NJ104" s="6"/>
      <c r="NK104" s="5" t="str">
        <f t="shared" si="348"/>
        <v>NO APLICA</v>
      </c>
      <c r="NL104" s="6"/>
      <c r="NM104" s="6"/>
      <c r="NN104" s="4"/>
      <c r="NO104" s="6"/>
      <c r="NP104" s="5" t="str">
        <f t="shared" si="349"/>
        <v>NO APLICA</v>
      </c>
      <c r="NQ104" s="6"/>
      <c r="NR104" s="6"/>
      <c r="NS104" s="4"/>
      <c r="NT104" s="6"/>
      <c r="NU104" s="5" t="str">
        <f t="shared" si="350"/>
        <v>NO APLICA</v>
      </c>
      <c r="NV104" s="6"/>
      <c r="NW104" s="4">
        <v>45320</v>
      </c>
      <c r="NX104" s="4">
        <f>DATE(YEAR(NW104)+2,MONTH(NW104),DAY(NW104))</f>
        <v>46051</v>
      </c>
      <c r="NY104" s="8">
        <f ca="1">NX104-TODAY()</f>
        <v>-83</v>
      </c>
      <c r="NZ104" s="5" t="str">
        <f t="shared" ca="1" si="351"/>
        <v>VENCIDA</v>
      </c>
      <c r="OA104" s="6"/>
      <c r="OB104" s="6"/>
      <c r="OC104" s="6"/>
      <c r="OD104" s="6"/>
      <c r="OE104" s="5" t="str">
        <f t="shared" si="352"/>
        <v>NO APLICA</v>
      </c>
      <c r="OF104" s="6"/>
      <c r="OG104" s="6"/>
      <c r="OH104" s="6"/>
      <c r="OI104" s="6"/>
      <c r="OJ104" s="5" t="str">
        <f t="shared" si="353"/>
        <v>NO APLICA</v>
      </c>
      <c r="OK104" s="6"/>
      <c r="OL104" s="6"/>
      <c r="OM104" s="6"/>
      <c r="ON104" s="6"/>
      <c r="OO104" s="5" t="str">
        <f t="shared" si="354"/>
        <v>NO APLICA</v>
      </c>
      <c r="OP104" s="6"/>
      <c r="OQ104" s="6"/>
      <c r="OR104" s="6"/>
      <c r="OS104" s="6"/>
      <c r="OT104" s="5" t="str">
        <f t="shared" si="355"/>
        <v>NO APLICA</v>
      </c>
      <c r="OU104" s="6"/>
      <c r="OV104" s="6"/>
      <c r="OW104" s="6"/>
      <c r="OX104" s="6"/>
      <c r="OY104" s="5" t="str">
        <f t="shared" si="356"/>
        <v>NO APLICA</v>
      </c>
      <c r="OZ104" s="6"/>
      <c r="PA104" s="6"/>
      <c r="PB104" s="6"/>
      <c r="PC104" s="6"/>
      <c r="PD104" s="5" t="str">
        <f t="shared" si="357"/>
        <v>NO APLICA</v>
      </c>
      <c r="PE104" s="6"/>
      <c r="PF104" s="6"/>
      <c r="PG104" s="6"/>
      <c r="PH104" s="6"/>
      <c r="PI104" s="5" t="str">
        <f t="shared" si="358"/>
        <v>NO APLICA</v>
      </c>
      <c r="PJ104" s="5"/>
      <c r="PK104" s="6"/>
      <c r="PL104" s="6"/>
      <c r="PM104" s="6"/>
      <c r="PN104" s="5" t="str">
        <f t="shared" si="359"/>
        <v>NO APLICA</v>
      </c>
      <c r="PO104" s="6"/>
      <c r="PP104" s="6"/>
      <c r="PQ104" s="6"/>
      <c r="PR104" s="6"/>
      <c r="PS104" s="5" t="str">
        <f t="shared" si="360"/>
        <v>NO APLICA</v>
      </c>
      <c r="PT104" s="5"/>
      <c r="PU104" s="6"/>
      <c r="PV104" s="6"/>
      <c r="PW104" s="6"/>
      <c r="PX104" s="5" t="str">
        <f t="shared" si="361"/>
        <v>NO APLICA</v>
      </c>
    </row>
    <row r="105" spans="1:440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366</v>
      </c>
      <c r="V105" s="4">
        <v>45282</v>
      </c>
      <c r="W105" s="4">
        <f t="shared" si="248"/>
        <v>47109</v>
      </c>
      <c r="X105" s="8">
        <f t="shared" ca="1" si="249"/>
        <v>975</v>
      </c>
      <c r="Y105" s="5" t="str">
        <f t="shared" ca="1" si="250"/>
        <v>VIGENTE</v>
      </c>
      <c r="Z105" s="2"/>
      <c r="AA105" s="6"/>
      <c r="AB105" s="4"/>
      <c r="AC105" s="8"/>
      <c r="AD105" s="5" t="str">
        <f>IF(AC105&gt;=91,"VIGENTE",IF(AC105&gt;=1,"POR VENCER",IF(AC105&lt;=-1,"VENCIDA",IF(AA105=0,"NO APLICA"))))</f>
        <v>NO APLICA</v>
      </c>
      <c r="AE105" s="3"/>
      <c r="AF105" s="4">
        <v>45902</v>
      </c>
      <c r="AG105" s="4">
        <f>DATE(YEAR(AF105)+2,MONTH(AF105),DAY(AF105))</f>
        <v>46632</v>
      </c>
      <c r="AH105" s="8">
        <f t="shared" ca="1" si="252"/>
        <v>498</v>
      </c>
      <c r="AI105" s="5" t="str">
        <f t="shared" ca="1" si="224"/>
        <v>VIGENTE</v>
      </c>
      <c r="AJ105" s="3"/>
      <c r="AK105" s="4">
        <v>45903</v>
      </c>
      <c r="AL105" s="4">
        <f>DATE(YEAR(AK105)+2,MONTH(AK105),DAY(AK105))</f>
        <v>46633</v>
      </c>
      <c r="AM105" s="8">
        <f t="shared" ca="1" si="253"/>
        <v>499</v>
      </c>
      <c r="AN105" s="5" t="str">
        <f t="shared" ca="1" si="254"/>
        <v>VIGENTE</v>
      </c>
      <c r="AO105" s="3"/>
      <c r="AP105" s="4">
        <v>45904</v>
      </c>
      <c r="AQ105" s="4">
        <f>DATE(YEAR(AP105)+2,MONTH(AP105),DAY(AP105))</f>
        <v>46634</v>
      </c>
      <c r="AR105" s="8">
        <f t="shared" ca="1" si="255"/>
        <v>500</v>
      </c>
      <c r="AS105" s="5" t="str">
        <f t="shared" ca="1" si="256"/>
        <v>VIGENTE</v>
      </c>
      <c r="AT105" s="3"/>
      <c r="AU105" s="4">
        <v>45927</v>
      </c>
      <c r="AV105" s="4">
        <f>DATE(YEAR(AU105)+2,MONTH(AU105),DAY(AU105))</f>
        <v>46657</v>
      </c>
      <c r="AW105" s="8">
        <f t="shared" ca="1" si="257"/>
        <v>523</v>
      </c>
      <c r="AX105" s="5" t="str">
        <f t="shared" ca="1" si="258"/>
        <v>VIGENTE</v>
      </c>
      <c r="AY105" s="3"/>
      <c r="AZ105" s="4">
        <v>45717</v>
      </c>
      <c r="BA105" s="4">
        <f>DATE(YEAR(AZ105)+2,MONTH(AZ105),DAY(AZ105)-1)</f>
        <v>46446</v>
      </c>
      <c r="BB105" s="8">
        <f t="shared" ca="1" si="259"/>
        <v>312</v>
      </c>
      <c r="BC105" s="5" t="str">
        <f t="shared" ca="1" si="260"/>
        <v>VIGENTE</v>
      </c>
      <c r="BD105" s="3"/>
      <c r="BE105" s="4">
        <v>45698</v>
      </c>
      <c r="BF105" s="4">
        <f>DATE(YEAR(BE105)+2,MONTH(BE105),DAY(BE105)-1)</f>
        <v>46427</v>
      </c>
      <c r="BG105" s="8">
        <f t="shared" ca="1" si="261"/>
        <v>293</v>
      </c>
      <c r="BH105" s="5" t="str">
        <f t="shared" ca="1" si="262"/>
        <v>VIGENTE</v>
      </c>
      <c r="BI105" s="3"/>
      <c r="BJ105" s="4">
        <v>45600</v>
      </c>
      <c r="BK105" s="4">
        <f>DATE(YEAR(BJ105)+2,MONTH(BJ105),DAY(BJ105)-1)</f>
        <v>46329</v>
      </c>
      <c r="BL105" s="8">
        <f t="shared" ca="1" si="263"/>
        <v>195</v>
      </c>
      <c r="BM105" s="5" t="str">
        <f t="shared" ca="1" si="264"/>
        <v>VIGENTE</v>
      </c>
      <c r="BN105" s="3"/>
      <c r="BO105" s="4">
        <v>45701</v>
      </c>
      <c r="BP105" s="4">
        <f>DATE(YEAR(BO105)+2,MONTH(BO105),DAY(BO105)-1)</f>
        <v>46430</v>
      </c>
      <c r="BQ105" s="8">
        <f t="shared" ca="1" si="265"/>
        <v>296</v>
      </c>
      <c r="BR105" s="5" t="str">
        <f t="shared" ca="1" si="266"/>
        <v>VIGENTE</v>
      </c>
      <c r="BS105" s="3"/>
      <c r="BT105" s="4">
        <v>45611</v>
      </c>
      <c r="BU105" s="4">
        <f>DATE(YEAR(BT105)+2,MONTH(BT105),DAY(BT105)-1)</f>
        <v>46340</v>
      </c>
      <c r="BV105" s="8">
        <f t="shared" ca="1" si="267"/>
        <v>206</v>
      </c>
      <c r="BW105" s="5" t="str">
        <f t="shared" ca="1" si="268"/>
        <v>VIGENTE</v>
      </c>
      <c r="BX105" s="3"/>
      <c r="BY105" s="4">
        <v>45954</v>
      </c>
      <c r="BZ105" s="4">
        <f>DATE(YEAR(BY105)+2,MONTH(BY105),DAY(BY105))</f>
        <v>46684</v>
      </c>
      <c r="CA105" s="8">
        <f t="shared" ca="1" si="269"/>
        <v>550</v>
      </c>
      <c r="CB105" s="5" t="str">
        <f t="shared" ca="1" si="270"/>
        <v>VIGENTE</v>
      </c>
      <c r="CC105" s="6" t="s">
        <v>68</v>
      </c>
      <c r="CD105" s="4">
        <v>45832</v>
      </c>
      <c r="CE105" s="4">
        <f t="shared" si="397"/>
        <v>47293</v>
      </c>
      <c r="CF105" s="8">
        <f t="shared" ca="1" si="398"/>
        <v>1159</v>
      </c>
      <c r="CG105" s="5" t="str">
        <f t="shared" ca="1" si="273"/>
        <v>VIGENTE</v>
      </c>
      <c r="CH105" s="4"/>
      <c r="CI105" s="4">
        <v>45688</v>
      </c>
      <c r="CJ105" s="4">
        <f>DATE(YEAR(CI105)+2,MONTH(CI105),DAY(CI105)-1)</f>
        <v>46417</v>
      </c>
      <c r="CK105" s="8">
        <f t="shared" ca="1" si="274"/>
        <v>283</v>
      </c>
      <c r="CL105" s="5" t="str">
        <f t="shared" ca="1" si="275"/>
        <v>VIGENTE</v>
      </c>
      <c r="CM105" s="3"/>
      <c r="CN105" s="4">
        <v>45726</v>
      </c>
      <c r="CO105" s="4">
        <f>DATE(YEAR(CN105)+2,MONTH(CN105),DAY(CN105)-1)</f>
        <v>46455</v>
      </c>
      <c r="CP105" s="8">
        <f t="shared" ca="1" si="276"/>
        <v>321</v>
      </c>
      <c r="CQ105" s="5" t="str">
        <f t="shared" ca="1" si="277"/>
        <v>VIGENTE</v>
      </c>
      <c r="CR105" s="3"/>
      <c r="CS105" s="4">
        <v>45905</v>
      </c>
      <c r="CT105" s="4">
        <f>DATE(YEAR(CS105)+2,MONTH(CS105),DAY(CS105))</f>
        <v>46635</v>
      </c>
      <c r="CU105" s="8">
        <f t="shared" ca="1" si="278"/>
        <v>501</v>
      </c>
      <c r="CV105" s="5" t="str">
        <f t="shared" ca="1" si="279"/>
        <v>VIGENTE</v>
      </c>
      <c r="CW105" s="3"/>
      <c r="CX105" s="4">
        <v>46000</v>
      </c>
      <c r="CY105" s="4">
        <f>DATE(YEAR(CX105)+2,MONTH(CX105),DAY(CX105))</f>
        <v>46730</v>
      </c>
      <c r="CZ105" s="8">
        <f t="shared" ca="1" si="280"/>
        <v>596</v>
      </c>
      <c r="DA105" s="5" t="str">
        <f t="shared" ca="1" si="281"/>
        <v>VIGENTE</v>
      </c>
      <c r="DB105" s="3"/>
      <c r="DC105" s="4">
        <v>45761</v>
      </c>
      <c r="DD105" s="4">
        <f>DATE(YEAR(DC105)+2,MONTH(DC105),DAY(DC105))</f>
        <v>46491</v>
      </c>
      <c r="DE105" s="8">
        <f t="shared" ca="1" si="282"/>
        <v>357</v>
      </c>
      <c r="DF105" s="5" t="str">
        <f t="shared" ca="1" si="283"/>
        <v>VIGENTE</v>
      </c>
      <c r="DG105" s="3"/>
      <c r="DH105" s="4">
        <v>45834</v>
      </c>
      <c r="DI105" s="4">
        <f>DATE(YEAR(DH105)+2,MONTH(DH105),DAY(DH105))</f>
        <v>46564</v>
      </c>
      <c r="DJ105" s="8">
        <f t="shared" ca="1" si="284"/>
        <v>430</v>
      </c>
      <c r="DK105" s="5" t="str">
        <f t="shared" ca="1" si="285"/>
        <v>VIGENTE</v>
      </c>
      <c r="DL105" s="3"/>
      <c r="DM105" s="4">
        <v>45982</v>
      </c>
      <c r="DN105" s="4">
        <f>DATE(YEAR(DM105)+2,MONTH(DM105),DAY(DM105))</f>
        <v>46712</v>
      </c>
      <c r="DO105" s="8">
        <f t="shared" ca="1" si="286"/>
        <v>578</v>
      </c>
      <c r="DP105" s="5" t="str">
        <f t="shared" ca="1" si="287"/>
        <v>VIGENTE</v>
      </c>
      <c r="DQ105" s="3"/>
      <c r="DR105" s="4">
        <v>45685</v>
      </c>
      <c r="DS105" s="4">
        <f>DATE(YEAR(DR105)+2,MONTH(DR105),DAY(DR105)-1)</f>
        <v>46414</v>
      </c>
      <c r="DT105" s="8">
        <f t="shared" ca="1" si="288"/>
        <v>280</v>
      </c>
      <c r="DU105" s="5" t="str">
        <f t="shared" ca="1" si="289"/>
        <v>VIGENTE</v>
      </c>
      <c r="DV105" s="3"/>
      <c r="DW105" s="4">
        <v>45663</v>
      </c>
      <c r="DX105" s="4">
        <f>DATE(YEAR(DW105)+2,MONTH(DW105),DAY(DW105)-1)</f>
        <v>46392</v>
      </c>
      <c r="DY105" s="8">
        <f t="shared" ca="1" si="290"/>
        <v>258</v>
      </c>
      <c r="DZ105" s="5" t="str">
        <f t="shared" ca="1" si="291"/>
        <v>VIGENTE</v>
      </c>
      <c r="EA105" s="3"/>
      <c r="EB105" s="4">
        <v>45674</v>
      </c>
      <c r="EC105" s="4">
        <f>DATE(YEAR(EB105)+2,MONTH(EB105),DAY(EB105)-1)</f>
        <v>46403</v>
      </c>
      <c r="ED105" s="8">
        <f t="shared" ca="1" si="292"/>
        <v>269</v>
      </c>
      <c r="EE105" s="5" t="str">
        <f t="shared" ca="1" si="293"/>
        <v>VIGENTE</v>
      </c>
      <c r="EF105" s="3"/>
      <c r="EG105" s="3">
        <v>46085</v>
      </c>
      <c r="EH105" s="4">
        <f t="shared" si="364"/>
        <v>46450</v>
      </c>
      <c r="EI105" s="8">
        <f t="shared" ca="1" si="294"/>
        <v>316</v>
      </c>
      <c r="EJ105" s="5" t="str">
        <f t="shared" ca="1" si="295"/>
        <v>VIGENTE</v>
      </c>
      <c r="EK105" s="3"/>
      <c r="EL105" s="4">
        <v>45705</v>
      </c>
      <c r="EM105" s="4">
        <f>DATE(YEAR(EL105)+2,MONTH(EL105),DAY(EL105)-1)</f>
        <v>46434</v>
      </c>
      <c r="EN105" s="8">
        <f t="shared" ca="1" si="296"/>
        <v>300</v>
      </c>
      <c r="EO105" s="5" t="str">
        <f t="shared" ca="1" si="297"/>
        <v>VIGENTE</v>
      </c>
      <c r="EP105" s="2"/>
      <c r="EQ105" s="4">
        <v>45735</v>
      </c>
      <c r="ER105" s="4">
        <f>DATE(YEAR(EQ105)+2,MONTH(EQ105),DAY(EQ105)-1)</f>
        <v>46464</v>
      </c>
      <c r="ES105" s="8">
        <f t="shared" ca="1" si="298"/>
        <v>330</v>
      </c>
      <c r="ET105" s="5" t="str">
        <f t="shared" ca="1" si="299"/>
        <v>VIGENTE</v>
      </c>
      <c r="EU105" s="3"/>
      <c r="EV105" s="4">
        <v>45917</v>
      </c>
      <c r="EW105" s="4">
        <f>DATE(YEAR(EV105)+2,MONTH(EV105),DAY(EV105))</f>
        <v>46647</v>
      </c>
      <c r="EX105" s="8">
        <f t="shared" ca="1" si="300"/>
        <v>513</v>
      </c>
      <c r="EY105" s="5" t="str">
        <f t="shared" ca="1" si="301"/>
        <v>VIGENTE</v>
      </c>
      <c r="EZ105" s="3"/>
      <c r="FA105" s="4">
        <v>45931</v>
      </c>
      <c r="FB105" s="4">
        <f>DATE(YEAR(FA105)+2,MONTH(FA105),DAY(FA105))</f>
        <v>46661</v>
      </c>
      <c r="FC105" s="8">
        <f t="shared" ca="1" si="302"/>
        <v>527</v>
      </c>
      <c r="FD105" s="5" t="str">
        <f t="shared" ca="1" si="303"/>
        <v>VIGENTE</v>
      </c>
      <c r="FE105" s="3"/>
      <c r="FF105" s="4">
        <v>45932</v>
      </c>
      <c r="FG105" s="4">
        <f>DATE(YEAR(FF105)+2,MONTH(FF105),DAY(FF105))</f>
        <v>46662</v>
      </c>
      <c r="FH105" s="8">
        <f t="shared" ca="1" si="304"/>
        <v>528</v>
      </c>
      <c r="FI105" s="5" t="str">
        <f t="shared" ca="1" si="305"/>
        <v>VIGENTE</v>
      </c>
      <c r="FJ105" s="3"/>
      <c r="FK105" s="4">
        <v>45670</v>
      </c>
      <c r="FL105" s="4">
        <f>DATE(YEAR(FK105)+2,MONTH(FK105),DAY(FK105)-1)</f>
        <v>46399</v>
      </c>
      <c r="FM105" s="8">
        <f t="shared" ca="1" si="306"/>
        <v>265</v>
      </c>
      <c r="FN105" s="5" t="str">
        <f t="shared" ca="1" si="307"/>
        <v>VIGENTE</v>
      </c>
      <c r="FO105" s="3"/>
      <c r="FP105" s="4">
        <v>45664</v>
      </c>
      <c r="FQ105" s="4">
        <f>DATE(YEAR(FP105)+2,MONTH(FP105),DAY(FP105)-1)</f>
        <v>46393</v>
      </c>
      <c r="FR105" s="8">
        <f t="shared" ca="1" si="308"/>
        <v>259</v>
      </c>
      <c r="FS105" s="5" t="str">
        <f t="shared" ca="1" si="309"/>
        <v>VIGENTE</v>
      </c>
      <c r="FT105" s="3"/>
      <c r="FU105" s="4">
        <v>46014</v>
      </c>
      <c r="FV105" s="4">
        <f>DATE(YEAR(FU105)+2,MONTH(FU105),DAY(FU105))</f>
        <v>46744</v>
      </c>
      <c r="FW105" s="8">
        <f t="shared" ca="1" si="310"/>
        <v>610</v>
      </c>
      <c r="FX105" s="5" t="str">
        <f t="shared" ca="1" si="311"/>
        <v>VIGENTE</v>
      </c>
      <c r="FY105" s="3"/>
      <c r="FZ105" s="4">
        <v>45667</v>
      </c>
      <c r="GA105" s="4">
        <f>DATE(YEAR(FZ105)+2,MONTH(FZ105),DAY(FZ105)-1)</f>
        <v>46396</v>
      </c>
      <c r="GB105" s="8">
        <f t="shared" ca="1" si="312"/>
        <v>262</v>
      </c>
      <c r="GC105" s="5" t="str">
        <f t="shared" ca="1" si="313"/>
        <v>VIGENTE</v>
      </c>
      <c r="GD105" s="3"/>
      <c r="GE105" s="4">
        <v>45672</v>
      </c>
      <c r="GF105" s="4">
        <f>DATE(YEAR(GE105)+2,MONTH(GE105),DAY(GE105)-1)</f>
        <v>46401</v>
      </c>
      <c r="GG105" s="8">
        <f t="shared" ca="1" si="314"/>
        <v>267</v>
      </c>
      <c r="GH105" s="5" t="str">
        <f t="shared" ca="1" si="315"/>
        <v>VIGENTE</v>
      </c>
      <c r="GI105" s="3"/>
      <c r="GJ105" s="4">
        <v>45945</v>
      </c>
      <c r="GK105" s="4">
        <f>DATE(YEAR(GJ105)+2,MONTH(GJ105),DAY(GJ105))</f>
        <v>46675</v>
      </c>
      <c r="GL105" s="8">
        <f t="shared" ca="1" si="316"/>
        <v>541</v>
      </c>
      <c r="GM105" s="5" t="str">
        <f t="shared" ca="1" si="317"/>
        <v>VIGENTE</v>
      </c>
      <c r="GN105" s="4"/>
      <c r="GO105" s="4">
        <v>45013</v>
      </c>
      <c r="GP105" s="4">
        <f t="shared" si="318"/>
        <v>46840</v>
      </c>
      <c r="GQ105" s="8">
        <f t="shared" ca="1" si="394"/>
        <v>706</v>
      </c>
      <c r="GR105" s="5" t="str">
        <f t="shared" ca="1" si="388"/>
        <v>VIGENTE</v>
      </c>
      <c r="GS105" s="3"/>
      <c r="GT105" s="4">
        <v>45099</v>
      </c>
      <c r="GU105" s="4">
        <f t="shared" si="320"/>
        <v>46926</v>
      </c>
      <c r="GV105" s="8">
        <f t="shared" ca="1" si="321"/>
        <v>792</v>
      </c>
      <c r="GW105" s="5" t="str">
        <f t="shared" ca="1" si="389"/>
        <v>VIGENTE</v>
      </c>
      <c r="GX105" s="2"/>
      <c r="GY105" s="4">
        <v>45073</v>
      </c>
      <c r="GZ105" s="4">
        <f t="shared" si="323"/>
        <v>46900</v>
      </c>
      <c r="HA105" s="8">
        <f t="shared" ca="1" si="324"/>
        <v>766</v>
      </c>
      <c r="HB105" s="5" t="str">
        <f t="shared" ca="1" si="414"/>
        <v>VIGENTE</v>
      </c>
      <c r="HC105" s="6"/>
      <c r="HD105" s="6"/>
      <c r="HE105" s="4"/>
      <c r="HF105" s="8"/>
      <c r="HG105" s="5" t="str">
        <f t="shared" si="415"/>
        <v>NO APLICA</v>
      </c>
      <c r="HH105" s="2"/>
      <c r="HI105" s="6"/>
      <c r="HJ105" s="4"/>
      <c r="HK105" s="8"/>
      <c r="HL105" s="5" t="str">
        <f t="shared" si="395"/>
        <v>NO APLICA</v>
      </c>
      <c r="HM105" s="2"/>
      <c r="HN105" s="2"/>
      <c r="HO105" s="4"/>
      <c r="HP105" s="2"/>
      <c r="HQ105" s="5" t="str">
        <f t="shared" si="326"/>
        <v>NO APLICA</v>
      </c>
      <c r="HR105" s="2"/>
      <c r="HS105" s="6"/>
      <c r="HT105" s="4"/>
      <c r="HU105" s="8"/>
      <c r="HV105" s="5" t="str">
        <f t="shared" si="327"/>
        <v>NO APLICA</v>
      </c>
      <c r="HW105" s="2"/>
      <c r="HX105" s="6"/>
      <c r="HY105" s="4"/>
      <c r="HZ105" s="8"/>
      <c r="IA105" s="5" t="str">
        <f t="shared" si="328"/>
        <v>NO APLICA</v>
      </c>
      <c r="IB105" s="2"/>
      <c r="IC105" s="6"/>
      <c r="ID105" s="4"/>
      <c r="IE105" s="8"/>
      <c r="IF105" s="5" t="str">
        <f t="shared" si="329"/>
        <v>NO APLICA</v>
      </c>
      <c r="IG105" s="6"/>
      <c r="IH105" s="6"/>
      <c r="II105" s="4"/>
      <c r="IJ105" s="8"/>
      <c r="IK105" s="5" t="str">
        <f t="shared" si="330"/>
        <v>NO APLICA</v>
      </c>
      <c r="IL105" s="2"/>
      <c r="IM105" s="6"/>
      <c r="IN105" s="4"/>
      <c r="IO105" s="8"/>
      <c r="IP105" s="5" t="str">
        <f t="shared" si="331"/>
        <v>NO APLICA</v>
      </c>
      <c r="IQ105" s="2"/>
      <c r="IR105" s="6"/>
      <c r="IS105" s="4"/>
      <c r="IT105" s="8"/>
      <c r="IU105" s="5" t="str">
        <f t="shared" si="332"/>
        <v>NO APLICA</v>
      </c>
      <c r="IV105" s="2"/>
      <c r="IW105" s="6"/>
      <c r="IX105" s="4"/>
      <c r="IY105" s="8"/>
      <c r="IZ105" s="5" t="str">
        <f t="shared" si="333"/>
        <v>NO APLICA</v>
      </c>
      <c r="JA105" s="3"/>
      <c r="JB105" s="3"/>
      <c r="JC105" s="4"/>
      <c r="JD105" s="8"/>
      <c r="JE105" s="5" t="str">
        <f t="shared" si="334"/>
        <v>NO APLICA</v>
      </c>
      <c r="JF105" s="6"/>
      <c r="JG105" s="6"/>
      <c r="JH105" s="6"/>
      <c r="JI105" s="6"/>
      <c r="JJ105" s="5" t="str">
        <f t="shared" si="335"/>
        <v>NO APLICA</v>
      </c>
      <c r="JK105" s="6"/>
      <c r="JL105" s="6"/>
      <c r="JM105" s="6"/>
      <c r="JN105" s="6"/>
      <c r="JO105" s="5" t="str">
        <f t="shared" si="336"/>
        <v>NO APLICA</v>
      </c>
      <c r="JP105" s="6"/>
      <c r="JQ105" s="6"/>
      <c r="JR105" s="6"/>
      <c r="JS105" s="6"/>
      <c r="JT105" s="5" t="str">
        <f t="shared" si="337"/>
        <v>NO APLICA</v>
      </c>
      <c r="JU105" s="5"/>
      <c r="JV105" s="5"/>
      <c r="JW105" s="5"/>
      <c r="JX105" s="5"/>
      <c r="JY105" s="5" t="str">
        <f t="shared" si="338"/>
        <v>NO APLICA</v>
      </c>
      <c r="JZ105" s="5"/>
      <c r="KA105" s="2"/>
      <c r="KB105" s="4"/>
      <c r="KC105" s="8"/>
      <c r="KD105" s="5" t="str">
        <f t="shared" si="339"/>
        <v>NO APLICA</v>
      </c>
      <c r="KE105" s="5"/>
      <c r="KF105" s="2"/>
      <c r="KG105" s="4"/>
      <c r="KH105" s="8"/>
      <c r="KI105" s="5" t="str">
        <f t="shared" si="365"/>
        <v>NO APLICA</v>
      </c>
      <c r="KJ105" s="5"/>
      <c r="KK105" s="2"/>
      <c r="KL105" s="4"/>
      <c r="KM105" s="8"/>
      <c r="KN105" s="5" t="str">
        <f t="shared" si="340"/>
        <v>NO APLICA</v>
      </c>
      <c r="KO105" s="5"/>
      <c r="KP105" s="2"/>
      <c r="KQ105" s="4"/>
      <c r="KR105" s="8"/>
      <c r="KS105" s="5" t="str">
        <f t="shared" si="366"/>
        <v>NO APLICA</v>
      </c>
      <c r="KT105" s="2"/>
      <c r="KU105" s="6"/>
      <c r="KV105" s="4"/>
      <c r="KW105" s="8"/>
      <c r="KX105" s="5" t="str">
        <f t="shared" si="375"/>
        <v>NO APLICA</v>
      </c>
      <c r="KY105" s="5"/>
      <c r="KZ105" s="6"/>
      <c r="LA105" s="4"/>
      <c r="LB105" s="8"/>
      <c r="LC105" s="5" t="str">
        <f t="shared" si="367"/>
        <v>NO APLICA</v>
      </c>
      <c r="LD105" s="6"/>
      <c r="LE105" s="6"/>
      <c r="LF105" s="4"/>
      <c r="LG105" s="8"/>
      <c r="LH105" s="5" t="str">
        <f t="shared" si="341"/>
        <v>NO APLICA</v>
      </c>
      <c r="LI105" s="5"/>
      <c r="LJ105" s="5"/>
      <c r="LK105" s="4"/>
      <c r="LL105" s="8"/>
      <c r="LM105" s="5" t="str">
        <f t="shared" si="376"/>
        <v>NO APLICA</v>
      </c>
      <c r="LN105" s="2"/>
      <c r="LO105" s="6"/>
      <c r="LP105" s="4"/>
      <c r="LQ105" s="8"/>
      <c r="LR105" s="5" t="str">
        <f t="shared" si="368"/>
        <v>NO APLICA</v>
      </c>
      <c r="LS105" s="6"/>
      <c r="LT105" s="6"/>
      <c r="LU105" s="4"/>
      <c r="LV105" s="8"/>
      <c r="LW105" s="5" t="str">
        <f t="shared" si="369"/>
        <v>NO APLICA</v>
      </c>
      <c r="LX105" s="6"/>
      <c r="LY105" s="6"/>
      <c r="LZ105" s="4"/>
      <c r="MA105" s="8"/>
      <c r="MB105" s="5" t="str">
        <f t="shared" si="370"/>
        <v>NO APLICA</v>
      </c>
      <c r="MC105" s="2"/>
      <c r="MD105" s="2"/>
      <c r="ME105" s="4"/>
      <c r="MF105" s="8"/>
      <c r="MG105" s="5" t="str">
        <f t="shared" si="342"/>
        <v>NO APLICA</v>
      </c>
      <c r="MH105" s="2"/>
      <c r="MI105" s="2"/>
      <c r="MJ105" s="4"/>
      <c r="MK105" s="8"/>
      <c r="ML105" s="5" t="str">
        <f t="shared" si="343"/>
        <v>NO APLICA</v>
      </c>
      <c r="MM105" s="5"/>
      <c r="MN105" s="2"/>
      <c r="MO105" s="4"/>
      <c r="MP105" s="8"/>
      <c r="MQ105" s="5" t="str">
        <f t="shared" si="344"/>
        <v>NO APLICA</v>
      </c>
      <c r="MR105" s="5"/>
      <c r="MS105" s="2"/>
      <c r="MT105" s="4"/>
      <c r="MU105" s="2"/>
      <c r="MV105" s="5" t="str">
        <f t="shared" si="345"/>
        <v>NO APLICA</v>
      </c>
      <c r="MW105" s="2"/>
      <c r="MX105" s="6"/>
      <c r="MY105" s="4"/>
      <c r="MZ105" s="8"/>
      <c r="NA105" s="5" t="str">
        <f t="shared" si="346"/>
        <v>NO APLICA</v>
      </c>
      <c r="NB105" s="2"/>
      <c r="NC105" s="6"/>
      <c r="ND105" s="4"/>
      <c r="NE105" s="8"/>
      <c r="NF105" s="5" t="str">
        <f t="shared" si="347"/>
        <v>NO APLICA</v>
      </c>
      <c r="NG105" s="2"/>
      <c r="NH105" s="6"/>
      <c r="NI105" s="4"/>
      <c r="NJ105" s="8"/>
      <c r="NK105" s="5" t="str">
        <f t="shared" si="348"/>
        <v>NO APLICA</v>
      </c>
      <c r="NL105" s="2"/>
      <c r="NM105" s="2"/>
      <c r="NN105" s="4"/>
      <c r="NO105" s="2"/>
      <c r="NP105" s="5" t="str">
        <f t="shared" si="349"/>
        <v>NO APLICA</v>
      </c>
      <c r="NQ105" s="2"/>
      <c r="NR105" s="2"/>
      <c r="NS105" s="2"/>
      <c r="NT105" s="2"/>
      <c r="NU105" s="5" t="str">
        <f t="shared" si="350"/>
        <v>NO APLICA</v>
      </c>
      <c r="NV105" s="6"/>
      <c r="NW105" s="6"/>
      <c r="NX105" s="4"/>
      <c r="NY105" s="8"/>
      <c r="NZ105" s="5" t="str">
        <f t="shared" si="351"/>
        <v>NO APLICA</v>
      </c>
      <c r="OA105" s="6"/>
      <c r="OB105" s="6"/>
      <c r="OC105" s="6"/>
      <c r="OD105" s="6"/>
      <c r="OE105" s="5" t="str">
        <f t="shared" si="352"/>
        <v>NO APLICA</v>
      </c>
      <c r="OF105" s="2"/>
      <c r="OG105" s="2"/>
      <c r="OH105" s="4"/>
      <c r="OI105" s="8"/>
      <c r="OJ105" s="5" t="str">
        <f t="shared" si="353"/>
        <v>NO APLICA</v>
      </c>
      <c r="OK105" s="6"/>
      <c r="OL105" s="6"/>
      <c r="OM105" s="6"/>
      <c r="ON105" s="6"/>
      <c r="OO105" s="5" t="str">
        <f t="shared" si="354"/>
        <v>NO APLICA</v>
      </c>
      <c r="OP105" s="6"/>
      <c r="OQ105" s="6"/>
      <c r="OR105" s="6"/>
      <c r="OS105" s="6"/>
      <c r="OT105" s="5" t="str">
        <f t="shared" si="355"/>
        <v>NO APLICA</v>
      </c>
      <c r="OU105" s="6"/>
      <c r="OV105" s="6"/>
      <c r="OW105" s="6"/>
      <c r="OX105" s="6"/>
      <c r="OY105" s="5" t="str">
        <f t="shared" si="356"/>
        <v>NO APLICA</v>
      </c>
      <c r="OZ105" s="6"/>
      <c r="PA105" s="6"/>
      <c r="PB105" s="6"/>
      <c r="PC105" s="6"/>
      <c r="PD105" s="5" t="str">
        <f t="shared" si="357"/>
        <v>NO APLICA</v>
      </c>
      <c r="PE105" s="6"/>
      <c r="PF105" s="6"/>
      <c r="PG105" s="6"/>
      <c r="PH105" s="6"/>
      <c r="PI105" s="5" t="str">
        <f t="shared" si="358"/>
        <v>NO APLICA</v>
      </c>
      <c r="PJ105" s="5"/>
      <c r="PK105" s="6"/>
      <c r="PL105" s="4"/>
      <c r="PM105" s="8"/>
      <c r="PN105" s="5" t="str">
        <f t="shared" si="359"/>
        <v>NO APLICA</v>
      </c>
      <c r="PO105" s="6"/>
      <c r="PP105" s="6"/>
      <c r="PQ105" s="6"/>
      <c r="PR105" s="6"/>
      <c r="PS105" s="5" t="str">
        <f t="shared" si="360"/>
        <v>NO APLICA</v>
      </c>
      <c r="PT105" s="5"/>
      <c r="PU105" s="4">
        <v>46126</v>
      </c>
      <c r="PV105" s="4">
        <f>DATE(YEAR(PU105)+1,MONTH(PU105),DAY(PU105))</f>
        <v>46491</v>
      </c>
      <c r="PW105" s="8">
        <f ca="1">PV105-TODAY()</f>
        <v>357</v>
      </c>
      <c r="PX105" s="5" t="str">
        <f t="shared" ca="1" si="361"/>
        <v>VIGENTE</v>
      </c>
    </row>
    <row r="106" spans="1:440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368</v>
      </c>
      <c r="V106" s="4">
        <v>45693</v>
      </c>
      <c r="W106" s="4">
        <f t="shared" si="248"/>
        <v>47519</v>
      </c>
      <c r="X106" s="8">
        <f t="shared" ca="1" si="249"/>
        <v>1385</v>
      </c>
      <c r="Y106" s="5" t="str">
        <f t="shared" ca="1" si="250"/>
        <v>VIGENTE</v>
      </c>
      <c r="Z106" s="2"/>
      <c r="AA106" s="2"/>
      <c r="AB106" s="4"/>
      <c r="AC106" s="8"/>
      <c r="AD106" s="23" t="str">
        <f>IF(AC106&gt;=91,"VIGENTE",IF(AC106&gt;=1,"POR VENCER",IF(AC106&lt;=-1,"VENCIDA",IF(AA106=0,"PENDIENTE"))))</f>
        <v>PENDIENTE</v>
      </c>
      <c r="AE106" s="6"/>
      <c r="AF106" s="4">
        <v>45589</v>
      </c>
      <c r="AG106" s="4">
        <f>DATE(YEAR(AF106)+2,MONTH(AF106),DAY(AF106)-1)</f>
        <v>46318</v>
      </c>
      <c r="AH106" s="8">
        <f t="shared" ca="1" si="252"/>
        <v>184</v>
      </c>
      <c r="AI106" s="5" t="str">
        <f t="shared" ca="1" si="224"/>
        <v>VIGENTE</v>
      </c>
      <c r="AJ106" s="6"/>
      <c r="AK106" s="4">
        <v>45602</v>
      </c>
      <c r="AL106" s="4">
        <f>DATE(YEAR(AK106)+2,MONTH(AK106),DAY(AK106)-1)</f>
        <v>46331</v>
      </c>
      <c r="AM106" s="8">
        <f t="shared" ca="1" si="253"/>
        <v>197</v>
      </c>
      <c r="AN106" s="5" t="str">
        <f t="shared" ca="1" si="254"/>
        <v>VIGENTE</v>
      </c>
      <c r="AO106" s="6"/>
      <c r="AP106" s="4">
        <v>45591</v>
      </c>
      <c r="AQ106" s="4">
        <f>DATE(YEAR(AP106)+2,MONTH(AP106),DAY(AP106)-1)</f>
        <v>46320</v>
      </c>
      <c r="AR106" s="8">
        <f t="shared" ca="1" si="255"/>
        <v>186</v>
      </c>
      <c r="AS106" s="5" t="str">
        <f t="shared" ca="1" si="256"/>
        <v>VIGENTE</v>
      </c>
      <c r="AT106" s="6"/>
      <c r="AU106" s="4">
        <v>45644</v>
      </c>
      <c r="AV106" s="4">
        <f>DATE(YEAR(AU106)+2,MONTH(AU106),DAY(AU106)-1)</f>
        <v>46373</v>
      </c>
      <c r="AW106" s="8">
        <f t="shared" ca="1" si="257"/>
        <v>239</v>
      </c>
      <c r="AX106" s="5" t="str">
        <f t="shared" ca="1" si="258"/>
        <v>VIGENTE</v>
      </c>
      <c r="AY106" s="4"/>
      <c r="AZ106" s="4">
        <v>45603</v>
      </c>
      <c r="BA106" s="4">
        <f>DATE(YEAR(AZ106)+2,MONTH(AZ106),DAY(AZ106)-1)</f>
        <v>46332</v>
      </c>
      <c r="BB106" s="8">
        <f t="shared" ca="1" si="259"/>
        <v>198</v>
      </c>
      <c r="BC106" s="5" t="str">
        <f t="shared" ca="1" si="260"/>
        <v>VIGENTE</v>
      </c>
      <c r="BD106" s="6"/>
      <c r="BE106" s="4">
        <v>45605</v>
      </c>
      <c r="BF106" s="4">
        <f>DATE(YEAR(BE106)+2,MONTH(BE106),DAY(BE106)-1)</f>
        <v>46334</v>
      </c>
      <c r="BG106" s="8">
        <f t="shared" ca="1" si="261"/>
        <v>200</v>
      </c>
      <c r="BH106" s="5" t="str">
        <f t="shared" ca="1" si="262"/>
        <v>VIGENTE</v>
      </c>
      <c r="BI106" s="4"/>
      <c r="BJ106" s="4">
        <v>45600</v>
      </c>
      <c r="BK106" s="4">
        <f>DATE(YEAR(BJ106)+2,MONTH(BJ106),DAY(BJ106)-1)</f>
        <v>46329</v>
      </c>
      <c r="BL106" s="8">
        <f t="shared" ca="1" si="263"/>
        <v>195</v>
      </c>
      <c r="BM106" s="5" t="str">
        <f t="shared" ca="1" si="264"/>
        <v>VIGENTE</v>
      </c>
      <c r="BN106" s="4"/>
      <c r="BO106" s="4">
        <v>45604</v>
      </c>
      <c r="BP106" s="4">
        <f>DATE(YEAR(BO106)+2,MONTH(BO106),DAY(BO106)-1)</f>
        <v>46333</v>
      </c>
      <c r="BQ106" s="8">
        <f t="shared" ca="1" si="265"/>
        <v>199</v>
      </c>
      <c r="BR106" s="5" t="str">
        <f t="shared" ca="1" si="266"/>
        <v>VIGENTE</v>
      </c>
      <c r="BS106" s="6"/>
      <c r="BT106" s="4">
        <v>45568</v>
      </c>
      <c r="BU106" s="4">
        <f>DATE(YEAR(BT106)+2,MONTH(BT106),DAY(BT106)-1)</f>
        <v>46297</v>
      </c>
      <c r="BV106" s="8">
        <f t="shared" ca="1" si="267"/>
        <v>163</v>
      </c>
      <c r="BW106" s="5" t="str">
        <f t="shared" ca="1" si="268"/>
        <v>VIGENTE</v>
      </c>
      <c r="BX106" s="6"/>
      <c r="BY106" s="4">
        <v>45730</v>
      </c>
      <c r="BZ106" s="4">
        <f>DATE(YEAR(BY106)+2,MONTH(BY106),DAY(BY106)-1)</f>
        <v>46459</v>
      </c>
      <c r="CA106" s="8">
        <f t="shared" ca="1" si="269"/>
        <v>325</v>
      </c>
      <c r="CB106" s="5" t="str">
        <f t="shared" ca="1" si="270"/>
        <v>VIGENTE</v>
      </c>
      <c r="CC106" s="6" t="s">
        <v>68</v>
      </c>
      <c r="CD106" s="4">
        <v>45723</v>
      </c>
      <c r="CE106" s="4">
        <f t="shared" si="397"/>
        <v>47184</v>
      </c>
      <c r="CF106" s="8">
        <f t="shared" ca="1" si="398"/>
        <v>1050</v>
      </c>
      <c r="CG106" s="5" t="str">
        <f t="shared" ca="1" si="273"/>
        <v>VIGENTE</v>
      </c>
      <c r="CH106" s="6"/>
      <c r="CI106" s="4">
        <v>45601</v>
      </c>
      <c r="CJ106" s="4">
        <f>DATE(YEAR(CI106)+2,MONTH(CI106),DAY(CI106)-1)</f>
        <v>46330</v>
      </c>
      <c r="CK106" s="8">
        <f t="shared" ca="1" si="274"/>
        <v>196</v>
      </c>
      <c r="CL106" s="5" t="str">
        <f t="shared" ca="1" si="275"/>
        <v>VIGENTE</v>
      </c>
      <c r="CM106" s="6"/>
      <c r="CN106" s="4">
        <v>45597</v>
      </c>
      <c r="CO106" s="4">
        <f>DATE(YEAR(CN106)+2,MONTH(CN106),DAY(CN106)-1)</f>
        <v>46326</v>
      </c>
      <c r="CP106" s="8">
        <f t="shared" ca="1" si="276"/>
        <v>192</v>
      </c>
      <c r="CQ106" s="5" t="str">
        <f t="shared" ca="1" si="277"/>
        <v>VIGENTE</v>
      </c>
      <c r="CR106" s="6"/>
      <c r="CS106" s="4">
        <v>45624</v>
      </c>
      <c r="CT106" s="4">
        <f>DATE(YEAR(CS106)+2,MONTH(CS106),DAY(CS106)-1)</f>
        <v>46353</v>
      </c>
      <c r="CU106" s="8">
        <f t="shared" ca="1" si="278"/>
        <v>219</v>
      </c>
      <c r="CV106" s="5" t="str">
        <f t="shared" ca="1" si="279"/>
        <v>VIGENTE</v>
      </c>
      <c r="CW106" s="4"/>
      <c r="CX106" s="4">
        <v>45646</v>
      </c>
      <c r="CY106" s="4">
        <f>DATE(YEAR(CX106)+2,MONTH(CX106),DAY(CX106)-1)</f>
        <v>46375</v>
      </c>
      <c r="CZ106" s="8">
        <f t="shared" ca="1" si="280"/>
        <v>241</v>
      </c>
      <c r="DA106" s="5" t="str">
        <f t="shared" ca="1" si="281"/>
        <v>VIGENTE</v>
      </c>
      <c r="DB106" s="4"/>
      <c r="DC106" s="4">
        <v>45596</v>
      </c>
      <c r="DD106" s="4">
        <f>DATE(YEAR(DC106)+2,MONTH(DC106),DAY(DC106)-1)</f>
        <v>46325</v>
      </c>
      <c r="DE106" s="8">
        <f t="shared" ca="1" si="282"/>
        <v>191</v>
      </c>
      <c r="DF106" s="5" t="str">
        <f t="shared" ca="1" si="283"/>
        <v>VIGENTE</v>
      </c>
      <c r="DG106" s="6"/>
      <c r="DH106" s="4">
        <v>45580</v>
      </c>
      <c r="DI106" s="4">
        <f>DATE(YEAR(DH106)+2,MONTH(DH106),DAY(DH106)-1)</f>
        <v>46309</v>
      </c>
      <c r="DJ106" s="8">
        <f t="shared" ca="1" si="284"/>
        <v>175</v>
      </c>
      <c r="DK106" s="5" t="str">
        <f t="shared" ca="1" si="285"/>
        <v>VIGENTE</v>
      </c>
      <c r="DL106" s="4"/>
      <c r="DM106" s="4">
        <v>45577</v>
      </c>
      <c r="DN106" s="4">
        <f>DATE(YEAR(DM106)+2,MONTH(DM106),DAY(DM106)-1)</f>
        <v>46306</v>
      </c>
      <c r="DO106" s="8">
        <f t="shared" ca="1" si="286"/>
        <v>172</v>
      </c>
      <c r="DP106" s="5" t="str">
        <f t="shared" ca="1" si="287"/>
        <v>VIGENTE</v>
      </c>
      <c r="DQ106" s="6"/>
      <c r="DR106" s="4">
        <v>45608</v>
      </c>
      <c r="DS106" s="4">
        <f>DATE(YEAR(DR106)+2,MONTH(DR106),DAY(DR106)-1)</f>
        <v>46337</v>
      </c>
      <c r="DT106" s="8">
        <f t="shared" ca="1" si="288"/>
        <v>203</v>
      </c>
      <c r="DU106" s="5" t="str">
        <f t="shared" ca="1" si="289"/>
        <v>VIGENTE</v>
      </c>
      <c r="DV106" s="4"/>
      <c r="DW106" s="4">
        <v>45582</v>
      </c>
      <c r="DX106" s="4">
        <f>DATE(YEAR(DW106)+2,MONTH(DW106),DAY(DW106)-1)</f>
        <v>46311</v>
      </c>
      <c r="DY106" s="8">
        <f t="shared" ca="1" si="290"/>
        <v>177</v>
      </c>
      <c r="DZ106" s="5" t="str">
        <f t="shared" ca="1" si="291"/>
        <v>VIGENTE</v>
      </c>
      <c r="EA106" s="4"/>
      <c r="EB106" s="4">
        <v>45583</v>
      </c>
      <c r="EC106" s="4">
        <f>DATE(YEAR(EB106)+2,MONTH(EB106),DAY(EB106)-1)</f>
        <v>46312</v>
      </c>
      <c r="ED106" s="8">
        <f t="shared" ca="1" si="292"/>
        <v>178</v>
      </c>
      <c r="EE106" s="5" t="str">
        <f t="shared" ca="1" si="293"/>
        <v>VIGENTE</v>
      </c>
      <c r="EF106" s="3"/>
      <c r="EG106" s="3">
        <v>46107</v>
      </c>
      <c r="EH106" s="4">
        <f t="shared" si="364"/>
        <v>46472</v>
      </c>
      <c r="EI106" s="8">
        <f t="shared" ca="1" si="294"/>
        <v>338</v>
      </c>
      <c r="EJ106" s="5" t="str">
        <f t="shared" ca="1" si="295"/>
        <v>VIGENTE</v>
      </c>
      <c r="EK106" s="4"/>
      <c r="EL106" s="4">
        <v>45584</v>
      </c>
      <c r="EM106" s="4">
        <f>DATE(YEAR(EL106)+2,MONTH(EL106),DAY(EL106)-1)</f>
        <v>46313</v>
      </c>
      <c r="EN106" s="8">
        <f t="shared" ca="1" si="296"/>
        <v>179</v>
      </c>
      <c r="EO106" s="5" t="str">
        <f t="shared" ca="1" si="297"/>
        <v>VIGENTE</v>
      </c>
      <c r="EP106" s="6"/>
      <c r="EQ106" s="4">
        <v>45575</v>
      </c>
      <c r="ER106" s="4">
        <f>DATE(YEAR(EQ106)+2,MONTH(EQ106),DAY(EQ106)-1)</f>
        <v>46304</v>
      </c>
      <c r="ES106" s="8">
        <f t="shared" ca="1" si="298"/>
        <v>170</v>
      </c>
      <c r="ET106" s="5" t="str">
        <f t="shared" ca="1" si="299"/>
        <v>VIGENTE</v>
      </c>
      <c r="EU106" s="6"/>
      <c r="EV106" s="4">
        <v>45610</v>
      </c>
      <c r="EW106" s="4">
        <f>DATE(YEAR(EV106)+2,MONTH(EV106),DAY(EV106)-1)</f>
        <v>46339</v>
      </c>
      <c r="EX106" s="8">
        <f t="shared" ca="1" si="300"/>
        <v>205</v>
      </c>
      <c r="EY106" s="5" t="str">
        <f t="shared" ca="1" si="301"/>
        <v>VIGENTE</v>
      </c>
      <c r="EZ106" s="6"/>
      <c r="FA106" s="4">
        <v>45611</v>
      </c>
      <c r="FB106" s="4">
        <f>DATE(YEAR(FA106)+2,MONTH(FA106),DAY(FA106)-1)</f>
        <v>46340</v>
      </c>
      <c r="FC106" s="8">
        <f t="shared" ca="1" si="302"/>
        <v>206</v>
      </c>
      <c r="FD106" s="5" t="str">
        <f t="shared" ca="1" si="303"/>
        <v>VIGENTE</v>
      </c>
      <c r="FE106" s="6"/>
      <c r="FF106" s="4">
        <v>45668</v>
      </c>
      <c r="FG106" s="4">
        <f>DATE(YEAR(FF106)+2,MONTH(FF106),DAY(FF106)-1)</f>
        <v>46397</v>
      </c>
      <c r="FH106" s="8">
        <f t="shared" ca="1" si="304"/>
        <v>263</v>
      </c>
      <c r="FI106" s="5" t="str">
        <f t="shared" ca="1" si="305"/>
        <v>VIGENTE</v>
      </c>
      <c r="FJ106" s="4"/>
      <c r="FK106" s="4">
        <v>45588</v>
      </c>
      <c r="FL106" s="4">
        <f>DATE(YEAR(FK106)+2,MONTH(FK106),DAY(FK106)-1)</f>
        <v>46317</v>
      </c>
      <c r="FM106" s="8">
        <f t="shared" ca="1" si="306"/>
        <v>183</v>
      </c>
      <c r="FN106" s="5" t="str">
        <f t="shared" ca="1" si="307"/>
        <v>VIGENTE</v>
      </c>
      <c r="FO106" s="4"/>
      <c r="FP106" s="4">
        <v>45586</v>
      </c>
      <c r="FQ106" s="4">
        <f>DATE(YEAR(FP106)+2,MONTH(FP106),DAY(FP106)-1)</f>
        <v>46315</v>
      </c>
      <c r="FR106" s="8">
        <f t="shared" ca="1" si="308"/>
        <v>181</v>
      </c>
      <c r="FS106" s="5" t="str">
        <f t="shared" ca="1" si="309"/>
        <v>VIGENTE</v>
      </c>
      <c r="FT106" s="4"/>
      <c r="FU106" s="4">
        <v>45587</v>
      </c>
      <c r="FV106" s="4">
        <f>DATE(YEAR(FU106)+2,MONTH(FU106),DAY(FU106)-1)</f>
        <v>46316</v>
      </c>
      <c r="FW106" s="8">
        <f t="shared" ca="1" si="310"/>
        <v>182</v>
      </c>
      <c r="FX106" s="5" t="str">
        <f t="shared" ca="1" si="311"/>
        <v>VIGENTE</v>
      </c>
      <c r="FY106" s="4"/>
      <c r="FZ106" s="4">
        <v>45595</v>
      </c>
      <c r="GA106" s="4">
        <f>DATE(YEAR(FZ106)+2,MONTH(FZ106),DAY(FZ106)-1)</f>
        <v>46324</v>
      </c>
      <c r="GB106" s="8">
        <f t="shared" ca="1" si="312"/>
        <v>190</v>
      </c>
      <c r="GC106" s="5" t="str">
        <f t="shared" ca="1" si="313"/>
        <v>VIGENTE</v>
      </c>
      <c r="GD106" s="4"/>
      <c r="GE106" s="4">
        <v>45579</v>
      </c>
      <c r="GF106" s="4">
        <f>DATE(YEAR(GE106)+2,MONTH(GE106),DAY(GE106)-1)</f>
        <v>46308</v>
      </c>
      <c r="GG106" s="8">
        <f t="shared" ca="1" si="314"/>
        <v>174</v>
      </c>
      <c r="GH106" s="5" t="str">
        <f t="shared" ca="1" si="315"/>
        <v>VIGENTE</v>
      </c>
      <c r="GI106" s="4"/>
      <c r="GJ106" s="4">
        <v>45567</v>
      </c>
      <c r="GK106" s="4">
        <f>DATE(YEAR(GJ106)+2,MONTH(GJ106),DAY(GJ106)-1)</f>
        <v>46296</v>
      </c>
      <c r="GL106" s="8">
        <f t="shared" ca="1" si="316"/>
        <v>162</v>
      </c>
      <c r="GM106" s="5" t="str">
        <f t="shared" ca="1" si="317"/>
        <v>VIGENTE</v>
      </c>
      <c r="GN106" s="4"/>
      <c r="GO106" s="6"/>
      <c r="GP106" s="4">
        <f t="shared" si="318"/>
        <v>1827</v>
      </c>
      <c r="GQ106" s="6"/>
      <c r="GR106" s="5" t="str">
        <f t="shared" si="388"/>
        <v>NO APLICA</v>
      </c>
      <c r="GS106" s="4"/>
      <c r="GT106" s="6"/>
      <c r="GU106" s="4">
        <f t="shared" si="320"/>
        <v>1827</v>
      </c>
      <c r="GV106" s="8">
        <f t="shared" ca="1" si="321"/>
        <v>-44307</v>
      </c>
      <c r="GW106" s="5" t="str">
        <f ca="1">IF(GV106&gt;=61,"VIGENTE",IF(GV106&gt;=1,"POR VENCER",IF(GV106&lt;=-1,"PROGRAMAR",IF(GT106=0,"NO APLICA"))))</f>
        <v>PROGRAMAR</v>
      </c>
      <c r="GX106" s="6"/>
      <c r="GY106" s="6"/>
      <c r="GZ106" s="4">
        <f t="shared" si="323"/>
        <v>1827</v>
      </c>
      <c r="HA106" s="8">
        <f t="shared" ca="1" si="324"/>
        <v>-44307</v>
      </c>
      <c r="HB106" s="5" t="str">
        <f ca="1">IF(HA106&gt;=61,"VIGENTE",IF(HA106&gt;=1,"POR VENCER",IF(HA106&lt;=-1,"PROGRAMAR",IF(GY106=0,"NO APLICA"))))</f>
        <v>PROGRAMAR</v>
      </c>
      <c r="HC106" s="6"/>
      <c r="HD106" s="6"/>
      <c r="HE106" s="4">
        <f t="shared" ref="HE106:HE118" si="416">DATE(YEAR(HD106)+5,MONTH(HD106),DAY(HD106))</f>
        <v>1827</v>
      </c>
      <c r="HF106" s="8">
        <f t="shared" ref="HF106:HF118" ca="1" si="417">HE106-TODAY()</f>
        <v>-44307</v>
      </c>
      <c r="HG106" s="5" t="str">
        <f ca="1">IF(HF106&gt;=61,"VIGENTE",IF(HF106&gt;=1,"POR VENCER",IF(HF106&lt;=-1,"PROGRAMAR",IF(HD106=0,"NO APLICA"))))</f>
        <v>PROGRAMAR</v>
      </c>
      <c r="HH106" s="6"/>
      <c r="HI106" s="6"/>
      <c r="HJ106" s="4">
        <f>DATE(YEAR(HI106)+5,MONTH(HI106),DAY(HI106))</f>
        <v>1827</v>
      </c>
      <c r="HK106" s="8">
        <f ca="1">HJ106-TODAY()</f>
        <v>-44307</v>
      </c>
      <c r="HL106" s="5" t="str">
        <f ca="1">IF(HK106&gt;=61,"VIGENTE",IF(HK106&gt;=1,"POR VENCER",IF(HK106&lt;=-1,"PROGRAMAR",IF(HI106=0,"NO APLICA"))))</f>
        <v>PROGRAMAR</v>
      </c>
      <c r="HM106" s="6"/>
      <c r="HN106" s="6"/>
      <c r="HO106" s="4"/>
      <c r="HP106" s="6"/>
      <c r="HQ106" s="5" t="str">
        <f t="shared" si="326"/>
        <v>NO APLICA</v>
      </c>
      <c r="HR106" s="6"/>
      <c r="HS106" s="6"/>
      <c r="HT106" s="4"/>
      <c r="HU106" s="6"/>
      <c r="HV106" s="5" t="str">
        <f t="shared" si="327"/>
        <v>NO APLICA</v>
      </c>
      <c r="HW106" s="6"/>
      <c r="HX106" s="6"/>
      <c r="HY106" s="4"/>
      <c r="HZ106" s="6"/>
      <c r="IA106" s="5" t="str">
        <f t="shared" si="328"/>
        <v>NO APLICA</v>
      </c>
      <c r="IB106" s="6"/>
      <c r="IC106" s="6"/>
      <c r="ID106" s="4"/>
      <c r="IE106" s="6"/>
      <c r="IF106" s="5" t="str">
        <f t="shared" si="329"/>
        <v>NO APLICA</v>
      </c>
      <c r="IG106" s="6"/>
      <c r="IH106" s="6"/>
      <c r="II106" s="4"/>
      <c r="IJ106" s="6"/>
      <c r="IK106" s="5" t="str">
        <f t="shared" si="330"/>
        <v>NO APLICA</v>
      </c>
      <c r="IL106" s="6"/>
      <c r="IM106" s="6"/>
      <c r="IN106" s="4"/>
      <c r="IO106" s="6"/>
      <c r="IP106" s="5" t="str">
        <f t="shared" si="331"/>
        <v>NO APLICA</v>
      </c>
      <c r="IQ106" s="6"/>
      <c r="IR106" s="6"/>
      <c r="IS106" s="4"/>
      <c r="IT106" s="6"/>
      <c r="IU106" s="5" t="str">
        <f t="shared" si="332"/>
        <v>NO APLICA</v>
      </c>
      <c r="IV106" s="6"/>
      <c r="IW106" s="6"/>
      <c r="IX106" s="4"/>
      <c r="IY106" s="6"/>
      <c r="IZ106" s="5" t="str">
        <f t="shared" si="333"/>
        <v>NO APLICA</v>
      </c>
      <c r="JA106" s="6"/>
      <c r="JB106" s="6"/>
      <c r="JC106" s="6"/>
      <c r="JD106" s="6"/>
      <c r="JE106" s="5" t="str">
        <f t="shared" si="334"/>
        <v>NO APLICA</v>
      </c>
      <c r="JF106" s="6"/>
      <c r="JG106" s="6"/>
      <c r="JH106" s="6"/>
      <c r="JI106" s="6"/>
      <c r="JJ106" s="5" t="str">
        <f t="shared" si="335"/>
        <v>NO APLICA</v>
      </c>
      <c r="JK106" s="6"/>
      <c r="JL106" s="6"/>
      <c r="JM106" s="6"/>
      <c r="JN106" s="6"/>
      <c r="JO106" s="5" t="str">
        <f t="shared" si="336"/>
        <v>NO APLICA</v>
      </c>
      <c r="JP106" s="6"/>
      <c r="JQ106" s="6"/>
      <c r="JR106" s="6"/>
      <c r="JS106" s="6"/>
      <c r="JT106" s="5" t="str">
        <f t="shared" si="337"/>
        <v>NO APLICA</v>
      </c>
      <c r="JU106" s="5"/>
      <c r="JV106" s="5"/>
      <c r="JW106" s="5"/>
      <c r="JX106" s="5"/>
      <c r="JY106" s="5" t="str">
        <f t="shared" si="338"/>
        <v>NO APLICA</v>
      </c>
      <c r="JZ106" s="5"/>
      <c r="KA106" s="6"/>
      <c r="KB106" s="4"/>
      <c r="KC106" s="6"/>
      <c r="KD106" s="5" t="str">
        <f t="shared" si="339"/>
        <v>NO APLICA</v>
      </c>
      <c r="KE106" s="5"/>
      <c r="KF106" s="6"/>
      <c r="KG106" s="4"/>
      <c r="KH106" s="6"/>
      <c r="KI106" s="5" t="str">
        <f t="shared" si="365"/>
        <v>NO APLICA</v>
      </c>
      <c r="KJ106" s="5"/>
      <c r="KK106" s="6"/>
      <c r="KL106" s="4"/>
      <c r="KM106" s="6"/>
      <c r="KN106" s="5" t="str">
        <f t="shared" si="340"/>
        <v>NO APLICA</v>
      </c>
      <c r="KO106" s="5"/>
      <c r="KP106" s="2"/>
      <c r="KQ106" s="2"/>
      <c r="KR106" s="2"/>
      <c r="KS106" s="5" t="str">
        <f t="shared" si="366"/>
        <v>NO APLICA</v>
      </c>
      <c r="KT106" s="6"/>
      <c r="KU106" s="6"/>
      <c r="KV106" s="4"/>
      <c r="KW106" s="6"/>
      <c r="KX106" s="5" t="str">
        <f t="shared" si="375"/>
        <v>NO APLICA</v>
      </c>
      <c r="KY106" s="5"/>
      <c r="KZ106" s="6"/>
      <c r="LA106" s="4"/>
      <c r="LB106" s="6"/>
      <c r="LC106" s="5" t="str">
        <f t="shared" si="367"/>
        <v>NO APLICA</v>
      </c>
      <c r="LD106" s="6"/>
      <c r="LE106" s="6"/>
      <c r="LF106" s="6"/>
      <c r="LG106" s="6"/>
      <c r="LH106" s="5" t="str">
        <f t="shared" si="341"/>
        <v>NO APLICA</v>
      </c>
      <c r="LI106" s="5"/>
      <c r="LJ106" s="5"/>
      <c r="LK106" s="4"/>
      <c r="LL106" s="8"/>
      <c r="LM106" s="5" t="str">
        <f t="shared" si="376"/>
        <v>NO APLICA</v>
      </c>
      <c r="LN106" s="6"/>
      <c r="LO106" s="6"/>
      <c r="LP106" s="6"/>
      <c r="LQ106" s="6"/>
      <c r="LR106" s="5" t="str">
        <f t="shared" si="368"/>
        <v>NO APLICA</v>
      </c>
      <c r="LS106" s="6"/>
      <c r="LT106" s="6"/>
      <c r="LU106" s="4"/>
      <c r="LV106" s="6"/>
      <c r="LW106" s="5" t="str">
        <f t="shared" si="369"/>
        <v>NO APLICA</v>
      </c>
      <c r="LX106" s="6"/>
      <c r="LY106" s="6"/>
      <c r="LZ106" s="4"/>
      <c r="MA106" s="6"/>
      <c r="MB106" s="5" t="str">
        <f t="shared" si="370"/>
        <v>NO APLICA</v>
      </c>
      <c r="MC106" s="6"/>
      <c r="MD106" s="6"/>
      <c r="ME106" s="4"/>
      <c r="MF106" s="6"/>
      <c r="MG106" s="5" t="str">
        <f t="shared" si="342"/>
        <v>NO APLICA</v>
      </c>
      <c r="MH106" s="6"/>
      <c r="MI106" s="6"/>
      <c r="MJ106" s="4"/>
      <c r="MK106" s="6"/>
      <c r="ML106" s="5" t="str">
        <f t="shared" si="343"/>
        <v>NO APLICA</v>
      </c>
      <c r="MM106" s="5"/>
      <c r="MN106" s="6"/>
      <c r="MO106" s="4"/>
      <c r="MP106" s="6"/>
      <c r="MQ106" s="5" t="str">
        <f t="shared" si="344"/>
        <v>NO APLICA</v>
      </c>
      <c r="MR106" s="5"/>
      <c r="MS106" s="6"/>
      <c r="MT106" s="6"/>
      <c r="MU106" s="6"/>
      <c r="MV106" s="5" t="str">
        <f t="shared" si="345"/>
        <v>NO APLICA</v>
      </c>
      <c r="MW106" s="6"/>
      <c r="MX106" s="6"/>
      <c r="MY106" s="4"/>
      <c r="MZ106" s="6"/>
      <c r="NA106" s="5" t="str">
        <f t="shared" si="346"/>
        <v>NO APLICA</v>
      </c>
      <c r="NB106" s="6"/>
      <c r="NC106" s="6"/>
      <c r="ND106" s="4"/>
      <c r="NE106" s="6"/>
      <c r="NF106" s="5" t="str">
        <f t="shared" si="347"/>
        <v>NO APLICA</v>
      </c>
      <c r="NG106" s="6"/>
      <c r="NH106" s="6"/>
      <c r="NI106" s="4"/>
      <c r="NJ106" s="6"/>
      <c r="NK106" s="5" t="str">
        <f t="shared" si="348"/>
        <v>NO APLICA</v>
      </c>
      <c r="NL106" s="6"/>
      <c r="NM106" s="6"/>
      <c r="NN106" s="4"/>
      <c r="NO106" s="6"/>
      <c r="NP106" s="5" t="str">
        <f t="shared" si="349"/>
        <v>NO APLICA</v>
      </c>
      <c r="NQ106" s="6"/>
      <c r="NR106" s="6"/>
      <c r="NS106" s="4"/>
      <c r="NT106" s="6"/>
      <c r="NU106" s="5" t="str">
        <f t="shared" si="350"/>
        <v>NO APLICA</v>
      </c>
      <c r="NV106" s="6"/>
      <c r="NW106" s="6"/>
      <c r="NX106" s="4"/>
      <c r="NY106" s="8"/>
      <c r="NZ106" s="5" t="str">
        <f t="shared" si="351"/>
        <v>NO APLICA</v>
      </c>
      <c r="OA106" s="6"/>
      <c r="OB106" s="6"/>
      <c r="OC106" s="6"/>
      <c r="OD106" s="6"/>
      <c r="OE106" s="5" t="str">
        <f t="shared" si="352"/>
        <v>NO APLICA</v>
      </c>
      <c r="OF106" s="6"/>
      <c r="OG106" s="6"/>
      <c r="OH106" s="6"/>
      <c r="OI106" s="6"/>
      <c r="OJ106" s="5" t="str">
        <f t="shared" si="353"/>
        <v>NO APLICA</v>
      </c>
      <c r="OK106" s="6"/>
      <c r="OL106" s="6"/>
      <c r="OM106" s="6"/>
      <c r="ON106" s="6"/>
      <c r="OO106" s="5" t="str">
        <f t="shared" si="354"/>
        <v>NO APLICA</v>
      </c>
      <c r="OP106" s="6"/>
      <c r="OQ106" s="6"/>
      <c r="OR106" s="6"/>
      <c r="OS106" s="6"/>
      <c r="OT106" s="5" t="str">
        <f t="shared" si="355"/>
        <v>NO APLICA</v>
      </c>
      <c r="OU106" s="6"/>
      <c r="OV106" s="6"/>
      <c r="OW106" s="6"/>
      <c r="OX106" s="6"/>
      <c r="OY106" s="5" t="str">
        <f t="shared" si="356"/>
        <v>NO APLICA</v>
      </c>
      <c r="OZ106" s="6"/>
      <c r="PA106" s="6"/>
      <c r="PB106" s="6"/>
      <c r="PC106" s="6"/>
      <c r="PD106" s="5" t="str">
        <f t="shared" si="357"/>
        <v>NO APLICA</v>
      </c>
      <c r="PE106" s="6"/>
      <c r="PF106" s="6"/>
      <c r="PG106" s="6"/>
      <c r="PH106" s="6"/>
      <c r="PI106" s="5" t="str">
        <f t="shared" si="358"/>
        <v>NO APLICA</v>
      </c>
      <c r="PJ106" s="5"/>
      <c r="PK106" s="6"/>
      <c r="PL106" s="6"/>
      <c r="PM106" s="6"/>
      <c r="PN106" s="5" t="str">
        <f t="shared" si="359"/>
        <v>NO APLICA</v>
      </c>
      <c r="PO106" s="6"/>
      <c r="PP106" s="6"/>
      <c r="PQ106" s="6"/>
      <c r="PR106" s="6"/>
      <c r="PS106" s="5" t="str">
        <f t="shared" si="360"/>
        <v>NO APLICA</v>
      </c>
      <c r="PT106" s="5"/>
      <c r="PU106" s="6"/>
      <c r="PV106" s="4"/>
      <c r="PW106" s="8"/>
      <c r="PX106" s="5" t="str">
        <f t="shared" si="361"/>
        <v>NO APLICA</v>
      </c>
    </row>
    <row r="107" spans="1:440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2" t="s">
        <v>369</v>
      </c>
      <c r="V107" s="4">
        <v>45142</v>
      </c>
      <c r="W107" s="4">
        <f t="shared" si="248"/>
        <v>46969</v>
      </c>
      <c r="X107" s="8">
        <f t="shared" ca="1" si="249"/>
        <v>835</v>
      </c>
      <c r="Y107" s="5" t="str">
        <f t="shared" ca="1" si="250"/>
        <v>VIGENTE</v>
      </c>
      <c r="Z107" s="2" t="s">
        <v>370</v>
      </c>
      <c r="AA107" s="4">
        <v>45192</v>
      </c>
      <c r="AB107" s="4">
        <f>DATE(YEAR(AA107)+5,MONTH(AA107),DAY(AA107))</f>
        <v>47019</v>
      </c>
      <c r="AC107" s="8">
        <f ca="1">AB107-TODAY()</f>
        <v>885</v>
      </c>
      <c r="AD107" s="5" t="str">
        <f ca="1">IF(AC107&gt;=91,"VIGENTE",IF(AC107&gt;=1,"POR VENCER",IF(AC107&lt;=-1,"VENCIDA",IF(AA107=0,"NO APLICA"))))</f>
        <v>VIGENTE</v>
      </c>
      <c r="AE107" s="3"/>
      <c r="AF107" s="4">
        <v>46006</v>
      </c>
      <c r="AG107" s="4">
        <f>DATE(YEAR(AF107)+2,MONTH(AF107),DAY(AF107))</f>
        <v>46736</v>
      </c>
      <c r="AH107" s="8">
        <f t="shared" ca="1" si="252"/>
        <v>602</v>
      </c>
      <c r="AI107" s="5" t="str">
        <f t="shared" ca="1" si="224"/>
        <v>VIGENTE</v>
      </c>
      <c r="AJ107" s="2"/>
      <c r="AK107" s="4">
        <v>45937</v>
      </c>
      <c r="AL107" s="4">
        <f>DATE(YEAR(AK107)+2,MONTH(AK107),DAY(AK107))</f>
        <v>46667</v>
      </c>
      <c r="AM107" s="8">
        <f t="shared" ca="1" si="253"/>
        <v>533</v>
      </c>
      <c r="AN107" s="5" t="str">
        <f t="shared" ca="1" si="254"/>
        <v>VIGENTE</v>
      </c>
      <c r="AO107" s="3"/>
      <c r="AP107" s="4">
        <v>45967</v>
      </c>
      <c r="AQ107" s="4">
        <f>DATE(YEAR(AP107)+2,MONTH(AP107),DAY(AP107))</f>
        <v>46697</v>
      </c>
      <c r="AR107" s="8">
        <f t="shared" ca="1" si="255"/>
        <v>563</v>
      </c>
      <c r="AS107" s="5" t="str">
        <f t="shared" ca="1" si="256"/>
        <v>VIGENTE</v>
      </c>
      <c r="AT107" s="2"/>
      <c r="AU107" s="4">
        <v>45952</v>
      </c>
      <c r="AV107" s="4">
        <f>DATE(YEAR(AU107)+2,MONTH(AU107),DAY(AU107))</f>
        <v>46682</v>
      </c>
      <c r="AW107" s="8">
        <f t="shared" ca="1" si="257"/>
        <v>548</v>
      </c>
      <c r="AX107" s="5" t="str">
        <f t="shared" ca="1" si="258"/>
        <v>VIGENTE</v>
      </c>
      <c r="AY107" s="3"/>
      <c r="AZ107" s="4">
        <v>46071</v>
      </c>
      <c r="BA107" s="4">
        <f>DATE(YEAR(AZ107)+2,MONTH(AZ107),DAY(AZ107))</f>
        <v>46801</v>
      </c>
      <c r="BB107" s="8">
        <f t="shared" ca="1" si="259"/>
        <v>667</v>
      </c>
      <c r="BC107" s="5" t="str">
        <f t="shared" ca="1" si="260"/>
        <v>VIGENTE</v>
      </c>
      <c r="BD107" s="2"/>
      <c r="BE107" s="4">
        <v>45987</v>
      </c>
      <c r="BF107" s="4">
        <f>DATE(YEAR(BE107)+2,MONTH(BE107),DAY(BE107))</f>
        <v>46717</v>
      </c>
      <c r="BG107" s="8">
        <f t="shared" ca="1" si="261"/>
        <v>583</v>
      </c>
      <c r="BH107" s="5" t="str">
        <f t="shared" ca="1" si="262"/>
        <v>VIGENTE</v>
      </c>
      <c r="BI107" s="3"/>
      <c r="BJ107" s="4">
        <v>46017</v>
      </c>
      <c r="BK107" s="4">
        <f>DATE(YEAR(BJ107)+2,MONTH(BJ107),DAY(BJ107))</f>
        <v>46747</v>
      </c>
      <c r="BL107" s="8">
        <f t="shared" ca="1" si="263"/>
        <v>613</v>
      </c>
      <c r="BM107" s="5" t="str">
        <f t="shared" ca="1" si="264"/>
        <v>VIGENTE</v>
      </c>
      <c r="BN107" s="3"/>
      <c r="BO107" s="4">
        <v>45988</v>
      </c>
      <c r="BP107" s="4">
        <f>DATE(YEAR(BO107)+2,MONTH(BO107),DAY(BO107))</f>
        <v>46718</v>
      </c>
      <c r="BQ107" s="8">
        <f t="shared" ca="1" si="265"/>
        <v>584</v>
      </c>
      <c r="BR107" s="5" t="str">
        <f t="shared" ca="1" si="266"/>
        <v>VIGENTE</v>
      </c>
      <c r="BS107" s="3"/>
      <c r="BT107" s="4">
        <v>46031</v>
      </c>
      <c r="BU107" s="4">
        <f>DATE(YEAR(BT107)+2,MONTH(BT107),DAY(BT107))</f>
        <v>46761</v>
      </c>
      <c r="BV107" s="8">
        <f t="shared" ca="1" si="267"/>
        <v>627</v>
      </c>
      <c r="BW107" s="5" t="str">
        <f t="shared" ca="1" si="268"/>
        <v>VIGENTE</v>
      </c>
      <c r="BX107" s="2"/>
      <c r="BY107" s="4">
        <v>45986</v>
      </c>
      <c r="BZ107" s="4">
        <f>DATE(YEAR(BY107)+2,MONTH(BY107),DAY(BY107))</f>
        <v>46716</v>
      </c>
      <c r="CA107" s="8">
        <f t="shared" ca="1" si="269"/>
        <v>582</v>
      </c>
      <c r="CB107" s="5" t="str">
        <f t="shared" ca="1" si="270"/>
        <v>VIGENTE</v>
      </c>
      <c r="CC107" s="6" t="s">
        <v>73</v>
      </c>
      <c r="CD107" s="4">
        <v>45533</v>
      </c>
      <c r="CE107" s="4">
        <f t="shared" si="397"/>
        <v>46994</v>
      </c>
      <c r="CF107" s="8">
        <f t="shared" ca="1" si="398"/>
        <v>860</v>
      </c>
      <c r="CG107" s="5" t="str">
        <f t="shared" ca="1" si="273"/>
        <v>VIGENTE</v>
      </c>
      <c r="CH107" s="4"/>
      <c r="CI107" s="4">
        <v>46020</v>
      </c>
      <c r="CJ107" s="4">
        <f>DATE(YEAR(CI107)+2,MONTH(CI107),DAY(CI107))</f>
        <v>46750</v>
      </c>
      <c r="CK107" s="8">
        <f t="shared" ca="1" si="274"/>
        <v>616</v>
      </c>
      <c r="CL107" s="5" t="str">
        <f t="shared" ca="1" si="275"/>
        <v>VIGENTE</v>
      </c>
      <c r="CM107" s="3"/>
      <c r="CN107" s="4">
        <v>45994</v>
      </c>
      <c r="CO107" s="4">
        <f>DATE(YEAR(CN107)+2,MONTH(CN107),DAY(CN107))</f>
        <v>46724</v>
      </c>
      <c r="CP107" s="8">
        <f t="shared" ca="1" si="276"/>
        <v>590</v>
      </c>
      <c r="CQ107" s="5" t="str">
        <f t="shared" ca="1" si="277"/>
        <v>VIGENTE</v>
      </c>
      <c r="CR107" s="2"/>
      <c r="CS107" s="4">
        <v>45939</v>
      </c>
      <c r="CT107" s="4">
        <f>DATE(YEAR(CS107)+2,MONTH(CS107),DAY(CS107))</f>
        <v>46669</v>
      </c>
      <c r="CU107" s="8">
        <f t="shared" ca="1" si="278"/>
        <v>535</v>
      </c>
      <c r="CV107" s="5" t="str">
        <f t="shared" ca="1" si="279"/>
        <v>VIGENTE</v>
      </c>
      <c r="CW107" s="3"/>
      <c r="CX107" s="4">
        <v>46000</v>
      </c>
      <c r="CY107" s="4">
        <f>DATE(YEAR(CX107)+2,MONTH(CX107),DAY(CX107))</f>
        <v>46730</v>
      </c>
      <c r="CZ107" s="8">
        <f t="shared" ca="1" si="280"/>
        <v>596</v>
      </c>
      <c r="DA107" s="5" t="str">
        <f t="shared" ca="1" si="281"/>
        <v>VIGENTE</v>
      </c>
      <c r="DB107" s="4"/>
      <c r="DC107" s="4">
        <v>46045</v>
      </c>
      <c r="DD107" s="4">
        <f>DATE(YEAR(DC107)+2,MONTH(DC107),DAY(DC107))</f>
        <v>46775</v>
      </c>
      <c r="DE107" s="8">
        <f t="shared" ca="1" si="282"/>
        <v>641</v>
      </c>
      <c r="DF107" s="5" t="str">
        <f t="shared" ca="1" si="283"/>
        <v>VIGENTE</v>
      </c>
      <c r="DG107" s="3"/>
      <c r="DH107" s="4">
        <v>45955</v>
      </c>
      <c r="DI107" s="4">
        <f>DATE(YEAR(DH107)+2,MONTH(DH107),DAY(DH107))</f>
        <v>46685</v>
      </c>
      <c r="DJ107" s="8">
        <f t="shared" ca="1" si="284"/>
        <v>551</v>
      </c>
      <c r="DK107" s="5" t="str">
        <f t="shared" ca="1" si="285"/>
        <v>VIGENTE</v>
      </c>
      <c r="DL107" s="3"/>
      <c r="DM107" s="4">
        <v>46007</v>
      </c>
      <c r="DN107" s="4">
        <f>DATE(YEAR(DM107)+2,MONTH(DM107),DAY(DM107))</f>
        <v>46737</v>
      </c>
      <c r="DO107" s="8">
        <f t="shared" ca="1" si="286"/>
        <v>603</v>
      </c>
      <c r="DP107" s="5" t="str">
        <f t="shared" ca="1" si="287"/>
        <v>VIGENTE</v>
      </c>
      <c r="DQ107" s="4"/>
      <c r="DR107" s="4">
        <v>46018</v>
      </c>
      <c r="DS107" s="4">
        <f>DATE(YEAR(DR107)+2,MONTH(DR107),DAY(DR107))</f>
        <v>46748</v>
      </c>
      <c r="DT107" s="8">
        <f t="shared" ca="1" si="288"/>
        <v>614</v>
      </c>
      <c r="DU107" s="5" t="str">
        <f t="shared" ca="1" si="289"/>
        <v>VIGENTE</v>
      </c>
      <c r="DV107" s="4"/>
      <c r="DW107" s="4">
        <v>46032</v>
      </c>
      <c r="DX107" s="4">
        <f>DATE(YEAR(DW107)+2,MONTH(DW107),DAY(DW107))</f>
        <v>46762</v>
      </c>
      <c r="DY107" s="8">
        <f t="shared" ca="1" si="290"/>
        <v>628</v>
      </c>
      <c r="DZ107" s="5" t="str">
        <f t="shared" ca="1" si="291"/>
        <v>VIGENTE</v>
      </c>
      <c r="EA107" s="4"/>
      <c r="EB107" s="4">
        <v>45985</v>
      </c>
      <c r="EC107" s="4">
        <f>DATE(YEAR(EB107)+2,MONTH(EB107),DAY(EB107))</f>
        <v>46715</v>
      </c>
      <c r="ED107" s="8">
        <f t="shared" ca="1" si="292"/>
        <v>581</v>
      </c>
      <c r="EE107" s="5" t="str">
        <f t="shared" ca="1" si="293"/>
        <v>VIGENTE</v>
      </c>
      <c r="EF107" s="3"/>
      <c r="EG107" s="4">
        <v>45812</v>
      </c>
      <c r="EH107" s="4">
        <f t="shared" si="364"/>
        <v>46177</v>
      </c>
      <c r="EI107" s="8">
        <f t="shared" ca="1" si="294"/>
        <v>43</v>
      </c>
      <c r="EJ107" s="5" t="str">
        <f t="shared" ca="1" si="295"/>
        <v>POR VENCER</v>
      </c>
      <c r="EK107" s="3"/>
      <c r="EL107" s="4">
        <v>45983</v>
      </c>
      <c r="EM107" s="4">
        <f>DATE(YEAR(EL107)+2,MONTH(EL107),DAY(EL107))</f>
        <v>46713</v>
      </c>
      <c r="EN107" s="8">
        <f t="shared" ca="1" si="296"/>
        <v>579</v>
      </c>
      <c r="EO107" s="5" t="str">
        <f t="shared" ca="1" si="297"/>
        <v>VIGENTE</v>
      </c>
      <c r="EP107" s="2"/>
      <c r="EQ107" s="4">
        <v>45999</v>
      </c>
      <c r="ER107" s="4">
        <f>DATE(YEAR(EQ107)+2,MONTH(EQ107),DAY(EQ107))</f>
        <v>46729</v>
      </c>
      <c r="ES107" s="8">
        <f t="shared" ca="1" si="298"/>
        <v>595</v>
      </c>
      <c r="ET107" s="5" t="str">
        <f t="shared" ca="1" si="299"/>
        <v>VIGENTE</v>
      </c>
      <c r="EU107" s="3"/>
      <c r="EV107" s="4">
        <v>45964</v>
      </c>
      <c r="EW107" s="4">
        <f>DATE(YEAR(EV107)+2,MONTH(EV107),DAY(EV107))</f>
        <v>46694</v>
      </c>
      <c r="EX107" s="8">
        <f t="shared" ca="1" si="300"/>
        <v>560</v>
      </c>
      <c r="EY107" s="5" t="str">
        <f t="shared" ca="1" si="301"/>
        <v>VIGENTE</v>
      </c>
      <c r="EZ107" s="3"/>
      <c r="FA107" s="4">
        <v>46010</v>
      </c>
      <c r="FB107" s="4">
        <f>DATE(YEAR(FA107)+2,MONTH(FA107),DAY(FA107))</f>
        <v>46740</v>
      </c>
      <c r="FC107" s="8">
        <f t="shared" ca="1" si="302"/>
        <v>606</v>
      </c>
      <c r="FD107" s="5" t="str">
        <f t="shared" ca="1" si="303"/>
        <v>VIGENTE</v>
      </c>
      <c r="FE107" s="3"/>
      <c r="FF107" s="4">
        <v>45969</v>
      </c>
      <c r="FG107" s="4">
        <f>DATE(YEAR(FF107)+2,MONTH(FF107),DAY(FF107))</f>
        <v>46699</v>
      </c>
      <c r="FH107" s="8">
        <f t="shared" ca="1" si="304"/>
        <v>565</v>
      </c>
      <c r="FI107" s="5" t="str">
        <f t="shared" ca="1" si="305"/>
        <v>VIGENTE</v>
      </c>
      <c r="FJ107" s="3"/>
      <c r="FK107" s="4">
        <v>46049</v>
      </c>
      <c r="FL107" s="4">
        <f>DATE(YEAR(FK107)+2,MONTH(FK107),DAY(FK107))</f>
        <v>46779</v>
      </c>
      <c r="FM107" s="8">
        <f t="shared" ca="1" si="306"/>
        <v>645</v>
      </c>
      <c r="FN107" s="5" t="str">
        <f t="shared" ca="1" si="307"/>
        <v>VIGENTE</v>
      </c>
      <c r="FO107" s="4"/>
      <c r="FP107" s="4">
        <v>46034</v>
      </c>
      <c r="FQ107" s="4">
        <f>DATE(YEAR(FP107)+2,MONTH(FP107),DAY(FP107))</f>
        <v>46764</v>
      </c>
      <c r="FR107" s="8">
        <f t="shared" ca="1" si="308"/>
        <v>630</v>
      </c>
      <c r="FS107" s="5" t="str">
        <f t="shared" ca="1" si="309"/>
        <v>VIGENTE</v>
      </c>
      <c r="FT107" s="3"/>
      <c r="FU107" s="4">
        <v>46014</v>
      </c>
      <c r="FV107" s="4">
        <f>DATE(YEAR(FU107)+2,MONTH(FU107),DAY(FU107))</f>
        <v>46744</v>
      </c>
      <c r="FW107" s="8">
        <f t="shared" ca="1" si="310"/>
        <v>610</v>
      </c>
      <c r="FX107" s="5" t="str">
        <f t="shared" ca="1" si="311"/>
        <v>VIGENTE</v>
      </c>
      <c r="FY107" s="3"/>
      <c r="FZ107" s="4">
        <v>45925</v>
      </c>
      <c r="GA107" s="4">
        <f>DATE(YEAR(FZ107)+2,MONTH(FZ107),DAY(FZ107))</f>
        <v>46655</v>
      </c>
      <c r="GB107" s="8">
        <f t="shared" ca="1" si="312"/>
        <v>521</v>
      </c>
      <c r="GC107" s="5" t="str">
        <f t="shared" ca="1" si="313"/>
        <v>VIGENTE</v>
      </c>
      <c r="GD107" s="3"/>
      <c r="GE107" s="4">
        <v>45960</v>
      </c>
      <c r="GF107" s="4">
        <f>DATE(YEAR(GE107)+2,MONTH(GE107),DAY(GE107))</f>
        <v>46690</v>
      </c>
      <c r="GG107" s="8">
        <f t="shared" ca="1" si="314"/>
        <v>556</v>
      </c>
      <c r="GH107" s="5" t="str">
        <f t="shared" ca="1" si="315"/>
        <v>VIGENTE</v>
      </c>
      <c r="GI107" s="3"/>
      <c r="GJ107" s="4">
        <v>46044</v>
      </c>
      <c r="GK107" s="4">
        <f>DATE(YEAR(GJ107)+2,MONTH(GJ107),DAY(GJ107))</f>
        <v>46774</v>
      </c>
      <c r="GL107" s="8">
        <f t="shared" ca="1" si="316"/>
        <v>640</v>
      </c>
      <c r="GM107" s="5" t="str">
        <f t="shared" ca="1" si="317"/>
        <v>VIGENTE</v>
      </c>
      <c r="GN107" s="4"/>
      <c r="GO107" s="4">
        <v>45299</v>
      </c>
      <c r="GP107" s="4">
        <f t="shared" si="318"/>
        <v>47126</v>
      </c>
      <c r="GQ107" s="8">
        <f t="shared" ref="GQ107:GQ170" ca="1" si="418">GP107-TODAY()</f>
        <v>992</v>
      </c>
      <c r="GR107" s="5" t="str">
        <f t="shared" ca="1" si="388"/>
        <v>VIGENTE</v>
      </c>
      <c r="GS107" s="3"/>
      <c r="GT107" s="4">
        <v>45329</v>
      </c>
      <c r="GU107" s="4">
        <f t="shared" si="320"/>
        <v>47156</v>
      </c>
      <c r="GV107" s="8">
        <f t="shared" ca="1" si="321"/>
        <v>1022</v>
      </c>
      <c r="GW107" s="5" t="str">
        <f ca="1">IF(GV107&gt;=91,"VIGENTE",IF(GV107&gt;=1,"POR VENCER",IF(GV107&lt;=-1,"VENCIDA",IF(GT107=0,"NO APLICA"))))</f>
        <v>VIGENTE</v>
      </c>
      <c r="GX107" s="2"/>
      <c r="GY107" s="4">
        <v>45343</v>
      </c>
      <c r="GZ107" s="4">
        <f t="shared" si="323"/>
        <v>47170</v>
      </c>
      <c r="HA107" s="8">
        <f t="shared" ca="1" si="324"/>
        <v>1036</v>
      </c>
      <c r="HB107" s="5" t="str">
        <f ca="1">IF(HA107&gt;=91,"VIGENTE",IF(HA107&gt;=1,"POR VENCER",IF(HA107&lt;=-1,"VENCIDA",IF(GY107=0,"NO APLICA"))))</f>
        <v>VIGENTE</v>
      </c>
      <c r="HC107" s="6"/>
      <c r="HD107" s="4">
        <v>45317</v>
      </c>
      <c r="HE107" s="4">
        <f t="shared" si="416"/>
        <v>47144</v>
      </c>
      <c r="HF107" s="8">
        <f t="shared" ca="1" si="417"/>
        <v>1010</v>
      </c>
      <c r="HG107" s="5" t="str">
        <f ca="1">IF(HF107&gt;=61,"VIGENTE",IF(HF107&gt;=1,"POR VENCER",IF(HF107&lt;=-1,"VENCIDA",IF(HD107=0,"NO APLICA"))))</f>
        <v>VIGENTE</v>
      </c>
      <c r="HH107" s="2"/>
      <c r="HI107" s="6"/>
      <c r="HJ107" s="4"/>
      <c r="HK107" s="8"/>
      <c r="HL107" s="5" t="str">
        <f>IF(HK107&gt;=61,"VIGENTE",IF(HK107&gt;=1,"POR VENCER",IF(HK107&lt;=-1,"VENCIDA",IF(HI107=0,"NO APLICA"))))</f>
        <v>NO APLICA</v>
      </c>
      <c r="HM107" s="2"/>
      <c r="HN107" s="2"/>
      <c r="HO107" s="4"/>
      <c r="HP107" s="2"/>
      <c r="HQ107" s="5" t="str">
        <f t="shared" si="326"/>
        <v>NO APLICA</v>
      </c>
      <c r="HR107" s="2"/>
      <c r="HS107" s="6"/>
      <c r="HT107" s="4"/>
      <c r="HU107" s="8"/>
      <c r="HV107" s="5" t="str">
        <f t="shared" si="327"/>
        <v>NO APLICA</v>
      </c>
      <c r="HW107" s="2"/>
      <c r="HX107" s="6"/>
      <c r="HY107" s="4"/>
      <c r="HZ107" s="8"/>
      <c r="IA107" s="5" t="str">
        <f t="shared" si="328"/>
        <v>NO APLICA</v>
      </c>
      <c r="IB107" s="2"/>
      <c r="IC107" s="6"/>
      <c r="ID107" s="4"/>
      <c r="IE107" s="8"/>
      <c r="IF107" s="5" t="str">
        <f t="shared" si="329"/>
        <v>NO APLICA</v>
      </c>
      <c r="IG107" s="6"/>
      <c r="IH107" s="6"/>
      <c r="II107" s="4"/>
      <c r="IJ107" s="8"/>
      <c r="IK107" s="5" t="str">
        <f t="shared" si="330"/>
        <v>NO APLICA</v>
      </c>
      <c r="IL107" s="2"/>
      <c r="IM107" s="6"/>
      <c r="IN107" s="4"/>
      <c r="IO107" s="8"/>
      <c r="IP107" s="5" t="str">
        <f t="shared" si="331"/>
        <v>NO APLICA</v>
      </c>
      <c r="IQ107" s="2"/>
      <c r="IR107" s="6"/>
      <c r="IS107" s="4"/>
      <c r="IT107" s="8"/>
      <c r="IU107" s="5" t="str">
        <f t="shared" si="332"/>
        <v>NO APLICA</v>
      </c>
      <c r="IV107" s="2"/>
      <c r="IW107" s="6"/>
      <c r="IX107" s="4"/>
      <c r="IY107" s="8"/>
      <c r="IZ107" s="5" t="str">
        <f t="shared" si="333"/>
        <v>NO APLICA</v>
      </c>
      <c r="JA107" s="3"/>
      <c r="JB107" s="3"/>
      <c r="JC107" s="4"/>
      <c r="JD107" s="8"/>
      <c r="JE107" s="5" t="str">
        <f t="shared" si="334"/>
        <v>NO APLICA</v>
      </c>
      <c r="JF107" s="6"/>
      <c r="JG107" s="6"/>
      <c r="JH107" s="6"/>
      <c r="JI107" s="6"/>
      <c r="JJ107" s="5" t="str">
        <f t="shared" si="335"/>
        <v>NO APLICA</v>
      </c>
      <c r="JK107" s="6"/>
      <c r="JL107" s="6"/>
      <c r="JM107" s="6"/>
      <c r="JN107" s="6"/>
      <c r="JO107" s="5" t="str">
        <f t="shared" si="336"/>
        <v>NO APLICA</v>
      </c>
      <c r="JP107" s="6"/>
      <c r="JQ107" s="6"/>
      <c r="JR107" s="6"/>
      <c r="JS107" s="6"/>
      <c r="JT107" s="5" t="str">
        <f t="shared" si="337"/>
        <v>NO APLICA</v>
      </c>
      <c r="JU107" s="5"/>
      <c r="JV107" s="5"/>
      <c r="JW107" s="5"/>
      <c r="JX107" s="5"/>
      <c r="JY107" s="5" t="str">
        <f t="shared" si="338"/>
        <v>NO APLICA</v>
      </c>
      <c r="JZ107" s="5"/>
      <c r="KA107" s="2"/>
      <c r="KB107" s="4"/>
      <c r="KC107" s="8"/>
      <c r="KD107" s="5" t="str">
        <f t="shared" si="339"/>
        <v>NO APLICA</v>
      </c>
      <c r="KE107" s="5"/>
      <c r="KF107" s="3">
        <v>45328</v>
      </c>
      <c r="KG107" s="4">
        <f>DATE(YEAR(KF107)+5,MONTH(KF107),DAY(KF107)-1)</f>
        <v>47154</v>
      </c>
      <c r="KH107" s="8">
        <f ca="1">KG107-TODAY()</f>
        <v>1020</v>
      </c>
      <c r="KI107" s="5" t="str">
        <f t="shared" ca="1" si="365"/>
        <v>VIGENTE</v>
      </c>
      <c r="KJ107" s="5"/>
      <c r="KK107" s="2"/>
      <c r="KL107" s="4"/>
      <c r="KM107" s="8"/>
      <c r="KN107" s="5" t="str">
        <f t="shared" si="340"/>
        <v>NO APLICA</v>
      </c>
      <c r="KO107" s="5"/>
      <c r="KP107" s="2"/>
      <c r="KQ107" s="4"/>
      <c r="KR107" s="8"/>
      <c r="KS107" s="5" t="str">
        <f t="shared" si="366"/>
        <v>NO APLICA</v>
      </c>
      <c r="KT107" s="2"/>
      <c r="KU107" s="6"/>
      <c r="KV107" s="4"/>
      <c r="KW107" s="8"/>
      <c r="KX107" s="5" t="str">
        <f t="shared" si="375"/>
        <v>NO APLICA</v>
      </c>
      <c r="KY107" s="5"/>
      <c r="KZ107" s="6"/>
      <c r="LA107" s="4"/>
      <c r="LB107" s="8"/>
      <c r="LC107" s="5" t="str">
        <f t="shared" si="367"/>
        <v>NO APLICA</v>
      </c>
      <c r="LD107" s="6"/>
      <c r="LE107" s="6"/>
      <c r="LF107" s="4"/>
      <c r="LG107" s="8"/>
      <c r="LH107" s="5" t="str">
        <f t="shared" si="341"/>
        <v>NO APLICA</v>
      </c>
      <c r="LI107" s="5"/>
      <c r="LJ107" s="5"/>
      <c r="LK107" s="5"/>
      <c r="LL107" s="5"/>
      <c r="LM107" s="5" t="str">
        <f t="shared" si="376"/>
        <v>NO APLICA</v>
      </c>
      <c r="LN107" s="2"/>
      <c r="LO107" s="6"/>
      <c r="LP107" s="4"/>
      <c r="LQ107" s="8"/>
      <c r="LR107" s="5" t="str">
        <f t="shared" si="368"/>
        <v>NO APLICA</v>
      </c>
      <c r="LS107" s="6"/>
      <c r="LT107" s="6"/>
      <c r="LU107" s="4"/>
      <c r="LV107" s="8"/>
      <c r="LW107" s="5" t="str">
        <f t="shared" si="369"/>
        <v>NO APLICA</v>
      </c>
      <c r="LX107" s="6"/>
      <c r="LY107" s="6"/>
      <c r="LZ107" s="4"/>
      <c r="MA107" s="8"/>
      <c r="MB107" s="5" t="str">
        <f t="shared" si="370"/>
        <v>NO APLICA</v>
      </c>
      <c r="MC107" s="2"/>
      <c r="MD107" s="2"/>
      <c r="ME107" s="4"/>
      <c r="MF107" s="8"/>
      <c r="MG107" s="5" t="str">
        <f t="shared" si="342"/>
        <v>NO APLICA</v>
      </c>
      <c r="MH107" s="2"/>
      <c r="MI107" s="2"/>
      <c r="MJ107" s="4"/>
      <c r="MK107" s="8"/>
      <c r="ML107" s="5" t="str">
        <f t="shared" si="343"/>
        <v>NO APLICA</v>
      </c>
      <c r="MM107" s="5"/>
      <c r="MN107" s="2"/>
      <c r="MO107" s="4"/>
      <c r="MP107" s="8"/>
      <c r="MQ107" s="5" t="str">
        <f t="shared" si="344"/>
        <v>NO APLICA</v>
      </c>
      <c r="MR107" s="5"/>
      <c r="MS107" s="2"/>
      <c r="MT107" s="4"/>
      <c r="MU107" s="2"/>
      <c r="MV107" s="5" t="str">
        <f t="shared" si="345"/>
        <v>NO APLICA</v>
      </c>
      <c r="MW107" s="2"/>
      <c r="MX107" s="6"/>
      <c r="MY107" s="4"/>
      <c r="MZ107" s="8"/>
      <c r="NA107" s="5" t="str">
        <f t="shared" si="346"/>
        <v>NO APLICA</v>
      </c>
      <c r="NB107" s="2"/>
      <c r="NC107" s="6"/>
      <c r="ND107" s="4"/>
      <c r="NE107" s="8"/>
      <c r="NF107" s="5" t="str">
        <f t="shared" si="347"/>
        <v>NO APLICA</v>
      </c>
      <c r="NG107" s="2"/>
      <c r="NH107" s="6"/>
      <c r="NI107" s="4"/>
      <c r="NJ107" s="8"/>
      <c r="NK107" s="5" t="str">
        <f t="shared" si="348"/>
        <v>NO APLICA</v>
      </c>
      <c r="NL107" s="2"/>
      <c r="NM107" s="2"/>
      <c r="NN107" s="4"/>
      <c r="NO107" s="8"/>
      <c r="NP107" s="5" t="str">
        <f t="shared" si="349"/>
        <v>NO APLICA</v>
      </c>
      <c r="NQ107" s="2"/>
      <c r="NR107" s="2"/>
      <c r="NS107" s="4"/>
      <c r="NT107" s="2"/>
      <c r="NU107" s="5" t="str">
        <f t="shared" si="350"/>
        <v>NO APLICA</v>
      </c>
      <c r="NV107" s="6"/>
      <c r="NW107" s="6"/>
      <c r="NX107" s="4"/>
      <c r="NY107" s="8"/>
      <c r="NZ107" s="5" t="str">
        <f t="shared" si="351"/>
        <v>NO APLICA</v>
      </c>
      <c r="OA107" s="6"/>
      <c r="OB107" s="6"/>
      <c r="OC107" s="6"/>
      <c r="OD107" s="6"/>
      <c r="OE107" s="5" t="str">
        <f t="shared" si="352"/>
        <v>NO APLICA</v>
      </c>
      <c r="OF107" s="6"/>
      <c r="OG107" s="6"/>
      <c r="OH107" s="4"/>
      <c r="OI107" s="8"/>
      <c r="OJ107" s="5" t="str">
        <f t="shared" si="353"/>
        <v>NO APLICA</v>
      </c>
      <c r="OK107" s="6"/>
      <c r="OL107" s="6"/>
      <c r="OM107" s="6"/>
      <c r="ON107" s="6"/>
      <c r="OO107" s="5" t="str">
        <f t="shared" si="354"/>
        <v>NO APLICA</v>
      </c>
      <c r="OP107" s="6"/>
      <c r="OQ107" s="6"/>
      <c r="OR107" s="6"/>
      <c r="OS107" s="6"/>
      <c r="OT107" s="5" t="str">
        <f t="shared" si="355"/>
        <v>NO APLICA</v>
      </c>
      <c r="OU107" s="6"/>
      <c r="OV107" s="6"/>
      <c r="OW107" s="6"/>
      <c r="OX107" s="6"/>
      <c r="OY107" s="5" t="str">
        <f t="shared" si="356"/>
        <v>NO APLICA</v>
      </c>
      <c r="OZ107" s="6"/>
      <c r="PA107" s="6"/>
      <c r="PB107" s="6"/>
      <c r="PC107" s="6"/>
      <c r="PD107" s="5" t="str">
        <f t="shared" si="357"/>
        <v>NO APLICA</v>
      </c>
      <c r="PE107" s="6"/>
      <c r="PF107" s="6"/>
      <c r="PG107" s="6"/>
      <c r="PH107" s="6"/>
      <c r="PI107" s="5" t="str">
        <f t="shared" si="358"/>
        <v>NO APLICA</v>
      </c>
      <c r="PJ107" s="5"/>
      <c r="PK107" s="6"/>
      <c r="PL107" s="4"/>
      <c r="PM107" s="8"/>
      <c r="PN107" s="5" t="str">
        <f t="shared" si="359"/>
        <v>NO APLICA</v>
      </c>
      <c r="PO107" s="6"/>
      <c r="PP107" s="6"/>
      <c r="PQ107" s="6"/>
      <c r="PR107" s="6"/>
      <c r="PS107" s="5" t="str">
        <f t="shared" si="360"/>
        <v>NO APLICA</v>
      </c>
      <c r="PT107" s="5"/>
      <c r="PU107" s="6"/>
      <c r="PV107" s="6"/>
      <c r="PW107" s="6"/>
      <c r="PX107" s="5" t="str">
        <f t="shared" si="361"/>
        <v>NO APLICA</v>
      </c>
    </row>
    <row r="108" spans="1:440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2" t="s">
        <v>372</v>
      </c>
      <c r="V108" s="4">
        <v>44772</v>
      </c>
      <c r="W108" s="4">
        <f t="shared" si="248"/>
        <v>46598</v>
      </c>
      <c r="X108" s="8">
        <f t="shared" ca="1" si="249"/>
        <v>464</v>
      </c>
      <c r="Y108" s="5" t="str">
        <f t="shared" ca="1" si="250"/>
        <v>VIGENTE</v>
      </c>
      <c r="Z108" s="2" t="s">
        <v>373</v>
      </c>
      <c r="AA108" s="4">
        <v>45233</v>
      </c>
      <c r="AB108" s="4">
        <f>DATE(YEAR(AA108)+5,MONTH(AA108),DAY(AA108))</f>
        <v>47060</v>
      </c>
      <c r="AC108" s="8">
        <f ca="1">AB108-TODAY()</f>
        <v>926</v>
      </c>
      <c r="AD108" s="5" t="str">
        <f ca="1">IF(AC108&gt;=91,"VIGENTE",IF(AC108&gt;=1,"POR VENCER",IF(AC108&lt;=-1,"VENCIDA",IF(AA108=0,"NO APLICA"))))</f>
        <v>VIGENTE</v>
      </c>
      <c r="AE108" s="3"/>
      <c r="AF108" s="4">
        <v>45902</v>
      </c>
      <c r="AG108" s="4">
        <f>DATE(YEAR(AF108)+2,MONTH(AF108),DAY(AF108))</f>
        <v>46632</v>
      </c>
      <c r="AH108" s="8">
        <f t="shared" ca="1" si="252"/>
        <v>498</v>
      </c>
      <c r="AI108" s="5" t="str">
        <f t="shared" ref="AI108:AI171" ca="1" si="419">IF(AH108&gt;=91,"VIGENTE",IF(AH108&gt;=1,"POR VENCER",IF(AH108&lt;=-1,"VENCIDA",IF(AF108=0,"NO APLICA"))))</f>
        <v>VIGENTE</v>
      </c>
      <c r="AJ108" s="3"/>
      <c r="AK108" s="4">
        <v>45903</v>
      </c>
      <c r="AL108" s="4">
        <f>DATE(YEAR(AK108)+2,MONTH(AK108),DAY(AK108))</f>
        <v>46633</v>
      </c>
      <c r="AM108" s="8">
        <f t="shared" ca="1" si="253"/>
        <v>499</v>
      </c>
      <c r="AN108" s="5" t="str">
        <f t="shared" ca="1" si="254"/>
        <v>VIGENTE</v>
      </c>
      <c r="AO108" s="3"/>
      <c r="AP108" s="4">
        <v>45989</v>
      </c>
      <c r="AQ108" s="4">
        <f>DATE(YEAR(AP108)+2,MONTH(AP108),DAY(AP108))</f>
        <v>46719</v>
      </c>
      <c r="AR108" s="8">
        <f t="shared" ca="1" si="255"/>
        <v>585</v>
      </c>
      <c r="AS108" s="5" t="str">
        <f t="shared" ca="1" si="256"/>
        <v>VIGENTE</v>
      </c>
      <c r="AT108" s="3"/>
      <c r="AU108" s="4">
        <v>46070</v>
      </c>
      <c r="AV108" s="4">
        <f>DATE(YEAR(AU108)+2,MONTH(AU108),DAY(AU108))</f>
        <v>46800</v>
      </c>
      <c r="AW108" s="8">
        <f t="shared" ca="1" si="257"/>
        <v>666</v>
      </c>
      <c r="AX108" s="5" t="str">
        <f t="shared" ca="1" si="258"/>
        <v>VIGENTE</v>
      </c>
      <c r="AY108" s="3"/>
      <c r="AZ108" s="4">
        <v>45603</v>
      </c>
      <c r="BA108" s="4">
        <f>DATE(YEAR(AZ108)+2,MONTH(AZ108),DAY(AZ108)-1)</f>
        <v>46332</v>
      </c>
      <c r="BB108" s="8">
        <f t="shared" ca="1" si="259"/>
        <v>198</v>
      </c>
      <c r="BC108" s="5" t="str">
        <f t="shared" ca="1" si="260"/>
        <v>VIGENTE</v>
      </c>
      <c r="BD108" s="3"/>
      <c r="BE108" s="4">
        <v>45698</v>
      </c>
      <c r="BF108" s="4">
        <f>DATE(YEAR(BE108)+2,MONTH(BE108),DAY(BE108)-1)</f>
        <v>46427</v>
      </c>
      <c r="BG108" s="8">
        <f t="shared" ca="1" si="261"/>
        <v>293</v>
      </c>
      <c r="BH108" s="5" t="str">
        <f t="shared" ca="1" si="262"/>
        <v>VIGENTE</v>
      </c>
      <c r="BI108" s="3"/>
      <c r="BJ108" s="4">
        <v>45600</v>
      </c>
      <c r="BK108" s="4">
        <f>DATE(YEAR(BJ108)+2,MONTH(BJ108),DAY(BJ108)-1)</f>
        <v>46329</v>
      </c>
      <c r="BL108" s="8">
        <f t="shared" ca="1" si="263"/>
        <v>195</v>
      </c>
      <c r="BM108" s="5" t="str">
        <f t="shared" ca="1" si="264"/>
        <v>VIGENTE</v>
      </c>
      <c r="BN108" s="3"/>
      <c r="BO108" s="4">
        <v>45604</v>
      </c>
      <c r="BP108" s="4">
        <f>DATE(YEAR(BO108)+2,MONTH(BO108),DAY(BO108)-1)</f>
        <v>46333</v>
      </c>
      <c r="BQ108" s="8">
        <f t="shared" ca="1" si="265"/>
        <v>199</v>
      </c>
      <c r="BR108" s="5" t="str">
        <f t="shared" ca="1" si="266"/>
        <v>VIGENTE</v>
      </c>
      <c r="BS108" s="3"/>
      <c r="BT108" s="4">
        <v>45611</v>
      </c>
      <c r="BU108" s="4">
        <f>DATE(YEAR(BT108)+2,MONTH(BT108),DAY(BT108)-1)</f>
        <v>46340</v>
      </c>
      <c r="BV108" s="8">
        <f t="shared" ca="1" si="267"/>
        <v>206</v>
      </c>
      <c r="BW108" s="5" t="str">
        <f t="shared" ca="1" si="268"/>
        <v>VIGENTE</v>
      </c>
      <c r="BX108" s="3"/>
      <c r="BY108" s="4">
        <v>45954</v>
      </c>
      <c r="BZ108" s="4">
        <f>DATE(YEAR(BY108)+2,MONTH(BY108),DAY(BY108))</f>
        <v>46684</v>
      </c>
      <c r="CA108" s="8">
        <f t="shared" ca="1" si="269"/>
        <v>550</v>
      </c>
      <c r="CB108" s="5" t="str">
        <f t="shared" ca="1" si="270"/>
        <v>VIGENTE</v>
      </c>
      <c r="CC108" s="6" t="s">
        <v>73</v>
      </c>
      <c r="CD108" s="4">
        <v>45301</v>
      </c>
      <c r="CE108" s="4">
        <f t="shared" si="397"/>
        <v>46762</v>
      </c>
      <c r="CF108" s="8">
        <f t="shared" ca="1" si="398"/>
        <v>628</v>
      </c>
      <c r="CG108" s="5" t="str">
        <f t="shared" ca="1" si="273"/>
        <v>VIGENTE</v>
      </c>
      <c r="CH108" s="4"/>
      <c r="CI108" s="4">
        <v>45688</v>
      </c>
      <c r="CJ108" s="4">
        <f>DATE(YEAR(CI108)+2,MONTH(CI108),DAY(CI108)-1)</f>
        <v>46417</v>
      </c>
      <c r="CK108" s="8">
        <f t="shared" ca="1" si="274"/>
        <v>283</v>
      </c>
      <c r="CL108" s="5" t="str">
        <f t="shared" ca="1" si="275"/>
        <v>VIGENTE</v>
      </c>
      <c r="CM108" s="3"/>
      <c r="CN108" s="4">
        <v>45726</v>
      </c>
      <c r="CO108" s="4">
        <f>DATE(YEAR(CN108)+2,MONTH(CN108),DAY(CN108)-1)</f>
        <v>46455</v>
      </c>
      <c r="CP108" s="8">
        <f t="shared" ca="1" si="276"/>
        <v>321</v>
      </c>
      <c r="CQ108" s="5" t="str">
        <f t="shared" ca="1" si="277"/>
        <v>VIGENTE</v>
      </c>
      <c r="CR108" s="3"/>
      <c r="CS108" s="4">
        <v>46043</v>
      </c>
      <c r="CT108" s="4">
        <f>DATE(YEAR(CS108)+2,MONTH(CS108),DAY(CS108))</f>
        <v>46773</v>
      </c>
      <c r="CU108" s="8">
        <f t="shared" ca="1" si="278"/>
        <v>639</v>
      </c>
      <c r="CV108" s="5" t="str">
        <f t="shared" ca="1" si="279"/>
        <v>VIGENTE</v>
      </c>
      <c r="CW108" s="3"/>
      <c r="CX108" s="4">
        <v>46000</v>
      </c>
      <c r="CY108" s="4">
        <f>DATE(YEAR(CX108)+2,MONTH(CX108),DAY(CX108))</f>
        <v>46730</v>
      </c>
      <c r="CZ108" s="8">
        <f t="shared" ca="1" si="280"/>
        <v>596</v>
      </c>
      <c r="DA108" s="5" t="str">
        <f t="shared" ca="1" si="281"/>
        <v>VIGENTE</v>
      </c>
      <c r="DB108" s="3"/>
      <c r="DC108" s="4">
        <v>45761</v>
      </c>
      <c r="DD108" s="4">
        <f>DATE(YEAR(DC108)+2,MONTH(DC108),DAY(DC108))</f>
        <v>46491</v>
      </c>
      <c r="DE108" s="8">
        <f t="shared" ca="1" si="282"/>
        <v>357</v>
      </c>
      <c r="DF108" s="5" t="str">
        <f t="shared" ca="1" si="283"/>
        <v>VIGENTE</v>
      </c>
      <c r="DG108" s="3"/>
      <c r="DH108" s="4">
        <v>46029</v>
      </c>
      <c r="DI108" s="4">
        <f>DATE(YEAR(DH108)+2,MONTH(DH108),DAY(DH108))</f>
        <v>46759</v>
      </c>
      <c r="DJ108" s="8">
        <f t="shared" ca="1" si="284"/>
        <v>625</v>
      </c>
      <c r="DK108" s="5" t="str">
        <f t="shared" ca="1" si="285"/>
        <v>VIGENTE</v>
      </c>
      <c r="DL108" s="3"/>
      <c r="DM108" s="4">
        <v>45982</v>
      </c>
      <c r="DN108" s="4">
        <f>DATE(YEAR(DM108)+2,MONTH(DM108),DAY(DM108))</f>
        <v>46712</v>
      </c>
      <c r="DO108" s="8">
        <f t="shared" ca="1" si="286"/>
        <v>578</v>
      </c>
      <c r="DP108" s="5" t="str">
        <f t="shared" ca="1" si="287"/>
        <v>VIGENTE</v>
      </c>
      <c r="DQ108" s="3"/>
      <c r="DR108" s="4">
        <v>45619</v>
      </c>
      <c r="DS108" s="4">
        <f>DATE(YEAR(DR108)+2,MONTH(DR108),DAY(DR108)-1)</f>
        <v>46348</v>
      </c>
      <c r="DT108" s="8">
        <f t="shared" ca="1" si="288"/>
        <v>214</v>
      </c>
      <c r="DU108" s="5" t="str">
        <f t="shared" ca="1" si="289"/>
        <v>VIGENTE</v>
      </c>
      <c r="DV108" s="3"/>
      <c r="DW108" s="4">
        <v>45682</v>
      </c>
      <c r="DX108" s="4">
        <f>DATE(YEAR(DW108)+2,MONTH(DW108),DAY(DW108)-1)</f>
        <v>46411</v>
      </c>
      <c r="DY108" s="8">
        <f t="shared" ca="1" si="290"/>
        <v>277</v>
      </c>
      <c r="DZ108" s="5" t="str">
        <f t="shared" ca="1" si="291"/>
        <v>VIGENTE</v>
      </c>
      <c r="EA108" s="3"/>
      <c r="EB108" s="4">
        <v>45583</v>
      </c>
      <c r="EC108" s="4">
        <f>DATE(YEAR(EB108)+2,MONTH(EB108),DAY(EB108)-1)</f>
        <v>46312</v>
      </c>
      <c r="ED108" s="8">
        <f t="shared" ca="1" si="292"/>
        <v>178</v>
      </c>
      <c r="EE108" s="5" t="str">
        <f t="shared" ca="1" si="293"/>
        <v>VIGENTE</v>
      </c>
      <c r="EF108" s="3"/>
      <c r="EG108" s="3">
        <v>46085</v>
      </c>
      <c r="EH108" s="4">
        <f t="shared" si="364"/>
        <v>46450</v>
      </c>
      <c r="EI108" s="8">
        <f t="shared" ca="1" si="294"/>
        <v>316</v>
      </c>
      <c r="EJ108" s="5" t="str">
        <f t="shared" ca="1" si="295"/>
        <v>VIGENTE</v>
      </c>
      <c r="EK108" s="3"/>
      <c r="EL108" s="4">
        <v>45660</v>
      </c>
      <c r="EM108" s="4">
        <f>DATE(YEAR(EL108)+2,MONTH(EL108),DAY(EL108)-1)</f>
        <v>46389</v>
      </c>
      <c r="EN108" s="8">
        <f t="shared" ca="1" si="296"/>
        <v>255</v>
      </c>
      <c r="EO108" s="5" t="str">
        <f t="shared" ca="1" si="297"/>
        <v>VIGENTE</v>
      </c>
      <c r="EP108" s="3"/>
      <c r="EQ108" s="4">
        <v>45677</v>
      </c>
      <c r="ER108" s="4">
        <f>DATE(YEAR(EQ108)+2,MONTH(EQ108),DAY(EQ108)-1)</f>
        <v>46406</v>
      </c>
      <c r="ES108" s="8">
        <f t="shared" ca="1" si="298"/>
        <v>272</v>
      </c>
      <c r="ET108" s="5" t="str">
        <f t="shared" ca="1" si="299"/>
        <v>VIGENTE</v>
      </c>
      <c r="EU108" s="3"/>
      <c r="EV108" s="4">
        <v>45953</v>
      </c>
      <c r="EW108" s="4">
        <f>DATE(YEAR(EV108)+2,MONTH(EV108),DAY(EV108))</f>
        <v>46683</v>
      </c>
      <c r="EX108" s="8">
        <f t="shared" ca="1" si="300"/>
        <v>549</v>
      </c>
      <c r="EY108" s="5" t="str">
        <f t="shared" ca="1" si="301"/>
        <v>VIGENTE</v>
      </c>
      <c r="EZ108" s="3"/>
      <c r="FA108" s="4">
        <v>45951</v>
      </c>
      <c r="FB108" s="4">
        <f>DATE(YEAR(FA108)+2,MONTH(FA108),DAY(FA108))</f>
        <v>46681</v>
      </c>
      <c r="FC108" s="8">
        <f t="shared" ca="1" si="302"/>
        <v>547</v>
      </c>
      <c r="FD108" s="5" t="str">
        <f t="shared" ca="1" si="303"/>
        <v>VIGENTE</v>
      </c>
      <c r="FE108" s="3"/>
      <c r="FF108" s="4">
        <v>45919</v>
      </c>
      <c r="FG108" s="4">
        <f>DATE(YEAR(FF108)+2,MONTH(FF108),DAY(FF108))</f>
        <v>46649</v>
      </c>
      <c r="FH108" s="8">
        <f t="shared" ca="1" si="304"/>
        <v>515</v>
      </c>
      <c r="FI108" s="5" t="str">
        <f t="shared" ca="1" si="305"/>
        <v>VIGENTE</v>
      </c>
      <c r="FJ108" s="3"/>
      <c r="FK108" s="4">
        <v>45588</v>
      </c>
      <c r="FL108" s="4">
        <f>DATE(YEAR(FK108)+2,MONTH(FK108),DAY(FK108)-1)</f>
        <v>46317</v>
      </c>
      <c r="FM108" s="8">
        <f t="shared" ca="1" si="306"/>
        <v>183</v>
      </c>
      <c r="FN108" s="5" t="str">
        <f t="shared" ca="1" si="307"/>
        <v>VIGENTE</v>
      </c>
      <c r="FO108" s="3"/>
      <c r="FP108" s="4">
        <v>45605</v>
      </c>
      <c r="FQ108" s="4">
        <f>DATE(YEAR(FP108)+2,MONTH(FP108),DAY(FP108)-1)</f>
        <v>46334</v>
      </c>
      <c r="FR108" s="8">
        <f t="shared" ca="1" si="308"/>
        <v>200</v>
      </c>
      <c r="FS108" s="5" t="str">
        <f t="shared" ca="1" si="309"/>
        <v>VIGENTE</v>
      </c>
      <c r="FT108" s="3"/>
      <c r="FU108" s="4">
        <v>46014</v>
      </c>
      <c r="FV108" s="4">
        <f>DATE(YEAR(FU108)+2,MONTH(FU108),DAY(FU108))</f>
        <v>46744</v>
      </c>
      <c r="FW108" s="8">
        <f t="shared" ca="1" si="310"/>
        <v>610</v>
      </c>
      <c r="FX108" s="5" t="str">
        <f t="shared" ca="1" si="311"/>
        <v>VIGENTE</v>
      </c>
      <c r="FY108" s="3"/>
      <c r="FZ108" s="4">
        <v>45667</v>
      </c>
      <c r="GA108" s="4">
        <f>DATE(YEAR(FZ108)+2,MONTH(FZ108),DAY(FZ108)-1)</f>
        <v>46396</v>
      </c>
      <c r="GB108" s="8">
        <f t="shared" ca="1" si="312"/>
        <v>262</v>
      </c>
      <c r="GC108" s="5" t="str">
        <f t="shared" ca="1" si="313"/>
        <v>VIGENTE</v>
      </c>
      <c r="GD108" s="3"/>
      <c r="GE108" s="4">
        <v>45579</v>
      </c>
      <c r="GF108" s="4">
        <f>DATE(YEAR(GE108)+2,MONTH(GE108),DAY(GE108)-1)</f>
        <v>46308</v>
      </c>
      <c r="GG108" s="8">
        <f t="shared" ca="1" si="314"/>
        <v>174</v>
      </c>
      <c r="GH108" s="5" t="str">
        <f t="shared" ca="1" si="315"/>
        <v>VIGENTE</v>
      </c>
      <c r="GI108" s="3"/>
      <c r="GJ108" s="4">
        <v>45752</v>
      </c>
      <c r="GK108" s="4">
        <f>DATE(YEAR(GJ108)+2,MONTH(GJ108),DAY(GJ108)-1)</f>
        <v>46481</v>
      </c>
      <c r="GL108" s="8">
        <f t="shared" ca="1" si="316"/>
        <v>347</v>
      </c>
      <c r="GM108" s="5" t="str">
        <f t="shared" ca="1" si="317"/>
        <v>VIGENTE</v>
      </c>
      <c r="GN108" s="4"/>
      <c r="GO108" s="4">
        <v>44952</v>
      </c>
      <c r="GP108" s="4">
        <f t="shared" si="318"/>
        <v>46778</v>
      </c>
      <c r="GQ108" s="8">
        <f t="shared" ca="1" si="418"/>
        <v>644</v>
      </c>
      <c r="GR108" s="5" t="str">
        <f t="shared" ca="1" si="388"/>
        <v>VIGENTE</v>
      </c>
      <c r="GS108" s="3"/>
      <c r="GT108" s="4">
        <v>45010</v>
      </c>
      <c r="GU108" s="4">
        <f t="shared" si="320"/>
        <v>46837</v>
      </c>
      <c r="GV108" s="8">
        <f t="shared" ca="1" si="321"/>
        <v>703</v>
      </c>
      <c r="GW108" s="5" t="str">
        <f ca="1">IF(GV108&gt;=91,"VIGENTE",IF(GV108&gt;=1,"POR VENCER",IF(GV108&lt;=-1,"VENCIDA",IF(GT108=0,"NO APLICA"))))</f>
        <v>VIGENTE</v>
      </c>
      <c r="GX108" s="2"/>
      <c r="GY108" s="4">
        <v>44980</v>
      </c>
      <c r="GZ108" s="4">
        <f t="shared" si="323"/>
        <v>46806</v>
      </c>
      <c r="HA108" s="8">
        <f t="shared" ca="1" si="324"/>
        <v>672</v>
      </c>
      <c r="HB108" s="5" t="str">
        <f ca="1">IF(HA108&gt;=91,"VIGENTE",IF(HA108&gt;=1,"POR VENCER",IF(HA108&lt;=-1,"VENCIDA",IF(GY108=0,"NO APLICA"))))</f>
        <v>VIGENTE</v>
      </c>
      <c r="HC108" s="6"/>
      <c r="HD108" s="4">
        <v>45094</v>
      </c>
      <c r="HE108" s="4">
        <f t="shared" si="416"/>
        <v>46921</v>
      </c>
      <c r="HF108" s="8">
        <f t="shared" ca="1" si="417"/>
        <v>787</v>
      </c>
      <c r="HG108" s="5" t="str">
        <f ca="1">IF(HF108&gt;=61,"VIGENTE",IF(HF108&gt;=1,"POR VENCER",IF(HF108&lt;=-1,"VENCIDA",IF(HD108=0,"NO APLICA"))))</f>
        <v>VIGENTE</v>
      </c>
      <c r="HH108" s="2"/>
      <c r="HI108" s="6"/>
      <c r="HJ108" s="4">
        <f>DATE(YEAR(HI108)+5,MONTH(HI108),DAY(HI108))</f>
        <v>1827</v>
      </c>
      <c r="HK108" s="8">
        <f ca="1">HJ108-TODAY()</f>
        <v>-44307</v>
      </c>
      <c r="HL108" s="5" t="str">
        <f ca="1">IF(HK108&gt;=61,"VIGENTE",IF(HK108&gt;=1,"POR VENCER",IF(HK108&lt;=-1,"PROGRAMAR",IF(HI108=0,"NO APLICA"))))</f>
        <v>PROGRAMAR</v>
      </c>
      <c r="HM108" s="2"/>
      <c r="HN108" s="2"/>
      <c r="HO108" s="4"/>
      <c r="HP108" s="2"/>
      <c r="HQ108" s="5" t="str">
        <f t="shared" si="326"/>
        <v>NO APLICA</v>
      </c>
      <c r="HR108" s="2"/>
      <c r="HS108" s="4">
        <v>44987</v>
      </c>
      <c r="HT108" s="4">
        <f>DATE(YEAR(HS108)+5,MONTH(HS108),DAY(HS108))</f>
        <v>46814</v>
      </c>
      <c r="HU108" s="8">
        <f ca="1">HT108-TODAY()</f>
        <v>680</v>
      </c>
      <c r="HV108" s="5" t="str">
        <f t="shared" ca="1" si="327"/>
        <v>VIGENTE</v>
      </c>
      <c r="HW108" s="2"/>
      <c r="HX108" s="4">
        <v>45092</v>
      </c>
      <c r="HY108" s="4">
        <f>DATE(YEAR(HX108)+5,MONTH(HX108),DAY(HX108))</f>
        <v>46919</v>
      </c>
      <c r="HZ108" s="8">
        <f ca="1">HY108-TODAY()</f>
        <v>785</v>
      </c>
      <c r="IA108" s="5" t="str">
        <f t="shared" ca="1" si="328"/>
        <v>VIGENTE</v>
      </c>
      <c r="IB108" s="2"/>
      <c r="IC108" s="4">
        <v>45024</v>
      </c>
      <c r="ID108" s="4">
        <f>DATE(YEAR(IC108)+5,MONTH(IC108),DAY(IC108))</f>
        <v>46851</v>
      </c>
      <c r="IE108" s="8">
        <f ca="1">ID108-TODAY()</f>
        <v>717</v>
      </c>
      <c r="IF108" s="5" t="str">
        <f t="shared" ca="1" si="329"/>
        <v>VIGENTE</v>
      </c>
      <c r="IG108" s="6"/>
      <c r="IH108" s="4">
        <v>45009</v>
      </c>
      <c r="II108" s="4">
        <f>DATE(YEAR(IH108)+5,MONTH(IH108),DAY(IH108))</f>
        <v>46836</v>
      </c>
      <c r="IJ108" s="8">
        <f ca="1">II108-TODAY()</f>
        <v>702</v>
      </c>
      <c r="IK108" s="5" t="str">
        <f t="shared" ca="1" si="330"/>
        <v>VIGENTE</v>
      </c>
      <c r="IL108" s="2"/>
      <c r="IM108" s="4">
        <v>44977</v>
      </c>
      <c r="IN108" s="4">
        <f>DATE(YEAR(IM108)+5,MONTH(IM108),DAY(IM108))</f>
        <v>46803</v>
      </c>
      <c r="IO108" s="8">
        <f ca="1">IN108-TODAY()</f>
        <v>669</v>
      </c>
      <c r="IP108" s="5" t="str">
        <f t="shared" ca="1" si="331"/>
        <v>VIGENTE</v>
      </c>
      <c r="IQ108" s="2"/>
      <c r="IR108" s="4">
        <v>45062</v>
      </c>
      <c r="IS108" s="4">
        <f>DATE(YEAR(IR108)+5,MONTH(IR108),DAY(IR108))</f>
        <v>46889</v>
      </c>
      <c r="IT108" s="8">
        <f ca="1">IS108-TODAY()</f>
        <v>755</v>
      </c>
      <c r="IU108" s="5" t="str">
        <f t="shared" ca="1" si="332"/>
        <v>VIGENTE</v>
      </c>
      <c r="IV108" s="2"/>
      <c r="IW108" s="4">
        <v>45101</v>
      </c>
      <c r="IX108" s="4">
        <f>DATE(YEAR(IW108)+5,MONTH(IW108),DAY(IW108))</f>
        <v>46928</v>
      </c>
      <c r="IY108" s="8">
        <f ca="1">IX108-TODAY()</f>
        <v>794</v>
      </c>
      <c r="IZ108" s="5" t="str">
        <f t="shared" ca="1" si="333"/>
        <v>VIGENTE</v>
      </c>
      <c r="JA108" s="3"/>
      <c r="JB108" s="3"/>
      <c r="JC108" s="4"/>
      <c r="JD108" s="8"/>
      <c r="JE108" s="5" t="str">
        <f t="shared" si="334"/>
        <v>NO APLICA</v>
      </c>
      <c r="JF108" s="6"/>
      <c r="JG108" s="6"/>
      <c r="JH108" s="6"/>
      <c r="JI108" s="6"/>
      <c r="JJ108" s="5" t="str">
        <f t="shared" si="335"/>
        <v>NO APLICA</v>
      </c>
      <c r="JK108" s="6"/>
      <c r="JL108" s="6"/>
      <c r="JM108" s="6"/>
      <c r="JN108" s="6"/>
      <c r="JO108" s="5" t="str">
        <f t="shared" si="336"/>
        <v>NO APLICA</v>
      </c>
      <c r="JP108" s="6"/>
      <c r="JQ108" s="6"/>
      <c r="JR108" s="6"/>
      <c r="JS108" s="6"/>
      <c r="JT108" s="5" t="str">
        <f t="shared" si="337"/>
        <v>NO APLICA</v>
      </c>
      <c r="JU108" s="5"/>
      <c r="JV108" s="5"/>
      <c r="JW108" s="5"/>
      <c r="JX108" s="5"/>
      <c r="JY108" s="5" t="str">
        <f t="shared" si="338"/>
        <v>NO APLICA</v>
      </c>
      <c r="JZ108" s="5"/>
      <c r="KA108" s="3">
        <v>45362</v>
      </c>
      <c r="KB108" s="4">
        <f>DATE(YEAR(KA108)+5,MONTH(KA108),DAY(KA108))</f>
        <v>47188</v>
      </c>
      <c r="KC108" s="8">
        <f ca="1">KB108-TODAY()</f>
        <v>1054</v>
      </c>
      <c r="KD108" s="5" t="str">
        <f t="shared" ca="1" si="339"/>
        <v>VIGENTE</v>
      </c>
      <c r="KE108" s="5"/>
      <c r="KF108" s="2"/>
      <c r="KG108" s="4"/>
      <c r="KH108" s="8"/>
      <c r="KI108" s="5" t="str">
        <f t="shared" si="365"/>
        <v>NO APLICA</v>
      </c>
      <c r="KJ108" s="5"/>
      <c r="KK108" s="3"/>
      <c r="KL108" s="4"/>
      <c r="KM108" s="8"/>
      <c r="KN108" s="5" t="str">
        <f t="shared" si="340"/>
        <v>NO APLICA</v>
      </c>
      <c r="KO108" s="5"/>
      <c r="KP108" s="2"/>
      <c r="KQ108" s="4"/>
      <c r="KR108" s="8"/>
      <c r="KS108" s="5" t="str">
        <f t="shared" si="366"/>
        <v>NO APLICA</v>
      </c>
      <c r="KT108" s="2"/>
      <c r="KU108" s="6"/>
      <c r="KV108" s="4"/>
      <c r="KW108" s="8"/>
      <c r="KX108" s="5" t="str">
        <f t="shared" si="375"/>
        <v>NO APLICA</v>
      </c>
      <c r="KY108" s="5"/>
      <c r="KZ108" s="6"/>
      <c r="LA108" s="4"/>
      <c r="LB108" s="8"/>
      <c r="LC108" s="5" t="str">
        <f t="shared" si="367"/>
        <v>NO APLICA</v>
      </c>
      <c r="LD108" s="6"/>
      <c r="LE108" s="6"/>
      <c r="LF108" s="4"/>
      <c r="LG108" s="8"/>
      <c r="LH108" s="5" t="str">
        <f t="shared" si="341"/>
        <v>NO APLICA</v>
      </c>
      <c r="LI108" s="5"/>
      <c r="LJ108" s="5"/>
      <c r="LK108" s="4"/>
      <c r="LL108" s="8"/>
      <c r="LM108" s="5" t="str">
        <f t="shared" si="376"/>
        <v>NO APLICA</v>
      </c>
      <c r="LN108" s="2"/>
      <c r="LO108" s="6"/>
      <c r="LP108" s="4"/>
      <c r="LQ108" s="8"/>
      <c r="LR108" s="5" t="str">
        <f t="shared" si="368"/>
        <v>NO APLICA</v>
      </c>
      <c r="LS108" s="6"/>
      <c r="LT108" s="6"/>
      <c r="LU108" s="4"/>
      <c r="LV108" s="8"/>
      <c r="LW108" s="5" t="str">
        <f t="shared" si="369"/>
        <v>NO APLICA</v>
      </c>
      <c r="LX108" s="6"/>
      <c r="LY108" s="6"/>
      <c r="LZ108" s="4"/>
      <c r="MA108" s="8"/>
      <c r="MB108" s="5" t="str">
        <f t="shared" si="370"/>
        <v>NO APLICA</v>
      </c>
      <c r="MC108" s="2"/>
      <c r="MD108" s="2"/>
      <c r="ME108" s="4"/>
      <c r="MF108" s="8"/>
      <c r="MG108" s="5" t="str">
        <f t="shared" si="342"/>
        <v>NO APLICA</v>
      </c>
      <c r="MH108" s="2"/>
      <c r="MI108" s="2"/>
      <c r="MJ108" s="4"/>
      <c r="MK108" s="8"/>
      <c r="ML108" s="5" t="str">
        <f t="shared" si="343"/>
        <v>NO APLICA</v>
      </c>
      <c r="MM108" s="5"/>
      <c r="MN108" s="2"/>
      <c r="MO108" s="4"/>
      <c r="MP108" s="8"/>
      <c r="MQ108" s="5" t="str">
        <f t="shared" si="344"/>
        <v>NO APLICA</v>
      </c>
      <c r="MR108" s="5"/>
      <c r="MS108" s="2"/>
      <c r="MT108" s="4"/>
      <c r="MU108" s="2"/>
      <c r="MV108" s="5" t="str">
        <f t="shared" si="345"/>
        <v>NO APLICA</v>
      </c>
      <c r="MW108" s="2"/>
      <c r="MX108" s="6"/>
      <c r="MY108" s="4"/>
      <c r="MZ108" s="8"/>
      <c r="NA108" s="5" t="str">
        <f t="shared" si="346"/>
        <v>NO APLICA</v>
      </c>
      <c r="NB108" s="2"/>
      <c r="NC108" s="6"/>
      <c r="ND108" s="4"/>
      <c r="NE108" s="8"/>
      <c r="NF108" s="5" t="str">
        <f t="shared" si="347"/>
        <v>NO APLICA</v>
      </c>
      <c r="NG108" s="2"/>
      <c r="NH108" s="6"/>
      <c r="NI108" s="4"/>
      <c r="NJ108" s="8"/>
      <c r="NK108" s="5" t="str">
        <f t="shared" si="348"/>
        <v>NO APLICA</v>
      </c>
      <c r="NL108" s="2"/>
      <c r="NM108" s="2"/>
      <c r="NN108" s="4"/>
      <c r="NO108" s="8"/>
      <c r="NP108" s="5" t="str">
        <f t="shared" si="349"/>
        <v>NO APLICA</v>
      </c>
      <c r="NQ108" s="2"/>
      <c r="NR108" s="2"/>
      <c r="NS108" s="4"/>
      <c r="NT108" s="2"/>
      <c r="NU108" s="5" t="str">
        <f t="shared" si="350"/>
        <v>NO APLICA</v>
      </c>
      <c r="NV108" s="6"/>
      <c r="NW108" s="6"/>
      <c r="NX108" s="4"/>
      <c r="NY108" s="8"/>
      <c r="NZ108" s="5" t="str">
        <f t="shared" si="351"/>
        <v>NO APLICA</v>
      </c>
      <c r="OA108" s="6"/>
      <c r="OB108" s="6"/>
      <c r="OC108" s="6"/>
      <c r="OD108" s="6"/>
      <c r="OE108" s="5" t="str">
        <f t="shared" si="352"/>
        <v>NO APLICA</v>
      </c>
      <c r="OF108" s="6"/>
      <c r="OG108" s="6"/>
      <c r="OH108" s="4"/>
      <c r="OI108" s="8"/>
      <c r="OJ108" s="5" t="str">
        <f t="shared" si="353"/>
        <v>NO APLICA</v>
      </c>
      <c r="OK108" s="6"/>
      <c r="OL108" s="6"/>
      <c r="OM108" s="6"/>
      <c r="ON108" s="6"/>
      <c r="OO108" s="5" t="str">
        <f t="shared" si="354"/>
        <v>NO APLICA</v>
      </c>
      <c r="OP108" s="6"/>
      <c r="OQ108" s="6"/>
      <c r="OR108" s="6"/>
      <c r="OS108" s="6"/>
      <c r="OT108" s="5" t="str">
        <f t="shared" si="355"/>
        <v>NO APLICA</v>
      </c>
      <c r="OU108" s="6"/>
      <c r="OV108" s="6"/>
      <c r="OW108" s="6"/>
      <c r="OX108" s="6"/>
      <c r="OY108" s="5" t="str">
        <f t="shared" si="356"/>
        <v>NO APLICA</v>
      </c>
      <c r="OZ108" s="6"/>
      <c r="PA108" s="6"/>
      <c r="PB108" s="6"/>
      <c r="PC108" s="6"/>
      <c r="PD108" s="5" t="str">
        <f t="shared" si="357"/>
        <v>NO APLICA</v>
      </c>
      <c r="PE108" s="6"/>
      <c r="PF108" s="6"/>
      <c r="PG108" s="6"/>
      <c r="PH108" s="6"/>
      <c r="PI108" s="5" t="str">
        <f t="shared" si="358"/>
        <v>NO APLICA</v>
      </c>
      <c r="PJ108" s="5"/>
      <c r="PK108" s="6"/>
      <c r="PL108" s="4"/>
      <c r="PM108" s="8"/>
      <c r="PN108" s="5" t="str">
        <f t="shared" si="359"/>
        <v>NO APLICA</v>
      </c>
      <c r="PO108" s="6"/>
      <c r="PP108" s="6"/>
      <c r="PQ108" s="6"/>
      <c r="PR108" s="6"/>
      <c r="PS108" s="5" t="str">
        <f t="shared" si="360"/>
        <v>NO APLICA</v>
      </c>
      <c r="PT108" s="5"/>
      <c r="PU108" s="6"/>
      <c r="PV108" s="6"/>
      <c r="PW108" s="6"/>
      <c r="PX108" s="5" t="str">
        <f t="shared" si="361"/>
        <v>NO APLICA</v>
      </c>
    </row>
    <row r="109" spans="1:440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8"/>
      <c r="Y109" s="23" t="str">
        <f>IF(X109&gt;=90,"VIGENTE",IF(X109&gt;=1,"POR VENCER",IF(X109&lt;=-1,"VENCIDA",IF(V109=0,"PENDIENTE"))))</f>
        <v>PENDIENTE</v>
      </c>
      <c r="Z109" s="2"/>
      <c r="AA109" s="2"/>
      <c r="AB109" s="4"/>
      <c r="AC109" s="8"/>
      <c r="AD109" s="23" t="str">
        <f>IF(AC109&gt;=91,"VIGENTE",IF(AC109&gt;=1,"POR VENCER",IF(AC109&lt;=-1,"VENCIDA",IF(AA109=0,"PENDIENTE"))))</f>
        <v>PENDIENTE</v>
      </c>
      <c r="AE109" s="6"/>
      <c r="AF109" s="4">
        <v>45609</v>
      </c>
      <c r="AG109" s="4">
        <f>DATE(YEAR(AF109)+2,MONTH(AF109),DAY(AF109)-1)</f>
        <v>46338</v>
      </c>
      <c r="AH109" s="8">
        <f t="shared" ca="1" si="252"/>
        <v>204</v>
      </c>
      <c r="AI109" s="5" t="str">
        <f t="shared" ca="1" si="419"/>
        <v>VIGENTE</v>
      </c>
      <c r="AJ109" s="6"/>
      <c r="AK109" s="4">
        <v>45710</v>
      </c>
      <c r="AL109" s="4">
        <f>DATE(YEAR(AK109)+2,MONTH(AK109),DAY(AK109)-1)</f>
        <v>46439</v>
      </c>
      <c r="AM109" s="8">
        <f t="shared" ca="1" si="253"/>
        <v>305</v>
      </c>
      <c r="AN109" s="5" t="str">
        <f t="shared" ca="1" si="254"/>
        <v>VIGENTE</v>
      </c>
      <c r="AO109" s="6"/>
      <c r="AP109" s="4">
        <v>45640</v>
      </c>
      <c r="AQ109" s="4">
        <f>DATE(YEAR(AP109)+2,MONTH(AP109),DAY(AP109)-1)</f>
        <v>46369</v>
      </c>
      <c r="AR109" s="8">
        <f t="shared" ca="1" si="255"/>
        <v>235</v>
      </c>
      <c r="AS109" s="5" t="str">
        <f t="shared" ca="1" si="256"/>
        <v>VIGENTE</v>
      </c>
      <c r="AT109" s="6"/>
      <c r="AU109" s="4">
        <v>45644</v>
      </c>
      <c r="AV109" s="4">
        <f>DATE(YEAR(AU109)+2,MONTH(AU109),DAY(AU109)-1)</f>
        <v>46373</v>
      </c>
      <c r="AW109" s="8">
        <f t="shared" ca="1" si="257"/>
        <v>239</v>
      </c>
      <c r="AX109" s="5" t="str">
        <f t="shared" ca="1" si="258"/>
        <v>VIGENTE</v>
      </c>
      <c r="AY109" s="4"/>
      <c r="AZ109" s="4">
        <v>45603</v>
      </c>
      <c r="BA109" s="4">
        <f>DATE(YEAR(AZ109)+2,MONTH(AZ109),DAY(AZ109)-1)</f>
        <v>46332</v>
      </c>
      <c r="BB109" s="8">
        <f t="shared" ca="1" si="259"/>
        <v>198</v>
      </c>
      <c r="BC109" s="5" t="str">
        <f t="shared" ca="1" si="260"/>
        <v>VIGENTE</v>
      </c>
      <c r="BD109" s="6"/>
      <c r="BE109" s="4">
        <v>45643</v>
      </c>
      <c r="BF109" s="4">
        <f>DATE(YEAR(BE109)+2,MONTH(BE109),DAY(BE109)-1)</f>
        <v>46372</v>
      </c>
      <c r="BG109" s="8">
        <f t="shared" ca="1" si="261"/>
        <v>238</v>
      </c>
      <c r="BH109" s="5" t="str">
        <f t="shared" ca="1" si="262"/>
        <v>VIGENTE</v>
      </c>
      <c r="BI109" s="4"/>
      <c r="BJ109" s="4">
        <v>45699</v>
      </c>
      <c r="BK109" s="4">
        <f>DATE(YEAR(BJ109)+2,MONTH(BJ109),DAY(BJ109)-1)</f>
        <v>46428</v>
      </c>
      <c r="BL109" s="8">
        <f t="shared" ca="1" si="263"/>
        <v>294</v>
      </c>
      <c r="BM109" s="5" t="str">
        <f t="shared" ca="1" si="264"/>
        <v>VIGENTE</v>
      </c>
      <c r="BN109" s="4"/>
      <c r="BO109" s="4">
        <v>45701</v>
      </c>
      <c r="BP109" s="4">
        <f>DATE(YEAR(BO109)+2,MONTH(BO109),DAY(BO109)-1)</f>
        <v>46430</v>
      </c>
      <c r="BQ109" s="8">
        <f t="shared" ca="1" si="265"/>
        <v>296</v>
      </c>
      <c r="BR109" s="5" t="str">
        <f t="shared" ca="1" si="266"/>
        <v>VIGENTE</v>
      </c>
      <c r="BS109" s="6"/>
      <c r="BT109" s="4">
        <v>45695</v>
      </c>
      <c r="BU109" s="4">
        <f>DATE(YEAR(BT109)+2,MONTH(BT109),DAY(BT109)-1)</f>
        <v>46424</v>
      </c>
      <c r="BV109" s="8">
        <f t="shared" ca="1" si="267"/>
        <v>290</v>
      </c>
      <c r="BW109" s="5" t="str">
        <f t="shared" ca="1" si="268"/>
        <v>VIGENTE</v>
      </c>
      <c r="BX109" s="6"/>
      <c r="BY109" s="4">
        <v>45730</v>
      </c>
      <c r="BZ109" s="4">
        <f>DATE(YEAR(BY109)+2,MONTH(BY109),DAY(BY109)-1)</f>
        <v>46459</v>
      </c>
      <c r="CA109" s="8">
        <f t="shared" ca="1" si="269"/>
        <v>325</v>
      </c>
      <c r="CB109" s="5" t="str">
        <f t="shared" ca="1" si="270"/>
        <v>VIGENTE</v>
      </c>
      <c r="CC109" s="2"/>
      <c r="CD109" s="2"/>
      <c r="CE109" s="4"/>
      <c r="CF109" s="8"/>
      <c r="CG109" s="5" t="str">
        <f>IF(CF109&gt;=90,"VIGENTE",IF(CF109&gt;=1,"POR VENCER",IF(CF109&lt;=-1,"PROGRAMAR",IF(CF109=0,"PENDIENTE"))))</f>
        <v>PENDIENTE</v>
      </c>
      <c r="CH109" s="6"/>
      <c r="CI109" s="4">
        <v>45688</v>
      </c>
      <c r="CJ109" s="4">
        <f>DATE(YEAR(CI109)+2,MONTH(CI109),DAY(CI109)-1)</f>
        <v>46417</v>
      </c>
      <c r="CK109" s="8">
        <f t="shared" ca="1" si="274"/>
        <v>283</v>
      </c>
      <c r="CL109" s="5" t="str">
        <f t="shared" ca="1" si="275"/>
        <v>VIGENTE</v>
      </c>
      <c r="CM109" s="6"/>
      <c r="CN109" s="4">
        <v>45684</v>
      </c>
      <c r="CO109" s="4">
        <f>DATE(YEAR(CN109)+2,MONTH(CN109),DAY(CN109)-1)</f>
        <v>46413</v>
      </c>
      <c r="CP109" s="8">
        <f t="shared" ca="1" si="276"/>
        <v>279</v>
      </c>
      <c r="CQ109" s="5" t="str">
        <f t="shared" ca="1" si="277"/>
        <v>VIGENTE</v>
      </c>
      <c r="CR109" s="6"/>
      <c r="CS109" s="4">
        <v>45639</v>
      </c>
      <c r="CT109" s="4">
        <f>DATE(YEAR(CS109)+2,MONTH(CS109),DAY(CS109)-1)</f>
        <v>46368</v>
      </c>
      <c r="CU109" s="8">
        <f t="shared" ca="1" si="278"/>
        <v>234</v>
      </c>
      <c r="CV109" s="5" t="str">
        <f t="shared" ca="1" si="279"/>
        <v>VIGENTE</v>
      </c>
      <c r="CW109" s="4"/>
      <c r="CX109" s="4">
        <v>45646</v>
      </c>
      <c r="CY109" s="4">
        <f>DATE(YEAR(CX109)+2,MONTH(CX109),DAY(CX109)-1)</f>
        <v>46375</v>
      </c>
      <c r="CZ109" s="8">
        <f t="shared" ca="1" si="280"/>
        <v>241</v>
      </c>
      <c r="DA109" s="5" t="str">
        <f t="shared" ca="1" si="281"/>
        <v>VIGENTE</v>
      </c>
      <c r="DB109" s="4"/>
      <c r="DC109" s="4">
        <v>45689</v>
      </c>
      <c r="DD109" s="4">
        <f>DATE(YEAR(DC109)+2,MONTH(DC109),DAY(DC109)-1)</f>
        <v>46418</v>
      </c>
      <c r="DE109" s="8">
        <f t="shared" ca="1" si="282"/>
        <v>284</v>
      </c>
      <c r="DF109" s="5" t="str">
        <f t="shared" ca="1" si="283"/>
        <v>VIGENTE</v>
      </c>
      <c r="DG109" s="6"/>
      <c r="DH109" s="4">
        <v>45696</v>
      </c>
      <c r="DI109" s="4">
        <f>DATE(YEAR(DH109)+2,MONTH(DH109),DAY(DH109)-1)</f>
        <v>46425</v>
      </c>
      <c r="DJ109" s="8">
        <f t="shared" ca="1" si="284"/>
        <v>291</v>
      </c>
      <c r="DK109" s="5" t="str">
        <f t="shared" ca="1" si="285"/>
        <v>VIGENTE</v>
      </c>
      <c r="DL109" s="4"/>
      <c r="DM109" s="4">
        <v>45731</v>
      </c>
      <c r="DN109" s="4">
        <f>DATE(YEAR(DM109)+2,MONTH(DM109),DAY(DM109)-1)</f>
        <v>46460</v>
      </c>
      <c r="DO109" s="8">
        <f t="shared" ca="1" si="286"/>
        <v>326</v>
      </c>
      <c r="DP109" s="5" t="str">
        <f t="shared" ca="1" si="287"/>
        <v>VIGENTE</v>
      </c>
      <c r="DQ109" s="6"/>
      <c r="DR109" s="4">
        <v>45625</v>
      </c>
      <c r="DS109" s="4">
        <f>DATE(YEAR(DR109)+2,MONTH(DR109),DAY(DR109)-1)</f>
        <v>46354</v>
      </c>
      <c r="DT109" s="8">
        <f t="shared" ca="1" si="288"/>
        <v>220</v>
      </c>
      <c r="DU109" s="5" t="str">
        <f t="shared" ca="1" si="289"/>
        <v>VIGENTE</v>
      </c>
      <c r="DV109" s="4"/>
      <c r="DW109" s="4">
        <v>45663</v>
      </c>
      <c r="DX109" s="4">
        <f>DATE(YEAR(DW109)+2,MONTH(DW109),DAY(DW109)-1)</f>
        <v>46392</v>
      </c>
      <c r="DY109" s="8">
        <f t="shared" ca="1" si="290"/>
        <v>258</v>
      </c>
      <c r="DZ109" s="5" t="str">
        <f t="shared" ca="1" si="291"/>
        <v>VIGENTE</v>
      </c>
      <c r="EA109" s="4"/>
      <c r="EB109" s="4">
        <v>45642</v>
      </c>
      <c r="EC109" s="4">
        <f>DATE(YEAR(EB109)+2,MONTH(EB109),DAY(EB109)-1)</f>
        <v>46371</v>
      </c>
      <c r="ED109" s="8">
        <f t="shared" ca="1" si="292"/>
        <v>237</v>
      </c>
      <c r="EE109" s="5" t="str">
        <f t="shared" ca="1" si="293"/>
        <v>VIGENTE</v>
      </c>
      <c r="EF109" s="3"/>
      <c r="EG109" s="3">
        <v>46107</v>
      </c>
      <c r="EH109" s="4">
        <f t="shared" si="364"/>
        <v>46472</v>
      </c>
      <c r="EI109" s="8">
        <f t="shared" ca="1" si="294"/>
        <v>338</v>
      </c>
      <c r="EJ109" s="5" t="str">
        <f t="shared" ca="1" si="295"/>
        <v>VIGENTE</v>
      </c>
      <c r="EK109" s="4"/>
      <c r="EL109" s="4">
        <v>45636</v>
      </c>
      <c r="EM109" s="4">
        <f>DATE(YEAR(EL109)+2,MONTH(EL109),DAY(EL109)-1)</f>
        <v>46365</v>
      </c>
      <c r="EN109" s="8">
        <f t="shared" ca="1" si="296"/>
        <v>231</v>
      </c>
      <c r="EO109" s="5" t="str">
        <f t="shared" ca="1" si="297"/>
        <v>VIGENTE</v>
      </c>
      <c r="EP109" s="6"/>
      <c r="EQ109" s="4">
        <v>45677</v>
      </c>
      <c r="ER109" s="4">
        <f>DATE(YEAR(EQ109)+2,MONTH(EQ109),DAY(EQ109)-1)</f>
        <v>46406</v>
      </c>
      <c r="ES109" s="8">
        <f t="shared" ca="1" si="298"/>
        <v>272</v>
      </c>
      <c r="ET109" s="5" t="str">
        <f t="shared" ca="1" si="299"/>
        <v>VIGENTE</v>
      </c>
      <c r="EU109" s="6"/>
      <c r="EV109" s="4">
        <v>45630</v>
      </c>
      <c r="EW109" s="4">
        <f>DATE(YEAR(EV109)+2,MONTH(EV109),DAY(EV109)-1)</f>
        <v>46359</v>
      </c>
      <c r="EX109" s="8">
        <f t="shared" ca="1" si="300"/>
        <v>225</v>
      </c>
      <c r="EY109" s="5" t="str">
        <f t="shared" ca="1" si="301"/>
        <v>VIGENTE</v>
      </c>
      <c r="EZ109" s="6"/>
      <c r="FA109" s="4">
        <v>45632</v>
      </c>
      <c r="FB109" s="4">
        <f>DATE(YEAR(FA109)+2,MONTH(FA109),DAY(FA109)-1)</f>
        <v>46361</v>
      </c>
      <c r="FC109" s="8">
        <f t="shared" ca="1" si="302"/>
        <v>227</v>
      </c>
      <c r="FD109" s="5" t="str">
        <f t="shared" ca="1" si="303"/>
        <v>VIGENTE</v>
      </c>
      <c r="FE109" s="6"/>
      <c r="FF109" s="4">
        <v>45668</v>
      </c>
      <c r="FG109" s="4">
        <f>DATE(YEAR(FF109)+2,MONTH(FF109),DAY(FF109)-1)</f>
        <v>46397</v>
      </c>
      <c r="FH109" s="8">
        <f t="shared" ca="1" si="304"/>
        <v>263</v>
      </c>
      <c r="FI109" s="5" t="str">
        <f t="shared" ca="1" si="305"/>
        <v>VIGENTE</v>
      </c>
      <c r="FJ109" s="4"/>
      <c r="FK109" s="4">
        <v>45637</v>
      </c>
      <c r="FL109" s="4">
        <f>DATE(YEAR(FK109)+2,MONTH(FK109),DAY(FK109)-1)</f>
        <v>46366</v>
      </c>
      <c r="FM109" s="8">
        <f t="shared" ca="1" si="306"/>
        <v>232</v>
      </c>
      <c r="FN109" s="5" t="str">
        <f t="shared" ca="1" si="307"/>
        <v>VIGENTE</v>
      </c>
      <c r="FO109" s="4"/>
      <c r="FP109" s="4">
        <v>45664</v>
      </c>
      <c r="FQ109" s="4">
        <f>DATE(YEAR(FP109)+2,MONTH(FP109),DAY(FP109)-1)</f>
        <v>46393</v>
      </c>
      <c r="FR109" s="8">
        <f t="shared" ca="1" si="308"/>
        <v>259</v>
      </c>
      <c r="FS109" s="5" t="str">
        <f t="shared" ca="1" si="309"/>
        <v>VIGENTE</v>
      </c>
      <c r="FT109" s="4"/>
      <c r="FU109" s="4">
        <v>45700</v>
      </c>
      <c r="FV109" s="4">
        <f>DATE(YEAR(FU109)+2,MONTH(FU109),DAY(FU109)-1)</f>
        <v>46429</v>
      </c>
      <c r="FW109" s="8">
        <f t="shared" ca="1" si="310"/>
        <v>295</v>
      </c>
      <c r="FX109" s="5" t="str">
        <f t="shared" ca="1" si="311"/>
        <v>VIGENTE</v>
      </c>
      <c r="FY109" s="4"/>
      <c r="FZ109" s="4">
        <v>45626</v>
      </c>
      <c r="GA109" s="4">
        <f>DATE(YEAR(FZ109)+2,MONTH(FZ109),DAY(FZ109)-1)</f>
        <v>46355</v>
      </c>
      <c r="GB109" s="8">
        <f t="shared" ca="1" si="312"/>
        <v>221</v>
      </c>
      <c r="GC109" s="5" t="str">
        <f t="shared" ca="1" si="313"/>
        <v>VIGENTE</v>
      </c>
      <c r="GD109" s="4"/>
      <c r="GE109" s="4">
        <v>45672</v>
      </c>
      <c r="GF109" s="4">
        <f>DATE(YEAR(GE109)+2,MONTH(GE109),DAY(GE109)-1)</f>
        <v>46401</v>
      </c>
      <c r="GG109" s="8">
        <f t="shared" ca="1" si="314"/>
        <v>267</v>
      </c>
      <c r="GH109" s="5" t="str">
        <f t="shared" ca="1" si="315"/>
        <v>VIGENTE</v>
      </c>
      <c r="GI109" s="4"/>
      <c r="GJ109" s="4">
        <v>45633</v>
      </c>
      <c r="GK109" s="4">
        <f>DATE(YEAR(GJ109)+2,MONTH(GJ109),DAY(GJ109)-1)</f>
        <v>46362</v>
      </c>
      <c r="GL109" s="8">
        <f t="shared" ca="1" si="316"/>
        <v>228</v>
      </c>
      <c r="GM109" s="5" t="str">
        <f t="shared" ca="1" si="317"/>
        <v>VIGENTE</v>
      </c>
      <c r="GN109" s="4"/>
      <c r="GO109" s="6"/>
      <c r="GP109" s="4">
        <f t="shared" si="318"/>
        <v>1827</v>
      </c>
      <c r="GQ109" s="8">
        <f t="shared" ca="1" si="418"/>
        <v>-44307</v>
      </c>
      <c r="GR109" s="5" t="str">
        <f ca="1">IF(GQ109&gt;=61,"VIGENTE",IF(GQ109&gt;=1,"POR VENCER",IF(GQ109&lt;=-1,"PROGRAMAR",IF(GO109=0,"NO APLICA"))))</f>
        <v>PROGRAMAR</v>
      </c>
      <c r="GS109" s="4"/>
      <c r="GT109" s="6"/>
      <c r="GU109" s="4">
        <f t="shared" si="320"/>
        <v>1827</v>
      </c>
      <c r="GV109" s="8">
        <f t="shared" ca="1" si="321"/>
        <v>-44307</v>
      </c>
      <c r="GW109" s="5" t="str">
        <f ca="1">IF(GV109&gt;=61,"VIGENTE",IF(GV109&gt;=1,"POR VENCER",IF(GV109&lt;=-1,"PROGRAMAR",IF(GT109=0,"NO APLICA"))))</f>
        <v>PROGRAMAR</v>
      </c>
      <c r="GX109" s="6"/>
      <c r="GY109" s="6"/>
      <c r="GZ109" s="4">
        <f t="shared" si="323"/>
        <v>1827</v>
      </c>
      <c r="HA109" s="8">
        <f t="shared" ca="1" si="324"/>
        <v>-44307</v>
      </c>
      <c r="HB109" s="5" t="str">
        <f ca="1">IF(HA109&gt;=61,"VIGENTE",IF(HA109&gt;=1,"POR VENCER",IF(HA109&lt;=-1,"PROGRAMAR",IF(GY109=0,"NO APLICA"))))</f>
        <v>PROGRAMAR</v>
      </c>
      <c r="HC109" s="6"/>
      <c r="HD109" s="6"/>
      <c r="HE109" s="4">
        <f t="shared" si="416"/>
        <v>1827</v>
      </c>
      <c r="HF109" s="8">
        <f t="shared" ca="1" si="417"/>
        <v>-44307</v>
      </c>
      <c r="HG109" s="5" t="str">
        <f ca="1">IF(HF109&gt;=61,"VIGENTE",IF(HF109&gt;=1,"POR VENCER",IF(HF109&lt;=-1,"PROGRAMAR",IF(HD109=0,"NO APLICA"))))</f>
        <v>PROGRAMAR</v>
      </c>
      <c r="HH109" s="6"/>
      <c r="HI109" s="6"/>
      <c r="HJ109" s="6"/>
      <c r="HK109" s="6"/>
      <c r="HL109" s="5" t="str">
        <f t="shared" ref="HL109:HL123" si="420">IF(HK109&gt;=61,"VIGENTE",IF(HK109&gt;=1,"POR VENCER",IF(HK109&lt;=-1,"VENCIDA",IF(HI109=0,"NO APLICA"))))</f>
        <v>NO APLICA</v>
      </c>
      <c r="HM109" s="6"/>
      <c r="HN109" s="6"/>
      <c r="HO109" s="6"/>
      <c r="HP109" s="6"/>
      <c r="HQ109" s="5" t="str">
        <f t="shared" si="326"/>
        <v>NO APLICA</v>
      </c>
      <c r="HR109" s="6"/>
      <c r="HS109" s="6"/>
      <c r="HT109" s="6"/>
      <c r="HU109" s="6"/>
      <c r="HV109" s="5" t="str">
        <f t="shared" si="327"/>
        <v>NO APLICA</v>
      </c>
      <c r="HW109" s="6"/>
      <c r="HX109" s="6"/>
      <c r="HY109" s="6"/>
      <c r="HZ109" s="6"/>
      <c r="IA109" s="5" t="str">
        <f t="shared" si="328"/>
        <v>NO APLICA</v>
      </c>
      <c r="IB109" s="6"/>
      <c r="IC109" s="6"/>
      <c r="ID109" s="6"/>
      <c r="IE109" s="6"/>
      <c r="IF109" s="5" t="str">
        <f t="shared" si="329"/>
        <v>NO APLICA</v>
      </c>
      <c r="IG109" s="6"/>
      <c r="IH109" s="6"/>
      <c r="II109" s="6"/>
      <c r="IJ109" s="6"/>
      <c r="IK109" s="5" t="str">
        <f t="shared" si="330"/>
        <v>NO APLICA</v>
      </c>
      <c r="IL109" s="6"/>
      <c r="IM109" s="6"/>
      <c r="IN109" s="6"/>
      <c r="IO109" s="6"/>
      <c r="IP109" s="5" t="str">
        <f t="shared" si="331"/>
        <v>NO APLICA</v>
      </c>
      <c r="IQ109" s="6"/>
      <c r="IR109" s="6"/>
      <c r="IS109" s="6"/>
      <c r="IT109" s="6"/>
      <c r="IU109" s="5" t="str">
        <f t="shared" si="332"/>
        <v>NO APLICA</v>
      </c>
      <c r="IV109" s="6"/>
      <c r="IW109" s="6"/>
      <c r="IX109" s="6"/>
      <c r="IY109" s="6"/>
      <c r="IZ109" s="5" t="str">
        <f t="shared" si="333"/>
        <v>NO APLICA</v>
      </c>
      <c r="JA109" s="6"/>
      <c r="JB109" s="6"/>
      <c r="JC109" s="6"/>
      <c r="JD109" s="6"/>
      <c r="JE109" s="5" t="str">
        <f t="shared" si="334"/>
        <v>NO APLICA</v>
      </c>
      <c r="JF109" s="6"/>
      <c r="JG109" s="6"/>
      <c r="JH109" s="6"/>
      <c r="JI109" s="6"/>
      <c r="JJ109" s="5" t="str">
        <f t="shared" si="335"/>
        <v>NO APLICA</v>
      </c>
      <c r="JK109" s="6"/>
      <c r="JL109" s="6"/>
      <c r="JM109" s="6"/>
      <c r="JN109" s="6"/>
      <c r="JO109" s="5" t="str">
        <f t="shared" si="336"/>
        <v>NO APLICA</v>
      </c>
      <c r="JP109" s="6"/>
      <c r="JQ109" s="6"/>
      <c r="JR109" s="6"/>
      <c r="JS109" s="6"/>
      <c r="JT109" s="5" t="str">
        <f t="shared" si="337"/>
        <v>NO APLICA</v>
      </c>
      <c r="JU109" s="5"/>
      <c r="JV109" s="5"/>
      <c r="JW109" s="5"/>
      <c r="JX109" s="5"/>
      <c r="JY109" s="5" t="str">
        <f t="shared" si="338"/>
        <v>NO APLICA</v>
      </c>
      <c r="JZ109" s="5"/>
      <c r="KA109" s="6"/>
      <c r="KB109" s="6"/>
      <c r="KC109" s="6"/>
      <c r="KD109" s="5" t="str">
        <f t="shared" si="339"/>
        <v>NO APLICA</v>
      </c>
      <c r="KE109" s="5"/>
      <c r="KF109" s="6"/>
      <c r="KG109" s="6"/>
      <c r="KH109" s="6"/>
      <c r="KI109" s="5" t="str">
        <f t="shared" si="365"/>
        <v>NO APLICA</v>
      </c>
      <c r="KJ109" s="5"/>
      <c r="KK109" s="6"/>
      <c r="KL109" s="6"/>
      <c r="KM109" s="6"/>
      <c r="KN109" s="5" t="str">
        <f t="shared" si="340"/>
        <v>NO APLICA</v>
      </c>
      <c r="KO109" s="5"/>
      <c r="KP109" s="2"/>
      <c r="KQ109" s="2"/>
      <c r="KR109" s="2"/>
      <c r="KS109" s="5" t="str">
        <f t="shared" si="366"/>
        <v>NO APLICA</v>
      </c>
      <c r="KT109" s="6"/>
      <c r="KU109" s="6"/>
      <c r="KV109" s="6"/>
      <c r="KW109" s="6"/>
      <c r="KX109" s="5" t="str">
        <f t="shared" si="375"/>
        <v>NO APLICA</v>
      </c>
      <c r="KY109" s="5"/>
      <c r="KZ109" s="6"/>
      <c r="LA109" s="6"/>
      <c r="LB109" s="6"/>
      <c r="LC109" s="5" t="str">
        <f t="shared" si="367"/>
        <v>NO APLICA</v>
      </c>
      <c r="LD109" s="6"/>
      <c r="LE109" s="6"/>
      <c r="LF109" s="6"/>
      <c r="LG109" s="6"/>
      <c r="LH109" s="5" t="str">
        <f t="shared" si="341"/>
        <v>NO APLICA</v>
      </c>
      <c r="LI109" s="5"/>
      <c r="LJ109" s="5"/>
      <c r="LK109" s="4"/>
      <c r="LL109" s="8"/>
      <c r="LM109" s="5" t="str">
        <f t="shared" si="376"/>
        <v>NO APLICA</v>
      </c>
      <c r="LN109" s="6"/>
      <c r="LO109" s="6"/>
      <c r="LP109" s="6"/>
      <c r="LQ109" s="6"/>
      <c r="LR109" s="5" t="str">
        <f t="shared" si="368"/>
        <v>NO APLICA</v>
      </c>
      <c r="LS109" s="6"/>
      <c r="LT109" s="6"/>
      <c r="LU109" s="6"/>
      <c r="LV109" s="6"/>
      <c r="LW109" s="5" t="str">
        <f t="shared" si="369"/>
        <v>NO APLICA</v>
      </c>
      <c r="LX109" s="6"/>
      <c r="LY109" s="6"/>
      <c r="LZ109" s="6"/>
      <c r="MA109" s="6"/>
      <c r="MB109" s="5" t="str">
        <f t="shared" si="370"/>
        <v>NO APLICA</v>
      </c>
      <c r="MC109" s="6"/>
      <c r="MD109" s="6"/>
      <c r="ME109" s="6"/>
      <c r="MF109" s="6"/>
      <c r="MG109" s="5" t="str">
        <f t="shared" si="342"/>
        <v>NO APLICA</v>
      </c>
      <c r="MH109" s="6"/>
      <c r="MI109" s="6"/>
      <c r="MJ109" s="6"/>
      <c r="MK109" s="6"/>
      <c r="ML109" s="5" t="str">
        <f t="shared" si="343"/>
        <v>NO APLICA</v>
      </c>
      <c r="MM109" s="5"/>
      <c r="MN109" s="6"/>
      <c r="MO109" s="6"/>
      <c r="MP109" s="6"/>
      <c r="MQ109" s="5" t="str">
        <f t="shared" si="344"/>
        <v>NO APLICA</v>
      </c>
      <c r="MR109" s="5"/>
      <c r="MS109" s="6"/>
      <c r="MT109" s="6"/>
      <c r="MU109" s="6"/>
      <c r="MV109" s="5" t="str">
        <f t="shared" si="345"/>
        <v>NO APLICA</v>
      </c>
      <c r="MW109" s="6"/>
      <c r="MX109" s="6"/>
      <c r="MY109" s="6"/>
      <c r="MZ109" s="6"/>
      <c r="NA109" s="5" t="str">
        <f t="shared" si="346"/>
        <v>NO APLICA</v>
      </c>
      <c r="NB109" s="6"/>
      <c r="NC109" s="6"/>
      <c r="ND109" s="6"/>
      <c r="NE109" s="6"/>
      <c r="NF109" s="5" t="str">
        <f t="shared" si="347"/>
        <v>NO APLICA</v>
      </c>
      <c r="NG109" s="6"/>
      <c r="NH109" s="6"/>
      <c r="NI109" s="6"/>
      <c r="NJ109" s="6"/>
      <c r="NK109" s="5" t="str">
        <f t="shared" si="348"/>
        <v>NO APLICA</v>
      </c>
      <c r="NL109" s="6"/>
      <c r="NM109" s="6"/>
      <c r="NN109" s="6"/>
      <c r="NO109" s="6"/>
      <c r="NP109" s="5" t="str">
        <f t="shared" si="349"/>
        <v>NO APLICA</v>
      </c>
      <c r="NQ109" s="6"/>
      <c r="NR109" s="6"/>
      <c r="NS109" s="6"/>
      <c r="NT109" s="6"/>
      <c r="NU109" s="5" t="str">
        <f t="shared" si="350"/>
        <v>NO APLICA</v>
      </c>
      <c r="NV109" s="6"/>
      <c r="NW109" s="6"/>
      <c r="NX109" s="6"/>
      <c r="NY109" s="6"/>
      <c r="NZ109" s="5" t="str">
        <f t="shared" si="351"/>
        <v>NO APLICA</v>
      </c>
      <c r="OA109" s="6"/>
      <c r="OB109" s="6"/>
      <c r="OC109" s="6"/>
      <c r="OD109" s="6"/>
      <c r="OE109" s="5" t="str">
        <f t="shared" si="352"/>
        <v>NO APLICA</v>
      </c>
      <c r="OF109" s="6"/>
      <c r="OG109" s="6"/>
      <c r="OH109" s="6"/>
      <c r="OI109" s="6"/>
      <c r="OJ109" s="5" t="str">
        <f t="shared" si="353"/>
        <v>NO APLICA</v>
      </c>
      <c r="OK109" s="6"/>
      <c r="OL109" s="6"/>
      <c r="OM109" s="6"/>
      <c r="ON109" s="6"/>
      <c r="OO109" s="5" t="str">
        <f t="shared" si="354"/>
        <v>NO APLICA</v>
      </c>
      <c r="OP109" s="6"/>
      <c r="OQ109" s="6"/>
      <c r="OR109" s="6"/>
      <c r="OS109" s="6"/>
      <c r="OT109" s="5" t="str">
        <f t="shared" si="355"/>
        <v>NO APLICA</v>
      </c>
      <c r="OU109" s="6"/>
      <c r="OV109" s="6"/>
      <c r="OW109" s="6"/>
      <c r="OX109" s="6"/>
      <c r="OY109" s="5" t="str">
        <f t="shared" si="356"/>
        <v>NO APLICA</v>
      </c>
      <c r="OZ109" s="6"/>
      <c r="PA109" s="6"/>
      <c r="PB109" s="6"/>
      <c r="PC109" s="6"/>
      <c r="PD109" s="5" t="str">
        <f t="shared" si="357"/>
        <v>NO APLICA</v>
      </c>
      <c r="PE109" s="6"/>
      <c r="PF109" s="6"/>
      <c r="PG109" s="6"/>
      <c r="PH109" s="6"/>
      <c r="PI109" s="5" t="str">
        <f t="shared" si="358"/>
        <v>NO APLICA</v>
      </c>
      <c r="PJ109" s="5"/>
      <c r="PK109" s="6"/>
      <c r="PL109" s="6"/>
      <c r="PM109" s="6"/>
      <c r="PN109" s="5" t="str">
        <f t="shared" si="359"/>
        <v>NO APLICA</v>
      </c>
      <c r="PO109" s="6"/>
      <c r="PP109" s="6"/>
      <c r="PQ109" s="6"/>
      <c r="PR109" s="6"/>
      <c r="PS109" s="5" t="str">
        <f t="shared" si="360"/>
        <v>NO APLICA</v>
      </c>
      <c r="PT109" s="5"/>
      <c r="PU109" s="4">
        <v>46126</v>
      </c>
      <c r="PV109" s="4">
        <f>DATE(YEAR(PU109)+1,MONTH(PU109),DAY(PU109))</f>
        <v>46491</v>
      </c>
      <c r="PW109" s="8">
        <f ca="1">PV109-TODAY()</f>
        <v>357</v>
      </c>
      <c r="PX109" s="5" t="str">
        <f t="shared" ca="1" si="361"/>
        <v>VIGENTE</v>
      </c>
    </row>
    <row r="110" spans="1:440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376</v>
      </c>
      <c r="V110" s="4">
        <v>45426</v>
      </c>
      <c r="W110" s="4">
        <f t="shared" ref="W110:W157" si="421">DATE(YEAR(V110)+5,MONTH(V110),DAY(V110))</f>
        <v>47252</v>
      </c>
      <c r="X110" s="8">
        <f t="shared" ref="X110:X157" ca="1" si="422">W110-TODAY()</f>
        <v>1118</v>
      </c>
      <c r="Y110" s="5" t="str">
        <f t="shared" ref="Y110:Y173" ca="1" si="423">IF(X110&gt;=90,"VIGENTE",IF(X110&gt;=1,"POR VENCER",IF(X110&lt;=-1,"VENCIDA",IF(V110=0,"NO APLICA"))))</f>
        <v>VIGENTE</v>
      </c>
      <c r="Z110" s="2" t="s">
        <v>377</v>
      </c>
      <c r="AA110" s="4">
        <v>44824</v>
      </c>
      <c r="AB110" s="4">
        <f t="shared" ref="AB110:AB118" si="424">DATE(YEAR(AA110)+5,MONTH(AA110),DAY(AA110))</f>
        <v>46650</v>
      </c>
      <c r="AC110" s="8">
        <f t="shared" ref="AC110:AC118" ca="1" si="425">AB110-TODAY()</f>
        <v>516</v>
      </c>
      <c r="AD110" s="5" t="str">
        <f t="shared" ref="AD110:AD119" ca="1" si="426">IF(AC110&gt;=91,"VIGENTE",IF(AC110&gt;=1,"POR VENCER",IF(AC110&lt;=-1,"VENCIDA",IF(AA110=0,"NO APLICA"))))</f>
        <v>VIGENTE</v>
      </c>
      <c r="AE110" s="3"/>
      <c r="AF110" s="4">
        <v>45594</v>
      </c>
      <c r="AG110" s="4">
        <f>DATE(YEAR(AF110)+2,MONTH(AF110),DAY(AF110)-1)</f>
        <v>46323</v>
      </c>
      <c r="AH110" s="8">
        <f t="shared" ca="1" si="252"/>
        <v>189</v>
      </c>
      <c r="AI110" s="5" t="str">
        <f t="shared" ca="1" si="419"/>
        <v>VIGENTE</v>
      </c>
      <c r="AJ110" s="4"/>
      <c r="AK110" s="4">
        <v>45926</v>
      </c>
      <c r="AL110" s="4">
        <f t="shared" ref="AL110:AL116" si="427">DATE(YEAR(AK110)+2,MONTH(AK110),DAY(AK110))</f>
        <v>46656</v>
      </c>
      <c r="AM110" s="8">
        <f t="shared" ca="1" si="253"/>
        <v>522</v>
      </c>
      <c r="AN110" s="5" t="str">
        <f t="shared" ca="1" si="254"/>
        <v>VIGENTE</v>
      </c>
      <c r="AO110" s="3"/>
      <c r="AP110" s="4">
        <v>45703</v>
      </c>
      <c r="AQ110" s="4">
        <f>DATE(YEAR(AP110)+2,MONTH(AP110),DAY(AP110)-1)</f>
        <v>46432</v>
      </c>
      <c r="AR110" s="8">
        <f t="shared" ca="1" si="255"/>
        <v>298</v>
      </c>
      <c r="AS110" s="5" t="str">
        <f t="shared" ca="1" si="256"/>
        <v>VIGENTE</v>
      </c>
      <c r="AT110" s="4"/>
      <c r="AU110" s="4">
        <v>45702</v>
      </c>
      <c r="AV110" s="4">
        <f>DATE(YEAR(AU110)+2,MONTH(AU110),DAY(AU110)-1)</f>
        <v>46431</v>
      </c>
      <c r="AW110" s="8">
        <f t="shared" ca="1" si="257"/>
        <v>297</v>
      </c>
      <c r="AX110" s="5" t="str">
        <f t="shared" ca="1" si="258"/>
        <v>VIGENTE</v>
      </c>
      <c r="AY110" s="3"/>
      <c r="AZ110" s="4">
        <v>45603</v>
      </c>
      <c r="BA110" s="4">
        <f>DATE(YEAR(AZ110)+2,MONTH(AZ110),DAY(AZ110)-1)</f>
        <v>46332</v>
      </c>
      <c r="BB110" s="8">
        <f t="shared" ca="1" si="259"/>
        <v>198</v>
      </c>
      <c r="BC110" s="5" t="str">
        <f t="shared" ca="1" si="260"/>
        <v>VIGENTE</v>
      </c>
      <c r="BD110" s="3"/>
      <c r="BE110" s="4">
        <v>45987</v>
      </c>
      <c r="BF110" s="4">
        <f>DATE(YEAR(BE110)+2,MONTH(BE110),DAY(BE110))</f>
        <v>46717</v>
      </c>
      <c r="BG110" s="8">
        <f t="shared" ca="1" si="261"/>
        <v>583</v>
      </c>
      <c r="BH110" s="5" t="str">
        <f t="shared" ca="1" si="262"/>
        <v>VIGENTE</v>
      </c>
      <c r="BI110" s="3"/>
      <c r="BJ110" s="4">
        <v>46017</v>
      </c>
      <c r="BK110" s="4">
        <f>DATE(YEAR(BJ110)+2,MONTH(BJ110),DAY(BJ110))</f>
        <v>46747</v>
      </c>
      <c r="BL110" s="8">
        <f t="shared" ca="1" si="263"/>
        <v>613</v>
      </c>
      <c r="BM110" s="5" t="str">
        <f t="shared" ca="1" si="264"/>
        <v>VIGENTE</v>
      </c>
      <c r="BN110" s="3"/>
      <c r="BO110" s="4">
        <v>45701</v>
      </c>
      <c r="BP110" s="4">
        <f>DATE(YEAR(BO110)+2,MONTH(BO110),DAY(BO110)-1)</f>
        <v>46430</v>
      </c>
      <c r="BQ110" s="8">
        <f t="shared" ca="1" si="265"/>
        <v>296</v>
      </c>
      <c r="BR110" s="5" t="str">
        <f t="shared" ca="1" si="266"/>
        <v>VIGENTE</v>
      </c>
      <c r="BS110" s="3"/>
      <c r="BT110" s="4">
        <v>45449</v>
      </c>
      <c r="BU110" s="4">
        <f>DATE(YEAR(BT110)+2,MONTH(BT110),DAY(BT110)-1)</f>
        <v>46178</v>
      </c>
      <c r="BV110" s="8">
        <f t="shared" ca="1" si="267"/>
        <v>44</v>
      </c>
      <c r="BW110" s="5" t="str">
        <f t="shared" ca="1" si="268"/>
        <v>POR VENCER</v>
      </c>
      <c r="BX110" s="3"/>
      <c r="BY110" s="4">
        <v>45480</v>
      </c>
      <c r="BZ110" s="4">
        <f>DATE(YEAR(BY110)+2,MONTH(BY110),DAY(BY110)-1)</f>
        <v>46209</v>
      </c>
      <c r="CA110" s="8">
        <f t="shared" ca="1" si="269"/>
        <v>75</v>
      </c>
      <c r="CB110" s="5" t="str">
        <f t="shared" ca="1" si="270"/>
        <v>POR VENCER</v>
      </c>
      <c r="CC110" s="6" t="s">
        <v>73</v>
      </c>
      <c r="CD110" s="4">
        <v>45211</v>
      </c>
      <c r="CE110" s="4">
        <f t="shared" ref="CE110:CE157" si="428">DATE(YEAR(CD110)+4,MONTH(CD110),DAY(CD110))</f>
        <v>46672</v>
      </c>
      <c r="CF110" s="8">
        <f t="shared" ref="CF110:CF157" ca="1" si="429">CE110-TODAY()</f>
        <v>538</v>
      </c>
      <c r="CG110" s="5" t="str">
        <f t="shared" ref="CG110:CG142" ca="1" si="430">IF(CF110&gt;=90,"VIGENTE",IF(CF110&gt;=1,"POR VENCER",IF(CF110&lt;=-1,"VENCIDA",IF(CF110=0,"NO APLICA"))))</f>
        <v>VIGENTE</v>
      </c>
      <c r="CH110" s="4"/>
      <c r="CI110" s="4">
        <v>45504</v>
      </c>
      <c r="CJ110" s="4">
        <f>DATE(YEAR(CI110)+2,MONTH(CI110),DAY(CI110)-1)</f>
        <v>46233</v>
      </c>
      <c r="CK110" s="8">
        <f t="shared" ca="1" si="274"/>
        <v>99</v>
      </c>
      <c r="CL110" s="5" t="str">
        <f t="shared" ca="1" si="275"/>
        <v>VIGENTE</v>
      </c>
      <c r="CM110" s="3"/>
      <c r="CN110" s="4">
        <v>45517</v>
      </c>
      <c r="CO110" s="4">
        <f>DATE(YEAR(CN110)+2,MONTH(CN110),DAY(CN110)-1)</f>
        <v>46246</v>
      </c>
      <c r="CP110" s="8">
        <f t="shared" ca="1" si="276"/>
        <v>112</v>
      </c>
      <c r="CQ110" s="5" t="str">
        <f t="shared" ca="1" si="277"/>
        <v>VIGENTE</v>
      </c>
      <c r="CR110" s="3"/>
      <c r="CS110" s="4">
        <v>45727</v>
      </c>
      <c r="CT110" s="4">
        <f>DATE(YEAR(CS110)+2,MONTH(CS110),DAY(CS110)-1)</f>
        <v>46456</v>
      </c>
      <c r="CU110" s="8">
        <f t="shared" ca="1" si="278"/>
        <v>322</v>
      </c>
      <c r="CV110" s="5" t="str">
        <f t="shared" ca="1" si="279"/>
        <v>VIGENTE</v>
      </c>
      <c r="CW110" s="3"/>
      <c r="CX110" s="4">
        <v>45665</v>
      </c>
      <c r="CY110" s="4">
        <f>DATE(YEAR(CX110)+2,MONTH(CX110),DAY(CX110)-1)</f>
        <v>46394</v>
      </c>
      <c r="CZ110" s="8">
        <f t="shared" ca="1" si="280"/>
        <v>260</v>
      </c>
      <c r="DA110" s="5" t="str">
        <f t="shared" ca="1" si="281"/>
        <v>VIGENTE</v>
      </c>
      <c r="DB110" s="3"/>
      <c r="DC110" s="4">
        <v>45689</v>
      </c>
      <c r="DD110" s="4">
        <f>DATE(YEAR(DC110)+2,MONTH(DC110),DAY(DC110)-1)</f>
        <v>46418</v>
      </c>
      <c r="DE110" s="8">
        <f t="shared" ca="1" si="282"/>
        <v>284</v>
      </c>
      <c r="DF110" s="5" t="str">
        <f t="shared" ca="1" si="283"/>
        <v>VIGENTE</v>
      </c>
      <c r="DG110" s="3"/>
      <c r="DH110" s="4">
        <v>45696</v>
      </c>
      <c r="DI110" s="4">
        <f>DATE(YEAR(DH110)+2,MONTH(DH110),DAY(DH110)-1)</f>
        <v>46425</v>
      </c>
      <c r="DJ110" s="8">
        <f t="shared" ca="1" si="284"/>
        <v>291</v>
      </c>
      <c r="DK110" s="5" t="str">
        <f t="shared" ca="1" si="285"/>
        <v>VIGENTE</v>
      </c>
      <c r="DL110" s="3"/>
      <c r="DM110" s="4">
        <v>45982</v>
      </c>
      <c r="DN110" s="4">
        <f>DATE(YEAR(DM110)+2,MONTH(DM110),DAY(DM110))</f>
        <v>46712</v>
      </c>
      <c r="DO110" s="8">
        <f t="shared" ca="1" si="286"/>
        <v>578</v>
      </c>
      <c r="DP110" s="5" t="str">
        <f t="shared" ca="1" si="287"/>
        <v>VIGENTE</v>
      </c>
      <c r="DQ110" s="3"/>
      <c r="DR110" s="4">
        <v>45619</v>
      </c>
      <c r="DS110" s="4">
        <f>DATE(YEAR(DR110)+2,MONTH(DR110),DAY(DR110)-1)</f>
        <v>46348</v>
      </c>
      <c r="DT110" s="8">
        <f t="shared" ca="1" si="288"/>
        <v>214</v>
      </c>
      <c r="DU110" s="5" t="str">
        <f t="shared" ca="1" si="289"/>
        <v>VIGENTE</v>
      </c>
      <c r="DV110" s="3"/>
      <c r="DW110" s="4">
        <v>45582</v>
      </c>
      <c r="DX110" s="4">
        <f>DATE(YEAR(DW110)+2,MONTH(DW110),DAY(DW110)-1)</f>
        <v>46311</v>
      </c>
      <c r="DY110" s="8">
        <f t="shared" ca="1" si="290"/>
        <v>177</v>
      </c>
      <c r="DZ110" s="5" t="str">
        <f t="shared" ca="1" si="291"/>
        <v>VIGENTE</v>
      </c>
      <c r="EA110" s="3"/>
      <c r="EB110" s="4">
        <v>45674</v>
      </c>
      <c r="EC110" s="4">
        <f>DATE(YEAR(EB110)+2,MONTH(EB110),DAY(EB110)-1)</f>
        <v>46403</v>
      </c>
      <c r="ED110" s="8">
        <f t="shared" ca="1" si="292"/>
        <v>269</v>
      </c>
      <c r="EE110" s="5" t="str">
        <f t="shared" ca="1" si="293"/>
        <v>VIGENTE</v>
      </c>
      <c r="EF110" s="3"/>
      <c r="EG110" s="4">
        <v>45808</v>
      </c>
      <c r="EH110" s="4">
        <f t="shared" si="364"/>
        <v>46173</v>
      </c>
      <c r="EI110" s="8">
        <f t="shared" ca="1" si="294"/>
        <v>39</v>
      </c>
      <c r="EJ110" s="5" t="str">
        <f t="shared" ca="1" si="295"/>
        <v>POR VENCER</v>
      </c>
      <c r="EK110" s="3"/>
      <c r="EL110" s="4">
        <v>45584</v>
      </c>
      <c r="EM110" s="4">
        <f>DATE(YEAR(EL110)+2,MONTH(EL110),DAY(EL110)-1)</f>
        <v>46313</v>
      </c>
      <c r="EN110" s="8">
        <f t="shared" ca="1" si="296"/>
        <v>179</v>
      </c>
      <c r="EO110" s="5" t="str">
        <f t="shared" ca="1" si="297"/>
        <v>VIGENTE</v>
      </c>
      <c r="EP110" s="2"/>
      <c r="EQ110" s="4">
        <v>45749</v>
      </c>
      <c r="ER110" s="4">
        <f>DATE(YEAR(EQ110)+2,MONTH(EQ110),DAY(EQ110)-1)</f>
        <v>46478</v>
      </c>
      <c r="ES110" s="8">
        <f t="shared" ca="1" si="298"/>
        <v>344</v>
      </c>
      <c r="ET110" s="5" t="str">
        <f t="shared" ca="1" si="299"/>
        <v>VIGENTE</v>
      </c>
      <c r="EU110" s="3"/>
      <c r="EV110" s="4">
        <v>45694</v>
      </c>
      <c r="EW110" s="4">
        <f>DATE(YEAR(EV110)+2,MONTH(EV110),DAY(EV110)-1)</f>
        <v>46423</v>
      </c>
      <c r="EX110" s="8">
        <f t="shared" ca="1" si="300"/>
        <v>289</v>
      </c>
      <c r="EY110" s="5" t="str">
        <f t="shared" ca="1" si="301"/>
        <v>VIGENTE</v>
      </c>
      <c r="EZ110" s="3"/>
      <c r="FA110" s="4">
        <v>45666</v>
      </c>
      <c r="FB110" s="4">
        <f>DATE(YEAR(FA110)+2,MONTH(FA110),DAY(FA110)-1)</f>
        <v>46395</v>
      </c>
      <c r="FC110" s="8">
        <f t="shared" ca="1" si="302"/>
        <v>261</v>
      </c>
      <c r="FD110" s="5" t="str">
        <f t="shared" ca="1" si="303"/>
        <v>VIGENTE</v>
      </c>
      <c r="FE110" s="3"/>
      <c r="FF110" s="4">
        <v>45668</v>
      </c>
      <c r="FG110" s="4">
        <f>DATE(YEAR(FF110)+2,MONTH(FF110),DAY(FF110)-1)</f>
        <v>46397</v>
      </c>
      <c r="FH110" s="8">
        <f t="shared" ca="1" si="304"/>
        <v>263</v>
      </c>
      <c r="FI110" s="5" t="str">
        <f t="shared" ca="1" si="305"/>
        <v>VIGENTE</v>
      </c>
      <c r="FJ110" s="3"/>
      <c r="FK110" s="4">
        <v>45738</v>
      </c>
      <c r="FL110" s="4">
        <f>DATE(YEAR(FK110)+2,MONTH(FK110),DAY(FK110)-1)</f>
        <v>46467</v>
      </c>
      <c r="FM110" s="8">
        <f t="shared" ca="1" si="306"/>
        <v>333</v>
      </c>
      <c r="FN110" s="5" t="str">
        <f t="shared" ca="1" si="307"/>
        <v>VIGENTE</v>
      </c>
      <c r="FO110" s="3"/>
      <c r="FP110" s="4">
        <v>45664</v>
      </c>
      <c r="FQ110" s="4">
        <f>DATE(YEAR(FP110)+2,MONTH(FP110),DAY(FP110)-1)</f>
        <v>46393</v>
      </c>
      <c r="FR110" s="8">
        <f t="shared" ca="1" si="308"/>
        <v>259</v>
      </c>
      <c r="FS110" s="5" t="str">
        <f t="shared" ca="1" si="309"/>
        <v>VIGENTE</v>
      </c>
      <c r="FT110" s="3"/>
      <c r="FU110" s="4">
        <v>45700</v>
      </c>
      <c r="FV110" s="4">
        <f>DATE(YEAR(FU110)+2,MONTH(FU110),DAY(FU110)-1)</f>
        <v>46429</v>
      </c>
      <c r="FW110" s="8">
        <f t="shared" ca="1" si="310"/>
        <v>295</v>
      </c>
      <c r="FX110" s="5" t="str">
        <f t="shared" ca="1" si="311"/>
        <v>VIGENTE</v>
      </c>
      <c r="FY110" s="3"/>
      <c r="FZ110" s="4">
        <v>45741</v>
      </c>
      <c r="GA110" s="4">
        <f>DATE(YEAR(FZ110)+2,MONTH(FZ110),DAY(FZ110)-1)</f>
        <v>46470</v>
      </c>
      <c r="GB110" s="8">
        <f t="shared" ca="1" si="312"/>
        <v>336</v>
      </c>
      <c r="GC110" s="5" t="str">
        <f t="shared" ca="1" si="313"/>
        <v>VIGENTE</v>
      </c>
      <c r="GD110" s="3"/>
      <c r="GE110" s="4">
        <v>45672</v>
      </c>
      <c r="GF110" s="4">
        <f>DATE(YEAR(GE110)+2,MONTH(GE110),DAY(GE110)-1)</f>
        <v>46401</v>
      </c>
      <c r="GG110" s="8">
        <f t="shared" ca="1" si="314"/>
        <v>267</v>
      </c>
      <c r="GH110" s="5" t="str">
        <f t="shared" ca="1" si="315"/>
        <v>VIGENTE</v>
      </c>
      <c r="GI110" s="3"/>
      <c r="GJ110" s="4">
        <v>46044</v>
      </c>
      <c r="GK110" s="4">
        <f>DATE(YEAR(GJ110)+2,MONTH(GJ110),DAY(GJ110))</f>
        <v>46774</v>
      </c>
      <c r="GL110" s="8">
        <f t="shared" ca="1" si="316"/>
        <v>640</v>
      </c>
      <c r="GM110" s="5" t="str">
        <f t="shared" ca="1" si="317"/>
        <v>VIGENTE</v>
      </c>
      <c r="GN110" s="4"/>
      <c r="GO110" s="4">
        <v>45224</v>
      </c>
      <c r="GP110" s="4">
        <f t="shared" si="318"/>
        <v>47051</v>
      </c>
      <c r="GQ110" s="8">
        <f t="shared" ca="1" si="418"/>
        <v>917</v>
      </c>
      <c r="GR110" s="5" t="str">
        <f t="shared" ref="GR110:GR173" ca="1" si="431">IF(GQ110&gt;=91,"VIGENTE",IF(GQ110&gt;=1,"POR VENCER",IF(GQ110&lt;=-1,"VENCIDA",IF(GO110=0,"NO APLICA"))))</f>
        <v>VIGENTE</v>
      </c>
      <c r="GS110" s="3"/>
      <c r="GT110" s="4">
        <v>45277</v>
      </c>
      <c r="GU110" s="4">
        <f t="shared" si="320"/>
        <v>47104</v>
      </c>
      <c r="GV110" s="8">
        <f t="shared" ca="1" si="321"/>
        <v>970</v>
      </c>
      <c r="GW110" s="5" t="str">
        <f t="shared" ref="GW110:GW115" ca="1" si="432">IF(GV110&gt;=91,"VIGENTE",IF(GV110&gt;=1,"POR VENCER",IF(GV110&lt;=-1,"VENCIDA",IF(GT110=0,"NO APLICA"))))</f>
        <v>VIGENTE</v>
      </c>
      <c r="GX110" s="4"/>
      <c r="GY110" s="4">
        <v>45268</v>
      </c>
      <c r="GZ110" s="4">
        <f t="shared" si="323"/>
        <v>47095</v>
      </c>
      <c r="HA110" s="8">
        <f t="shared" ca="1" si="324"/>
        <v>961</v>
      </c>
      <c r="HB110" s="5" t="str">
        <f t="shared" ref="HB110:HB173" ca="1" si="433">IF(HA110&gt;=91,"VIGENTE",IF(HA110&gt;=1,"POR VENCER",IF(HA110&lt;=-1,"VENCIDA",IF(GY110=0,"NO APLICA"))))</f>
        <v>VIGENTE</v>
      </c>
      <c r="HC110" s="6"/>
      <c r="HD110" s="4">
        <v>44884</v>
      </c>
      <c r="HE110" s="4">
        <f t="shared" si="416"/>
        <v>46710</v>
      </c>
      <c r="HF110" s="8">
        <f t="shared" ca="1" si="417"/>
        <v>576</v>
      </c>
      <c r="HG110" s="5" t="str">
        <f t="shared" ref="HG110:HG115" ca="1" si="434">IF(HF110&gt;=61,"VIGENTE",IF(HF110&gt;=1,"POR VENCER",IF(HF110&lt;=-1,"VENCIDA",IF(HD110=0,"NO APLICA"))))</f>
        <v>VIGENTE</v>
      </c>
      <c r="HH110" s="2"/>
      <c r="HI110" s="4">
        <v>45370</v>
      </c>
      <c r="HJ110" s="4">
        <f>DATE(YEAR(HI110)+5,MONTH(HI110),DAY(HI110))</f>
        <v>47196</v>
      </c>
      <c r="HK110" s="8">
        <f ca="1">HJ110-TODAY()</f>
        <v>1062</v>
      </c>
      <c r="HL110" s="5" t="str">
        <f t="shared" ca="1" si="420"/>
        <v>VIGENTE</v>
      </c>
      <c r="HM110" s="3"/>
      <c r="HN110" s="3">
        <v>45698</v>
      </c>
      <c r="HO110" s="4">
        <f>DATE(YEAR(HN110)+5,MONTH(HN110),DAY(HN110))</f>
        <v>47524</v>
      </c>
      <c r="HP110" s="8">
        <f ca="1">HO110-TODAY()</f>
        <v>1390</v>
      </c>
      <c r="HQ110" s="5" t="str">
        <f t="shared" ca="1" si="326"/>
        <v>VIGENTE</v>
      </c>
      <c r="HR110" s="2"/>
      <c r="HS110" s="4">
        <v>45010</v>
      </c>
      <c r="HT110" s="4">
        <f>DATE(YEAR(HS110)+5,MONTH(HS110),DAY(HS110))</f>
        <v>46837</v>
      </c>
      <c r="HU110" s="8">
        <f ca="1">HT110-TODAY()</f>
        <v>703</v>
      </c>
      <c r="HV110" s="5" t="str">
        <f t="shared" ca="1" si="327"/>
        <v>VIGENTE</v>
      </c>
      <c r="HW110" s="2"/>
      <c r="HX110" s="4">
        <v>44932</v>
      </c>
      <c r="HY110" s="4">
        <f>DATE(YEAR(HX110)+5,MONTH(HX110),DAY(HX110))</f>
        <v>46758</v>
      </c>
      <c r="HZ110" s="8">
        <f ca="1">HY110-TODAY()</f>
        <v>624</v>
      </c>
      <c r="IA110" s="5" t="str">
        <f t="shared" ca="1" si="328"/>
        <v>VIGENTE</v>
      </c>
      <c r="IB110" s="2"/>
      <c r="IC110" s="4">
        <v>45049</v>
      </c>
      <c r="ID110" s="4">
        <f>DATE(YEAR(IC110)+5,MONTH(IC110),DAY(IC110))</f>
        <v>46876</v>
      </c>
      <c r="IE110" s="8">
        <f ca="1">ID110-TODAY()</f>
        <v>742</v>
      </c>
      <c r="IF110" s="5" t="str">
        <f t="shared" ca="1" si="329"/>
        <v>VIGENTE</v>
      </c>
      <c r="IG110" s="6"/>
      <c r="IH110" s="4">
        <v>45058</v>
      </c>
      <c r="II110" s="4">
        <f>DATE(YEAR(IH110)+5,MONTH(IH110),DAY(IH110))</f>
        <v>46885</v>
      </c>
      <c r="IJ110" s="8">
        <f ca="1">II110-TODAY()</f>
        <v>751</v>
      </c>
      <c r="IK110" s="5" t="str">
        <f t="shared" ca="1" si="330"/>
        <v>VIGENTE</v>
      </c>
      <c r="IL110" s="2"/>
      <c r="IM110" s="4">
        <v>44982</v>
      </c>
      <c r="IN110" s="4">
        <f>DATE(YEAR(IM110)+5,MONTH(IM110),DAY(IM110))</f>
        <v>46808</v>
      </c>
      <c r="IO110" s="8">
        <f ca="1">IN110-TODAY()</f>
        <v>674</v>
      </c>
      <c r="IP110" s="5" t="str">
        <f t="shared" ca="1" si="331"/>
        <v>VIGENTE</v>
      </c>
      <c r="IQ110" s="2"/>
      <c r="IR110" s="4">
        <v>45062</v>
      </c>
      <c r="IS110" s="4">
        <f>DATE(YEAR(IR110)+5,MONTH(IR110),DAY(IR110))</f>
        <v>46889</v>
      </c>
      <c r="IT110" s="8">
        <f ca="1">IS110-TODAY()</f>
        <v>755</v>
      </c>
      <c r="IU110" s="5" t="str">
        <f t="shared" ca="1" si="332"/>
        <v>VIGENTE</v>
      </c>
      <c r="IV110" s="2"/>
      <c r="IW110" s="4">
        <v>44933</v>
      </c>
      <c r="IX110" s="4">
        <f>DATE(YEAR(IW110)+5,MONTH(IW110),DAY(IW110))</f>
        <v>46759</v>
      </c>
      <c r="IY110" s="8">
        <f ca="1">IX110-TODAY()</f>
        <v>625</v>
      </c>
      <c r="IZ110" s="5" t="str">
        <f t="shared" ca="1" si="333"/>
        <v>VIGENTE</v>
      </c>
      <c r="JA110" s="3"/>
      <c r="JB110" s="3"/>
      <c r="JC110" s="4"/>
      <c r="JD110" s="8"/>
      <c r="JE110" s="5" t="str">
        <f t="shared" si="334"/>
        <v>NO APLICA</v>
      </c>
      <c r="JF110" s="6"/>
      <c r="JG110" s="6"/>
      <c r="JH110" s="6"/>
      <c r="JI110" s="6"/>
      <c r="JJ110" s="5" t="str">
        <f t="shared" si="335"/>
        <v>NO APLICA</v>
      </c>
      <c r="JK110" s="6"/>
      <c r="JL110" s="6"/>
      <c r="JM110" s="6"/>
      <c r="JN110" s="6"/>
      <c r="JO110" s="5" t="str">
        <f t="shared" si="336"/>
        <v>NO APLICA</v>
      </c>
      <c r="JP110" s="6"/>
      <c r="JQ110" s="6"/>
      <c r="JR110" s="6"/>
      <c r="JS110" s="6"/>
      <c r="JT110" s="5" t="str">
        <f t="shared" si="337"/>
        <v>NO APLICA</v>
      </c>
      <c r="JU110" s="5"/>
      <c r="JV110" s="5"/>
      <c r="JW110" s="5"/>
      <c r="JX110" s="5"/>
      <c r="JY110" s="5" t="str">
        <f t="shared" si="338"/>
        <v>NO APLICA</v>
      </c>
      <c r="JZ110" s="5"/>
      <c r="KA110" s="2"/>
      <c r="KB110" s="4"/>
      <c r="KC110" s="8"/>
      <c r="KD110" s="5" t="str">
        <f t="shared" si="339"/>
        <v>NO APLICA</v>
      </c>
      <c r="KE110" s="5"/>
      <c r="KF110" s="3">
        <v>45328</v>
      </c>
      <c r="KG110" s="4">
        <f>DATE(YEAR(KF110)+5,MONTH(KF110),DAY(KF110)-1)</f>
        <v>47154</v>
      </c>
      <c r="KH110" s="8">
        <f ca="1">KG110-TODAY()</f>
        <v>1020</v>
      </c>
      <c r="KI110" s="5" t="str">
        <f t="shared" ca="1" si="365"/>
        <v>VIGENTE</v>
      </c>
      <c r="KJ110" s="5"/>
      <c r="KK110" s="2"/>
      <c r="KL110" s="4"/>
      <c r="KM110" s="8"/>
      <c r="KN110" s="5" t="str">
        <f t="shared" si="340"/>
        <v>NO APLICA</v>
      </c>
      <c r="KO110" s="5"/>
      <c r="KP110" s="2"/>
      <c r="KQ110" s="4"/>
      <c r="KR110" s="8"/>
      <c r="KS110" s="5" t="str">
        <f t="shared" si="366"/>
        <v>NO APLICA</v>
      </c>
      <c r="KT110" s="2"/>
      <c r="KU110" s="6"/>
      <c r="KV110" s="4"/>
      <c r="KW110" s="8"/>
      <c r="KX110" s="5" t="str">
        <f t="shared" si="375"/>
        <v>NO APLICA</v>
      </c>
      <c r="KY110" s="5"/>
      <c r="KZ110" s="6"/>
      <c r="LA110" s="4"/>
      <c r="LB110" s="8"/>
      <c r="LC110" s="5" t="str">
        <f t="shared" si="367"/>
        <v>NO APLICA</v>
      </c>
      <c r="LD110" s="4"/>
      <c r="LE110" s="4"/>
      <c r="LF110" s="4"/>
      <c r="LG110" s="8"/>
      <c r="LH110" s="5" t="str">
        <f t="shared" si="341"/>
        <v>NO APLICA</v>
      </c>
      <c r="LI110" s="5"/>
      <c r="LJ110" s="5"/>
      <c r="LK110" s="4"/>
      <c r="LL110" s="8"/>
      <c r="LM110" s="5" t="str">
        <f t="shared" si="376"/>
        <v>NO APLICA</v>
      </c>
      <c r="LN110" s="2"/>
      <c r="LO110" s="6"/>
      <c r="LP110" s="4"/>
      <c r="LQ110" s="8"/>
      <c r="LR110" s="5" t="str">
        <f t="shared" si="368"/>
        <v>NO APLICA</v>
      </c>
      <c r="LS110" s="6"/>
      <c r="LT110" s="6"/>
      <c r="LU110" s="4"/>
      <c r="LV110" s="8"/>
      <c r="LW110" s="5" t="str">
        <f t="shared" si="369"/>
        <v>NO APLICA</v>
      </c>
      <c r="LX110" s="6"/>
      <c r="LY110" s="6"/>
      <c r="LZ110" s="4"/>
      <c r="MA110" s="8"/>
      <c r="MB110" s="5" t="str">
        <f t="shared" si="370"/>
        <v>NO APLICA</v>
      </c>
      <c r="MC110" s="2"/>
      <c r="MD110" s="2"/>
      <c r="ME110" s="4"/>
      <c r="MF110" s="8"/>
      <c r="MG110" s="5" t="str">
        <f t="shared" si="342"/>
        <v>NO APLICA</v>
      </c>
      <c r="MH110" s="2"/>
      <c r="MI110" s="2"/>
      <c r="MJ110" s="4"/>
      <c r="MK110" s="8"/>
      <c r="ML110" s="5" t="str">
        <f t="shared" si="343"/>
        <v>NO APLICA</v>
      </c>
      <c r="MM110" s="5"/>
      <c r="MN110" s="2"/>
      <c r="MO110" s="4"/>
      <c r="MP110" s="8"/>
      <c r="MQ110" s="5" t="str">
        <f t="shared" si="344"/>
        <v>NO APLICA</v>
      </c>
      <c r="MR110" s="5"/>
      <c r="MS110" s="2"/>
      <c r="MT110" s="4"/>
      <c r="MU110" s="2"/>
      <c r="MV110" s="5" t="str">
        <f t="shared" si="345"/>
        <v>NO APLICA</v>
      </c>
      <c r="MW110" s="2"/>
      <c r="MX110" s="6"/>
      <c r="MY110" s="4"/>
      <c r="MZ110" s="8"/>
      <c r="NA110" s="5" t="str">
        <f t="shared" si="346"/>
        <v>NO APLICA</v>
      </c>
      <c r="NB110" s="2"/>
      <c r="NC110" s="6"/>
      <c r="ND110" s="4"/>
      <c r="NE110" s="8"/>
      <c r="NF110" s="5" t="str">
        <f t="shared" si="347"/>
        <v>NO APLICA</v>
      </c>
      <c r="NG110" s="2"/>
      <c r="NH110" s="6"/>
      <c r="NI110" s="4"/>
      <c r="NJ110" s="8"/>
      <c r="NK110" s="5" t="str">
        <f t="shared" si="348"/>
        <v>NO APLICA</v>
      </c>
      <c r="NL110" s="2"/>
      <c r="NM110" s="2"/>
      <c r="NN110" s="4"/>
      <c r="NO110" s="2"/>
      <c r="NP110" s="5" t="str">
        <f t="shared" si="349"/>
        <v>NO APLICA</v>
      </c>
      <c r="NQ110" s="2"/>
      <c r="NR110" s="2"/>
      <c r="NS110" s="4"/>
      <c r="NT110" s="2"/>
      <c r="NU110" s="5" t="str">
        <f t="shared" si="350"/>
        <v>NO APLICA</v>
      </c>
      <c r="NV110" s="6"/>
      <c r="NW110" s="6"/>
      <c r="NX110" s="4"/>
      <c r="NY110" s="8"/>
      <c r="NZ110" s="5" t="str">
        <f t="shared" si="351"/>
        <v>NO APLICA</v>
      </c>
      <c r="OA110" s="6"/>
      <c r="OB110" s="6"/>
      <c r="OC110" s="6"/>
      <c r="OD110" s="6"/>
      <c r="OE110" s="5" t="str">
        <f t="shared" si="352"/>
        <v>NO APLICA</v>
      </c>
      <c r="OF110" s="2"/>
      <c r="OG110" s="2"/>
      <c r="OH110" s="4"/>
      <c r="OI110" s="8"/>
      <c r="OJ110" s="5" t="str">
        <f t="shared" si="353"/>
        <v>NO APLICA</v>
      </c>
      <c r="OK110" s="6"/>
      <c r="OL110" s="6"/>
      <c r="OM110" s="6"/>
      <c r="ON110" s="6"/>
      <c r="OO110" s="5" t="str">
        <f t="shared" si="354"/>
        <v>NO APLICA</v>
      </c>
      <c r="OP110" s="6"/>
      <c r="OQ110" s="6"/>
      <c r="OR110" s="6"/>
      <c r="OS110" s="6"/>
      <c r="OT110" s="5" t="str">
        <f t="shared" si="355"/>
        <v>NO APLICA</v>
      </c>
      <c r="OU110" s="6"/>
      <c r="OV110" s="6"/>
      <c r="OW110" s="6"/>
      <c r="OX110" s="6"/>
      <c r="OY110" s="5" t="str">
        <f t="shared" si="356"/>
        <v>NO APLICA</v>
      </c>
      <c r="OZ110" s="6"/>
      <c r="PA110" s="6"/>
      <c r="PB110" s="6"/>
      <c r="PC110" s="6"/>
      <c r="PD110" s="5" t="str">
        <f t="shared" si="357"/>
        <v>NO APLICA</v>
      </c>
      <c r="PE110" s="6"/>
      <c r="PF110" s="6"/>
      <c r="PG110" s="6"/>
      <c r="PH110" s="6"/>
      <c r="PI110" s="5" t="str">
        <f t="shared" si="358"/>
        <v>NO APLICA</v>
      </c>
      <c r="PJ110" s="5"/>
      <c r="PK110" s="6"/>
      <c r="PL110" s="4"/>
      <c r="PM110" s="8"/>
      <c r="PN110" s="5" t="str">
        <f t="shared" si="359"/>
        <v>NO APLICA</v>
      </c>
      <c r="PO110" s="6"/>
      <c r="PP110" s="6"/>
      <c r="PQ110" s="6"/>
      <c r="PR110" s="6"/>
      <c r="PS110" s="5" t="str">
        <f t="shared" si="360"/>
        <v>NO APLICA</v>
      </c>
      <c r="PT110" s="5"/>
      <c r="PU110" s="6"/>
      <c r="PV110" s="6"/>
      <c r="PW110" s="6"/>
      <c r="PX110" s="5" t="str">
        <f t="shared" si="361"/>
        <v>NO APLICA</v>
      </c>
    </row>
    <row r="111" spans="1:440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379</v>
      </c>
      <c r="V111" s="4">
        <v>44790</v>
      </c>
      <c r="W111" s="4">
        <f t="shared" si="421"/>
        <v>46616</v>
      </c>
      <c r="X111" s="8">
        <f t="shared" ca="1" si="422"/>
        <v>482</v>
      </c>
      <c r="Y111" s="5" t="str">
        <f t="shared" ca="1" si="423"/>
        <v>VIGENTE</v>
      </c>
      <c r="Z111" s="2" t="s">
        <v>380</v>
      </c>
      <c r="AA111" s="4">
        <v>44828</v>
      </c>
      <c r="AB111" s="4">
        <f t="shared" si="424"/>
        <v>46654</v>
      </c>
      <c r="AC111" s="8">
        <f t="shared" ca="1" si="425"/>
        <v>520</v>
      </c>
      <c r="AD111" s="5" t="str">
        <f t="shared" ca="1" si="426"/>
        <v>VIGENTE</v>
      </c>
      <c r="AE111" s="4"/>
      <c r="AF111" s="4">
        <v>45594</v>
      </c>
      <c r="AG111" s="4">
        <f>DATE(YEAR(AF111)+2,MONTH(AF111),DAY(AF111)-1)</f>
        <v>46323</v>
      </c>
      <c r="AH111" s="8">
        <f t="shared" ca="1" si="252"/>
        <v>189</v>
      </c>
      <c r="AI111" s="5" t="str">
        <f t="shared" ca="1" si="419"/>
        <v>VIGENTE</v>
      </c>
      <c r="AJ111" s="3"/>
      <c r="AK111" s="4">
        <v>45926</v>
      </c>
      <c r="AL111" s="4">
        <f t="shared" si="427"/>
        <v>46656</v>
      </c>
      <c r="AM111" s="8">
        <f t="shared" ca="1" si="253"/>
        <v>522</v>
      </c>
      <c r="AN111" s="5" t="str">
        <f t="shared" ca="1" si="254"/>
        <v>VIGENTE</v>
      </c>
      <c r="AO111" s="3"/>
      <c r="AP111" s="4">
        <v>45703</v>
      </c>
      <c r="AQ111" s="4">
        <f>DATE(YEAR(AP111)+2,MONTH(AP111),DAY(AP111)-1)</f>
        <v>46432</v>
      </c>
      <c r="AR111" s="8">
        <f t="shared" ca="1" si="255"/>
        <v>298</v>
      </c>
      <c r="AS111" s="5" t="str">
        <f t="shared" ca="1" si="256"/>
        <v>VIGENTE</v>
      </c>
      <c r="AT111" s="3"/>
      <c r="AU111" s="4">
        <v>45702</v>
      </c>
      <c r="AV111" s="4">
        <f>DATE(YEAR(AU111)+2,MONTH(AU111),DAY(AU111)-1)</f>
        <v>46431</v>
      </c>
      <c r="AW111" s="8">
        <f t="shared" ca="1" si="257"/>
        <v>297</v>
      </c>
      <c r="AX111" s="5" t="str">
        <f t="shared" ca="1" si="258"/>
        <v>VIGENTE</v>
      </c>
      <c r="AY111" s="3"/>
      <c r="AZ111" s="4">
        <v>45603</v>
      </c>
      <c r="BA111" s="4">
        <f>DATE(YEAR(AZ111)+2,MONTH(AZ111),DAY(AZ111)-1)</f>
        <v>46332</v>
      </c>
      <c r="BB111" s="8">
        <f t="shared" ca="1" si="259"/>
        <v>198</v>
      </c>
      <c r="BC111" s="5" t="str">
        <f t="shared" ca="1" si="260"/>
        <v>VIGENTE</v>
      </c>
      <c r="BD111" s="3"/>
      <c r="BE111" s="4">
        <v>45698</v>
      </c>
      <c r="BF111" s="4">
        <f>DATE(YEAR(BE111)+2,MONTH(BE111),DAY(BE111)-1)</f>
        <v>46427</v>
      </c>
      <c r="BG111" s="8">
        <f t="shared" ca="1" si="261"/>
        <v>293</v>
      </c>
      <c r="BH111" s="5" t="str">
        <f t="shared" ca="1" si="262"/>
        <v>VIGENTE</v>
      </c>
      <c r="BI111" s="3"/>
      <c r="BJ111" s="4">
        <v>45600</v>
      </c>
      <c r="BK111" s="4">
        <f>DATE(YEAR(BJ111)+2,MONTH(BJ111),DAY(BJ111)-1)</f>
        <v>46329</v>
      </c>
      <c r="BL111" s="8">
        <f t="shared" ca="1" si="263"/>
        <v>195</v>
      </c>
      <c r="BM111" s="5" t="str">
        <f t="shared" ca="1" si="264"/>
        <v>VIGENTE</v>
      </c>
      <c r="BN111" s="3"/>
      <c r="BO111" s="4">
        <v>45701</v>
      </c>
      <c r="BP111" s="4">
        <f>DATE(YEAR(BO111)+2,MONTH(BO111),DAY(BO111)-1)</f>
        <v>46430</v>
      </c>
      <c r="BQ111" s="8">
        <f t="shared" ca="1" si="265"/>
        <v>296</v>
      </c>
      <c r="BR111" s="5" t="str">
        <f t="shared" ca="1" si="266"/>
        <v>VIGENTE</v>
      </c>
      <c r="BS111" s="3"/>
      <c r="BT111" s="4">
        <v>45695</v>
      </c>
      <c r="BU111" s="4">
        <f>DATE(YEAR(BT111)+2,MONTH(BT111),DAY(BT111)-1)</f>
        <v>46424</v>
      </c>
      <c r="BV111" s="8">
        <f t="shared" ca="1" si="267"/>
        <v>290</v>
      </c>
      <c r="BW111" s="5" t="str">
        <f t="shared" ca="1" si="268"/>
        <v>VIGENTE</v>
      </c>
      <c r="BX111" s="3"/>
      <c r="BY111" s="4">
        <v>45944</v>
      </c>
      <c r="BZ111" s="4">
        <f t="shared" ref="BZ111:BZ120" si="435">DATE(YEAR(BY111)+2,MONTH(BY111),DAY(BY111))</f>
        <v>46674</v>
      </c>
      <c r="CA111" s="8">
        <f t="shared" ca="1" si="269"/>
        <v>540</v>
      </c>
      <c r="CB111" s="5" t="str">
        <f t="shared" ca="1" si="270"/>
        <v>VIGENTE</v>
      </c>
      <c r="CC111" s="6" t="s">
        <v>73</v>
      </c>
      <c r="CD111" s="4">
        <v>45241</v>
      </c>
      <c r="CE111" s="4">
        <f t="shared" si="428"/>
        <v>46702</v>
      </c>
      <c r="CF111" s="8">
        <f t="shared" ca="1" si="429"/>
        <v>568</v>
      </c>
      <c r="CG111" s="5" t="str">
        <f t="shared" ca="1" si="430"/>
        <v>VIGENTE</v>
      </c>
      <c r="CH111" s="4"/>
      <c r="CI111" s="4">
        <v>45601</v>
      </c>
      <c r="CJ111" s="4">
        <f>DATE(YEAR(CI111)+2,MONTH(CI111),DAY(CI111)-1)</f>
        <v>46330</v>
      </c>
      <c r="CK111" s="8">
        <f t="shared" ca="1" si="274"/>
        <v>196</v>
      </c>
      <c r="CL111" s="5" t="str">
        <f t="shared" ca="1" si="275"/>
        <v>VIGENTE</v>
      </c>
      <c r="CM111" s="3"/>
      <c r="CN111" s="4">
        <v>45684</v>
      </c>
      <c r="CO111" s="4">
        <f>DATE(YEAR(CN111)+2,MONTH(CN111),DAY(CN111)-1)</f>
        <v>46413</v>
      </c>
      <c r="CP111" s="8">
        <f t="shared" ca="1" si="276"/>
        <v>279</v>
      </c>
      <c r="CQ111" s="5" t="str">
        <f t="shared" ca="1" si="277"/>
        <v>VIGENTE</v>
      </c>
      <c r="CR111" s="3"/>
      <c r="CS111" s="4">
        <v>45631</v>
      </c>
      <c r="CT111" s="4">
        <f>DATE(YEAR(CS111)+2,MONTH(CS111),DAY(CS111)-1)</f>
        <v>46360</v>
      </c>
      <c r="CU111" s="8">
        <f t="shared" ca="1" si="278"/>
        <v>226</v>
      </c>
      <c r="CV111" s="5" t="str">
        <f t="shared" ca="1" si="279"/>
        <v>VIGENTE</v>
      </c>
      <c r="CW111" s="3"/>
      <c r="CX111" s="4">
        <v>45661</v>
      </c>
      <c r="CY111" s="4">
        <f>DATE(YEAR(CX111)+2,MONTH(CX111),DAY(CX111)-1)</f>
        <v>46390</v>
      </c>
      <c r="CZ111" s="8">
        <f t="shared" ca="1" si="280"/>
        <v>256</v>
      </c>
      <c r="DA111" s="5" t="str">
        <f t="shared" ca="1" si="281"/>
        <v>VIGENTE</v>
      </c>
      <c r="DB111" s="3"/>
      <c r="DC111" s="4">
        <v>45689</v>
      </c>
      <c r="DD111" s="4">
        <f>DATE(YEAR(DC111)+2,MONTH(DC111),DAY(DC111)-1)</f>
        <v>46418</v>
      </c>
      <c r="DE111" s="8">
        <f t="shared" ca="1" si="282"/>
        <v>284</v>
      </c>
      <c r="DF111" s="5" t="str">
        <f t="shared" ca="1" si="283"/>
        <v>VIGENTE</v>
      </c>
      <c r="DG111" s="3"/>
      <c r="DH111" s="4">
        <v>45734</v>
      </c>
      <c r="DI111" s="4">
        <f>DATE(YEAR(DH111)+2,MONTH(DH111),DAY(DH111)-1)</f>
        <v>46463</v>
      </c>
      <c r="DJ111" s="8">
        <f t="shared" ca="1" si="284"/>
        <v>329</v>
      </c>
      <c r="DK111" s="5" t="str">
        <f t="shared" ca="1" si="285"/>
        <v>VIGENTE</v>
      </c>
      <c r="DL111" s="3"/>
      <c r="DM111" s="4">
        <v>45577</v>
      </c>
      <c r="DN111" s="4">
        <f>DATE(YEAR(DM111)+2,MONTH(DM111),DAY(DM111)-1)</f>
        <v>46306</v>
      </c>
      <c r="DO111" s="8">
        <f t="shared" ca="1" si="286"/>
        <v>172</v>
      </c>
      <c r="DP111" s="5" t="str">
        <f t="shared" ca="1" si="287"/>
        <v>VIGENTE</v>
      </c>
      <c r="DQ111" s="3"/>
      <c r="DR111" s="4">
        <v>45728</v>
      </c>
      <c r="DS111" s="4">
        <f>DATE(YEAR(DR111)+2,MONTH(DR111),DAY(DR111)-1)</f>
        <v>46457</v>
      </c>
      <c r="DT111" s="8">
        <f t="shared" ca="1" si="288"/>
        <v>323</v>
      </c>
      <c r="DU111" s="5" t="str">
        <f t="shared" ca="1" si="289"/>
        <v>VIGENTE</v>
      </c>
      <c r="DV111" s="3"/>
      <c r="DW111" s="4">
        <v>45751</v>
      </c>
      <c r="DX111" s="4">
        <f>DATE(YEAR(DW111)+2,MONTH(DW111),DAY(DW111)-1)</f>
        <v>46480</v>
      </c>
      <c r="DY111" s="8">
        <f t="shared" ca="1" si="290"/>
        <v>346</v>
      </c>
      <c r="DZ111" s="5" t="str">
        <f t="shared" ca="1" si="291"/>
        <v>VIGENTE</v>
      </c>
      <c r="EA111" s="3"/>
      <c r="EB111" s="4">
        <v>45768</v>
      </c>
      <c r="EC111" s="4">
        <f>DATE(YEAR(EB111)+2,MONTH(EB111),DAY(EB111))</f>
        <v>46498</v>
      </c>
      <c r="ED111" s="8">
        <f t="shared" ca="1" si="292"/>
        <v>364</v>
      </c>
      <c r="EE111" s="5" t="str">
        <f t="shared" ca="1" si="293"/>
        <v>VIGENTE</v>
      </c>
      <c r="EF111" s="3"/>
      <c r="EG111" s="3">
        <v>46002</v>
      </c>
      <c r="EH111" s="4">
        <f t="shared" si="364"/>
        <v>46367</v>
      </c>
      <c r="EI111" s="8">
        <f t="shared" ca="1" si="294"/>
        <v>233</v>
      </c>
      <c r="EJ111" s="5" t="str">
        <f t="shared" ca="1" si="295"/>
        <v>VIGENTE</v>
      </c>
      <c r="EK111" s="3"/>
      <c r="EL111" s="4">
        <v>45660</v>
      </c>
      <c r="EM111" s="4">
        <f>DATE(YEAR(EL111)+2,MONTH(EL111),DAY(EL111)-1)</f>
        <v>46389</v>
      </c>
      <c r="EN111" s="8">
        <f t="shared" ca="1" si="296"/>
        <v>255</v>
      </c>
      <c r="EO111" s="5" t="str">
        <f t="shared" ca="1" si="297"/>
        <v>VIGENTE</v>
      </c>
      <c r="EP111" s="3"/>
      <c r="EQ111" s="4">
        <v>45677</v>
      </c>
      <c r="ER111" s="4">
        <f>DATE(YEAR(EQ111)+2,MONTH(EQ111),DAY(EQ111)-1)</f>
        <v>46406</v>
      </c>
      <c r="ES111" s="8">
        <f t="shared" ca="1" si="298"/>
        <v>272</v>
      </c>
      <c r="ET111" s="5" t="str">
        <f t="shared" ca="1" si="299"/>
        <v>VIGENTE</v>
      </c>
      <c r="EU111" s="3"/>
      <c r="EV111" s="4">
        <v>45953</v>
      </c>
      <c r="EW111" s="4">
        <f t="shared" ref="EW111:EW120" si="436">DATE(YEAR(EV111)+2,MONTH(EV111),DAY(EV111))</f>
        <v>46683</v>
      </c>
      <c r="EX111" s="8">
        <f t="shared" ca="1" si="300"/>
        <v>549</v>
      </c>
      <c r="EY111" s="5" t="str">
        <f t="shared" ca="1" si="301"/>
        <v>VIGENTE</v>
      </c>
      <c r="EZ111" s="3"/>
      <c r="FA111" s="4">
        <v>45951</v>
      </c>
      <c r="FB111" s="4">
        <f>DATE(YEAR(FA111)+2,MONTH(FA111),DAY(FA111))</f>
        <v>46681</v>
      </c>
      <c r="FC111" s="8">
        <f t="shared" ca="1" si="302"/>
        <v>547</v>
      </c>
      <c r="FD111" s="5" t="str">
        <f t="shared" ca="1" si="303"/>
        <v>VIGENTE</v>
      </c>
      <c r="FE111" s="3"/>
      <c r="FF111" s="4">
        <v>45969</v>
      </c>
      <c r="FG111" s="4">
        <f t="shared" ref="FG111:FG120" si="437">DATE(YEAR(FF111)+2,MONTH(FF111),DAY(FF111))</f>
        <v>46699</v>
      </c>
      <c r="FH111" s="8">
        <f t="shared" ca="1" si="304"/>
        <v>565</v>
      </c>
      <c r="FI111" s="5" t="str">
        <f t="shared" ca="1" si="305"/>
        <v>VIGENTE</v>
      </c>
      <c r="FJ111" s="3"/>
      <c r="FK111" s="4">
        <v>45588</v>
      </c>
      <c r="FL111" s="4">
        <f>DATE(YEAR(FK111)+2,MONTH(FK111),DAY(FK111)-1)</f>
        <v>46317</v>
      </c>
      <c r="FM111" s="8">
        <f t="shared" ca="1" si="306"/>
        <v>183</v>
      </c>
      <c r="FN111" s="5" t="str">
        <f t="shared" ca="1" si="307"/>
        <v>VIGENTE</v>
      </c>
      <c r="FO111" s="3"/>
      <c r="FP111" s="4">
        <v>45664</v>
      </c>
      <c r="FQ111" s="4">
        <f>DATE(YEAR(FP111)+2,MONTH(FP111),DAY(FP111)-1)</f>
        <v>46393</v>
      </c>
      <c r="FR111" s="8">
        <f t="shared" ca="1" si="308"/>
        <v>259</v>
      </c>
      <c r="FS111" s="5" t="str">
        <f t="shared" ca="1" si="309"/>
        <v>VIGENTE</v>
      </c>
      <c r="FT111" s="3"/>
      <c r="FU111" s="4">
        <v>45941</v>
      </c>
      <c r="FV111" s="4">
        <f>DATE(YEAR(FU111)+2,MONTH(FU111),DAY(FU111))</f>
        <v>46671</v>
      </c>
      <c r="FW111" s="8">
        <f t="shared" ca="1" si="310"/>
        <v>537</v>
      </c>
      <c r="FX111" s="5" t="str">
        <f t="shared" ca="1" si="311"/>
        <v>VIGENTE</v>
      </c>
      <c r="FY111" s="3"/>
      <c r="FZ111" s="4">
        <v>45667</v>
      </c>
      <c r="GA111" s="4">
        <f>DATE(YEAR(FZ111)+2,MONTH(FZ111),DAY(FZ111)-1)</f>
        <v>46396</v>
      </c>
      <c r="GB111" s="8">
        <f t="shared" ca="1" si="312"/>
        <v>262</v>
      </c>
      <c r="GC111" s="5" t="str">
        <f t="shared" ca="1" si="313"/>
        <v>VIGENTE</v>
      </c>
      <c r="GD111" s="3"/>
      <c r="GE111" s="4">
        <v>45498</v>
      </c>
      <c r="GF111" s="4">
        <f>DATE(YEAR(GE111)+2,MONTH(GE111),DAY(GE111)-1)</f>
        <v>46227</v>
      </c>
      <c r="GG111" s="8">
        <f t="shared" ca="1" si="314"/>
        <v>93</v>
      </c>
      <c r="GH111" s="5" t="str">
        <f t="shared" ca="1" si="315"/>
        <v>VIGENTE</v>
      </c>
      <c r="GI111" s="3"/>
      <c r="GJ111" s="4">
        <v>45633</v>
      </c>
      <c r="GK111" s="4">
        <f>DATE(YEAR(GJ111)+2,MONTH(GJ111),DAY(GJ111)-1)</f>
        <v>46362</v>
      </c>
      <c r="GL111" s="8">
        <f t="shared" ca="1" si="316"/>
        <v>228</v>
      </c>
      <c r="GM111" s="5" t="str">
        <f t="shared" ca="1" si="317"/>
        <v>VIGENTE</v>
      </c>
      <c r="GN111" s="4"/>
      <c r="GO111" s="4">
        <v>44989</v>
      </c>
      <c r="GP111" s="4">
        <f t="shared" si="318"/>
        <v>46816</v>
      </c>
      <c r="GQ111" s="8">
        <f t="shared" ca="1" si="418"/>
        <v>682</v>
      </c>
      <c r="GR111" s="5" t="str">
        <f t="shared" ca="1" si="431"/>
        <v>VIGENTE</v>
      </c>
      <c r="GS111" s="3"/>
      <c r="GT111" s="4">
        <v>45464</v>
      </c>
      <c r="GU111" s="4">
        <f t="shared" si="320"/>
        <v>47290</v>
      </c>
      <c r="GV111" s="8">
        <f t="shared" ca="1" si="321"/>
        <v>1156</v>
      </c>
      <c r="GW111" s="5" t="str">
        <f t="shared" ca="1" si="432"/>
        <v>VIGENTE</v>
      </c>
      <c r="GX111" s="2"/>
      <c r="GY111" s="4">
        <v>45003</v>
      </c>
      <c r="GZ111" s="4">
        <f t="shared" si="323"/>
        <v>46830</v>
      </c>
      <c r="HA111" s="8">
        <f t="shared" ca="1" si="324"/>
        <v>696</v>
      </c>
      <c r="HB111" s="5" t="str">
        <f t="shared" ca="1" si="433"/>
        <v>VIGENTE</v>
      </c>
      <c r="HC111" s="6"/>
      <c r="HD111" s="4">
        <v>44865</v>
      </c>
      <c r="HE111" s="4">
        <f t="shared" si="416"/>
        <v>46691</v>
      </c>
      <c r="HF111" s="8">
        <f t="shared" ca="1" si="417"/>
        <v>557</v>
      </c>
      <c r="HG111" s="5" t="str">
        <f t="shared" ca="1" si="434"/>
        <v>VIGENTE</v>
      </c>
      <c r="HH111" s="2"/>
      <c r="HI111" s="4">
        <v>45370</v>
      </c>
      <c r="HJ111" s="4">
        <f>DATE(YEAR(HI111)+5,MONTH(HI111),DAY(HI111))</f>
        <v>47196</v>
      </c>
      <c r="HK111" s="8">
        <f ca="1">HJ111-TODAY()</f>
        <v>1062</v>
      </c>
      <c r="HL111" s="5" t="str">
        <f t="shared" ca="1" si="420"/>
        <v>VIGENTE</v>
      </c>
      <c r="HM111" s="2"/>
      <c r="HN111" s="3">
        <v>45374</v>
      </c>
      <c r="HO111" s="4">
        <f>DATE(YEAR(HN111)+5,MONTH(HN111),DAY(HN111))</f>
        <v>47200</v>
      </c>
      <c r="HP111" s="8">
        <f ca="1">HO111-TODAY()</f>
        <v>1066</v>
      </c>
      <c r="HQ111" s="5" t="str">
        <f t="shared" ca="1" si="326"/>
        <v>VIGENTE</v>
      </c>
      <c r="HR111" s="2"/>
      <c r="HS111" s="4">
        <v>44990</v>
      </c>
      <c r="HT111" s="4">
        <f>DATE(YEAR(HS111)+5,MONTH(HS111),DAY(HS111))</f>
        <v>46817</v>
      </c>
      <c r="HU111" s="8">
        <f ca="1">HT111-TODAY()</f>
        <v>683</v>
      </c>
      <c r="HV111" s="5" t="str">
        <f t="shared" ca="1" si="327"/>
        <v>VIGENTE</v>
      </c>
      <c r="HW111" s="3"/>
      <c r="HX111" s="4">
        <v>45475</v>
      </c>
      <c r="HY111" s="4">
        <f>DATE(YEAR(HX111)+5,MONTH(HX111),DAY(HX111))</f>
        <v>47301</v>
      </c>
      <c r="HZ111" s="8">
        <f ca="1">HY111-TODAY()</f>
        <v>1167</v>
      </c>
      <c r="IA111" s="5" t="str">
        <f t="shared" ca="1" si="328"/>
        <v>VIGENTE</v>
      </c>
      <c r="IB111" s="3"/>
      <c r="IC111" s="4">
        <v>45470</v>
      </c>
      <c r="ID111" s="4">
        <f>DATE(YEAR(IC111)+5,MONTH(IC111),DAY(IC111))</f>
        <v>47296</v>
      </c>
      <c r="IE111" s="8">
        <f ca="1">ID111-TODAY()</f>
        <v>1162</v>
      </c>
      <c r="IF111" s="5" t="str">
        <f t="shared" ca="1" si="329"/>
        <v>VIGENTE</v>
      </c>
      <c r="IG111" s="4"/>
      <c r="IH111" s="4">
        <v>45452</v>
      </c>
      <c r="II111" s="4">
        <f>DATE(YEAR(IH111)+5,MONTH(IH111),DAY(IH111))</f>
        <v>47278</v>
      </c>
      <c r="IJ111" s="8">
        <f ca="1">II111-TODAY()</f>
        <v>1144</v>
      </c>
      <c r="IK111" s="5" t="str">
        <f t="shared" ca="1" si="330"/>
        <v>VIGENTE</v>
      </c>
      <c r="IL111" s="3"/>
      <c r="IM111" s="4">
        <v>45460</v>
      </c>
      <c r="IN111" s="4">
        <f>DATE(YEAR(IM111)+5,MONTH(IM111),DAY(IM111))</f>
        <v>47286</v>
      </c>
      <c r="IO111" s="8">
        <f ca="1">IN111-TODAY()</f>
        <v>1152</v>
      </c>
      <c r="IP111" s="5" t="str">
        <f t="shared" ca="1" si="331"/>
        <v>VIGENTE</v>
      </c>
      <c r="IQ111" s="3"/>
      <c r="IR111" s="4">
        <v>45471</v>
      </c>
      <c r="IS111" s="4">
        <f>DATE(YEAR(IR111)+5,MONTH(IR111),DAY(IR111))</f>
        <v>47297</v>
      </c>
      <c r="IT111" s="8">
        <f ca="1">IS111-TODAY()</f>
        <v>1163</v>
      </c>
      <c r="IU111" s="5" t="str">
        <f t="shared" ca="1" si="332"/>
        <v>VIGENTE</v>
      </c>
      <c r="IV111" s="3"/>
      <c r="IW111" s="4">
        <v>45461</v>
      </c>
      <c r="IX111" s="4">
        <f>DATE(YEAR(IW111)+5,MONTH(IW111),DAY(IW111))</f>
        <v>47287</v>
      </c>
      <c r="IY111" s="8">
        <f ca="1">IX111-TODAY()</f>
        <v>1153</v>
      </c>
      <c r="IZ111" s="5" t="str">
        <f t="shared" ca="1" si="333"/>
        <v>VIGENTE</v>
      </c>
      <c r="JA111" s="3"/>
      <c r="JB111" s="3"/>
      <c r="JC111" s="4"/>
      <c r="JD111" s="8"/>
      <c r="JE111" s="5" t="str">
        <f t="shared" si="334"/>
        <v>NO APLICA</v>
      </c>
      <c r="JF111" s="6"/>
      <c r="JG111" s="6"/>
      <c r="JH111" s="6"/>
      <c r="JI111" s="6"/>
      <c r="JJ111" s="5" t="str">
        <f t="shared" si="335"/>
        <v>NO APLICA</v>
      </c>
      <c r="JK111" s="6"/>
      <c r="JL111" s="6"/>
      <c r="JM111" s="6"/>
      <c r="JN111" s="6"/>
      <c r="JO111" s="5" t="str">
        <f t="shared" si="336"/>
        <v>NO APLICA</v>
      </c>
      <c r="JP111" s="6"/>
      <c r="JQ111" s="6"/>
      <c r="JR111" s="6"/>
      <c r="JS111" s="6"/>
      <c r="JT111" s="5" t="str">
        <f t="shared" si="337"/>
        <v>NO APLICA</v>
      </c>
      <c r="JU111" s="5"/>
      <c r="JV111" s="3"/>
      <c r="JW111" s="4"/>
      <c r="JX111" s="8"/>
      <c r="JY111" s="5" t="str">
        <f t="shared" si="338"/>
        <v>NO APLICA</v>
      </c>
      <c r="JZ111" s="5"/>
      <c r="KA111" s="5"/>
      <c r="KB111" s="4"/>
      <c r="KC111" s="8"/>
      <c r="KD111" s="5" t="str">
        <f t="shared" si="339"/>
        <v>NO APLICA</v>
      </c>
      <c r="KE111" s="5"/>
      <c r="KF111" s="5"/>
      <c r="KG111" s="4"/>
      <c r="KH111" s="8"/>
      <c r="KI111" s="5" t="str">
        <f t="shared" si="365"/>
        <v>NO APLICA</v>
      </c>
      <c r="KJ111" s="5"/>
      <c r="KK111" s="5"/>
      <c r="KL111" s="4"/>
      <c r="KM111" s="8"/>
      <c r="KN111" s="5" t="str">
        <f t="shared" si="340"/>
        <v>NO APLICA</v>
      </c>
      <c r="KO111" s="5"/>
      <c r="KP111" s="3">
        <v>45346</v>
      </c>
      <c r="KQ111" s="4">
        <f>DATE(YEAR(KP111)+5,MONTH(KP111),DAY(KP111))</f>
        <v>47173</v>
      </c>
      <c r="KR111" s="8">
        <f ca="1">KQ111-TODAY()</f>
        <v>1039</v>
      </c>
      <c r="KS111" s="5" t="str">
        <f t="shared" ca="1" si="366"/>
        <v>VIGENTE</v>
      </c>
      <c r="KT111" s="4"/>
      <c r="KU111" s="4">
        <v>44656</v>
      </c>
      <c r="KV111" s="4">
        <f>DATE(YEAR(KU111)+5,MONTH(KU111),DAY(KU111))</f>
        <v>46482</v>
      </c>
      <c r="KW111" s="8">
        <f ca="1">KV111-TODAY()</f>
        <v>348</v>
      </c>
      <c r="KX111" s="5" t="str">
        <f t="shared" ca="1" si="375"/>
        <v>VIGENTE</v>
      </c>
      <c r="KY111" s="5"/>
      <c r="KZ111" s="6"/>
      <c r="LA111" s="4"/>
      <c r="LB111" s="8"/>
      <c r="LC111" s="5" t="str">
        <f t="shared" si="367"/>
        <v>NO APLICA</v>
      </c>
      <c r="LD111" s="4"/>
      <c r="LE111" s="4"/>
      <c r="LF111" s="4"/>
      <c r="LG111" s="8"/>
      <c r="LH111" s="5" t="str">
        <f t="shared" si="341"/>
        <v>NO APLICA</v>
      </c>
      <c r="LI111" s="5"/>
      <c r="LJ111" s="5"/>
      <c r="LK111" s="4"/>
      <c r="LL111" s="8"/>
      <c r="LM111" s="5" t="str">
        <f t="shared" si="376"/>
        <v>NO APLICA</v>
      </c>
      <c r="LN111" s="5"/>
      <c r="LO111" s="6"/>
      <c r="LP111" s="4"/>
      <c r="LQ111" s="8"/>
      <c r="LR111" s="5" t="str">
        <f t="shared" si="368"/>
        <v>NO APLICA</v>
      </c>
      <c r="LS111" s="6"/>
      <c r="LT111" s="6"/>
      <c r="LU111" s="4"/>
      <c r="LV111" s="8"/>
      <c r="LW111" s="5" t="str">
        <f t="shared" si="369"/>
        <v>NO APLICA</v>
      </c>
      <c r="LX111" s="6"/>
      <c r="LY111" s="6"/>
      <c r="LZ111" s="4"/>
      <c r="MA111" s="8"/>
      <c r="MB111" s="5" t="str">
        <f t="shared" si="370"/>
        <v>NO APLICA</v>
      </c>
      <c r="MC111" s="5"/>
      <c r="MD111" s="5"/>
      <c r="ME111" s="4"/>
      <c r="MF111" s="8"/>
      <c r="MG111" s="5" t="str">
        <f t="shared" si="342"/>
        <v>NO APLICA</v>
      </c>
      <c r="MH111" s="5"/>
      <c r="MI111" s="5"/>
      <c r="MJ111" s="4"/>
      <c r="MK111" s="8"/>
      <c r="ML111" s="5" t="str">
        <f t="shared" si="343"/>
        <v>NO APLICA</v>
      </c>
      <c r="MM111" s="5"/>
      <c r="MN111" s="3">
        <v>45154</v>
      </c>
      <c r="MO111" s="4">
        <f>DATE(YEAR(MN111)+5,MONTH(MN111),DAY(MN111))</f>
        <v>46981</v>
      </c>
      <c r="MP111" s="8">
        <f ca="1">MO111-TODAY()</f>
        <v>847</v>
      </c>
      <c r="MQ111" s="5" t="str">
        <f t="shared" ca="1" si="344"/>
        <v>VIGENTE</v>
      </c>
      <c r="MR111" s="5"/>
      <c r="MS111" s="3">
        <v>45155</v>
      </c>
      <c r="MT111" s="4">
        <f>DATE(YEAR(MS111)+5,MONTH(MS111),DAY(MS111))</f>
        <v>46982</v>
      </c>
      <c r="MU111" s="8">
        <f ca="1">MT111-TODAY()</f>
        <v>848</v>
      </c>
      <c r="MV111" s="5" t="str">
        <f t="shared" ca="1" si="345"/>
        <v>VIGENTE</v>
      </c>
      <c r="MW111" s="5"/>
      <c r="MX111" s="6"/>
      <c r="MY111" s="4"/>
      <c r="MZ111" s="8"/>
      <c r="NA111" s="5" t="str">
        <f t="shared" si="346"/>
        <v>NO APLICA</v>
      </c>
      <c r="NB111" s="5"/>
      <c r="NC111" s="6"/>
      <c r="ND111" s="4"/>
      <c r="NE111" s="8"/>
      <c r="NF111" s="5" t="str">
        <f t="shared" si="347"/>
        <v>NO APLICA</v>
      </c>
      <c r="NG111" s="5"/>
      <c r="NH111" s="6"/>
      <c r="NI111" s="4"/>
      <c r="NJ111" s="8"/>
      <c r="NK111" s="5" t="str">
        <f t="shared" si="348"/>
        <v>NO APLICA</v>
      </c>
      <c r="NL111" s="5"/>
      <c r="NM111" s="5"/>
      <c r="NN111" s="4"/>
      <c r="NO111" s="8"/>
      <c r="NP111" s="5" t="str">
        <f t="shared" si="349"/>
        <v>NO APLICA</v>
      </c>
      <c r="NQ111" s="5"/>
      <c r="NR111" s="5"/>
      <c r="NS111" s="5"/>
      <c r="NT111" s="5"/>
      <c r="NU111" s="5" t="str">
        <f t="shared" si="350"/>
        <v>NO APLICA</v>
      </c>
      <c r="NV111" s="6"/>
      <c r="NW111" s="6"/>
      <c r="NX111" s="4"/>
      <c r="NY111" s="8"/>
      <c r="NZ111" s="5" t="str">
        <f t="shared" si="351"/>
        <v>NO APLICA</v>
      </c>
      <c r="OA111" s="6"/>
      <c r="OB111" s="6"/>
      <c r="OC111" s="6"/>
      <c r="OD111" s="6"/>
      <c r="OE111" s="5" t="str">
        <f t="shared" si="352"/>
        <v>NO APLICA</v>
      </c>
      <c r="OF111" s="5"/>
      <c r="OG111" s="5"/>
      <c r="OH111" s="4"/>
      <c r="OI111" s="8"/>
      <c r="OJ111" s="5" t="str">
        <f t="shared" si="353"/>
        <v>NO APLICA</v>
      </c>
      <c r="OK111" s="6"/>
      <c r="OL111" s="6"/>
      <c r="OM111" s="6"/>
      <c r="ON111" s="6"/>
      <c r="OO111" s="5" t="str">
        <f t="shared" si="354"/>
        <v>NO APLICA</v>
      </c>
      <c r="OP111" s="6"/>
      <c r="OQ111" s="6"/>
      <c r="OR111" s="6"/>
      <c r="OS111" s="6"/>
      <c r="OT111" s="5" t="str">
        <f t="shared" si="355"/>
        <v>NO APLICA</v>
      </c>
      <c r="OU111" s="6"/>
      <c r="OV111" s="6"/>
      <c r="OW111" s="6"/>
      <c r="OX111" s="6"/>
      <c r="OY111" s="5" t="str">
        <f t="shared" si="356"/>
        <v>NO APLICA</v>
      </c>
      <c r="OZ111" s="6"/>
      <c r="PA111" s="6"/>
      <c r="PB111" s="6"/>
      <c r="PC111" s="6"/>
      <c r="PD111" s="5" t="str">
        <f t="shared" si="357"/>
        <v>NO APLICA</v>
      </c>
      <c r="PE111" s="6"/>
      <c r="PF111" s="6"/>
      <c r="PG111" s="6"/>
      <c r="PH111" s="6"/>
      <c r="PI111" s="5" t="str">
        <f t="shared" si="358"/>
        <v>NO APLICA</v>
      </c>
      <c r="PJ111" s="5"/>
      <c r="PK111" s="6"/>
      <c r="PL111" s="4"/>
      <c r="PM111" s="8"/>
      <c r="PN111" s="5" t="str">
        <f t="shared" si="359"/>
        <v>NO APLICA</v>
      </c>
      <c r="PO111" s="6"/>
      <c r="PP111" s="6"/>
      <c r="PQ111" s="6"/>
      <c r="PR111" s="6"/>
      <c r="PS111" s="5" t="str">
        <f t="shared" si="360"/>
        <v>NO APLICA</v>
      </c>
      <c r="PT111" s="5"/>
      <c r="PU111" s="6"/>
      <c r="PV111" s="6"/>
      <c r="PW111" s="6"/>
      <c r="PX111" s="5" t="str">
        <f t="shared" si="361"/>
        <v>NO APLICA</v>
      </c>
    </row>
    <row r="112" spans="1:440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192</v>
      </c>
      <c r="T112" s="5" t="str">
        <f t="shared" ca="1" si="362"/>
        <v>VIGENTE</v>
      </c>
      <c r="U112" s="2" t="s">
        <v>383</v>
      </c>
      <c r="V112" s="4">
        <v>44590</v>
      </c>
      <c r="W112" s="4">
        <f t="shared" si="421"/>
        <v>46416</v>
      </c>
      <c r="X112" s="8">
        <f t="shared" ca="1" si="422"/>
        <v>282</v>
      </c>
      <c r="Y112" s="5" t="str">
        <f t="shared" ca="1" si="423"/>
        <v>VIGENTE</v>
      </c>
      <c r="Z112" s="2" t="s">
        <v>384</v>
      </c>
      <c r="AA112" s="4">
        <v>45190</v>
      </c>
      <c r="AB112" s="4">
        <f t="shared" si="424"/>
        <v>47017</v>
      </c>
      <c r="AC112" s="8">
        <f t="shared" ca="1" si="425"/>
        <v>883</v>
      </c>
      <c r="AD112" s="5" t="str">
        <f t="shared" ca="1" si="426"/>
        <v>VIGENTE</v>
      </c>
      <c r="AE112" s="2"/>
      <c r="AF112" s="4">
        <v>45936</v>
      </c>
      <c r="AG112" s="4">
        <f>DATE(YEAR(AF112)+2,MONTH(AF112),DAY(AF112))</f>
        <v>46666</v>
      </c>
      <c r="AH112" s="8">
        <f t="shared" ca="1" si="252"/>
        <v>532</v>
      </c>
      <c r="AI112" s="5" t="str">
        <f t="shared" ca="1" si="419"/>
        <v>VIGENTE</v>
      </c>
      <c r="AJ112" s="2"/>
      <c r="AK112" s="4">
        <v>45937</v>
      </c>
      <c r="AL112" s="4">
        <f t="shared" si="427"/>
        <v>46667</v>
      </c>
      <c r="AM112" s="8">
        <f t="shared" ca="1" si="253"/>
        <v>533</v>
      </c>
      <c r="AN112" s="5" t="str">
        <f t="shared" ca="1" si="254"/>
        <v>VIGENTE</v>
      </c>
      <c r="AO112" s="3"/>
      <c r="AP112" s="4">
        <v>45967</v>
      </c>
      <c r="AQ112" s="4">
        <f>DATE(YEAR(AP112)+2,MONTH(AP112),DAY(AP112))</f>
        <v>46697</v>
      </c>
      <c r="AR112" s="8">
        <f t="shared" ca="1" si="255"/>
        <v>563</v>
      </c>
      <c r="AS112" s="5" t="str">
        <f t="shared" ca="1" si="256"/>
        <v>VIGENTE</v>
      </c>
      <c r="AT112" s="2"/>
      <c r="AU112" s="4">
        <v>45927</v>
      </c>
      <c r="AV112" s="4">
        <f>DATE(YEAR(AU112)+2,MONTH(AU112),DAY(AU112))</f>
        <v>46657</v>
      </c>
      <c r="AW112" s="8">
        <f t="shared" ca="1" si="257"/>
        <v>523</v>
      </c>
      <c r="AX112" s="5" t="str">
        <f t="shared" ca="1" si="258"/>
        <v>VIGENTE</v>
      </c>
      <c r="AY112" s="3"/>
      <c r="AZ112" s="4">
        <v>46041</v>
      </c>
      <c r="BA112" s="4">
        <f>DATE(YEAR(AZ112)+2,MONTH(AZ112),DAY(AZ112))</f>
        <v>46771</v>
      </c>
      <c r="BB112" s="8">
        <f t="shared" ca="1" si="259"/>
        <v>637</v>
      </c>
      <c r="BC112" s="5" t="str">
        <f t="shared" ca="1" si="260"/>
        <v>VIGENTE</v>
      </c>
      <c r="BD112" s="3"/>
      <c r="BE112" s="4">
        <v>45968</v>
      </c>
      <c r="BF112" s="4">
        <f>DATE(YEAR(BE112)+2,MONTH(BE112),DAY(BE112))</f>
        <v>46698</v>
      </c>
      <c r="BG112" s="8">
        <f t="shared" ca="1" si="261"/>
        <v>564</v>
      </c>
      <c r="BH112" s="5" t="str">
        <f t="shared" ca="1" si="262"/>
        <v>VIGENTE</v>
      </c>
      <c r="BI112" s="3"/>
      <c r="BJ112" s="4">
        <v>46017</v>
      </c>
      <c r="BK112" s="4">
        <f>DATE(YEAR(BJ112)+2,MONTH(BJ112),DAY(BJ112))</f>
        <v>46747</v>
      </c>
      <c r="BL112" s="8">
        <f t="shared" ca="1" si="263"/>
        <v>613</v>
      </c>
      <c r="BM112" s="5" t="str">
        <f t="shared" ca="1" si="264"/>
        <v>VIGENTE</v>
      </c>
      <c r="BN112" s="4"/>
      <c r="BO112" s="4">
        <v>45981</v>
      </c>
      <c r="BP112" s="4">
        <f>DATE(YEAR(BO112)+2,MONTH(BO112),DAY(BO112))</f>
        <v>46711</v>
      </c>
      <c r="BQ112" s="8">
        <f t="shared" ca="1" si="265"/>
        <v>577</v>
      </c>
      <c r="BR112" s="5" t="str">
        <f t="shared" ca="1" si="266"/>
        <v>VIGENTE</v>
      </c>
      <c r="BS112" s="3"/>
      <c r="BT112" s="4">
        <v>46031</v>
      </c>
      <c r="BU112" s="4">
        <f>DATE(YEAR(BT112)+2,MONTH(BT112),DAY(BT112))</f>
        <v>46761</v>
      </c>
      <c r="BV112" s="8">
        <f t="shared" ca="1" si="267"/>
        <v>627</v>
      </c>
      <c r="BW112" s="5" t="str">
        <f t="shared" ca="1" si="268"/>
        <v>VIGENTE</v>
      </c>
      <c r="BX112" s="2"/>
      <c r="BY112" s="4">
        <v>45986</v>
      </c>
      <c r="BZ112" s="4">
        <f t="shared" si="435"/>
        <v>46716</v>
      </c>
      <c r="CA112" s="8">
        <f t="shared" ca="1" si="269"/>
        <v>582</v>
      </c>
      <c r="CB112" s="5" t="str">
        <f t="shared" ca="1" si="270"/>
        <v>VIGENTE</v>
      </c>
      <c r="CC112" s="6" t="s">
        <v>146</v>
      </c>
      <c r="CD112" s="4">
        <v>44587</v>
      </c>
      <c r="CE112" s="4">
        <f t="shared" si="428"/>
        <v>46048</v>
      </c>
      <c r="CF112" s="8">
        <f t="shared" ca="1" si="429"/>
        <v>-86</v>
      </c>
      <c r="CG112" s="5" t="str">
        <f t="shared" ca="1" si="430"/>
        <v>VENCIDA</v>
      </c>
      <c r="CH112" s="4"/>
      <c r="CI112" s="4">
        <v>46018</v>
      </c>
      <c r="CJ112" s="4">
        <f>DATE(YEAR(CI112)+2,MONTH(CI112),DAY(CI112))</f>
        <v>46748</v>
      </c>
      <c r="CK112" s="8">
        <f t="shared" ca="1" si="274"/>
        <v>614</v>
      </c>
      <c r="CL112" s="5" t="str">
        <f t="shared" ca="1" si="275"/>
        <v>VIGENTE</v>
      </c>
      <c r="CM112" s="4"/>
      <c r="CN112" s="4">
        <v>45979</v>
      </c>
      <c r="CO112" s="4">
        <f>DATE(YEAR(CN112)+2,MONTH(CN112),DAY(CN112))</f>
        <v>46709</v>
      </c>
      <c r="CP112" s="8">
        <f t="shared" ca="1" si="276"/>
        <v>575</v>
      </c>
      <c r="CQ112" s="5" t="str">
        <f t="shared" ca="1" si="277"/>
        <v>VIGENTE</v>
      </c>
      <c r="CR112" s="2"/>
      <c r="CS112" s="4">
        <v>45905</v>
      </c>
      <c r="CT112" s="4">
        <f>DATE(YEAR(CS112)+2,MONTH(CS112),DAY(CS112))</f>
        <v>46635</v>
      </c>
      <c r="CU112" s="8">
        <f t="shared" ca="1" si="278"/>
        <v>501</v>
      </c>
      <c r="CV112" s="5" t="str">
        <f t="shared" ca="1" si="279"/>
        <v>VIGENTE</v>
      </c>
      <c r="CW112" s="3"/>
      <c r="CX112" s="4">
        <v>46000</v>
      </c>
      <c r="CY112" s="4">
        <f>DATE(YEAR(CX112)+2,MONTH(CX112),DAY(CX112))</f>
        <v>46730</v>
      </c>
      <c r="CZ112" s="8">
        <f t="shared" ca="1" si="280"/>
        <v>596</v>
      </c>
      <c r="DA112" s="5" t="str">
        <f t="shared" ca="1" si="281"/>
        <v>VIGENTE</v>
      </c>
      <c r="DB112" s="3"/>
      <c r="DC112" s="4">
        <v>45996</v>
      </c>
      <c r="DD112" s="4">
        <f>DATE(YEAR(DC112)+2,MONTH(DC112),DAY(DC112))</f>
        <v>46726</v>
      </c>
      <c r="DE112" s="8">
        <f t="shared" ca="1" si="282"/>
        <v>592</v>
      </c>
      <c r="DF112" s="5" t="str">
        <f t="shared" ca="1" si="283"/>
        <v>VIGENTE</v>
      </c>
      <c r="DG112" s="4"/>
      <c r="DH112" s="4">
        <v>45975</v>
      </c>
      <c r="DI112" s="4">
        <f>DATE(YEAR(DH112)+2,MONTH(DH112),DAY(DH112))</f>
        <v>46705</v>
      </c>
      <c r="DJ112" s="8">
        <f t="shared" ca="1" si="284"/>
        <v>571</v>
      </c>
      <c r="DK112" s="5" t="str">
        <f t="shared" ca="1" si="285"/>
        <v>VIGENTE</v>
      </c>
      <c r="DL112" s="3"/>
      <c r="DM112" s="4">
        <v>45982</v>
      </c>
      <c r="DN112" s="4">
        <f>DATE(YEAR(DM112)+2,MONTH(DM112),DAY(DM112))</f>
        <v>46712</v>
      </c>
      <c r="DO112" s="8">
        <f t="shared" ca="1" si="286"/>
        <v>578</v>
      </c>
      <c r="DP112" s="5" t="str">
        <f t="shared" ca="1" si="287"/>
        <v>VIGENTE</v>
      </c>
      <c r="DQ112" s="4"/>
      <c r="DR112" s="3">
        <v>46009</v>
      </c>
      <c r="DS112" s="4">
        <f>DATE(YEAR(DR112)+2,MONTH(DR112),DAY(DR112))</f>
        <v>46739</v>
      </c>
      <c r="DT112" s="8">
        <f t="shared" ca="1" si="288"/>
        <v>605</v>
      </c>
      <c r="DU112" s="5" t="str">
        <f t="shared" ca="1" si="289"/>
        <v>VIGENTE</v>
      </c>
      <c r="DV112" s="4"/>
      <c r="DW112" s="4">
        <v>46032</v>
      </c>
      <c r="DX112" s="4">
        <f>DATE(YEAR(DW112)+2,MONTH(DW112),DAY(DW112))</f>
        <v>46762</v>
      </c>
      <c r="DY112" s="8">
        <f t="shared" ca="1" si="290"/>
        <v>628</v>
      </c>
      <c r="DZ112" s="5" t="str">
        <f t="shared" ca="1" si="291"/>
        <v>VIGENTE</v>
      </c>
      <c r="EA112" s="4"/>
      <c r="EB112" s="4">
        <v>45994</v>
      </c>
      <c r="EC112" s="4">
        <f>DATE(YEAR(EB112)+2,MONTH(EB112),DAY(EB112))</f>
        <v>46724</v>
      </c>
      <c r="ED112" s="8">
        <f t="shared" ca="1" si="292"/>
        <v>590</v>
      </c>
      <c r="EE112" s="5" t="str">
        <f t="shared" ca="1" si="293"/>
        <v>VIGENTE</v>
      </c>
      <c r="EF112" s="3"/>
      <c r="EG112" s="3">
        <v>46015</v>
      </c>
      <c r="EH112" s="4">
        <f t="shared" si="364"/>
        <v>46380</v>
      </c>
      <c r="EI112" s="8">
        <f t="shared" ca="1" si="294"/>
        <v>246</v>
      </c>
      <c r="EJ112" s="5" t="str">
        <f t="shared" ca="1" si="295"/>
        <v>VIGENTE</v>
      </c>
      <c r="EK112" s="3"/>
      <c r="EL112" s="4">
        <v>45983</v>
      </c>
      <c r="EM112" s="4">
        <f>DATE(YEAR(EL112)+2,MONTH(EL112),DAY(EL112))</f>
        <v>46713</v>
      </c>
      <c r="EN112" s="8">
        <f t="shared" ca="1" si="296"/>
        <v>579</v>
      </c>
      <c r="EO112" s="5" t="str">
        <f t="shared" ca="1" si="297"/>
        <v>VIGENTE</v>
      </c>
      <c r="EP112" s="2"/>
      <c r="EQ112" s="4">
        <v>45999</v>
      </c>
      <c r="ER112" s="4">
        <f>DATE(YEAR(EQ112)+2,MONTH(EQ112),DAY(EQ112))</f>
        <v>46729</v>
      </c>
      <c r="ES112" s="8">
        <f t="shared" ca="1" si="298"/>
        <v>595</v>
      </c>
      <c r="ET112" s="5" t="str">
        <f t="shared" ca="1" si="299"/>
        <v>VIGENTE</v>
      </c>
      <c r="EU112" s="3"/>
      <c r="EV112" s="4">
        <v>46037</v>
      </c>
      <c r="EW112" s="4">
        <f t="shared" si="436"/>
        <v>46767</v>
      </c>
      <c r="EX112" s="8">
        <f t="shared" ca="1" si="300"/>
        <v>633</v>
      </c>
      <c r="EY112" s="5" t="str">
        <f t="shared" ca="1" si="301"/>
        <v>VIGENTE</v>
      </c>
      <c r="EZ112" s="2"/>
      <c r="FA112" s="4">
        <v>45988</v>
      </c>
      <c r="FB112" s="4">
        <f>DATE(YEAR(FA112)+2,MONTH(FA112),DAY(FA112))</f>
        <v>46718</v>
      </c>
      <c r="FC112" s="8">
        <f t="shared" ca="1" si="302"/>
        <v>584</v>
      </c>
      <c r="FD112" s="5" t="str">
        <f t="shared" ca="1" si="303"/>
        <v>VIGENTE</v>
      </c>
      <c r="FE112" s="3"/>
      <c r="FF112" s="4">
        <v>45962</v>
      </c>
      <c r="FG112" s="4">
        <f t="shared" si="437"/>
        <v>46692</v>
      </c>
      <c r="FH112" s="8">
        <f t="shared" ca="1" si="304"/>
        <v>558</v>
      </c>
      <c r="FI112" s="5" t="str">
        <f t="shared" ca="1" si="305"/>
        <v>VIGENTE</v>
      </c>
      <c r="FJ112" s="4"/>
      <c r="FK112" s="4">
        <v>46039</v>
      </c>
      <c r="FL112" s="4">
        <f>DATE(YEAR(FK112)+2,MONTH(FK112),DAY(FK112))</f>
        <v>46769</v>
      </c>
      <c r="FM112" s="8">
        <f t="shared" ca="1" si="306"/>
        <v>635</v>
      </c>
      <c r="FN112" s="5" t="str">
        <f t="shared" ca="1" si="307"/>
        <v>VIGENTE</v>
      </c>
      <c r="FO112" s="4"/>
      <c r="FP112" s="4">
        <v>46034</v>
      </c>
      <c r="FQ112" s="4">
        <f>DATE(YEAR(FP112)+2,MONTH(FP112),DAY(FP112))</f>
        <v>46764</v>
      </c>
      <c r="FR112" s="8">
        <f t="shared" ca="1" si="308"/>
        <v>630</v>
      </c>
      <c r="FS112" s="5" t="str">
        <f t="shared" ca="1" si="309"/>
        <v>VIGENTE</v>
      </c>
      <c r="FT112" s="4"/>
      <c r="FU112" s="4">
        <v>46004</v>
      </c>
      <c r="FV112" s="4">
        <f>DATE(YEAR(FU112)+2,MONTH(FU112),DAY(FU112))</f>
        <v>46734</v>
      </c>
      <c r="FW112" s="8">
        <f t="shared" ca="1" si="310"/>
        <v>600</v>
      </c>
      <c r="FX112" s="5" t="str">
        <f t="shared" ca="1" si="311"/>
        <v>VIGENTE</v>
      </c>
      <c r="FY112" s="3"/>
      <c r="FZ112" s="4">
        <v>45925</v>
      </c>
      <c r="GA112" s="4">
        <f>DATE(YEAR(FZ112)+2,MONTH(FZ112),DAY(FZ112))</f>
        <v>46655</v>
      </c>
      <c r="GB112" s="8">
        <f t="shared" ca="1" si="312"/>
        <v>521</v>
      </c>
      <c r="GC112" s="5" t="str">
        <f t="shared" ca="1" si="313"/>
        <v>VIGENTE</v>
      </c>
      <c r="GD112" s="3"/>
      <c r="GE112" s="4">
        <v>45960</v>
      </c>
      <c r="GF112" s="4">
        <f>DATE(YEAR(GE112)+2,MONTH(GE112),DAY(GE112))</f>
        <v>46690</v>
      </c>
      <c r="GG112" s="8">
        <f t="shared" ca="1" si="314"/>
        <v>556</v>
      </c>
      <c r="GH112" s="5" t="str">
        <f t="shared" ca="1" si="315"/>
        <v>VIGENTE</v>
      </c>
      <c r="GI112" s="3"/>
      <c r="GJ112" s="4">
        <v>46044</v>
      </c>
      <c r="GK112" s="4">
        <f>DATE(YEAR(GJ112)+2,MONTH(GJ112),DAY(GJ112))</f>
        <v>46774</v>
      </c>
      <c r="GL112" s="8">
        <f t="shared" ca="1" si="316"/>
        <v>640</v>
      </c>
      <c r="GM112" s="5" t="str">
        <f t="shared" ca="1" si="317"/>
        <v>VIGENTE</v>
      </c>
      <c r="GN112" s="4"/>
      <c r="GO112" s="4">
        <v>45299</v>
      </c>
      <c r="GP112" s="4">
        <f t="shared" si="318"/>
        <v>47126</v>
      </c>
      <c r="GQ112" s="8">
        <f t="shared" ca="1" si="418"/>
        <v>992</v>
      </c>
      <c r="GR112" s="5" t="str">
        <f t="shared" ca="1" si="431"/>
        <v>VIGENTE</v>
      </c>
      <c r="GS112" s="3"/>
      <c r="GT112" s="4">
        <v>45329</v>
      </c>
      <c r="GU112" s="4">
        <f t="shared" si="320"/>
        <v>47156</v>
      </c>
      <c r="GV112" s="8">
        <f t="shared" ca="1" si="321"/>
        <v>1022</v>
      </c>
      <c r="GW112" s="5" t="str">
        <f t="shared" ca="1" si="432"/>
        <v>VIGENTE</v>
      </c>
      <c r="GX112" s="2"/>
      <c r="GY112" s="4">
        <v>45343</v>
      </c>
      <c r="GZ112" s="4">
        <f t="shared" si="323"/>
        <v>47170</v>
      </c>
      <c r="HA112" s="8">
        <f t="shared" ca="1" si="324"/>
        <v>1036</v>
      </c>
      <c r="HB112" s="5" t="str">
        <f t="shared" ca="1" si="433"/>
        <v>VIGENTE</v>
      </c>
      <c r="HC112" s="6"/>
      <c r="HD112" s="4">
        <v>45317</v>
      </c>
      <c r="HE112" s="4">
        <f t="shared" si="416"/>
        <v>47144</v>
      </c>
      <c r="HF112" s="8">
        <f t="shared" ca="1" si="417"/>
        <v>1010</v>
      </c>
      <c r="HG112" s="5" t="str">
        <f t="shared" ca="1" si="434"/>
        <v>VIGENTE</v>
      </c>
      <c r="HH112" s="2"/>
      <c r="HI112" s="6"/>
      <c r="HJ112" s="4"/>
      <c r="HK112" s="8"/>
      <c r="HL112" s="5" t="str">
        <f t="shared" si="420"/>
        <v>NO APLICA</v>
      </c>
      <c r="HM112" s="2"/>
      <c r="HN112" s="2"/>
      <c r="HO112" s="4"/>
      <c r="HP112" s="2"/>
      <c r="HQ112" s="5" t="str">
        <f t="shared" si="326"/>
        <v>NO APLICA</v>
      </c>
      <c r="HR112" s="2"/>
      <c r="HS112" s="6"/>
      <c r="HT112" s="4"/>
      <c r="HU112" s="8"/>
      <c r="HV112" s="5" t="str">
        <f t="shared" si="327"/>
        <v>NO APLICA</v>
      </c>
      <c r="HW112" s="2"/>
      <c r="HX112" s="6"/>
      <c r="HY112" s="4"/>
      <c r="HZ112" s="8"/>
      <c r="IA112" s="5" t="str">
        <f t="shared" si="328"/>
        <v>NO APLICA</v>
      </c>
      <c r="IB112" s="2"/>
      <c r="IC112" s="6"/>
      <c r="ID112" s="4"/>
      <c r="IE112" s="8"/>
      <c r="IF112" s="5" t="str">
        <f t="shared" si="329"/>
        <v>NO APLICA</v>
      </c>
      <c r="IG112" s="6"/>
      <c r="IH112" s="6"/>
      <c r="II112" s="4"/>
      <c r="IJ112" s="8"/>
      <c r="IK112" s="5" t="str">
        <f t="shared" si="330"/>
        <v>NO APLICA</v>
      </c>
      <c r="IL112" s="2"/>
      <c r="IM112" s="6"/>
      <c r="IN112" s="4"/>
      <c r="IO112" s="8"/>
      <c r="IP112" s="5" t="str">
        <f t="shared" si="331"/>
        <v>NO APLICA</v>
      </c>
      <c r="IQ112" s="2"/>
      <c r="IR112" s="6"/>
      <c r="IS112" s="4"/>
      <c r="IT112" s="8"/>
      <c r="IU112" s="5" t="str">
        <f t="shared" si="332"/>
        <v>NO APLICA</v>
      </c>
      <c r="IV112" s="2"/>
      <c r="IW112" s="6"/>
      <c r="IX112" s="4"/>
      <c r="IY112" s="8"/>
      <c r="IZ112" s="5" t="str">
        <f t="shared" si="333"/>
        <v>NO APLICA</v>
      </c>
      <c r="JA112" s="3"/>
      <c r="JB112" s="3"/>
      <c r="JC112" s="4"/>
      <c r="JD112" s="8"/>
      <c r="JE112" s="5" t="str">
        <f t="shared" si="334"/>
        <v>NO APLICA</v>
      </c>
      <c r="JF112" s="6"/>
      <c r="JG112" s="6"/>
      <c r="JH112" s="6"/>
      <c r="JI112" s="6"/>
      <c r="JJ112" s="5" t="str">
        <f t="shared" si="335"/>
        <v>NO APLICA</v>
      </c>
      <c r="JK112" s="6"/>
      <c r="JL112" s="6"/>
      <c r="JM112" s="6"/>
      <c r="JN112" s="6"/>
      <c r="JO112" s="5" t="str">
        <f t="shared" si="336"/>
        <v>NO APLICA</v>
      </c>
      <c r="JP112" s="6"/>
      <c r="JQ112" s="6"/>
      <c r="JR112" s="6"/>
      <c r="JS112" s="6"/>
      <c r="JT112" s="5" t="str">
        <f t="shared" si="337"/>
        <v>NO APLICA</v>
      </c>
      <c r="JU112" s="5"/>
      <c r="JV112" s="5"/>
      <c r="JW112" s="5"/>
      <c r="JX112" s="5"/>
      <c r="JY112" s="5" t="str">
        <f t="shared" si="338"/>
        <v>NO APLICA</v>
      </c>
      <c r="JZ112" s="5"/>
      <c r="KA112" s="2"/>
      <c r="KB112" s="4"/>
      <c r="KC112" s="8"/>
      <c r="KD112" s="5" t="str">
        <f t="shared" si="339"/>
        <v>NO APLICA</v>
      </c>
      <c r="KE112" s="5"/>
      <c r="KF112" s="2"/>
      <c r="KG112" s="4"/>
      <c r="KH112" s="8"/>
      <c r="KI112" s="5" t="str">
        <f t="shared" si="365"/>
        <v>NO APLICA</v>
      </c>
      <c r="KJ112" s="5"/>
      <c r="KK112" s="2"/>
      <c r="KL112" s="4"/>
      <c r="KM112" s="8"/>
      <c r="KN112" s="5" t="str">
        <f t="shared" si="340"/>
        <v>NO APLICA</v>
      </c>
      <c r="KO112" s="5"/>
      <c r="KP112" s="2"/>
      <c r="KQ112" s="4"/>
      <c r="KR112" s="8"/>
      <c r="KS112" s="5" t="str">
        <f t="shared" si="366"/>
        <v>NO APLICA</v>
      </c>
      <c r="KT112" s="2"/>
      <c r="KU112" s="6"/>
      <c r="KV112" s="4"/>
      <c r="KW112" s="8"/>
      <c r="KX112" s="5" t="str">
        <f t="shared" si="375"/>
        <v>NO APLICA</v>
      </c>
      <c r="KY112" s="5"/>
      <c r="KZ112" s="6"/>
      <c r="LA112" s="4"/>
      <c r="LB112" s="8"/>
      <c r="LC112" s="5" t="str">
        <f t="shared" si="367"/>
        <v>NO APLICA</v>
      </c>
      <c r="LD112" s="6"/>
      <c r="LE112" s="6"/>
      <c r="LF112" s="4"/>
      <c r="LG112" s="8"/>
      <c r="LH112" s="5" t="str">
        <f t="shared" si="341"/>
        <v>NO APLICA</v>
      </c>
      <c r="LI112" s="5"/>
      <c r="LJ112" s="5"/>
      <c r="LK112" s="4"/>
      <c r="LL112" s="8"/>
      <c r="LM112" s="5" t="str">
        <f t="shared" si="376"/>
        <v>NO APLICA</v>
      </c>
      <c r="LN112" s="2"/>
      <c r="LO112" s="6"/>
      <c r="LP112" s="4"/>
      <c r="LQ112" s="8"/>
      <c r="LR112" s="5" t="str">
        <f t="shared" si="368"/>
        <v>NO APLICA</v>
      </c>
      <c r="LS112" s="6"/>
      <c r="LT112" s="6"/>
      <c r="LU112" s="4"/>
      <c r="LV112" s="8"/>
      <c r="LW112" s="5" t="str">
        <f t="shared" si="369"/>
        <v>NO APLICA</v>
      </c>
      <c r="LX112" s="6"/>
      <c r="LY112" s="6"/>
      <c r="LZ112" s="4"/>
      <c r="MA112" s="8"/>
      <c r="MB112" s="5" t="str">
        <f t="shared" si="370"/>
        <v>NO APLICA</v>
      </c>
      <c r="MC112" s="2"/>
      <c r="MD112" s="2"/>
      <c r="ME112" s="4"/>
      <c r="MF112" s="8"/>
      <c r="MG112" s="5" t="str">
        <f t="shared" si="342"/>
        <v>NO APLICA</v>
      </c>
      <c r="MH112" s="2"/>
      <c r="MI112" s="2"/>
      <c r="MJ112" s="4"/>
      <c r="MK112" s="8"/>
      <c r="ML112" s="5" t="str">
        <f t="shared" si="343"/>
        <v>NO APLICA</v>
      </c>
      <c r="MM112" s="5"/>
      <c r="MN112" s="2"/>
      <c r="MO112" s="4"/>
      <c r="MP112" s="8"/>
      <c r="MQ112" s="5" t="str">
        <f t="shared" si="344"/>
        <v>NO APLICA</v>
      </c>
      <c r="MR112" s="5"/>
      <c r="MS112" s="2"/>
      <c r="MT112" s="4"/>
      <c r="MU112" s="2"/>
      <c r="MV112" s="5" t="str">
        <f t="shared" si="345"/>
        <v>NO APLICA</v>
      </c>
      <c r="MW112" s="2"/>
      <c r="MX112" s="6"/>
      <c r="MY112" s="4"/>
      <c r="MZ112" s="8"/>
      <c r="NA112" s="5" t="str">
        <f t="shared" si="346"/>
        <v>NO APLICA</v>
      </c>
      <c r="NB112" s="2"/>
      <c r="NC112" s="6"/>
      <c r="ND112" s="4"/>
      <c r="NE112" s="8"/>
      <c r="NF112" s="5" t="str">
        <f t="shared" si="347"/>
        <v>NO APLICA</v>
      </c>
      <c r="NG112" s="2"/>
      <c r="NH112" s="6"/>
      <c r="NI112" s="4"/>
      <c r="NJ112" s="8"/>
      <c r="NK112" s="5" t="str">
        <f t="shared" si="348"/>
        <v>NO APLICA</v>
      </c>
      <c r="NL112" s="2"/>
      <c r="NM112" s="2"/>
      <c r="NN112" s="4"/>
      <c r="NO112" s="8"/>
      <c r="NP112" s="5" t="str">
        <f t="shared" si="349"/>
        <v>NO APLICA</v>
      </c>
      <c r="NQ112" s="2"/>
      <c r="NR112" s="2"/>
      <c r="NS112" s="4"/>
      <c r="NT112" s="2"/>
      <c r="NU112" s="5" t="str">
        <f t="shared" si="350"/>
        <v>NO APLICA</v>
      </c>
      <c r="NV112" s="6"/>
      <c r="NW112" s="4">
        <v>45568</v>
      </c>
      <c r="NX112" s="4">
        <f>DATE(YEAR(NW112)+2,MONTH(NW112),DAY(NW112))</f>
        <v>46298</v>
      </c>
      <c r="NY112" s="8">
        <f ca="1">NX112-TODAY()</f>
        <v>164</v>
      </c>
      <c r="NZ112" s="5" t="str">
        <f t="shared" ca="1" si="351"/>
        <v>VIGENTE</v>
      </c>
      <c r="OA112" s="4"/>
      <c r="OB112" s="4">
        <v>44762</v>
      </c>
      <c r="OC112" s="4">
        <f>DATE(YEAR(OB112)+5,MONTH(OB112),DAY(OB112))</f>
        <v>46588</v>
      </c>
      <c r="OD112" s="8">
        <f ca="1">OC112-TODAY()</f>
        <v>454</v>
      </c>
      <c r="OE112" s="5" t="str">
        <f t="shared" ca="1" si="352"/>
        <v>VIGENTE</v>
      </c>
      <c r="OF112" s="6"/>
      <c r="OG112" s="6"/>
      <c r="OH112" s="4"/>
      <c r="OI112" s="8"/>
      <c r="OJ112" s="5" t="str">
        <f t="shared" si="353"/>
        <v>NO APLICA</v>
      </c>
      <c r="OK112" s="6"/>
      <c r="OL112" s="6"/>
      <c r="OM112" s="6"/>
      <c r="ON112" s="6"/>
      <c r="OO112" s="5" t="str">
        <f t="shared" si="354"/>
        <v>NO APLICA</v>
      </c>
      <c r="OP112" s="6"/>
      <c r="OQ112" s="6"/>
      <c r="OR112" s="6"/>
      <c r="OS112" s="6"/>
      <c r="OT112" s="5" t="str">
        <f t="shared" si="355"/>
        <v>NO APLICA</v>
      </c>
      <c r="OU112" s="6"/>
      <c r="OV112" s="6"/>
      <c r="OW112" s="6"/>
      <c r="OX112" s="6"/>
      <c r="OY112" s="5" t="str">
        <f t="shared" si="356"/>
        <v>NO APLICA</v>
      </c>
      <c r="OZ112" s="6"/>
      <c r="PA112" s="6"/>
      <c r="PB112" s="6"/>
      <c r="PC112" s="6"/>
      <c r="PD112" s="5" t="str">
        <f t="shared" si="357"/>
        <v>NO APLICA</v>
      </c>
      <c r="PE112" s="6"/>
      <c r="PF112" s="6"/>
      <c r="PG112" s="6"/>
      <c r="PH112" s="6"/>
      <c r="PI112" s="5" t="str">
        <f t="shared" si="358"/>
        <v>NO APLICA</v>
      </c>
      <c r="PJ112" s="5"/>
      <c r="PK112" s="6"/>
      <c r="PL112" s="4"/>
      <c r="PM112" s="8"/>
      <c r="PN112" s="5" t="str">
        <f t="shared" si="359"/>
        <v>NO APLICA</v>
      </c>
      <c r="PO112" s="6"/>
      <c r="PP112" s="6"/>
      <c r="PQ112" s="6"/>
      <c r="PR112" s="6"/>
      <c r="PS112" s="5" t="str">
        <f t="shared" si="360"/>
        <v>NO APLICA</v>
      </c>
      <c r="PT112" s="5"/>
      <c r="PU112" s="6"/>
      <c r="PV112" s="6"/>
      <c r="PW112" s="6"/>
      <c r="PX112" s="5" t="str">
        <f t="shared" si="361"/>
        <v>NO APLICA</v>
      </c>
    </row>
    <row r="113" spans="1:440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386</v>
      </c>
      <c r="V113" s="4">
        <v>44829</v>
      </c>
      <c r="W113" s="4">
        <f t="shared" si="421"/>
        <v>46655</v>
      </c>
      <c r="X113" s="8">
        <f t="shared" ca="1" si="422"/>
        <v>521</v>
      </c>
      <c r="Y113" s="5" t="str">
        <f t="shared" ca="1" si="423"/>
        <v>VIGENTE</v>
      </c>
      <c r="Z113" s="2" t="s">
        <v>387</v>
      </c>
      <c r="AA113" s="4">
        <v>44603</v>
      </c>
      <c r="AB113" s="4">
        <f t="shared" si="424"/>
        <v>46429</v>
      </c>
      <c r="AC113" s="8">
        <f t="shared" ca="1" si="425"/>
        <v>295</v>
      </c>
      <c r="AD113" s="5" t="str">
        <f t="shared" ca="1" si="426"/>
        <v>VIGENTE</v>
      </c>
      <c r="AE113" s="3"/>
      <c r="AF113" s="4">
        <v>45589</v>
      </c>
      <c r="AG113" s="4">
        <f>DATE(YEAR(AF113)+2,MONTH(AF113),DAY(AF113)-1)</f>
        <v>46318</v>
      </c>
      <c r="AH113" s="8">
        <f t="shared" ca="1" si="252"/>
        <v>184</v>
      </c>
      <c r="AI113" s="5" t="str">
        <f t="shared" ca="1" si="419"/>
        <v>VIGENTE</v>
      </c>
      <c r="AJ113" s="3"/>
      <c r="AK113" s="4">
        <v>45959</v>
      </c>
      <c r="AL113" s="4">
        <f t="shared" si="427"/>
        <v>46689</v>
      </c>
      <c r="AM113" s="8">
        <f t="shared" ca="1" si="253"/>
        <v>555</v>
      </c>
      <c r="AN113" s="5" t="str">
        <f t="shared" ca="1" si="254"/>
        <v>VIGENTE</v>
      </c>
      <c r="AO113" s="3"/>
      <c r="AP113" s="4">
        <v>45740</v>
      </c>
      <c r="AQ113" s="4">
        <f>DATE(YEAR(AP113)+2,MONTH(AP113),DAY(AP113)-1)</f>
        <v>46469</v>
      </c>
      <c r="AR113" s="8">
        <f t="shared" ca="1" si="255"/>
        <v>335</v>
      </c>
      <c r="AS113" s="5" t="str">
        <f t="shared" ca="1" si="256"/>
        <v>VIGENTE</v>
      </c>
      <c r="AT113" s="3"/>
      <c r="AU113" s="4">
        <v>45702</v>
      </c>
      <c r="AV113" s="4">
        <f>DATE(YEAR(AU113)+2,MONTH(AU113),DAY(AU113)-1)</f>
        <v>46431</v>
      </c>
      <c r="AW113" s="8">
        <f t="shared" ca="1" si="257"/>
        <v>297</v>
      </c>
      <c r="AX113" s="5" t="str">
        <f t="shared" ca="1" si="258"/>
        <v>VIGENTE</v>
      </c>
      <c r="AY113" s="3"/>
      <c r="AZ113" s="4">
        <v>45708</v>
      </c>
      <c r="BA113" s="4">
        <f>DATE(YEAR(AZ113)+2,MONTH(AZ113),DAY(AZ113)-1)</f>
        <v>46437</v>
      </c>
      <c r="BB113" s="8">
        <f t="shared" ca="1" si="259"/>
        <v>303</v>
      </c>
      <c r="BC113" s="5" t="str">
        <f t="shared" ca="1" si="260"/>
        <v>VIGENTE</v>
      </c>
      <c r="BD113" s="3"/>
      <c r="BE113" s="4">
        <v>45673</v>
      </c>
      <c r="BF113" s="4">
        <f>DATE(YEAR(BE113)+2,MONTH(BE113),DAY(BE113)-1)</f>
        <v>46402</v>
      </c>
      <c r="BG113" s="8">
        <f t="shared" ca="1" si="261"/>
        <v>268</v>
      </c>
      <c r="BH113" s="5" t="str">
        <f t="shared" ca="1" si="262"/>
        <v>VIGENTE</v>
      </c>
      <c r="BI113" s="3"/>
      <c r="BJ113" s="4">
        <v>46051</v>
      </c>
      <c r="BK113" s="4">
        <f>DATE(YEAR(BJ113)+2,MONTH(BJ113),DAY(BJ113))</f>
        <v>46781</v>
      </c>
      <c r="BL113" s="8">
        <f t="shared" ca="1" si="263"/>
        <v>647</v>
      </c>
      <c r="BM113" s="5" t="str">
        <f t="shared" ca="1" si="264"/>
        <v>VIGENTE</v>
      </c>
      <c r="BN113" s="3"/>
      <c r="BO113" s="4">
        <v>45701</v>
      </c>
      <c r="BP113" s="4">
        <f>DATE(YEAR(BO113)+2,MONTH(BO113),DAY(BO113)-1)</f>
        <v>46430</v>
      </c>
      <c r="BQ113" s="8">
        <f t="shared" ca="1" si="265"/>
        <v>296</v>
      </c>
      <c r="BR113" s="5" t="str">
        <f t="shared" ca="1" si="266"/>
        <v>VIGENTE</v>
      </c>
      <c r="BS113" s="3"/>
      <c r="BT113" s="4">
        <v>45695</v>
      </c>
      <c r="BU113" s="4">
        <f>DATE(YEAR(BT113)+2,MONTH(BT113),DAY(BT113)-1)</f>
        <v>46424</v>
      </c>
      <c r="BV113" s="8">
        <f t="shared" ca="1" si="267"/>
        <v>290</v>
      </c>
      <c r="BW113" s="5" t="str">
        <f t="shared" ca="1" si="268"/>
        <v>VIGENTE</v>
      </c>
      <c r="BX113" s="3"/>
      <c r="BY113" s="4">
        <v>45944</v>
      </c>
      <c r="BZ113" s="4">
        <f t="shared" si="435"/>
        <v>46674</v>
      </c>
      <c r="CA113" s="8">
        <f t="shared" ca="1" si="269"/>
        <v>540</v>
      </c>
      <c r="CB113" s="5" t="str">
        <f t="shared" ca="1" si="270"/>
        <v>VIGENTE</v>
      </c>
      <c r="CC113" s="6" t="s">
        <v>73</v>
      </c>
      <c r="CD113" s="4">
        <v>45211</v>
      </c>
      <c r="CE113" s="4">
        <f t="shared" si="428"/>
        <v>46672</v>
      </c>
      <c r="CF113" s="8">
        <f t="shared" ca="1" si="429"/>
        <v>538</v>
      </c>
      <c r="CG113" s="5" t="str">
        <f t="shared" ca="1" si="430"/>
        <v>VIGENTE</v>
      </c>
      <c r="CH113" s="4"/>
      <c r="CI113" s="4">
        <v>45723</v>
      </c>
      <c r="CJ113" s="4">
        <f>DATE(YEAR(CI113)+2,MONTH(CI113),DAY(CI113)-1)</f>
        <v>46452</v>
      </c>
      <c r="CK113" s="8">
        <f t="shared" ca="1" si="274"/>
        <v>318</v>
      </c>
      <c r="CL113" s="5" t="str">
        <f t="shared" ca="1" si="275"/>
        <v>VIGENTE</v>
      </c>
      <c r="CM113" s="3"/>
      <c r="CN113" s="4">
        <v>45726</v>
      </c>
      <c r="CO113" s="4">
        <f>DATE(YEAR(CN113)+2,MONTH(CN113),DAY(CN113)-1)</f>
        <v>46455</v>
      </c>
      <c r="CP113" s="8">
        <f t="shared" ca="1" si="276"/>
        <v>321</v>
      </c>
      <c r="CQ113" s="5" t="str">
        <f t="shared" ca="1" si="277"/>
        <v>VIGENTE</v>
      </c>
      <c r="CR113" s="3"/>
      <c r="CS113" s="4">
        <v>45645</v>
      </c>
      <c r="CT113" s="4">
        <f>DATE(YEAR(CS113)+2,MONTH(CS113),DAY(CS113)-1)</f>
        <v>46374</v>
      </c>
      <c r="CU113" s="8">
        <f t="shared" ca="1" si="278"/>
        <v>240</v>
      </c>
      <c r="CV113" s="5" t="str">
        <f t="shared" ca="1" si="279"/>
        <v>VIGENTE</v>
      </c>
      <c r="CW113" s="3"/>
      <c r="CX113" s="4">
        <v>45661</v>
      </c>
      <c r="CY113" s="4">
        <f>DATE(YEAR(CX113)+2,MONTH(CX113),DAY(CX113)-1)</f>
        <v>46390</v>
      </c>
      <c r="CZ113" s="8">
        <f t="shared" ca="1" si="280"/>
        <v>256</v>
      </c>
      <c r="DA113" s="5" t="str">
        <f t="shared" ca="1" si="281"/>
        <v>VIGENTE</v>
      </c>
      <c r="DB113" s="3"/>
      <c r="DC113" s="4">
        <v>45689</v>
      </c>
      <c r="DD113" s="4">
        <f>DATE(YEAR(DC113)+2,MONTH(DC113),DAY(DC113)-1)</f>
        <v>46418</v>
      </c>
      <c r="DE113" s="8">
        <f t="shared" ca="1" si="282"/>
        <v>284</v>
      </c>
      <c r="DF113" s="5" t="str">
        <f t="shared" ca="1" si="283"/>
        <v>VIGENTE</v>
      </c>
      <c r="DG113" s="3"/>
      <c r="DH113" s="4">
        <v>45696</v>
      </c>
      <c r="DI113" s="4">
        <f>DATE(YEAR(DH113)+2,MONTH(DH113),DAY(DH113)-1)</f>
        <v>46425</v>
      </c>
      <c r="DJ113" s="8">
        <f t="shared" ca="1" si="284"/>
        <v>291</v>
      </c>
      <c r="DK113" s="5" t="str">
        <f t="shared" ca="1" si="285"/>
        <v>VIGENTE</v>
      </c>
      <c r="DL113" s="3"/>
      <c r="DM113" s="4">
        <v>45982</v>
      </c>
      <c r="DN113" s="4">
        <f>DATE(YEAR(DM113)+2,MONTH(DM113),DAY(DM113))</f>
        <v>46712</v>
      </c>
      <c r="DO113" s="8">
        <f t="shared" ca="1" si="286"/>
        <v>578</v>
      </c>
      <c r="DP113" s="5" t="str">
        <f t="shared" ca="1" si="287"/>
        <v>VIGENTE</v>
      </c>
      <c r="DQ113" s="3"/>
      <c r="DR113" s="4">
        <v>45728</v>
      </c>
      <c r="DS113" s="4">
        <f>DATE(YEAR(DR113)+2,MONTH(DR113),DAY(DR113)-1)</f>
        <v>46457</v>
      </c>
      <c r="DT113" s="8">
        <f t="shared" ca="1" si="288"/>
        <v>323</v>
      </c>
      <c r="DU113" s="5" t="str">
        <f t="shared" ca="1" si="289"/>
        <v>VIGENTE</v>
      </c>
      <c r="DV113" s="4"/>
      <c r="DW113" s="4">
        <v>45682</v>
      </c>
      <c r="DX113" s="4">
        <f>DATE(YEAR(DW113)+2,MONTH(DW113),DAY(DW113)-1)</f>
        <v>46411</v>
      </c>
      <c r="DY113" s="8">
        <f t="shared" ca="1" si="290"/>
        <v>277</v>
      </c>
      <c r="DZ113" s="5" t="str">
        <f t="shared" ca="1" si="291"/>
        <v>VIGENTE</v>
      </c>
      <c r="EA113" s="3"/>
      <c r="EB113" s="4">
        <v>45674</v>
      </c>
      <c r="EC113" s="4">
        <f>DATE(YEAR(EB113)+2,MONTH(EB113),DAY(EB113)-1)</f>
        <v>46403</v>
      </c>
      <c r="ED113" s="8">
        <f t="shared" ca="1" si="292"/>
        <v>269</v>
      </c>
      <c r="EE113" s="5" t="str">
        <f t="shared" ca="1" si="293"/>
        <v>VIGENTE</v>
      </c>
      <c r="EF113" s="3"/>
      <c r="EG113" s="4">
        <v>45808</v>
      </c>
      <c r="EH113" s="4">
        <f t="shared" si="364"/>
        <v>46173</v>
      </c>
      <c r="EI113" s="8">
        <f t="shared" ca="1" si="294"/>
        <v>39</v>
      </c>
      <c r="EJ113" s="5" t="str">
        <f t="shared" ca="1" si="295"/>
        <v>POR VENCER</v>
      </c>
      <c r="EK113" s="3"/>
      <c r="EL113" s="4">
        <v>45737</v>
      </c>
      <c r="EM113" s="4">
        <f>DATE(YEAR(EL113)+2,MONTH(EL113),DAY(EL113)-1)</f>
        <v>46466</v>
      </c>
      <c r="EN113" s="8">
        <f t="shared" ca="1" si="296"/>
        <v>332</v>
      </c>
      <c r="EO113" s="5" t="str">
        <f t="shared" ca="1" si="297"/>
        <v>VIGENTE</v>
      </c>
      <c r="EP113" s="3"/>
      <c r="EQ113" s="4">
        <v>45677</v>
      </c>
      <c r="ER113" s="4">
        <f>DATE(YEAR(EQ113)+2,MONTH(EQ113),DAY(EQ113)-1)</f>
        <v>46406</v>
      </c>
      <c r="ES113" s="8">
        <f t="shared" ca="1" si="298"/>
        <v>272</v>
      </c>
      <c r="ET113" s="5" t="str">
        <f t="shared" ca="1" si="299"/>
        <v>VIGENTE</v>
      </c>
      <c r="EU113" s="3"/>
      <c r="EV113" s="4">
        <v>45953</v>
      </c>
      <c r="EW113" s="4">
        <f t="shared" si="436"/>
        <v>46683</v>
      </c>
      <c r="EX113" s="8">
        <f t="shared" ca="1" si="300"/>
        <v>549</v>
      </c>
      <c r="EY113" s="5" t="str">
        <f t="shared" ca="1" si="301"/>
        <v>VIGENTE</v>
      </c>
      <c r="EZ113" s="3"/>
      <c r="FA113" s="4">
        <v>45951</v>
      </c>
      <c r="FB113" s="4">
        <f>DATE(YEAR(FA113)+2,MONTH(FA113),DAY(FA113))</f>
        <v>46681</v>
      </c>
      <c r="FC113" s="8">
        <f t="shared" ca="1" si="302"/>
        <v>547</v>
      </c>
      <c r="FD113" s="5" t="str">
        <f t="shared" ca="1" si="303"/>
        <v>VIGENTE</v>
      </c>
      <c r="FE113" s="3"/>
      <c r="FF113" s="4">
        <v>45932</v>
      </c>
      <c r="FG113" s="4">
        <f t="shared" si="437"/>
        <v>46662</v>
      </c>
      <c r="FH113" s="8">
        <f t="shared" ca="1" si="304"/>
        <v>528</v>
      </c>
      <c r="FI113" s="5" t="str">
        <f t="shared" ca="1" si="305"/>
        <v>VIGENTE</v>
      </c>
      <c r="FJ113" s="3"/>
      <c r="FK113" s="4">
        <v>45738</v>
      </c>
      <c r="FL113" s="4">
        <f>DATE(YEAR(FK113)+2,MONTH(FK113),DAY(FK113)-1)</f>
        <v>46467</v>
      </c>
      <c r="FM113" s="8">
        <f t="shared" ca="1" si="306"/>
        <v>333</v>
      </c>
      <c r="FN113" s="5" t="str">
        <f t="shared" ca="1" si="307"/>
        <v>VIGENTE</v>
      </c>
      <c r="FO113" s="3"/>
      <c r="FP113" s="4">
        <v>45678</v>
      </c>
      <c r="FQ113" s="4">
        <f>DATE(YEAR(FP113)+2,MONTH(FP113),DAY(FP113)-1)</f>
        <v>46407</v>
      </c>
      <c r="FR113" s="8">
        <f t="shared" ca="1" si="308"/>
        <v>273</v>
      </c>
      <c r="FS113" s="5" t="str">
        <f t="shared" ca="1" si="309"/>
        <v>VIGENTE</v>
      </c>
      <c r="FT113" s="3"/>
      <c r="FU113" s="4">
        <v>45574</v>
      </c>
      <c r="FV113" s="4">
        <f>DATE(YEAR(FU113)+2,MONTH(FU113),DAY(FU113)-1)</f>
        <v>46303</v>
      </c>
      <c r="FW113" s="8">
        <f t="shared" ca="1" si="310"/>
        <v>169</v>
      </c>
      <c r="FX113" s="5" t="str">
        <f t="shared" ca="1" si="311"/>
        <v>VIGENTE</v>
      </c>
      <c r="FY113" s="3"/>
      <c r="FZ113" s="4">
        <v>45667</v>
      </c>
      <c r="GA113" s="4">
        <f>DATE(YEAR(FZ113)+2,MONTH(FZ113),DAY(FZ113)-1)</f>
        <v>46396</v>
      </c>
      <c r="GB113" s="8">
        <f t="shared" ca="1" si="312"/>
        <v>262</v>
      </c>
      <c r="GC113" s="5" t="str">
        <f t="shared" ca="1" si="313"/>
        <v>VIGENTE</v>
      </c>
      <c r="GD113" s="3"/>
      <c r="GE113" s="4">
        <v>45672</v>
      </c>
      <c r="GF113" s="4">
        <f>DATE(YEAR(GE113)+2,MONTH(GE113),DAY(GE113)-1)</f>
        <v>46401</v>
      </c>
      <c r="GG113" s="8">
        <f t="shared" ca="1" si="314"/>
        <v>267</v>
      </c>
      <c r="GH113" s="5" t="str">
        <f t="shared" ca="1" si="315"/>
        <v>VIGENTE</v>
      </c>
      <c r="GI113" s="3"/>
      <c r="GJ113" s="4">
        <v>45945</v>
      </c>
      <c r="GK113" s="4">
        <f>DATE(YEAR(GJ113)+2,MONTH(GJ113),DAY(GJ113))</f>
        <v>46675</v>
      </c>
      <c r="GL113" s="8">
        <f t="shared" ca="1" si="316"/>
        <v>541</v>
      </c>
      <c r="GM113" s="5" t="str">
        <f t="shared" ca="1" si="317"/>
        <v>VIGENTE</v>
      </c>
      <c r="GN113" s="4"/>
      <c r="GO113" s="4">
        <v>44966</v>
      </c>
      <c r="GP113" s="4">
        <f t="shared" si="318"/>
        <v>46792</v>
      </c>
      <c r="GQ113" s="8">
        <f t="shared" ca="1" si="418"/>
        <v>658</v>
      </c>
      <c r="GR113" s="5" t="str">
        <f t="shared" ca="1" si="431"/>
        <v>VIGENTE</v>
      </c>
      <c r="GS113" s="3"/>
      <c r="GT113" s="4">
        <v>45245</v>
      </c>
      <c r="GU113" s="4">
        <f t="shared" si="320"/>
        <v>47072</v>
      </c>
      <c r="GV113" s="8">
        <f t="shared" ca="1" si="321"/>
        <v>938</v>
      </c>
      <c r="GW113" s="5" t="str">
        <f t="shared" ca="1" si="432"/>
        <v>VIGENTE</v>
      </c>
      <c r="GX113" s="3"/>
      <c r="GY113" s="4">
        <v>45499</v>
      </c>
      <c r="GZ113" s="4">
        <f t="shared" si="323"/>
        <v>47325</v>
      </c>
      <c r="HA113" s="8">
        <f t="shared" ca="1" si="324"/>
        <v>1191</v>
      </c>
      <c r="HB113" s="5" t="str">
        <f t="shared" ca="1" si="433"/>
        <v>VIGENTE</v>
      </c>
      <c r="HC113" s="6"/>
      <c r="HD113" s="4">
        <v>44879</v>
      </c>
      <c r="HE113" s="4">
        <f t="shared" si="416"/>
        <v>46705</v>
      </c>
      <c r="HF113" s="8">
        <f t="shared" ca="1" si="417"/>
        <v>571</v>
      </c>
      <c r="HG113" s="5" t="str">
        <f t="shared" ca="1" si="434"/>
        <v>VIGENTE</v>
      </c>
      <c r="HH113" s="3"/>
      <c r="HI113" s="4">
        <v>45331</v>
      </c>
      <c r="HJ113" s="4">
        <f>DATE(YEAR(HI113)+5,MONTH(HI113),DAY(HI113))</f>
        <v>47158</v>
      </c>
      <c r="HK113" s="8">
        <f ca="1">HJ113-TODAY()</f>
        <v>1024</v>
      </c>
      <c r="HL113" s="5" t="str">
        <f t="shared" ca="1" si="420"/>
        <v>VIGENTE</v>
      </c>
      <c r="HM113" s="3"/>
      <c r="HN113" s="3">
        <v>45698</v>
      </c>
      <c r="HO113" s="4">
        <f>DATE(YEAR(HN113)+5,MONTH(HN113),DAY(HN113))</f>
        <v>47524</v>
      </c>
      <c r="HP113" s="8">
        <f ca="1">HO113-TODAY()</f>
        <v>1390</v>
      </c>
      <c r="HQ113" s="5" t="str">
        <f t="shared" ca="1" si="326"/>
        <v>VIGENTE</v>
      </c>
      <c r="HR113" s="3"/>
      <c r="HS113" s="4">
        <v>45274</v>
      </c>
      <c r="HT113" s="4">
        <f>DATE(YEAR(HS113)+5,MONTH(HS113),DAY(HS113))</f>
        <v>47101</v>
      </c>
      <c r="HU113" s="8">
        <f ca="1">HT113-TODAY()</f>
        <v>967</v>
      </c>
      <c r="HV113" s="5" t="str">
        <f t="shared" ca="1" si="327"/>
        <v>VIGENTE</v>
      </c>
      <c r="HW113" s="3"/>
      <c r="HX113" s="4">
        <v>45234</v>
      </c>
      <c r="HY113" s="4">
        <f>DATE(YEAR(HX113)+5,MONTH(HX113),DAY(HX113))</f>
        <v>47061</v>
      </c>
      <c r="HZ113" s="8">
        <f ca="1">HY113-TODAY()</f>
        <v>927</v>
      </c>
      <c r="IA113" s="5" t="str">
        <f t="shared" ca="1" si="328"/>
        <v>VIGENTE</v>
      </c>
      <c r="IB113" s="3"/>
      <c r="IC113" s="4">
        <v>45236</v>
      </c>
      <c r="ID113" s="4">
        <f>DATE(YEAR(IC113)+5,MONTH(IC113),DAY(IC113))</f>
        <v>47063</v>
      </c>
      <c r="IE113" s="8">
        <f ca="1">ID113-TODAY()</f>
        <v>929</v>
      </c>
      <c r="IF113" s="5" t="str">
        <f t="shared" ca="1" si="329"/>
        <v>VIGENTE</v>
      </c>
      <c r="IG113" s="4"/>
      <c r="IH113" s="4">
        <v>45238</v>
      </c>
      <c r="II113" s="4">
        <f>DATE(YEAR(IH113)+5,MONTH(IH113),DAY(IH113))</f>
        <v>47065</v>
      </c>
      <c r="IJ113" s="8">
        <f ca="1">II113-TODAY()</f>
        <v>931</v>
      </c>
      <c r="IK113" s="5" t="str">
        <f t="shared" ca="1" si="330"/>
        <v>VIGENTE</v>
      </c>
      <c r="IL113" s="3"/>
      <c r="IM113" s="4">
        <v>45239</v>
      </c>
      <c r="IN113" s="4">
        <f>DATE(YEAR(IM113)+5,MONTH(IM113),DAY(IM113))</f>
        <v>47066</v>
      </c>
      <c r="IO113" s="8">
        <f ca="1">IN113-TODAY()</f>
        <v>932</v>
      </c>
      <c r="IP113" s="5" t="str">
        <f t="shared" ca="1" si="331"/>
        <v>VIGENTE</v>
      </c>
      <c r="IQ113" s="3"/>
      <c r="IR113" s="4">
        <v>45240</v>
      </c>
      <c r="IS113" s="4">
        <f>DATE(YEAR(IR113)+5,MONTH(IR113),DAY(IR113))</f>
        <v>47067</v>
      </c>
      <c r="IT113" s="8">
        <f ca="1">IS113-TODAY()</f>
        <v>933</v>
      </c>
      <c r="IU113" s="5" t="str">
        <f t="shared" ca="1" si="332"/>
        <v>VIGENTE</v>
      </c>
      <c r="IV113" s="3"/>
      <c r="IW113" s="4">
        <v>45224</v>
      </c>
      <c r="IX113" s="4">
        <f>DATE(YEAR(IW113)+5,MONTH(IW113),DAY(IW113))</f>
        <v>47051</v>
      </c>
      <c r="IY113" s="8">
        <f ca="1">IX113-TODAY()</f>
        <v>917</v>
      </c>
      <c r="IZ113" s="5" t="str">
        <f t="shared" ca="1" si="333"/>
        <v>VIGENTE</v>
      </c>
      <c r="JA113" s="3"/>
      <c r="JB113" s="3"/>
      <c r="JC113" s="4"/>
      <c r="JD113" s="8"/>
      <c r="JE113" s="5" t="str">
        <f t="shared" si="334"/>
        <v>NO APLICA</v>
      </c>
      <c r="JF113" s="6"/>
      <c r="JG113" s="6"/>
      <c r="JH113" s="6"/>
      <c r="JI113" s="6"/>
      <c r="JJ113" s="5" t="str">
        <f t="shared" si="335"/>
        <v>NO APLICA</v>
      </c>
      <c r="JK113" s="6"/>
      <c r="JL113" s="6"/>
      <c r="JM113" s="6"/>
      <c r="JN113" s="6"/>
      <c r="JO113" s="5" t="str">
        <f t="shared" si="336"/>
        <v>NO APLICA</v>
      </c>
      <c r="JP113" s="6"/>
      <c r="JQ113" s="6"/>
      <c r="JR113" s="6"/>
      <c r="JS113" s="6"/>
      <c r="JT113" s="5" t="str">
        <f t="shared" si="337"/>
        <v>NO APLICA</v>
      </c>
      <c r="JU113" s="5"/>
      <c r="JV113" s="5"/>
      <c r="JW113" s="5"/>
      <c r="JX113" s="5"/>
      <c r="JY113" s="5" t="str">
        <f t="shared" si="338"/>
        <v>NO APLICA</v>
      </c>
      <c r="JZ113" s="5"/>
      <c r="KA113" s="2"/>
      <c r="KB113" s="4"/>
      <c r="KC113" s="8"/>
      <c r="KD113" s="5" t="str">
        <f t="shared" si="339"/>
        <v>NO APLICA</v>
      </c>
      <c r="KE113" s="5"/>
      <c r="KF113" s="2"/>
      <c r="KG113" s="4"/>
      <c r="KH113" s="8"/>
      <c r="KI113" s="5" t="str">
        <f t="shared" si="365"/>
        <v>NO APLICA</v>
      </c>
      <c r="KJ113" s="5"/>
      <c r="KK113" s="2"/>
      <c r="KL113" s="4"/>
      <c r="KM113" s="8"/>
      <c r="KN113" s="5" t="str">
        <f t="shared" si="340"/>
        <v>NO APLICA</v>
      </c>
      <c r="KO113" s="5"/>
      <c r="KP113" s="2"/>
      <c r="KQ113" s="4"/>
      <c r="KR113" s="8"/>
      <c r="KS113" s="5" t="str">
        <f t="shared" si="366"/>
        <v>NO APLICA</v>
      </c>
      <c r="KT113" s="3"/>
      <c r="KU113" s="4">
        <v>44656</v>
      </c>
      <c r="KV113" s="4">
        <f>DATE(YEAR(KU113)+5,MONTH(KU113),DAY(KU113))</f>
        <v>46482</v>
      </c>
      <c r="KW113" s="8">
        <f ca="1">KV113-TODAY()</f>
        <v>348</v>
      </c>
      <c r="KX113" s="5" t="str">
        <f t="shared" ca="1" si="375"/>
        <v>VIGENTE</v>
      </c>
      <c r="KY113" s="5"/>
      <c r="KZ113" s="6"/>
      <c r="LA113" s="4"/>
      <c r="LB113" s="8"/>
      <c r="LC113" s="5" t="str">
        <f t="shared" si="367"/>
        <v>NO APLICA</v>
      </c>
      <c r="LD113" s="6"/>
      <c r="LE113" s="4"/>
      <c r="LF113" s="4"/>
      <c r="LG113" s="8"/>
      <c r="LH113" s="5" t="str">
        <f t="shared" si="341"/>
        <v>NO APLICA</v>
      </c>
      <c r="LI113" s="5"/>
      <c r="LJ113" s="5"/>
      <c r="LK113" s="4"/>
      <c r="LL113" s="8"/>
      <c r="LM113" s="5" t="str">
        <f t="shared" si="376"/>
        <v>NO APLICA</v>
      </c>
      <c r="LN113" s="2"/>
      <c r="LO113" s="6"/>
      <c r="LP113" s="4"/>
      <c r="LQ113" s="8"/>
      <c r="LR113" s="5" t="str">
        <f t="shared" si="368"/>
        <v>NO APLICA</v>
      </c>
      <c r="LS113" s="6"/>
      <c r="LT113" s="6"/>
      <c r="LU113" s="4"/>
      <c r="LV113" s="8"/>
      <c r="LW113" s="5" t="str">
        <f t="shared" si="369"/>
        <v>NO APLICA</v>
      </c>
      <c r="LX113" s="6"/>
      <c r="LY113" s="6"/>
      <c r="LZ113" s="4"/>
      <c r="MA113" s="8"/>
      <c r="MB113" s="5" t="str">
        <f t="shared" si="370"/>
        <v>NO APLICA</v>
      </c>
      <c r="MC113" s="2"/>
      <c r="MD113" s="2"/>
      <c r="ME113" s="4"/>
      <c r="MF113" s="8"/>
      <c r="MG113" s="5" t="str">
        <f t="shared" si="342"/>
        <v>NO APLICA</v>
      </c>
      <c r="MH113" s="2"/>
      <c r="MI113" s="2"/>
      <c r="MJ113" s="4"/>
      <c r="MK113" s="8"/>
      <c r="ML113" s="5" t="str">
        <f t="shared" si="343"/>
        <v>NO APLICA</v>
      </c>
      <c r="MM113" s="5"/>
      <c r="MN113" s="2"/>
      <c r="MO113" s="4"/>
      <c r="MP113" s="8"/>
      <c r="MQ113" s="5" t="str">
        <f t="shared" si="344"/>
        <v>NO APLICA</v>
      </c>
      <c r="MR113" s="5"/>
      <c r="MS113" s="2"/>
      <c r="MT113" s="4"/>
      <c r="MU113" s="2"/>
      <c r="MV113" s="5" t="str">
        <f t="shared" si="345"/>
        <v>NO APLICA</v>
      </c>
      <c r="MW113" s="2"/>
      <c r="MX113" s="6"/>
      <c r="MY113" s="4"/>
      <c r="MZ113" s="8"/>
      <c r="NA113" s="5" t="str">
        <f t="shared" si="346"/>
        <v>NO APLICA</v>
      </c>
      <c r="NB113" s="2"/>
      <c r="NC113" s="6"/>
      <c r="ND113" s="4"/>
      <c r="NE113" s="8"/>
      <c r="NF113" s="5" t="str">
        <f t="shared" si="347"/>
        <v>NO APLICA</v>
      </c>
      <c r="NG113" s="2"/>
      <c r="NH113" s="6"/>
      <c r="NI113" s="4"/>
      <c r="NJ113" s="8"/>
      <c r="NK113" s="5" t="str">
        <f t="shared" si="348"/>
        <v>NO APLICA</v>
      </c>
      <c r="NL113" s="2"/>
      <c r="NM113" s="2"/>
      <c r="NN113" s="4"/>
      <c r="NO113" s="8"/>
      <c r="NP113" s="5" t="str">
        <f t="shared" si="349"/>
        <v>NO APLICA</v>
      </c>
      <c r="NQ113" s="2"/>
      <c r="NR113" s="2"/>
      <c r="NS113" s="4"/>
      <c r="NT113" s="2"/>
      <c r="NU113" s="5" t="str">
        <f t="shared" si="350"/>
        <v>NO APLICA</v>
      </c>
      <c r="NV113" s="6"/>
      <c r="NW113" s="6"/>
      <c r="NX113" s="4"/>
      <c r="NY113" s="8"/>
      <c r="NZ113" s="5" t="str">
        <f t="shared" si="351"/>
        <v>NO APLICA</v>
      </c>
      <c r="OA113" s="6"/>
      <c r="OB113" s="6"/>
      <c r="OC113" s="6"/>
      <c r="OD113" s="6"/>
      <c r="OE113" s="5" t="str">
        <f t="shared" si="352"/>
        <v>NO APLICA</v>
      </c>
      <c r="OF113" s="2"/>
      <c r="OG113" s="2"/>
      <c r="OH113" s="4"/>
      <c r="OI113" s="8"/>
      <c r="OJ113" s="5" t="str">
        <f t="shared" si="353"/>
        <v>NO APLICA</v>
      </c>
      <c r="OK113" s="6"/>
      <c r="OL113" s="6"/>
      <c r="OM113" s="6"/>
      <c r="ON113" s="6"/>
      <c r="OO113" s="5" t="str">
        <f t="shared" si="354"/>
        <v>NO APLICA</v>
      </c>
      <c r="OP113" s="6"/>
      <c r="OQ113" s="6"/>
      <c r="OR113" s="6"/>
      <c r="OS113" s="6"/>
      <c r="OT113" s="5" t="str">
        <f t="shared" si="355"/>
        <v>NO APLICA</v>
      </c>
      <c r="OU113" s="6"/>
      <c r="OV113" s="6"/>
      <c r="OW113" s="6"/>
      <c r="OX113" s="6"/>
      <c r="OY113" s="5" t="str">
        <f t="shared" si="356"/>
        <v>NO APLICA</v>
      </c>
      <c r="OZ113" s="6"/>
      <c r="PA113" s="6"/>
      <c r="PB113" s="6"/>
      <c r="PC113" s="6"/>
      <c r="PD113" s="5" t="str">
        <f t="shared" si="357"/>
        <v>NO APLICA</v>
      </c>
      <c r="PE113" s="6"/>
      <c r="PF113" s="6"/>
      <c r="PG113" s="6"/>
      <c r="PH113" s="6"/>
      <c r="PI113" s="5" t="str">
        <f t="shared" si="358"/>
        <v>NO APLICA</v>
      </c>
      <c r="PJ113" s="5"/>
      <c r="PK113" s="6"/>
      <c r="PL113" s="4"/>
      <c r="PM113" s="8"/>
      <c r="PN113" s="5" t="str">
        <f t="shared" si="359"/>
        <v>NO APLICA</v>
      </c>
      <c r="PO113" s="6"/>
      <c r="PP113" s="6"/>
      <c r="PQ113" s="6"/>
      <c r="PR113" s="6"/>
      <c r="PS113" s="5" t="str">
        <f t="shared" si="360"/>
        <v>NO APLICA</v>
      </c>
      <c r="PT113" s="5"/>
      <c r="PU113" s="6"/>
      <c r="PV113" s="6"/>
      <c r="PW113" s="6"/>
      <c r="PX113" s="5" t="str">
        <f t="shared" si="361"/>
        <v>NO APLICA</v>
      </c>
    </row>
    <row r="114" spans="1:440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389</v>
      </c>
      <c r="V114" s="4">
        <v>44829</v>
      </c>
      <c r="W114" s="4">
        <f t="shared" si="421"/>
        <v>46655</v>
      </c>
      <c r="X114" s="8">
        <f t="shared" ca="1" si="422"/>
        <v>521</v>
      </c>
      <c r="Y114" s="5" t="str">
        <f t="shared" ca="1" si="423"/>
        <v>VIGENTE</v>
      </c>
      <c r="Z114" s="2" t="s">
        <v>390</v>
      </c>
      <c r="AA114" s="4">
        <v>44824</v>
      </c>
      <c r="AB114" s="4">
        <f t="shared" si="424"/>
        <v>46650</v>
      </c>
      <c r="AC114" s="8">
        <f t="shared" ca="1" si="425"/>
        <v>516</v>
      </c>
      <c r="AD114" s="5" t="str">
        <f t="shared" ca="1" si="426"/>
        <v>VIGENTE</v>
      </c>
      <c r="AE114" s="3"/>
      <c r="AF114" s="3">
        <v>45589</v>
      </c>
      <c r="AG114" s="4">
        <f>DATE(YEAR(AF114)+2,MONTH(AF114),DAY(AF114)-1)</f>
        <v>46318</v>
      </c>
      <c r="AH114" s="8">
        <f t="shared" ca="1" si="252"/>
        <v>184</v>
      </c>
      <c r="AI114" s="5" t="str">
        <f t="shared" ca="1" si="419"/>
        <v>VIGENTE</v>
      </c>
      <c r="AJ114" s="3"/>
      <c r="AK114" s="4">
        <v>45903</v>
      </c>
      <c r="AL114" s="4">
        <f t="shared" si="427"/>
        <v>46633</v>
      </c>
      <c r="AM114" s="8">
        <f t="shared" ca="1" si="253"/>
        <v>499</v>
      </c>
      <c r="AN114" s="5" t="str">
        <f t="shared" ca="1" si="254"/>
        <v>VIGENTE</v>
      </c>
      <c r="AO114" s="3"/>
      <c r="AP114" s="4">
        <v>45989</v>
      </c>
      <c r="AQ114" s="4">
        <f>DATE(YEAR(AP114)+2,MONTH(AP114),DAY(AP114))</f>
        <v>46719</v>
      </c>
      <c r="AR114" s="8">
        <f t="shared" ca="1" si="255"/>
        <v>585</v>
      </c>
      <c r="AS114" s="5" t="str">
        <f t="shared" ca="1" si="256"/>
        <v>VIGENTE</v>
      </c>
      <c r="AT114" s="3"/>
      <c r="AU114" s="4">
        <v>45972</v>
      </c>
      <c r="AV114" s="4">
        <f>DATE(YEAR(AU114)+2,MONTH(AU114),DAY(AU114))</f>
        <v>46702</v>
      </c>
      <c r="AW114" s="8">
        <f t="shared" ca="1" si="257"/>
        <v>568</v>
      </c>
      <c r="AX114" s="5" t="str">
        <f t="shared" ca="1" si="258"/>
        <v>VIGENTE</v>
      </c>
      <c r="AY114" s="3"/>
      <c r="AZ114" s="4">
        <v>45868</v>
      </c>
      <c r="BA114" s="4">
        <f>DATE(YEAR(AZ114)+2,MONTH(AZ114),DAY(AZ114))</f>
        <v>46598</v>
      </c>
      <c r="BB114" s="8">
        <f t="shared" ca="1" si="259"/>
        <v>464</v>
      </c>
      <c r="BC114" s="5" t="str">
        <f t="shared" ca="1" si="260"/>
        <v>VIGENTE</v>
      </c>
      <c r="BD114" s="3"/>
      <c r="BE114" s="4">
        <v>45987</v>
      </c>
      <c r="BF114" s="4">
        <f>DATE(YEAR(BE114)+2,MONTH(BE114),DAY(BE114))</f>
        <v>46717</v>
      </c>
      <c r="BG114" s="8">
        <f t="shared" ca="1" si="261"/>
        <v>583</v>
      </c>
      <c r="BH114" s="5" t="str">
        <f t="shared" ca="1" si="262"/>
        <v>VIGENTE</v>
      </c>
      <c r="BI114" s="3"/>
      <c r="BJ114" s="4">
        <v>46051</v>
      </c>
      <c r="BK114" s="4">
        <f>DATE(YEAR(BJ114)+2,MONTH(BJ114),DAY(BJ114))</f>
        <v>46781</v>
      </c>
      <c r="BL114" s="8">
        <f t="shared" ca="1" si="263"/>
        <v>647</v>
      </c>
      <c r="BM114" s="5" t="str">
        <f t="shared" ca="1" si="264"/>
        <v>VIGENTE</v>
      </c>
      <c r="BN114" s="3"/>
      <c r="BO114" s="4">
        <v>46069</v>
      </c>
      <c r="BP114" s="4">
        <f>DATE(YEAR(BO114)+2,MONTH(BO114),DAY(BO114))</f>
        <v>46799</v>
      </c>
      <c r="BQ114" s="8">
        <f t="shared" ca="1" si="265"/>
        <v>665</v>
      </c>
      <c r="BR114" s="5" t="str">
        <f t="shared" ca="1" si="266"/>
        <v>VIGENTE</v>
      </c>
      <c r="BS114" s="3"/>
      <c r="BT114" s="4">
        <v>45449</v>
      </c>
      <c r="BU114" s="4">
        <f>DATE(YEAR(BT114)+2,MONTH(BT114),DAY(BT114)-1)</f>
        <v>46178</v>
      </c>
      <c r="BV114" s="8">
        <f t="shared" ca="1" si="267"/>
        <v>44</v>
      </c>
      <c r="BW114" s="5" t="str">
        <f t="shared" ca="1" si="268"/>
        <v>POR VENCER</v>
      </c>
      <c r="BX114" s="3"/>
      <c r="BY114" s="4">
        <v>45944</v>
      </c>
      <c r="BZ114" s="4">
        <f t="shared" si="435"/>
        <v>46674</v>
      </c>
      <c r="CA114" s="8">
        <f t="shared" ca="1" si="269"/>
        <v>540</v>
      </c>
      <c r="CB114" s="5" t="str">
        <f t="shared" ca="1" si="270"/>
        <v>VIGENTE</v>
      </c>
      <c r="CC114" s="6" t="s">
        <v>73</v>
      </c>
      <c r="CD114" s="4">
        <v>45227</v>
      </c>
      <c r="CE114" s="4">
        <f t="shared" si="428"/>
        <v>46688</v>
      </c>
      <c r="CF114" s="8">
        <f t="shared" ca="1" si="429"/>
        <v>554</v>
      </c>
      <c r="CG114" s="5" t="str">
        <f t="shared" ca="1" si="430"/>
        <v>VIGENTE</v>
      </c>
      <c r="CH114" s="4"/>
      <c r="CI114" s="4">
        <v>46018</v>
      </c>
      <c r="CJ114" s="4">
        <f>DATE(YEAR(CI114)+2,MONTH(CI114),DAY(CI114))</f>
        <v>46748</v>
      </c>
      <c r="CK114" s="8">
        <f t="shared" ca="1" si="274"/>
        <v>614</v>
      </c>
      <c r="CL114" s="5" t="str">
        <f t="shared" ca="1" si="275"/>
        <v>VIGENTE</v>
      </c>
      <c r="CM114" s="3"/>
      <c r="CN114" s="4">
        <v>45517</v>
      </c>
      <c r="CO114" s="4">
        <f>DATE(YEAR(CN114)+2,MONTH(CN114),DAY(CN114)-1)</f>
        <v>46246</v>
      </c>
      <c r="CP114" s="8">
        <f t="shared" ca="1" si="276"/>
        <v>112</v>
      </c>
      <c r="CQ114" s="5" t="str">
        <f t="shared" ca="1" si="277"/>
        <v>VIGENTE</v>
      </c>
      <c r="CR114" s="3"/>
      <c r="CS114" s="4">
        <v>45631</v>
      </c>
      <c r="CT114" s="4">
        <f>DATE(YEAR(CS114)+2,MONTH(CS114),DAY(CS114)-1)</f>
        <v>46360</v>
      </c>
      <c r="CU114" s="8">
        <f t="shared" ca="1" si="278"/>
        <v>226</v>
      </c>
      <c r="CV114" s="5" t="str">
        <f t="shared" ca="1" si="279"/>
        <v>VIGENTE</v>
      </c>
      <c r="CW114" s="3"/>
      <c r="CX114" s="4">
        <v>45661</v>
      </c>
      <c r="CY114" s="4">
        <f>DATE(YEAR(CX114)+2,MONTH(CX114),DAY(CX114)-1)</f>
        <v>46390</v>
      </c>
      <c r="CZ114" s="8">
        <f t="shared" ca="1" si="280"/>
        <v>256</v>
      </c>
      <c r="DA114" s="5" t="str">
        <f t="shared" ca="1" si="281"/>
        <v>VIGENTE</v>
      </c>
      <c r="DB114" s="3"/>
      <c r="DC114" s="4">
        <v>45689</v>
      </c>
      <c r="DD114" s="4">
        <f>DATE(YEAR(DC114)+2,MONTH(DC114),DAY(DC114)-1)</f>
        <v>46418</v>
      </c>
      <c r="DE114" s="8">
        <f t="shared" ca="1" si="282"/>
        <v>284</v>
      </c>
      <c r="DF114" s="5" t="str">
        <f t="shared" ca="1" si="283"/>
        <v>VIGENTE</v>
      </c>
      <c r="DG114" s="3"/>
      <c r="DH114" s="4">
        <v>45899</v>
      </c>
      <c r="DI114" s="4">
        <f>DATE(YEAR(DH114)+2,MONTH(DH114),DAY(DH114))</f>
        <v>46629</v>
      </c>
      <c r="DJ114" s="8">
        <f t="shared" ca="1" si="284"/>
        <v>495</v>
      </c>
      <c r="DK114" s="5" t="str">
        <f t="shared" ca="1" si="285"/>
        <v>VIGENTE</v>
      </c>
      <c r="DL114" s="3"/>
      <c r="DM114" s="4">
        <v>46008</v>
      </c>
      <c r="DN114" s="4">
        <f>DATE(YEAR(DM114)+2,MONTH(DM114),DAY(DM114))</f>
        <v>46738</v>
      </c>
      <c r="DO114" s="8">
        <f t="shared" ca="1" si="286"/>
        <v>604</v>
      </c>
      <c r="DP114" s="5" t="str">
        <f t="shared" ca="1" si="287"/>
        <v>VIGENTE</v>
      </c>
      <c r="DQ114" s="3"/>
      <c r="DR114" s="4">
        <v>45918</v>
      </c>
      <c r="DS114" s="4">
        <f>DATE(YEAR(DR114)+2,MONTH(DR114),DAY(DR114))</f>
        <v>46648</v>
      </c>
      <c r="DT114" s="8">
        <f t="shared" ca="1" si="288"/>
        <v>514</v>
      </c>
      <c r="DU114" s="5" t="str">
        <f t="shared" ca="1" si="289"/>
        <v>VIGENTE</v>
      </c>
      <c r="DV114" s="3"/>
      <c r="DW114" s="4">
        <v>46020</v>
      </c>
      <c r="DX114" s="4">
        <f>DATE(YEAR(DW114)+2,MONTH(DW114),DAY(DW114))</f>
        <v>46750</v>
      </c>
      <c r="DY114" s="8">
        <f t="shared" ca="1" si="290"/>
        <v>616</v>
      </c>
      <c r="DZ114" s="5" t="str">
        <f t="shared" ca="1" si="291"/>
        <v>VIGENTE</v>
      </c>
      <c r="EA114" s="3"/>
      <c r="EB114" s="4">
        <v>45674</v>
      </c>
      <c r="EC114" s="4">
        <f>DATE(YEAR(EB114)+2,MONTH(EB114),DAY(EB114)-1)</f>
        <v>46403</v>
      </c>
      <c r="ED114" s="8">
        <f t="shared" ca="1" si="292"/>
        <v>269</v>
      </c>
      <c r="EE114" s="5" t="str">
        <f t="shared" ca="1" si="293"/>
        <v>VIGENTE</v>
      </c>
      <c r="EF114" s="3"/>
      <c r="EG114" s="4">
        <v>45808</v>
      </c>
      <c r="EH114" s="4">
        <f t="shared" si="364"/>
        <v>46173</v>
      </c>
      <c r="EI114" s="8">
        <f t="shared" ca="1" si="294"/>
        <v>39</v>
      </c>
      <c r="EJ114" s="5" t="str">
        <f t="shared" ca="1" si="295"/>
        <v>POR VENCER</v>
      </c>
      <c r="EK114" s="3"/>
      <c r="EL114" s="4">
        <v>45671</v>
      </c>
      <c r="EM114" s="4">
        <f>DATE(YEAR(EL114)+2,MONTH(EL114),DAY(EL114)-1)</f>
        <v>46400</v>
      </c>
      <c r="EN114" s="8">
        <f t="shared" ca="1" si="296"/>
        <v>266</v>
      </c>
      <c r="EO114" s="5" t="str">
        <f t="shared" ca="1" si="297"/>
        <v>VIGENTE</v>
      </c>
      <c r="EP114" s="3"/>
      <c r="EQ114" s="4">
        <v>45677</v>
      </c>
      <c r="ER114" s="4">
        <f>DATE(YEAR(EQ114)+2,MONTH(EQ114),DAY(EQ114)-1)</f>
        <v>46406</v>
      </c>
      <c r="ES114" s="8">
        <f t="shared" ca="1" si="298"/>
        <v>272</v>
      </c>
      <c r="ET114" s="5" t="str">
        <f t="shared" ca="1" si="299"/>
        <v>VIGENTE</v>
      </c>
      <c r="EU114" s="3"/>
      <c r="EV114" s="4">
        <v>45964</v>
      </c>
      <c r="EW114" s="4">
        <f t="shared" si="436"/>
        <v>46694</v>
      </c>
      <c r="EX114" s="8">
        <f t="shared" ca="1" si="300"/>
        <v>560</v>
      </c>
      <c r="EY114" s="5" t="str">
        <f t="shared" ca="1" si="301"/>
        <v>VIGENTE</v>
      </c>
      <c r="EZ114" s="3"/>
      <c r="FA114" s="4">
        <v>45988</v>
      </c>
      <c r="FB114" s="4">
        <f>DATE(YEAR(FA114)+2,MONTH(FA114),DAY(FA114))</f>
        <v>46718</v>
      </c>
      <c r="FC114" s="8">
        <f t="shared" ca="1" si="302"/>
        <v>584</v>
      </c>
      <c r="FD114" s="5" t="str">
        <f t="shared" ca="1" si="303"/>
        <v>VIGENTE</v>
      </c>
      <c r="FE114" s="3"/>
      <c r="FF114" s="4">
        <v>45919</v>
      </c>
      <c r="FG114" s="4">
        <f t="shared" si="437"/>
        <v>46649</v>
      </c>
      <c r="FH114" s="8">
        <f t="shared" ca="1" si="304"/>
        <v>515</v>
      </c>
      <c r="FI114" s="5" t="str">
        <f t="shared" ca="1" si="305"/>
        <v>VIGENTE</v>
      </c>
      <c r="FJ114" s="3"/>
      <c r="FK114" s="4">
        <v>45670</v>
      </c>
      <c r="FL114" s="4">
        <f>DATE(YEAR(FK114)+2,MONTH(FK114),DAY(FK114)-1)</f>
        <v>46399</v>
      </c>
      <c r="FM114" s="8">
        <f t="shared" ca="1" si="306"/>
        <v>265</v>
      </c>
      <c r="FN114" s="5" t="str">
        <f t="shared" ca="1" si="307"/>
        <v>VIGENTE</v>
      </c>
      <c r="FO114" s="3"/>
      <c r="FP114" s="4">
        <v>45586</v>
      </c>
      <c r="FQ114" s="4">
        <f>DATE(YEAR(FP114)+2,MONTH(FP114),DAY(FP114)-1)</f>
        <v>46315</v>
      </c>
      <c r="FR114" s="8">
        <f t="shared" ca="1" si="308"/>
        <v>181</v>
      </c>
      <c r="FS114" s="5" t="str">
        <f t="shared" ca="1" si="309"/>
        <v>VIGENTE</v>
      </c>
      <c r="FT114" s="3"/>
      <c r="FU114" s="4">
        <v>45574</v>
      </c>
      <c r="FV114" s="4">
        <f>DATE(YEAR(FU114)+2,MONTH(FU114),DAY(FU114)-1)</f>
        <v>46303</v>
      </c>
      <c r="FW114" s="8">
        <f t="shared" ca="1" si="310"/>
        <v>169</v>
      </c>
      <c r="FX114" s="5" t="str">
        <f t="shared" ca="1" si="311"/>
        <v>VIGENTE</v>
      </c>
      <c r="FY114" s="3"/>
      <c r="FZ114" s="4">
        <v>45560</v>
      </c>
      <c r="GA114" s="4">
        <f>DATE(YEAR(FZ114)+2,MONTH(FZ114),DAY(FZ114)-1)</f>
        <v>46289</v>
      </c>
      <c r="GB114" s="8">
        <f t="shared" ca="1" si="312"/>
        <v>155</v>
      </c>
      <c r="GC114" s="5" t="str">
        <f t="shared" ca="1" si="313"/>
        <v>VIGENTE</v>
      </c>
      <c r="GD114" s="3"/>
      <c r="GE114" s="4">
        <v>45564</v>
      </c>
      <c r="GF114" s="4">
        <f>DATE(YEAR(GE114)+2,MONTH(GE114),DAY(GE114)-1)</f>
        <v>46293</v>
      </c>
      <c r="GG114" s="8">
        <f t="shared" ca="1" si="314"/>
        <v>159</v>
      </c>
      <c r="GH114" s="5" t="str">
        <f t="shared" ca="1" si="315"/>
        <v>VIGENTE</v>
      </c>
      <c r="GI114" s="3"/>
      <c r="GJ114" s="4">
        <v>45945</v>
      </c>
      <c r="GK114" s="4">
        <f>DATE(YEAR(GJ114)+2,MONTH(GJ114),DAY(GJ114))</f>
        <v>46675</v>
      </c>
      <c r="GL114" s="8">
        <f t="shared" ca="1" si="316"/>
        <v>541</v>
      </c>
      <c r="GM114" s="5" t="str">
        <f t="shared" ca="1" si="317"/>
        <v>VIGENTE</v>
      </c>
      <c r="GN114" s="4"/>
      <c r="GO114" s="4">
        <v>44963</v>
      </c>
      <c r="GP114" s="4">
        <f t="shared" si="318"/>
        <v>46789</v>
      </c>
      <c r="GQ114" s="8">
        <f t="shared" ca="1" si="418"/>
        <v>655</v>
      </c>
      <c r="GR114" s="5" t="str">
        <f t="shared" ca="1" si="431"/>
        <v>VIGENTE</v>
      </c>
      <c r="GS114" s="3"/>
      <c r="GT114" s="4">
        <v>45245</v>
      </c>
      <c r="GU114" s="4">
        <f t="shared" si="320"/>
        <v>47072</v>
      </c>
      <c r="GV114" s="8">
        <f t="shared" ca="1" si="321"/>
        <v>938</v>
      </c>
      <c r="GW114" s="5" t="str">
        <f t="shared" ca="1" si="432"/>
        <v>VIGENTE</v>
      </c>
      <c r="GX114" s="3"/>
      <c r="GY114" s="4">
        <v>45454</v>
      </c>
      <c r="GZ114" s="4">
        <f t="shared" si="323"/>
        <v>47280</v>
      </c>
      <c r="HA114" s="8">
        <f t="shared" ca="1" si="324"/>
        <v>1146</v>
      </c>
      <c r="HB114" s="5" t="str">
        <f t="shared" ca="1" si="433"/>
        <v>VIGENTE</v>
      </c>
      <c r="HC114" s="6"/>
      <c r="HD114" s="4">
        <v>44879</v>
      </c>
      <c r="HE114" s="4">
        <f t="shared" si="416"/>
        <v>46705</v>
      </c>
      <c r="HF114" s="8">
        <f t="shared" ca="1" si="417"/>
        <v>571</v>
      </c>
      <c r="HG114" s="5" t="str">
        <f t="shared" ca="1" si="434"/>
        <v>VIGENTE</v>
      </c>
      <c r="HH114" s="2"/>
      <c r="HI114" s="4">
        <v>45370</v>
      </c>
      <c r="HJ114" s="4">
        <f>DATE(YEAR(HI114)+5,MONTH(HI114),DAY(HI114))</f>
        <v>47196</v>
      </c>
      <c r="HK114" s="8">
        <f ca="1">HJ114-TODAY()</f>
        <v>1062</v>
      </c>
      <c r="HL114" s="5" t="str">
        <f t="shared" ca="1" si="420"/>
        <v>VIGENTE</v>
      </c>
      <c r="HM114" s="2"/>
      <c r="HN114" s="3">
        <v>45374</v>
      </c>
      <c r="HO114" s="4">
        <f>DATE(YEAR(HN114)+5,MONTH(HN114),DAY(HN114))</f>
        <v>47200</v>
      </c>
      <c r="HP114" s="8">
        <f ca="1">HO114-TODAY()</f>
        <v>1066</v>
      </c>
      <c r="HQ114" s="5" t="str">
        <f t="shared" ca="1" si="326"/>
        <v>VIGENTE</v>
      </c>
      <c r="HR114" s="3"/>
      <c r="HS114" s="4">
        <v>45482</v>
      </c>
      <c r="HT114" s="4">
        <f>DATE(YEAR(HS114)+5,MONTH(HS114),DAY(HS114))</f>
        <v>47308</v>
      </c>
      <c r="HU114" s="8">
        <f ca="1">HT114-TODAY()</f>
        <v>1174</v>
      </c>
      <c r="HV114" s="5" t="str">
        <f t="shared" ca="1" si="327"/>
        <v>VIGENTE</v>
      </c>
      <c r="HW114" s="3"/>
      <c r="HX114" s="4">
        <v>45241</v>
      </c>
      <c r="HY114" s="4">
        <f>DATE(YEAR(HX114)+5,MONTH(HX114),DAY(HX114))</f>
        <v>47068</v>
      </c>
      <c r="HZ114" s="8">
        <f ca="1">HY114-TODAY()</f>
        <v>934</v>
      </c>
      <c r="IA114" s="5" t="str">
        <f t="shared" ca="1" si="328"/>
        <v>VIGENTE</v>
      </c>
      <c r="IB114" s="3"/>
      <c r="IC114" s="4">
        <v>45425</v>
      </c>
      <c r="ID114" s="4">
        <f>DATE(YEAR(IC114)+5,MONTH(IC114),DAY(IC114))</f>
        <v>47251</v>
      </c>
      <c r="IE114" s="8">
        <f ca="1">ID114-TODAY()</f>
        <v>1117</v>
      </c>
      <c r="IF114" s="5" t="str">
        <f t="shared" ca="1" si="329"/>
        <v>VIGENTE</v>
      </c>
      <c r="IG114" s="4"/>
      <c r="IH114" s="4">
        <v>45455</v>
      </c>
      <c r="II114" s="4">
        <f>DATE(YEAR(IH114)+5,MONTH(IH114),DAY(IH114))</f>
        <v>47281</v>
      </c>
      <c r="IJ114" s="8">
        <f ca="1">II114-TODAY()</f>
        <v>1147</v>
      </c>
      <c r="IK114" s="5" t="str">
        <f t="shared" ca="1" si="330"/>
        <v>VIGENTE</v>
      </c>
      <c r="IL114" s="3"/>
      <c r="IM114" s="4">
        <v>45460</v>
      </c>
      <c r="IN114" s="4">
        <f>DATE(YEAR(IM114)+5,MONTH(IM114),DAY(IM114))</f>
        <v>47286</v>
      </c>
      <c r="IO114" s="8">
        <f ca="1">IN114-TODAY()</f>
        <v>1152</v>
      </c>
      <c r="IP114" s="5" t="str">
        <f t="shared" ca="1" si="331"/>
        <v>VIGENTE</v>
      </c>
      <c r="IQ114" s="3"/>
      <c r="IR114" s="4">
        <v>45487</v>
      </c>
      <c r="IS114" s="4">
        <f>DATE(YEAR(IR114)+5,MONTH(IR114),DAY(IR114))</f>
        <v>47313</v>
      </c>
      <c r="IT114" s="8">
        <f ca="1">IS114-TODAY()</f>
        <v>1179</v>
      </c>
      <c r="IU114" s="5" t="str">
        <f t="shared" ca="1" si="332"/>
        <v>VIGENTE</v>
      </c>
      <c r="IV114" s="3"/>
      <c r="IW114" s="4">
        <v>45251</v>
      </c>
      <c r="IX114" s="4">
        <f>DATE(YEAR(IW114)+5,MONTH(IW114),DAY(IW114))</f>
        <v>47078</v>
      </c>
      <c r="IY114" s="8">
        <f ca="1">IX114-TODAY()</f>
        <v>944</v>
      </c>
      <c r="IZ114" s="5" t="str">
        <f t="shared" ca="1" si="333"/>
        <v>VIGENTE</v>
      </c>
      <c r="JA114" s="3"/>
      <c r="JB114" s="3"/>
      <c r="JC114" s="4"/>
      <c r="JD114" s="8"/>
      <c r="JE114" s="5" t="str">
        <f t="shared" si="334"/>
        <v>NO APLICA</v>
      </c>
      <c r="JF114" s="6"/>
      <c r="JG114" s="6"/>
      <c r="JH114" s="6"/>
      <c r="JI114" s="6"/>
      <c r="JJ114" s="5" t="str">
        <f t="shared" si="335"/>
        <v>NO APLICA</v>
      </c>
      <c r="JK114" s="6"/>
      <c r="JL114" s="6"/>
      <c r="JM114" s="6"/>
      <c r="JN114" s="6"/>
      <c r="JO114" s="5" t="str">
        <f t="shared" si="336"/>
        <v>NO APLICA</v>
      </c>
      <c r="JP114" s="6"/>
      <c r="JQ114" s="6"/>
      <c r="JR114" s="6"/>
      <c r="JS114" s="6"/>
      <c r="JT114" s="5" t="str">
        <f t="shared" si="337"/>
        <v>NO APLICA</v>
      </c>
      <c r="JU114" s="5"/>
      <c r="JV114" s="5"/>
      <c r="JW114" s="5"/>
      <c r="JX114" s="5"/>
      <c r="JY114" s="5" t="str">
        <f t="shared" si="338"/>
        <v>NO APLICA</v>
      </c>
      <c r="JZ114" s="5"/>
      <c r="KA114" s="2"/>
      <c r="KB114" s="4"/>
      <c r="KC114" s="8"/>
      <c r="KD114" s="5" t="str">
        <f t="shared" si="339"/>
        <v>NO APLICA</v>
      </c>
      <c r="KE114" s="5"/>
      <c r="KF114" s="3">
        <v>45328</v>
      </c>
      <c r="KG114" s="4">
        <f>DATE(YEAR(KF114)+5,MONTH(KF114),DAY(KF114)-1)</f>
        <v>47154</v>
      </c>
      <c r="KH114" s="8">
        <f ca="1">KG114-TODAY()</f>
        <v>1020</v>
      </c>
      <c r="KI114" s="5" t="str">
        <f t="shared" ca="1" si="365"/>
        <v>VIGENTE</v>
      </c>
      <c r="KJ114" s="5"/>
      <c r="KK114" s="2"/>
      <c r="KL114" s="4"/>
      <c r="KM114" s="8"/>
      <c r="KN114" s="5" t="str">
        <f t="shared" si="340"/>
        <v>NO APLICA</v>
      </c>
      <c r="KO114" s="5"/>
      <c r="KP114" s="3">
        <v>45346</v>
      </c>
      <c r="KQ114" s="4">
        <f>DATE(YEAR(KP114)+5,MONTH(KP114),DAY(KP114))</f>
        <v>47173</v>
      </c>
      <c r="KR114" s="8">
        <f ca="1">KQ114-TODAY()</f>
        <v>1039</v>
      </c>
      <c r="KS114" s="5" t="str">
        <f t="shared" ca="1" si="366"/>
        <v>VIGENTE</v>
      </c>
      <c r="KT114" s="2"/>
      <c r="KU114" s="6"/>
      <c r="KV114" s="4"/>
      <c r="KW114" s="8"/>
      <c r="KX114" s="5" t="str">
        <f t="shared" si="375"/>
        <v>NO APLICA</v>
      </c>
      <c r="KY114" s="5"/>
      <c r="KZ114" s="4">
        <v>44613</v>
      </c>
      <c r="LA114" s="4">
        <f>DATE(YEAR(KZ114)+5,MONTH(KZ114),DAY(KZ114))</f>
        <v>46439</v>
      </c>
      <c r="LB114" s="8">
        <f ca="1">LA114-TODAY()</f>
        <v>305</v>
      </c>
      <c r="LC114" s="5" t="str">
        <f t="shared" ca="1" si="367"/>
        <v>VIGENTE</v>
      </c>
      <c r="LD114" s="6"/>
      <c r="LE114" s="6"/>
      <c r="LF114" s="4"/>
      <c r="LG114" s="8"/>
      <c r="LH114" s="5" t="str">
        <f t="shared" si="341"/>
        <v>NO APLICA</v>
      </c>
      <c r="LI114" s="5"/>
      <c r="LJ114" s="5"/>
      <c r="LK114" s="5"/>
      <c r="LL114" s="5"/>
      <c r="LM114" s="5" t="str">
        <f t="shared" si="376"/>
        <v>NO APLICA</v>
      </c>
      <c r="LN114" s="2"/>
      <c r="LO114" s="6"/>
      <c r="LP114" s="4"/>
      <c r="LQ114" s="8"/>
      <c r="LR114" s="5" t="str">
        <f t="shared" si="368"/>
        <v>NO APLICA</v>
      </c>
      <c r="LS114" s="4"/>
      <c r="LT114" s="4">
        <v>44986</v>
      </c>
      <c r="LU114" s="4">
        <f>DATE(YEAR(LT114)+5,MONTH(LT114),DAY(LT114))</f>
        <v>46813</v>
      </c>
      <c r="LV114" s="8">
        <f ca="1">LU114-TODAY()</f>
        <v>679</v>
      </c>
      <c r="LW114" s="5" t="str">
        <f t="shared" ca="1" si="369"/>
        <v>VIGENTE</v>
      </c>
      <c r="LX114" s="4"/>
      <c r="LY114" s="4">
        <v>44988</v>
      </c>
      <c r="LZ114" s="4">
        <f>DATE(YEAR(LY114)+5,MONTH(LY114),DAY(LY114))</f>
        <v>46815</v>
      </c>
      <c r="MA114" s="8">
        <f ca="1">LZ114-TODAY()</f>
        <v>681</v>
      </c>
      <c r="MB114" s="5" t="str">
        <f t="shared" ca="1" si="370"/>
        <v>VIGENTE</v>
      </c>
      <c r="MC114" s="2"/>
      <c r="MD114" s="2"/>
      <c r="ME114" s="4"/>
      <c r="MF114" s="8"/>
      <c r="MG114" s="5" t="str">
        <f t="shared" si="342"/>
        <v>NO APLICA</v>
      </c>
      <c r="MH114" s="2"/>
      <c r="MI114" s="2"/>
      <c r="MJ114" s="4"/>
      <c r="MK114" s="8"/>
      <c r="ML114" s="5" t="str">
        <f t="shared" si="343"/>
        <v>NO APLICA</v>
      </c>
      <c r="MM114" s="5"/>
      <c r="MN114" s="2"/>
      <c r="MO114" s="4"/>
      <c r="MP114" s="8"/>
      <c r="MQ114" s="5" t="str">
        <f t="shared" si="344"/>
        <v>NO APLICA</v>
      </c>
      <c r="MR114" s="5"/>
      <c r="MS114" s="2"/>
      <c r="MT114" s="4"/>
      <c r="MU114" s="2"/>
      <c r="MV114" s="5" t="str">
        <f t="shared" si="345"/>
        <v>NO APLICA</v>
      </c>
      <c r="MW114" s="2"/>
      <c r="MX114" s="6"/>
      <c r="MY114" s="4"/>
      <c r="MZ114" s="8"/>
      <c r="NA114" s="5" t="str">
        <f t="shared" si="346"/>
        <v>NO APLICA</v>
      </c>
      <c r="NB114" s="2"/>
      <c r="NC114" s="6"/>
      <c r="ND114" s="4"/>
      <c r="NE114" s="8"/>
      <c r="NF114" s="5" t="str">
        <f t="shared" si="347"/>
        <v>NO APLICA</v>
      </c>
      <c r="NG114" s="2"/>
      <c r="NH114" s="6"/>
      <c r="NI114" s="4"/>
      <c r="NJ114" s="8"/>
      <c r="NK114" s="5" t="str">
        <f t="shared" si="348"/>
        <v>NO APLICA</v>
      </c>
      <c r="NL114" s="2"/>
      <c r="NM114" s="2"/>
      <c r="NN114" s="4"/>
      <c r="NO114" s="2"/>
      <c r="NP114" s="5" t="str">
        <f t="shared" si="349"/>
        <v>NO APLICA</v>
      </c>
      <c r="NQ114" s="2"/>
      <c r="NR114" s="2"/>
      <c r="NS114" s="2"/>
      <c r="NT114" s="2"/>
      <c r="NU114" s="5" t="str">
        <f t="shared" si="350"/>
        <v>NO APLICA</v>
      </c>
      <c r="NV114" s="6"/>
      <c r="NW114" s="6"/>
      <c r="NX114" s="4"/>
      <c r="NY114" s="8"/>
      <c r="NZ114" s="5" t="str">
        <f t="shared" si="351"/>
        <v>NO APLICA</v>
      </c>
      <c r="OA114" s="6"/>
      <c r="OB114" s="6"/>
      <c r="OC114" s="6"/>
      <c r="OD114" s="6"/>
      <c r="OE114" s="5" t="str">
        <f t="shared" si="352"/>
        <v>NO APLICA</v>
      </c>
      <c r="OF114" s="6"/>
      <c r="OG114" s="6"/>
      <c r="OH114" s="4"/>
      <c r="OI114" s="8"/>
      <c r="OJ114" s="5" t="str">
        <f t="shared" si="353"/>
        <v>NO APLICA</v>
      </c>
      <c r="OK114" s="6"/>
      <c r="OL114" s="6"/>
      <c r="OM114" s="6"/>
      <c r="ON114" s="6"/>
      <c r="OO114" s="5" t="str">
        <f t="shared" si="354"/>
        <v>NO APLICA</v>
      </c>
      <c r="OP114" s="6"/>
      <c r="OQ114" s="6"/>
      <c r="OR114" s="6"/>
      <c r="OS114" s="6"/>
      <c r="OT114" s="5" t="str">
        <f t="shared" si="355"/>
        <v>NO APLICA</v>
      </c>
      <c r="OU114" s="6"/>
      <c r="OV114" s="6"/>
      <c r="OW114" s="6"/>
      <c r="OX114" s="6"/>
      <c r="OY114" s="5" t="str">
        <f t="shared" si="356"/>
        <v>NO APLICA</v>
      </c>
      <c r="OZ114" s="6"/>
      <c r="PA114" s="6"/>
      <c r="PB114" s="6"/>
      <c r="PC114" s="6"/>
      <c r="PD114" s="5" t="str">
        <f t="shared" si="357"/>
        <v>NO APLICA</v>
      </c>
      <c r="PE114" s="6"/>
      <c r="PF114" s="6"/>
      <c r="PG114" s="6"/>
      <c r="PH114" s="6"/>
      <c r="PI114" s="5" t="str">
        <f t="shared" si="358"/>
        <v>NO APLICA</v>
      </c>
      <c r="PJ114" s="5"/>
      <c r="PK114" s="6"/>
      <c r="PL114" s="4"/>
      <c r="PM114" s="8"/>
      <c r="PN114" s="5" t="str">
        <f t="shared" si="359"/>
        <v>NO APLICA</v>
      </c>
      <c r="PO114" s="6"/>
      <c r="PP114" s="6"/>
      <c r="PQ114" s="6"/>
      <c r="PR114" s="6"/>
      <c r="PS114" s="5" t="str">
        <f t="shared" si="360"/>
        <v>NO APLICA</v>
      </c>
      <c r="PT114" s="5"/>
      <c r="PU114" s="6"/>
      <c r="PV114" s="6"/>
      <c r="PW114" s="6"/>
      <c r="PX114" s="5" t="str">
        <f t="shared" si="361"/>
        <v>NO APLICA</v>
      </c>
    </row>
    <row r="115" spans="1:440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353</v>
      </c>
      <c r="T115" s="5" t="str">
        <f t="shared" ca="1" si="362"/>
        <v>VIGENTE</v>
      </c>
      <c r="U115" s="2" t="s">
        <v>392</v>
      </c>
      <c r="V115" s="4">
        <v>44515</v>
      </c>
      <c r="W115" s="4">
        <f t="shared" si="421"/>
        <v>46341</v>
      </c>
      <c r="X115" s="8">
        <f t="shared" ca="1" si="422"/>
        <v>207</v>
      </c>
      <c r="Y115" s="5" t="str">
        <f t="shared" ca="1" si="423"/>
        <v>VIGENTE</v>
      </c>
      <c r="Z115" s="2" t="s">
        <v>393</v>
      </c>
      <c r="AA115" s="4">
        <v>45233</v>
      </c>
      <c r="AB115" s="4">
        <f t="shared" si="424"/>
        <v>47060</v>
      </c>
      <c r="AC115" s="8">
        <f t="shared" ca="1" si="425"/>
        <v>926</v>
      </c>
      <c r="AD115" s="5" t="str">
        <f t="shared" ca="1" si="426"/>
        <v>VIGENTE</v>
      </c>
      <c r="AE115" s="2"/>
      <c r="AF115" s="4">
        <v>45936</v>
      </c>
      <c r="AG115" s="4">
        <f>DATE(YEAR(AF115)+2,MONTH(AF115),DAY(AF115))</f>
        <v>46666</v>
      </c>
      <c r="AH115" s="8">
        <f t="shared" ca="1" si="252"/>
        <v>532</v>
      </c>
      <c r="AI115" s="5" t="str">
        <f t="shared" ca="1" si="419"/>
        <v>VIGENTE</v>
      </c>
      <c r="AJ115" s="2"/>
      <c r="AK115" s="4">
        <v>45937</v>
      </c>
      <c r="AL115" s="4">
        <f t="shared" si="427"/>
        <v>46667</v>
      </c>
      <c r="AM115" s="8">
        <f t="shared" ca="1" si="253"/>
        <v>533</v>
      </c>
      <c r="AN115" s="5" t="str">
        <f t="shared" ca="1" si="254"/>
        <v>VIGENTE</v>
      </c>
      <c r="AO115" s="2"/>
      <c r="AP115" s="4">
        <v>45904</v>
      </c>
      <c r="AQ115" s="4">
        <f>DATE(YEAR(AP115)+2,MONTH(AP115),DAY(AP115))</f>
        <v>46634</v>
      </c>
      <c r="AR115" s="8">
        <f t="shared" ca="1" si="255"/>
        <v>500</v>
      </c>
      <c r="AS115" s="5" t="str">
        <f t="shared" ca="1" si="256"/>
        <v>VIGENTE</v>
      </c>
      <c r="AT115" s="2"/>
      <c r="AU115" s="4">
        <v>45927</v>
      </c>
      <c r="AV115" s="4">
        <f>DATE(YEAR(AU115)+2,MONTH(AU115),DAY(AU115))</f>
        <v>46657</v>
      </c>
      <c r="AW115" s="8">
        <f t="shared" ca="1" si="257"/>
        <v>523</v>
      </c>
      <c r="AX115" s="5" t="str">
        <f t="shared" ca="1" si="258"/>
        <v>VIGENTE</v>
      </c>
      <c r="AY115" s="3"/>
      <c r="AZ115" s="4">
        <v>46041</v>
      </c>
      <c r="BA115" s="4">
        <f>DATE(YEAR(AZ115)+2,MONTH(AZ115),DAY(AZ115))</f>
        <v>46771</v>
      </c>
      <c r="BB115" s="8">
        <f t="shared" ca="1" si="259"/>
        <v>637</v>
      </c>
      <c r="BC115" s="5" t="str">
        <f t="shared" ca="1" si="260"/>
        <v>VIGENTE</v>
      </c>
      <c r="BD115" s="2"/>
      <c r="BE115" s="4">
        <v>45997</v>
      </c>
      <c r="BF115" s="4">
        <f>DATE(YEAR(BE115)+2,MONTH(BE115),DAY(BE115))</f>
        <v>46727</v>
      </c>
      <c r="BG115" s="8">
        <f t="shared" ca="1" si="261"/>
        <v>593</v>
      </c>
      <c r="BH115" s="5" t="str">
        <f t="shared" ca="1" si="262"/>
        <v>VIGENTE</v>
      </c>
      <c r="BI115" s="3"/>
      <c r="BJ115" s="4">
        <v>46006</v>
      </c>
      <c r="BK115" s="4">
        <f>DATE(YEAR(BJ115)+2,MONTH(BJ115),DAY(BJ115))</f>
        <v>46736</v>
      </c>
      <c r="BL115" s="8">
        <f t="shared" ca="1" si="263"/>
        <v>602</v>
      </c>
      <c r="BM115" s="5" t="str">
        <f t="shared" ca="1" si="264"/>
        <v>VIGENTE</v>
      </c>
      <c r="BN115" s="4"/>
      <c r="BO115" s="4">
        <v>45981</v>
      </c>
      <c r="BP115" s="4">
        <f>DATE(YEAR(BO115)+2,MONTH(BO115),DAY(BO115))</f>
        <v>46711</v>
      </c>
      <c r="BQ115" s="8">
        <f t="shared" ca="1" si="265"/>
        <v>577</v>
      </c>
      <c r="BR115" s="5" t="str">
        <f t="shared" ca="1" si="266"/>
        <v>VIGENTE</v>
      </c>
      <c r="BS115" s="3"/>
      <c r="BT115" s="4">
        <v>46031</v>
      </c>
      <c r="BU115" s="4">
        <f>DATE(YEAR(BT115)+2,MONTH(BT115),DAY(BT115))</f>
        <v>46761</v>
      </c>
      <c r="BV115" s="8">
        <f t="shared" ca="1" si="267"/>
        <v>627</v>
      </c>
      <c r="BW115" s="5" t="str">
        <f t="shared" ca="1" si="268"/>
        <v>VIGENTE</v>
      </c>
      <c r="BX115" s="2"/>
      <c r="BY115" s="4">
        <v>45986</v>
      </c>
      <c r="BZ115" s="4">
        <f t="shared" si="435"/>
        <v>46716</v>
      </c>
      <c r="CA115" s="8">
        <f t="shared" ca="1" si="269"/>
        <v>582</v>
      </c>
      <c r="CB115" s="5" t="str">
        <f t="shared" ca="1" si="270"/>
        <v>VIGENTE</v>
      </c>
      <c r="CC115" s="6" t="s">
        <v>73</v>
      </c>
      <c r="CD115" s="4">
        <v>45565</v>
      </c>
      <c r="CE115" s="4">
        <f t="shared" si="428"/>
        <v>47026</v>
      </c>
      <c r="CF115" s="8">
        <f t="shared" ca="1" si="429"/>
        <v>892</v>
      </c>
      <c r="CG115" s="5" t="str">
        <f t="shared" ca="1" si="430"/>
        <v>VIGENTE</v>
      </c>
      <c r="CH115" s="4"/>
      <c r="CI115" s="4">
        <v>46018</v>
      </c>
      <c r="CJ115" s="4">
        <f>DATE(YEAR(CI115)+2,MONTH(CI115),DAY(CI115))</f>
        <v>46748</v>
      </c>
      <c r="CK115" s="8">
        <f t="shared" ca="1" si="274"/>
        <v>614</v>
      </c>
      <c r="CL115" s="5" t="str">
        <f t="shared" ca="1" si="275"/>
        <v>VIGENTE</v>
      </c>
      <c r="CM115" s="4"/>
      <c r="CN115" s="4">
        <v>45979</v>
      </c>
      <c r="CO115" s="4">
        <f>DATE(YEAR(CN115)+2,MONTH(CN115),DAY(CN115))</f>
        <v>46709</v>
      </c>
      <c r="CP115" s="8">
        <f t="shared" ca="1" si="276"/>
        <v>575</v>
      </c>
      <c r="CQ115" s="5" t="str">
        <f t="shared" ca="1" si="277"/>
        <v>VIGENTE</v>
      </c>
      <c r="CR115" s="2"/>
      <c r="CS115" s="4">
        <v>45905</v>
      </c>
      <c r="CT115" s="4">
        <f>DATE(YEAR(CS115)+2,MONTH(CS115),DAY(CS115))</f>
        <v>46635</v>
      </c>
      <c r="CU115" s="8">
        <f t="shared" ca="1" si="278"/>
        <v>501</v>
      </c>
      <c r="CV115" s="5" t="str">
        <f t="shared" ca="1" si="279"/>
        <v>VIGENTE</v>
      </c>
      <c r="CW115" s="3"/>
      <c r="CX115" s="4">
        <v>46000</v>
      </c>
      <c r="CY115" s="4">
        <f>DATE(YEAR(CX115)+2,MONTH(CX115),DAY(CX115))</f>
        <v>46730</v>
      </c>
      <c r="CZ115" s="8">
        <f t="shared" ca="1" si="280"/>
        <v>596</v>
      </c>
      <c r="DA115" s="5" t="str">
        <f t="shared" ca="1" si="281"/>
        <v>VIGENTE</v>
      </c>
      <c r="DB115" s="3"/>
      <c r="DC115" s="4">
        <v>45996</v>
      </c>
      <c r="DD115" s="4">
        <f>DATE(YEAR(DC115)+2,MONTH(DC115),DAY(DC115))</f>
        <v>46726</v>
      </c>
      <c r="DE115" s="8">
        <f t="shared" ca="1" si="282"/>
        <v>592</v>
      </c>
      <c r="DF115" s="5" t="str">
        <f t="shared" ca="1" si="283"/>
        <v>VIGENTE</v>
      </c>
      <c r="DG115" s="4"/>
      <c r="DH115" s="4">
        <v>45975</v>
      </c>
      <c r="DI115" s="4">
        <f>DATE(YEAR(DH115)+2,MONTH(DH115),DAY(DH115))</f>
        <v>46705</v>
      </c>
      <c r="DJ115" s="8">
        <f t="shared" ca="1" si="284"/>
        <v>571</v>
      </c>
      <c r="DK115" s="5" t="str">
        <f t="shared" ca="1" si="285"/>
        <v>VIGENTE</v>
      </c>
      <c r="DL115" s="3"/>
      <c r="DM115" s="4">
        <v>46007</v>
      </c>
      <c r="DN115" s="4">
        <f>DATE(YEAR(DM115)+2,MONTH(DM115),DAY(DM115))</f>
        <v>46737</v>
      </c>
      <c r="DO115" s="8">
        <f t="shared" ca="1" si="286"/>
        <v>603</v>
      </c>
      <c r="DP115" s="5" t="str">
        <f t="shared" ca="1" si="287"/>
        <v>VIGENTE</v>
      </c>
      <c r="DQ115" s="3"/>
      <c r="DR115" s="4">
        <v>46003</v>
      </c>
      <c r="DS115" s="4">
        <f>DATE(YEAR(DR115)+2,MONTH(DR115),DAY(DR115))</f>
        <v>46733</v>
      </c>
      <c r="DT115" s="8">
        <f t="shared" ca="1" si="288"/>
        <v>599</v>
      </c>
      <c r="DU115" s="5" t="str">
        <f t="shared" ca="1" si="289"/>
        <v>VIGENTE</v>
      </c>
      <c r="DV115" s="4"/>
      <c r="DW115" s="4">
        <v>46032</v>
      </c>
      <c r="DX115" s="4">
        <f>DATE(YEAR(DW115)+2,MONTH(DW115),DAY(DW115))</f>
        <v>46762</v>
      </c>
      <c r="DY115" s="8">
        <f t="shared" ca="1" si="290"/>
        <v>628</v>
      </c>
      <c r="DZ115" s="5" t="str">
        <f t="shared" ca="1" si="291"/>
        <v>VIGENTE</v>
      </c>
      <c r="EA115" s="4"/>
      <c r="EB115" s="4">
        <v>45994</v>
      </c>
      <c r="EC115" s="4">
        <f>DATE(YEAR(EB115)+2,MONTH(EB115),DAY(EB115))</f>
        <v>46724</v>
      </c>
      <c r="ED115" s="8">
        <f t="shared" ca="1" si="292"/>
        <v>590</v>
      </c>
      <c r="EE115" s="5" t="str">
        <f t="shared" ca="1" si="293"/>
        <v>VIGENTE</v>
      </c>
      <c r="EF115" s="3"/>
      <c r="EG115" s="3">
        <v>46015</v>
      </c>
      <c r="EH115" s="4">
        <f t="shared" si="364"/>
        <v>46380</v>
      </c>
      <c r="EI115" s="8">
        <f t="shared" ca="1" si="294"/>
        <v>246</v>
      </c>
      <c r="EJ115" s="5" t="str">
        <f t="shared" ca="1" si="295"/>
        <v>VIGENTE</v>
      </c>
      <c r="EK115" s="3"/>
      <c r="EL115" s="4">
        <v>45983</v>
      </c>
      <c r="EM115" s="4">
        <f>DATE(YEAR(EL115)+2,MONTH(EL115),DAY(EL115))</f>
        <v>46713</v>
      </c>
      <c r="EN115" s="8">
        <f t="shared" ca="1" si="296"/>
        <v>579</v>
      </c>
      <c r="EO115" s="5" t="str">
        <f t="shared" ca="1" si="297"/>
        <v>VIGENTE</v>
      </c>
      <c r="EP115" s="2"/>
      <c r="EQ115" s="4">
        <v>45999</v>
      </c>
      <c r="ER115" s="4">
        <f>DATE(YEAR(EQ115)+2,MONTH(EQ115),DAY(EQ115))</f>
        <v>46729</v>
      </c>
      <c r="ES115" s="8">
        <f t="shared" ca="1" si="298"/>
        <v>595</v>
      </c>
      <c r="ET115" s="5" t="str">
        <f t="shared" ca="1" si="299"/>
        <v>VIGENTE</v>
      </c>
      <c r="EU115" s="3"/>
      <c r="EV115" s="4">
        <v>46037</v>
      </c>
      <c r="EW115" s="4">
        <f t="shared" si="436"/>
        <v>46767</v>
      </c>
      <c r="EX115" s="8">
        <f t="shared" ca="1" si="300"/>
        <v>633</v>
      </c>
      <c r="EY115" s="5" t="str">
        <f t="shared" ca="1" si="301"/>
        <v>VIGENTE</v>
      </c>
      <c r="EZ115" s="2"/>
      <c r="FA115" s="4">
        <v>45988</v>
      </c>
      <c r="FB115" s="4">
        <f>DATE(YEAR(FA115)+2,MONTH(FA115),DAY(FA115))</f>
        <v>46718</v>
      </c>
      <c r="FC115" s="8">
        <f t="shared" ca="1" si="302"/>
        <v>584</v>
      </c>
      <c r="FD115" s="5" t="str">
        <f t="shared" ca="1" si="303"/>
        <v>VIGENTE</v>
      </c>
      <c r="FE115" s="3"/>
      <c r="FF115" s="4">
        <v>45962</v>
      </c>
      <c r="FG115" s="4">
        <f t="shared" si="437"/>
        <v>46692</v>
      </c>
      <c r="FH115" s="8">
        <f t="shared" ca="1" si="304"/>
        <v>558</v>
      </c>
      <c r="FI115" s="5" t="str">
        <f t="shared" ca="1" si="305"/>
        <v>VIGENTE</v>
      </c>
      <c r="FJ115" s="4"/>
      <c r="FK115" s="4">
        <v>46039</v>
      </c>
      <c r="FL115" s="4">
        <f>DATE(YEAR(FK115)+2,MONTH(FK115),DAY(FK115))</f>
        <v>46769</v>
      </c>
      <c r="FM115" s="8">
        <f t="shared" ca="1" si="306"/>
        <v>635</v>
      </c>
      <c r="FN115" s="5" t="str">
        <f t="shared" ca="1" si="307"/>
        <v>VIGENTE</v>
      </c>
      <c r="FO115" s="4"/>
      <c r="FP115" s="4">
        <v>46034</v>
      </c>
      <c r="FQ115" s="4">
        <f>DATE(YEAR(FP115)+2,MONTH(FP115),DAY(FP115))</f>
        <v>46764</v>
      </c>
      <c r="FR115" s="8">
        <f t="shared" ca="1" si="308"/>
        <v>630</v>
      </c>
      <c r="FS115" s="5" t="str">
        <f t="shared" ca="1" si="309"/>
        <v>VIGENTE</v>
      </c>
      <c r="FT115" s="3"/>
      <c r="FU115" s="4">
        <v>45993</v>
      </c>
      <c r="FV115" s="4">
        <f>DATE(YEAR(FU115)+2,MONTH(FU115),DAY(FU115))</f>
        <v>46723</v>
      </c>
      <c r="FW115" s="8">
        <f t="shared" ca="1" si="310"/>
        <v>589</v>
      </c>
      <c r="FX115" s="5" t="str">
        <f t="shared" ca="1" si="311"/>
        <v>VIGENTE</v>
      </c>
      <c r="FY115" s="3"/>
      <c r="FZ115" s="4">
        <v>45925</v>
      </c>
      <c r="GA115" s="4">
        <f>DATE(YEAR(FZ115)+2,MONTH(FZ115),DAY(FZ115))</f>
        <v>46655</v>
      </c>
      <c r="GB115" s="8">
        <f t="shared" ca="1" si="312"/>
        <v>521</v>
      </c>
      <c r="GC115" s="5" t="str">
        <f t="shared" ca="1" si="313"/>
        <v>VIGENTE</v>
      </c>
      <c r="GD115" s="3"/>
      <c r="GE115" s="4">
        <v>45960</v>
      </c>
      <c r="GF115" s="4">
        <f>DATE(YEAR(GE115)+2,MONTH(GE115),DAY(GE115))</f>
        <v>46690</v>
      </c>
      <c r="GG115" s="8">
        <f t="shared" ca="1" si="314"/>
        <v>556</v>
      </c>
      <c r="GH115" s="5" t="str">
        <f t="shared" ca="1" si="315"/>
        <v>VIGENTE</v>
      </c>
      <c r="GI115" s="3"/>
      <c r="GJ115" s="4">
        <v>45499</v>
      </c>
      <c r="GK115" s="4">
        <f>DATE(YEAR(GJ115)+2,MONTH(GJ115),DAY(GJ115)-1)</f>
        <v>46228</v>
      </c>
      <c r="GL115" s="8">
        <f t="shared" ca="1" si="316"/>
        <v>94</v>
      </c>
      <c r="GM115" s="5" t="str">
        <f t="shared" ca="1" si="317"/>
        <v>VIGENTE</v>
      </c>
      <c r="GN115" s="4"/>
      <c r="GO115" s="4">
        <v>45299</v>
      </c>
      <c r="GP115" s="4">
        <f t="shared" si="318"/>
        <v>47126</v>
      </c>
      <c r="GQ115" s="8">
        <f t="shared" ca="1" si="418"/>
        <v>992</v>
      </c>
      <c r="GR115" s="5" t="str">
        <f t="shared" ca="1" si="431"/>
        <v>VIGENTE</v>
      </c>
      <c r="GS115" s="3"/>
      <c r="GT115" s="4">
        <v>45329</v>
      </c>
      <c r="GU115" s="4">
        <f t="shared" si="320"/>
        <v>47156</v>
      </c>
      <c r="GV115" s="8">
        <f t="shared" ca="1" si="321"/>
        <v>1022</v>
      </c>
      <c r="GW115" s="5" t="str">
        <f t="shared" ca="1" si="432"/>
        <v>VIGENTE</v>
      </c>
      <c r="GX115" s="2"/>
      <c r="GY115" s="4">
        <v>45343</v>
      </c>
      <c r="GZ115" s="4">
        <f t="shared" si="323"/>
        <v>47170</v>
      </c>
      <c r="HA115" s="8">
        <f t="shared" ca="1" si="324"/>
        <v>1036</v>
      </c>
      <c r="HB115" s="5" t="str">
        <f t="shared" ca="1" si="433"/>
        <v>VIGENTE</v>
      </c>
      <c r="HC115" s="6"/>
      <c r="HD115" s="4">
        <v>45317</v>
      </c>
      <c r="HE115" s="4">
        <f t="shared" si="416"/>
        <v>47144</v>
      </c>
      <c r="HF115" s="8">
        <f t="shared" ca="1" si="417"/>
        <v>1010</v>
      </c>
      <c r="HG115" s="5" t="str">
        <f t="shared" ca="1" si="434"/>
        <v>VIGENTE</v>
      </c>
      <c r="HH115" s="2"/>
      <c r="HI115" s="6"/>
      <c r="HJ115" s="4"/>
      <c r="HK115" s="8"/>
      <c r="HL115" s="5" t="str">
        <f t="shared" si="420"/>
        <v>NO APLICA</v>
      </c>
      <c r="HM115" s="2"/>
      <c r="HN115" s="2"/>
      <c r="HO115" s="4"/>
      <c r="HP115" s="2"/>
      <c r="HQ115" s="5" t="str">
        <f t="shared" si="326"/>
        <v>NO APLICA</v>
      </c>
      <c r="HR115" s="2"/>
      <c r="HS115" s="6"/>
      <c r="HT115" s="4"/>
      <c r="HU115" s="8"/>
      <c r="HV115" s="5" t="str">
        <f t="shared" si="327"/>
        <v>NO APLICA</v>
      </c>
      <c r="HW115" s="2"/>
      <c r="HX115" s="6"/>
      <c r="HY115" s="4"/>
      <c r="HZ115" s="8"/>
      <c r="IA115" s="5" t="str">
        <f t="shared" si="328"/>
        <v>NO APLICA</v>
      </c>
      <c r="IB115" s="2"/>
      <c r="IC115" s="6"/>
      <c r="ID115" s="4"/>
      <c r="IE115" s="8"/>
      <c r="IF115" s="5" t="str">
        <f t="shared" si="329"/>
        <v>NO APLICA</v>
      </c>
      <c r="IG115" s="6"/>
      <c r="IH115" s="6"/>
      <c r="II115" s="4"/>
      <c r="IJ115" s="8"/>
      <c r="IK115" s="5" t="str">
        <f t="shared" si="330"/>
        <v>NO APLICA</v>
      </c>
      <c r="IL115" s="2"/>
      <c r="IM115" s="6"/>
      <c r="IN115" s="4"/>
      <c r="IO115" s="8"/>
      <c r="IP115" s="5" t="str">
        <f t="shared" si="331"/>
        <v>NO APLICA</v>
      </c>
      <c r="IQ115" s="2"/>
      <c r="IR115" s="6"/>
      <c r="IS115" s="4"/>
      <c r="IT115" s="8"/>
      <c r="IU115" s="5" t="str">
        <f t="shared" si="332"/>
        <v>NO APLICA</v>
      </c>
      <c r="IV115" s="2"/>
      <c r="IW115" s="6"/>
      <c r="IX115" s="4"/>
      <c r="IY115" s="8"/>
      <c r="IZ115" s="5" t="str">
        <f t="shared" si="333"/>
        <v>NO APLICA</v>
      </c>
      <c r="JA115" s="3"/>
      <c r="JB115" s="3"/>
      <c r="JC115" s="4"/>
      <c r="JD115" s="8"/>
      <c r="JE115" s="5" t="str">
        <f t="shared" si="334"/>
        <v>NO APLICA</v>
      </c>
      <c r="JF115" s="6"/>
      <c r="JG115" s="6"/>
      <c r="JH115" s="6"/>
      <c r="JI115" s="6"/>
      <c r="JJ115" s="5" t="str">
        <f t="shared" si="335"/>
        <v>NO APLICA</v>
      </c>
      <c r="JK115" s="6"/>
      <c r="JL115" s="6"/>
      <c r="JM115" s="6"/>
      <c r="JN115" s="6"/>
      <c r="JO115" s="5" t="str">
        <f t="shared" si="336"/>
        <v>NO APLICA</v>
      </c>
      <c r="JP115" s="6"/>
      <c r="JQ115" s="6"/>
      <c r="JR115" s="6"/>
      <c r="JS115" s="6"/>
      <c r="JT115" s="5" t="str">
        <f t="shared" si="337"/>
        <v>NO APLICA</v>
      </c>
      <c r="JU115" s="5"/>
      <c r="JV115" s="5"/>
      <c r="JW115" s="5"/>
      <c r="JX115" s="5"/>
      <c r="JY115" s="5" t="str">
        <f t="shared" si="338"/>
        <v>NO APLICA</v>
      </c>
      <c r="JZ115" s="5"/>
      <c r="KA115" s="2"/>
      <c r="KB115" s="4"/>
      <c r="KC115" s="8"/>
      <c r="KD115" s="5" t="str">
        <f t="shared" si="339"/>
        <v>NO APLICA</v>
      </c>
      <c r="KE115" s="5"/>
      <c r="KF115" s="2"/>
      <c r="KG115" s="4"/>
      <c r="KH115" s="8"/>
      <c r="KI115" s="5" t="str">
        <f t="shared" si="365"/>
        <v>NO APLICA</v>
      </c>
      <c r="KJ115" s="5"/>
      <c r="KK115" s="2"/>
      <c r="KL115" s="4"/>
      <c r="KM115" s="8"/>
      <c r="KN115" s="5" t="str">
        <f t="shared" si="340"/>
        <v>NO APLICA</v>
      </c>
      <c r="KO115" s="5"/>
      <c r="KP115" s="2"/>
      <c r="KQ115" s="4"/>
      <c r="KR115" s="8"/>
      <c r="KS115" s="5" t="str">
        <f t="shared" si="366"/>
        <v>NO APLICA</v>
      </c>
      <c r="KT115" s="2"/>
      <c r="KU115" s="6"/>
      <c r="KV115" s="4"/>
      <c r="KW115" s="8"/>
      <c r="KX115" s="5" t="str">
        <f t="shared" si="375"/>
        <v>NO APLICA</v>
      </c>
      <c r="KY115" s="5"/>
      <c r="KZ115" s="6"/>
      <c r="LA115" s="4"/>
      <c r="LB115" s="8"/>
      <c r="LC115" s="5" t="str">
        <f t="shared" si="367"/>
        <v>NO APLICA</v>
      </c>
      <c r="LD115" s="6"/>
      <c r="LE115" s="6"/>
      <c r="LF115" s="4"/>
      <c r="LG115" s="8"/>
      <c r="LH115" s="5" t="str">
        <f t="shared" si="341"/>
        <v>NO APLICA</v>
      </c>
      <c r="LI115" s="5"/>
      <c r="LJ115" s="5"/>
      <c r="LK115" s="4"/>
      <c r="LL115" s="8"/>
      <c r="LM115" s="5" t="str">
        <f t="shared" si="376"/>
        <v>NO APLICA</v>
      </c>
      <c r="LN115" s="2"/>
      <c r="LO115" s="6"/>
      <c r="LP115" s="4"/>
      <c r="LQ115" s="8"/>
      <c r="LR115" s="5" t="str">
        <f t="shared" si="368"/>
        <v>NO APLICA</v>
      </c>
      <c r="LS115" s="6"/>
      <c r="LT115" s="6"/>
      <c r="LU115" s="4"/>
      <c r="LV115" s="8"/>
      <c r="LW115" s="5" t="str">
        <f t="shared" si="369"/>
        <v>NO APLICA</v>
      </c>
      <c r="LX115" s="6"/>
      <c r="LY115" s="6"/>
      <c r="LZ115" s="4"/>
      <c r="MA115" s="8"/>
      <c r="MB115" s="5" t="str">
        <f t="shared" si="370"/>
        <v>NO APLICA</v>
      </c>
      <c r="MC115" s="2"/>
      <c r="MD115" s="2"/>
      <c r="ME115" s="4"/>
      <c r="MF115" s="8"/>
      <c r="MG115" s="5" t="str">
        <f t="shared" si="342"/>
        <v>NO APLICA</v>
      </c>
      <c r="MH115" s="2"/>
      <c r="MI115" s="2"/>
      <c r="MJ115" s="4"/>
      <c r="MK115" s="8"/>
      <c r="ML115" s="5" t="str">
        <f t="shared" si="343"/>
        <v>NO APLICA</v>
      </c>
      <c r="MM115" s="5"/>
      <c r="MN115" s="2"/>
      <c r="MO115" s="4"/>
      <c r="MP115" s="8"/>
      <c r="MQ115" s="5" t="str">
        <f t="shared" si="344"/>
        <v>NO APLICA</v>
      </c>
      <c r="MR115" s="5"/>
      <c r="MS115" s="2"/>
      <c r="MT115" s="2"/>
      <c r="MU115" s="2"/>
      <c r="MV115" s="5" t="str">
        <f t="shared" si="345"/>
        <v>NO APLICA</v>
      </c>
      <c r="MW115" s="2"/>
      <c r="MX115" s="6"/>
      <c r="MY115" s="4"/>
      <c r="MZ115" s="8"/>
      <c r="NA115" s="5" t="str">
        <f t="shared" si="346"/>
        <v>NO APLICA</v>
      </c>
      <c r="NB115" s="2"/>
      <c r="NC115" s="6"/>
      <c r="ND115" s="4"/>
      <c r="NE115" s="8"/>
      <c r="NF115" s="5" t="str">
        <f t="shared" si="347"/>
        <v>NO APLICA</v>
      </c>
      <c r="NG115" s="2"/>
      <c r="NH115" s="6"/>
      <c r="NI115" s="4"/>
      <c r="NJ115" s="8"/>
      <c r="NK115" s="5" t="str">
        <f t="shared" si="348"/>
        <v>NO APLICA</v>
      </c>
      <c r="NL115" s="2"/>
      <c r="NM115" s="2"/>
      <c r="NN115" s="4"/>
      <c r="NO115" s="8"/>
      <c r="NP115" s="5" t="str">
        <f t="shared" si="349"/>
        <v>NO APLICA</v>
      </c>
      <c r="NQ115" s="2"/>
      <c r="NR115" s="2"/>
      <c r="NS115" s="4"/>
      <c r="NT115" s="2"/>
      <c r="NU115" s="5" t="str">
        <f t="shared" si="350"/>
        <v>NO APLICA</v>
      </c>
      <c r="NV115" s="6"/>
      <c r="NW115" s="6"/>
      <c r="NX115" s="4"/>
      <c r="NY115" s="8"/>
      <c r="NZ115" s="5" t="str">
        <f t="shared" si="351"/>
        <v>NO APLICA</v>
      </c>
      <c r="OA115" s="6"/>
      <c r="OB115" s="6"/>
      <c r="OC115" s="6"/>
      <c r="OD115" s="6"/>
      <c r="OE115" s="5" t="str">
        <f t="shared" si="352"/>
        <v>NO APLICA</v>
      </c>
      <c r="OF115" s="6"/>
      <c r="OG115" s="6"/>
      <c r="OH115" s="4"/>
      <c r="OI115" s="8"/>
      <c r="OJ115" s="5" t="str">
        <f t="shared" si="353"/>
        <v>NO APLICA</v>
      </c>
      <c r="OK115" s="6"/>
      <c r="OL115" s="6"/>
      <c r="OM115" s="6"/>
      <c r="ON115" s="6"/>
      <c r="OO115" s="5" t="str">
        <f t="shared" si="354"/>
        <v>NO APLICA</v>
      </c>
      <c r="OP115" s="6"/>
      <c r="OQ115" s="6"/>
      <c r="OR115" s="6"/>
      <c r="OS115" s="6"/>
      <c r="OT115" s="5" t="str">
        <f t="shared" si="355"/>
        <v>NO APLICA</v>
      </c>
      <c r="OU115" s="6"/>
      <c r="OV115" s="6"/>
      <c r="OW115" s="6"/>
      <c r="OX115" s="6"/>
      <c r="OY115" s="5" t="str">
        <f t="shared" si="356"/>
        <v>NO APLICA</v>
      </c>
      <c r="OZ115" s="6"/>
      <c r="PA115" s="6"/>
      <c r="PB115" s="6"/>
      <c r="PC115" s="6"/>
      <c r="PD115" s="5" t="str">
        <f t="shared" si="357"/>
        <v>NO APLICA</v>
      </c>
      <c r="PE115" s="6"/>
      <c r="PF115" s="6"/>
      <c r="PG115" s="6"/>
      <c r="PH115" s="6"/>
      <c r="PI115" s="5" t="str">
        <f t="shared" si="358"/>
        <v>NO APLICA</v>
      </c>
      <c r="PJ115" s="5"/>
      <c r="PK115" s="6"/>
      <c r="PL115" s="4"/>
      <c r="PM115" s="8"/>
      <c r="PN115" s="5" t="str">
        <f t="shared" si="359"/>
        <v>NO APLICA</v>
      </c>
      <c r="PO115" s="6"/>
      <c r="PP115" s="6"/>
      <c r="PQ115" s="6"/>
      <c r="PR115" s="6"/>
      <c r="PS115" s="5" t="str">
        <f t="shared" si="360"/>
        <v>NO APLICA</v>
      </c>
      <c r="PT115" s="5"/>
      <c r="PU115" s="4">
        <v>46126</v>
      </c>
      <c r="PV115" s="4">
        <f>DATE(YEAR(PU115)+1,MONTH(PU115),DAY(PU115))</f>
        <v>46491</v>
      </c>
      <c r="PW115" s="8">
        <f ca="1">PV115-TODAY()</f>
        <v>357</v>
      </c>
      <c r="PX115" s="5" t="str">
        <f t="shared" ca="1" si="361"/>
        <v>VIGENTE</v>
      </c>
    </row>
    <row r="116" spans="1:440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395</v>
      </c>
      <c r="V116" s="4">
        <v>45337</v>
      </c>
      <c r="W116" s="4">
        <f t="shared" si="421"/>
        <v>47164</v>
      </c>
      <c r="X116" s="8">
        <f t="shared" ca="1" si="422"/>
        <v>1030</v>
      </c>
      <c r="Y116" s="5" t="str">
        <f t="shared" ca="1" si="423"/>
        <v>VIGENTE</v>
      </c>
      <c r="Z116" s="6" t="s">
        <v>396</v>
      </c>
      <c r="AA116" s="4">
        <v>45577</v>
      </c>
      <c r="AB116" s="4">
        <f t="shared" si="424"/>
        <v>47403</v>
      </c>
      <c r="AC116" s="8">
        <f t="shared" ca="1" si="425"/>
        <v>1269</v>
      </c>
      <c r="AD116" s="5" t="str">
        <f t="shared" ca="1" si="426"/>
        <v>VIGENTE</v>
      </c>
      <c r="AE116" s="4"/>
      <c r="AF116" s="4">
        <v>46006</v>
      </c>
      <c r="AG116" s="4">
        <f>DATE(YEAR(AF116)+2,MONTH(AF116),DAY(AF116))</f>
        <v>46736</v>
      </c>
      <c r="AH116" s="8">
        <f t="shared" ca="1" si="252"/>
        <v>602</v>
      </c>
      <c r="AI116" s="5" t="str">
        <f t="shared" ca="1" si="419"/>
        <v>VIGENTE</v>
      </c>
      <c r="AJ116" s="6"/>
      <c r="AK116" s="4">
        <v>45937</v>
      </c>
      <c r="AL116" s="4">
        <f t="shared" si="427"/>
        <v>46667</v>
      </c>
      <c r="AM116" s="8">
        <f t="shared" ca="1" si="253"/>
        <v>533</v>
      </c>
      <c r="AN116" s="5" t="str">
        <f t="shared" ca="1" si="254"/>
        <v>VIGENTE</v>
      </c>
      <c r="AO116" s="4"/>
      <c r="AP116" s="4">
        <v>46083</v>
      </c>
      <c r="AQ116" s="4">
        <f>DATE(YEAR(AP116)+2,MONTH(AP116),DAY(AP116))</f>
        <v>46814</v>
      </c>
      <c r="AR116" s="8">
        <f t="shared" ca="1" si="255"/>
        <v>680</v>
      </c>
      <c r="AS116" s="5" t="str">
        <f t="shared" ca="1" si="256"/>
        <v>VIGENTE</v>
      </c>
      <c r="AT116" s="4"/>
      <c r="AU116" s="4">
        <v>45990</v>
      </c>
      <c r="AV116" s="4">
        <f>DATE(YEAR(AU116)+2,MONTH(AU116),DAY(AU116))</f>
        <v>46720</v>
      </c>
      <c r="AW116" s="8">
        <f t="shared" ca="1" si="257"/>
        <v>586</v>
      </c>
      <c r="AX116" s="5" t="str">
        <f t="shared" ca="1" si="258"/>
        <v>VIGENTE</v>
      </c>
      <c r="AY116" s="4"/>
      <c r="AZ116" s="4">
        <v>46071</v>
      </c>
      <c r="BA116" s="4">
        <f>DATE(YEAR(AZ116)+2,MONTH(AZ116),DAY(AZ116))</f>
        <v>46801</v>
      </c>
      <c r="BB116" s="8">
        <f t="shared" ca="1" si="259"/>
        <v>667</v>
      </c>
      <c r="BC116" s="5" t="str">
        <f t="shared" ca="1" si="260"/>
        <v>VIGENTE</v>
      </c>
      <c r="BD116" s="6"/>
      <c r="BE116" s="4">
        <v>45987</v>
      </c>
      <c r="BF116" s="4">
        <f>DATE(YEAR(BE116)+2,MONTH(BE116),DAY(BE116))</f>
        <v>46717</v>
      </c>
      <c r="BG116" s="8">
        <f t="shared" ca="1" si="261"/>
        <v>583</v>
      </c>
      <c r="BH116" s="5" t="str">
        <f t="shared" ca="1" si="262"/>
        <v>VIGENTE</v>
      </c>
      <c r="BI116" s="4"/>
      <c r="BJ116" s="4">
        <v>46007</v>
      </c>
      <c r="BK116" s="4">
        <f>DATE(YEAR(BJ116)+2,MONTH(BJ116),DAY(BJ116))</f>
        <v>46737</v>
      </c>
      <c r="BL116" s="8">
        <f t="shared" ca="1" si="263"/>
        <v>603</v>
      </c>
      <c r="BM116" s="5" t="str">
        <f t="shared" ca="1" si="264"/>
        <v>VIGENTE</v>
      </c>
      <c r="BN116" s="4"/>
      <c r="BO116" s="4">
        <v>45988</v>
      </c>
      <c r="BP116" s="4">
        <f>DATE(YEAR(BO116)+2,MONTH(BO116),DAY(BO116))</f>
        <v>46718</v>
      </c>
      <c r="BQ116" s="8">
        <f t="shared" ca="1" si="265"/>
        <v>584</v>
      </c>
      <c r="BR116" s="5" t="str">
        <f t="shared" ca="1" si="266"/>
        <v>VIGENTE</v>
      </c>
      <c r="BS116" s="3"/>
      <c r="BT116" s="4">
        <v>46031</v>
      </c>
      <c r="BU116" s="4">
        <f>DATE(YEAR(BT116)+2,MONTH(BT116),DAY(BT116))</f>
        <v>46761</v>
      </c>
      <c r="BV116" s="8">
        <f t="shared" ca="1" si="267"/>
        <v>627</v>
      </c>
      <c r="BW116" s="5" t="str">
        <f t="shared" ca="1" si="268"/>
        <v>VIGENTE</v>
      </c>
      <c r="BX116" s="4"/>
      <c r="BY116" s="4">
        <v>46095</v>
      </c>
      <c r="BZ116" s="4">
        <f t="shared" si="435"/>
        <v>46826</v>
      </c>
      <c r="CA116" s="8">
        <f t="shared" ca="1" si="269"/>
        <v>692</v>
      </c>
      <c r="CB116" s="5" t="str">
        <f t="shared" ca="1" si="270"/>
        <v>VIGENTE</v>
      </c>
      <c r="CC116" s="6" t="s">
        <v>73</v>
      </c>
      <c r="CD116" s="4">
        <v>45393</v>
      </c>
      <c r="CE116" s="4">
        <f t="shared" si="428"/>
        <v>46854</v>
      </c>
      <c r="CF116" s="8">
        <f t="shared" ca="1" si="429"/>
        <v>720</v>
      </c>
      <c r="CG116" s="5" t="str">
        <f t="shared" ca="1" si="430"/>
        <v>VIGENTE</v>
      </c>
      <c r="CH116" s="4"/>
      <c r="CI116" s="4">
        <v>46018</v>
      </c>
      <c r="CJ116" s="4">
        <f>DATE(YEAR(CI116)+2,MONTH(CI116),DAY(CI116))</f>
        <v>46748</v>
      </c>
      <c r="CK116" s="8">
        <f t="shared" ca="1" si="274"/>
        <v>614</v>
      </c>
      <c r="CL116" s="5" t="str">
        <f t="shared" ca="1" si="275"/>
        <v>VIGENTE</v>
      </c>
      <c r="CM116" s="4"/>
      <c r="CN116" s="4">
        <v>46101</v>
      </c>
      <c r="CO116" s="4">
        <f>DATE(YEAR(CN116)+2,MONTH(CN116),DAY(CN116))</f>
        <v>46832</v>
      </c>
      <c r="CP116" s="8">
        <f t="shared" ca="1" si="276"/>
        <v>698</v>
      </c>
      <c r="CQ116" s="5" t="str">
        <f t="shared" ca="1" si="277"/>
        <v>VIGENTE</v>
      </c>
      <c r="CR116" s="4"/>
      <c r="CS116" s="4">
        <v>46069</v>
      </c>
      <c r="CT116" s="4">
        <f>DATE(YEAR(CS116)+2,MONTH(CS116),DAY(CS116))</f>
        <v>46799</v>
      </c>
      <c r="CU116" s="8">
        <f t="shared" ca="1" si="278"/>
        <v>665</v>
      </c>
      <c r="CV116" s="5" t="str">
        <f t="shared" ca="1" si="279"/>
        <v>VIGENTE</v>
      </c>
      <c r="CW116" s="4"/>
      <c r="CX116" s="4">
        <v>46000</v>
      </c>
      <c r="CY116" s="4">
        <f>DATE(YEAR(CX116)+2,MONTH(CX116),DAY(CX116))</f>
        <v>46730</v>
      </c>
      <c r="CZ116" s="8">
        <f t="shared" ca="1" si="280"/>
        <v>596</v>
      </c>
      <c r="DA116" s="5" t="str">
        <f t="shared" ca="1" si="281"/>
        <v>VIGENTE</v>
      </c>
      <c r="DB116" s="4"/>
      <c r="DC116" s="4">
        <v>45996</v>
      </c>
      <c r="DD116" s="4">
        <f>DATE(YEAR(DC116)+2,MONTH(DC116),DAY(DC116))</f>
        <v>46726</v>
      </c>
      <c r="DE116" s="8">
        <f t="shared" ca="1" si="282"/>
        <v>592</v>
      </c>
      <c r="DF116" s="5" t="str">
        <f t="shared" ca="1" si="283"/>
        <v>VIGENTE</v>
      </c>
      <c r="DG116" s="6"/>
      <c r="DH116" s="4">
        <v>46073</v>
      </c>
      <c r="DI116" s="4">
        <f>DATE(YEAR(DH116)+2,MONTH(DH116),DAY(DH116))</f>
        <v>46803</v>
      </c>
      <c r="DJ116" s="8">
        <f t="shared" ca="1" si="284"/>
        <v>669</v>
      </c>
      <c r="DK116" s="5" t="str">
        <f t="shared" ca="1" si="285"/>
        <v>VIGENTE</v>
      </c>
      <c r="DL116" s="4"/>
      <c r="DM116" s="4">
        <v>46046</v>
      </c>
      <c r="DN116" s="4">
        <f>DATE(YEAR(DM116)+2,MONTH(DM116),DAY(DM116))</f>
        <v>46776</v>
      </c>
      <c r="DO116" s="8">
        <f t="shared" ca="1" si="286"/>
        <v>642</v>
      </c>
      <c r="DP116" s="5" t="str">
        <f t="shared" ca="1" si="287"/>
        <v>VIGENTE</v>
      </c>
      <c r="DQ116" s="6"/>
      <c r="DR116" s="4">
        <v>46053</v>
      </c>
      <c r="DS116" s="4">
        <f>DATE(YEAR(DR116)+2,MONTH(DR116),DAY(DR116))</f>
        <v>46783</v>
      </c>
      <c r="DT116" s="8">
        <f t="shared" ca="1" si="288"/>
        <v>649</v>
      </c>
      <c r="DU116" s="5" t="str">
        <f t="shared" ca="1" si="289"/>
        <v>VIGENTE</v>
      </c>
      <c r="DV116" s="4"/>
      <c r="DW116" s="4">
        <v>46099</v>
      </c>
      <c r="DX116" s="4">
        <f>DATE(YEAR(DW116)+2,MONTH(DW116),DAY(DW116))</f>
        <v>46830</v>
      </c>
      <c r="DY116" s="8">
        <f t="shared" ca="1" si="290"/>
        <v>696</v>
      </c>
      <c r="DZ116" s="5" t="str">
        <f t="shared" ca="1" si="291"/>
        <v>VIGENTE</v>
      </c>
      <c r="EA116" s="4"/>
      <c r="EB116" s="4">
        <v>45494</v>
      </c>
      <c r="EC116" s="4">
        <f>DATE(YEAR(EB116)+2,MONTH(EB116),DAY(EB116)-1)</f>
        <v>46223</v>
      </c>
      <c r="ED116" s="8">
        <f t="shared" ca="1" si="292"/>
        <v>89</v>
      </c>
      <c r="EE116" s="5" t="str">
        <f t="shared" ca="1" si="293"/>
        <v>POR VENCER</v>
      </c>
      <c r="EF116" s="4"/>
      <c r="EG116" s="4">
        <v>45808</v>
      </c>
      <c r="EH116" s="4">
        <f t="shared" si="364"/>
        <v>46173</v>
      </c>
      <c r="EI116" s="8">
        <f t="shared" ca="1" si="294"/>
        <v>39</v>
      </c>
      <c r="EJ116" s="5" t="str">
        <f t="shared" ca="1" si="295"/>
        <v>POR VENCER</v>
      </c>
      <c r="EK116" s="4"/>
      <c r="EL116" s="4">
        <v>45465</v>
      </c>
      <c r="EM116" s="4">
        <f>DATE(YEAR(EL116)+2,MONTH(EL116),DAY(EL116)-1)</f>
        <v>46194</v>
      </c>
      <c r="EN116" s="8">
        <f t="shared" ca="1" si="296"/>
        <v>60</v>
      </c>
      <c r="EO116" s="5" t="str">
        <f t="shared" ca="1" si="297"/>
        <v>POR VENCER</v>
      </c>
      <c r="EP116" s="6"/>
      <c r="EQ116" s="4">
        <v>45999</v>
      </c>
      <c r="ER116" s="4">
        <f>DATE(YEAR(EQ116)+2,MONTH(EQ116),DAY(EQ116))</f>
        <v>46729</v>
      </c>
      <c r="ES116" s="8">
        <f t="shared" ca="1" si="298"/>
        <v>595</v>
      </c>
      <c r="ET116" s="5" t="str">
        <f t="shared" ca="1" si="299"/>
        <v>VIGENTE</v>
      </c>
      <c r="EU116" s="4"/>
      <c r="EV116" s="4">
        <v>46063</v>
      </c>
      <c r="EW116" s="4">
        <f t="shared" si="436"/>
        <v>46793</v>
      </c>
      <c r="EX116" s="8">
        <f t="shared" ca="1" si="300"/>
        <v>659</v>
      </c>
      <c r="EY116" s="5" t="str">
        <f t="shared" ca="1" si="301"/>
        <v>VIGENTE</v>
      </c>
      <c r="EZ116" s="6"/>
      <c r="FA116" s="4">
        <v>45638</v>
      </c>
      <c r="FB116" s="4">
        <f>DATE(YEAR(FA116)+2,MONTH(FA116),DAY(FA116)-1)</f>
        <v>46367</v>
      </c>
      <c r="FC116" s="8">
        <f t="shared" ca="1" si="302"/>
        <v>233</v>
      </c>
      <c r="FD116" s="5" t="str">
        <f t="shared" ca="1" si="303"/>
        <v>VIGENTE</v>
      </c>
      <c r="FE116" s="6"/>
      <c r="FF116" s="4">
        <v>46066</v>
      </c>
      <c r="FG116" s="4">
        <f t="shared" si="437"/>
        <v>46796</v>
      </c>
      <c r="FH116" s="8">
        <f t="shared" ca="1" si="304"/>
        <v>662</v>
      </c>
      <c r="FI116" s="5" t="str">
        <f t="shared" ca="1" si="305"/>
        <v>VIGENTE</v>
      </c>
      <c r="FJ116" s="4"/>
      <c r="FK116" s="4">
        <v>46102</v>
      </c>
      <c r="FL116" s="4">
        <f>DATE(YEAR(FK116)+2,MONTH(FK116),DAY(FK116))</f>
        <v>46833</v>
      </c>
      <c r="FM116" s="8">
        <f t="shared" ca="1" si="306"/>
        <v>699</v>
      </c>
      <c r="FN116" s="5" t="str">
        <f t="shared" ca="1" si="307"/>
        <v>VIGENTE</v>
      </c>
      <c r="FO116" s="4"/>
      <c r="FP116" s="4">
        <v>46034</v>
      </c>
      <c r="FQ116" s="4">
        <f>DATE(YEAR(FP116)+2,MONTH(FP116),DAY(FP116))</f>
        <v>46764</v>
      </c>
      <c r="FR116" s="8">
        <f t="shared" ca="1" si="308"/>
        <v>630</v>
      </c>
      <c r="FS116" s="5" t="str">
        <f t="shared" ca="1" si="309"/>
        <v>VIGENTE</v>
      </c>
      <c r="FT116" s="4"/>
      <c r="FU116" s="4">
        <v>45491</v>
      </c>
      <c r="FV116" s="4">
        <f>DATE(YEAR(FU116)+2,MONTH(FU116),DAY(FU116)-1)</f>
        <v>46220</v>
      </c>
      <c r="FW116" s="8">
        <f t="shared" ca="1" si="310"/>
        <v>86</v>
      </c>
      <c r="FX116" s="5" t="str">
        <f t="shared" ca="1" si="311"/>
        <v>POR VENCER</v>
      </c>
      <c r="FY116" s="3"/>
      <c r="FZ116" s="4">
        <v>46030</v>
      </c>
      <c r="GA116" s="4">
        <f>DATE(YEAR(FZ116)+2,MONTH(FZ116),DAY(FZ116))</f>
        <v>46760</v>
      </c>
      <c r="GB116" s="8">
        <f t="shared" ca="1" si="312"/>
        <v>626</v>
      </c>
      <c r="GC116" s="5" t="str">
        <f t="shared" ca="1" si="313"/>
        <v>VIGENTE</v>
      </c>
      <c r="GD116" s="4"/>
      <c r="GE116" s="4">
        <v>46079</v>
      </c>
      <c r="GF116" s="4">
        <f>DATE(YEAR(GE116)+2,MONTH(GE116),DAY(GE116))</f>
        <v>46809</v>
      </c>
      <c r="GG116" s="8">
        <f t="shared" ca="1" si="314"/>
        <v>675</v>
      </c>
      <c r="GH116" s="5" t="str">
        <f t="shared" ca="1" si="315"/>
        <v>VIGENTE</v>
      </c>
      <c r="GI116" s="3"/>
      <c r="GJ116" s="4">
        <v>46044</v>
      </c>
      <c r="GK116" s="4">
        <f>DATE(YEAR(GJ116)+2,MONTH(GJ116),DAY(GJ116))</f>
        <v>46774</v>
      </c>
      <c r="GL116" s="8">
        <f t="shared" ca="1" si="316"/>
        <v>640</v>
      </c>
      <c r="GM116" s="5" t="str">
        <f t="shared" ca="1" si="317"/>
        <v>VIGENTE</v>
      </c>
      <c r="GN116" s="4"/>
      <c r="GO116" s="4">
        <v>45367</v>
      </c>
      <c r="GP116" s="4">
        <f t="shared" si="318"/>
        <v>47193</v>
      </c>
      <c r="GQ116" s="8">
        <f t="shared" ca="1" si="418"/>
        <v>1059</v>
      </c>
      <c r="GR116" s="5" t="str">
        <f t="shared" ca="1" si="431"/>
        <v>VIGENTE</v>
      </c>
      <c r="GS116" s="4"/>
      <c r="GT116" s="6"/>
      <c r="GU116" s="4">
        <f t="shared" si="320"/>
        <v>1827</v>
      </c>
      <c r="GV116" s="8">
        <f t="shared" ca="1" si="321"/>
        <v>-44307</v>
      </c>
      <c r="GW116" s="5" t="str">
        <f ca="1">IF(GV116&gt;=61,"VIGENTE",IF(GV116&gt;=1,"POR VENCER",IF(GV116&lt;=-1,"PROGRAMAR",IF(GT116=0,"NO APLICA"))))</f>
        <v>PROGRAMAR</v>
      </c>
      <c r="GX116" s="6"/>
      <c r="GY116" s="4">
        <v>45479</v>
      </c>
      <c r="GZ116" s="4">
        <f t="shared" si="323"/>
        <v>47305</v>
      </c>
      <c r="HA116" s="8">
        <f t="shared" ca="1" si="324"/>
        <v>1171</v>
      </c>
      <c r="HB116" s="5" t="str">
        <f t="shared" ca="1" si="433"/>
        <v>VIGENTE</v>
      </c>
      <c r="HC116" s="6"/>
      <c r="HD116" s="6"/>
      <c r="HE116" s="4">
        <f t="shared" si="416"/>
        <v>1827</v>
      </c>
      <c r="HF116" s="8">
        <f t="shared" ca="1" si="417"/>
        <v>-44307</v>
      </c>
      <c r="HG116" s="5" t="str">
        <f ca="1">IF(HF116&gt;=61,"VIGENTE",IF(HF116&gt;=1,"POR VENCER",IF(HF116&lt;=-1,"PROGRAMAR",IF(HD116=0,"NO APLICA"))))</f>
        <v>PROGRAMAR</v>
      </c>
      <c r="HH116" s="6"/>
      <c r="HI116" s="6"/>
      <c r="HJ116" s="4"/>
      <c r="HK116" s="8"/>
      <c r="HL116" s="5" t="str">
        <f t="shared" si="420"/>
        <v>NO APLICA</v>
      </c>
      <c r="HM116" s="2"/>
      <c r="HN116" s="2"/>
      <c r="HO116" s="4"/>
      <c r="HP116" s="2"/>
      <c r="HQ116" s="5" t="str">
        <f t="shared" si="326"/>
        <v>NO APLICA</v>
      </c>
      <c r="HR116" s="6"/>
      <c r="HS116" s="6"/>
      <c r="HT116" s="4"/>
      <c r="HU116" s="8"/>
      <c r="HV116" s="5" t="str">
        <f t="shared" si="327"/>
        <v>NO APLICA</v>
      </c>
      <c r="HW116" s="6"/>
      <c r="HX116" s="6"/>
      <c r="HY116" s="4"/>
      <c r="HZ116" s="8"/>
      <c r="IA116" s="5" t="str">
        <f t="shared" si="328"/>
        <v>NO APLICA</v>
      </c>
      <c r="IB116" s="6"/>
      <c r="IC116" s="6"/>
      <c r="ID116" s="4"/>
      <c r="IE116" s="8"/>
      <c r="IF116" s="5" t="str">
        <f t="shared" si="329"/>
        <v>NO APLICA</v>
      </c>
      <c r="IG116" s="6"/>
      <c r="IH116" s="6"/>
      <c r="II116" s="4"/>
      <c r="IJ116" s="6"/>
      <c r="IK116" s="5" t="str">
        <f t="shared" si="330"/>
        <v>NO APLICA</v>
      </c>
      <c r="IL116" s="6"/>
      <c r="IM116" s="6"/>
      <c r="IN116" s="4"/>
      <c r="IO116" s="8"/>
      <c r="IP116" s="5" t="str">
        <f t="shared" si="331"/>
        <v>NO APLICA</v>
      </c>
      <c r="IQ116" s="6"/>
      <c r="IR116" s="6"/>
      <c r="IS116" s="4"/>
      <c r="IT116" s="8"/>
      <c r="IU116" s="5" t="str">
        <f t="shared" si="332"/>
        <v>NO APLICA</v>
      </c>
      <c r="IV116" s="6"/>
      <c r="IW116" s="6"/>
      <c r="IX116" s="4"/>
      <c r="IY116" s="8"/>
      <c r="IZ116" s="5" t="str">
        <f t="shared" si="333"/>
        <v>NO APLICA</v>
      </c>
      <c r="JA116" s="3"/>
      <c r="JB116" s="3"/>
      <c r="JC116" s="4"/>
      <c r="JD116" s="8"/>
      <c r="JE116" s="5" t="str">
        <f t="shared" si="334"/>
        <v>NO APLICA</v>
      </c>
      <c r="JF116" s="6"/>
      <c r="JG116" s="6"/>
      <c r="JH116" s="6"/>
      <c r="JI116" s="6"/>
      <c r="JJ116" s="5" t="str">
        <f t="shared" si="335"/>
        <v>NO APLICA</v>
      </c>
      <c r="JK116" s="6"/>
      <c r="JL116" s="6"/>
      <c r="JM116" s="6"/>
      <c r="JN116" s="6"/>
      <c r="JO116" s="5" t="str">
        <f t="shared" si="336"/>
        <v>NO APLICA</v>
      </c>
      <c r="JP116" s="6"/>
      <c r="JQ116" s="6"/>
      <c r="JR116" s="6"/>
      <c r="JS116" s="6"/>
      <c r="JT116" s="5" t="str">
        <f t="shared" si="337"/>
        <v>NO APLICA</v>
      </c>
      <c r="JU116" s="5"/>
      <c r="JV116" s="5"/>
      <c r="JW116" s="5"/>
      <c r="JX116" s="5"/>
      <c r="JY116" s="5" t="str">
        <f t="shared" si="338"/>
        <v>NO APLICA</v>
      </c>
      <c r="JZ116" s="5"/>
      <c r="KA116" s="2"/>
      <c r="KB116" s="4"/>
      <c r="KC116" s="8"/>
      <c r="KD116" s="5" t="str">
        <f t="shared" si="339"/>
        <v>NO APLICA</v>
      </c>
      <c r="KE116" s="5"/>
      <c r="KF116" s="4">
        <v>45328</v>
      </c>
      <c r="KG116" s="4">
        <f>DATE(YEAR(KF116)+5,MONTH(KF116),DAY(KF116)-1)</f>
        <v>47154</v>
      </c>
      <c r="KH116" s="8">
        <f ca="1">KG116-TODAY()</f>
        <v>1020</v>
      </c>
      <c r="KI116" s="5" t="str">
        <f t="shared" ca="1" si="365"/>
        <v>VIGENTE</v>
      </c>
      <c r="KJ116" s="5"/>
      <c r="KK116" s="2"/>
      <c r="KL116" s="4"/>
      <c r="KM116" s="8"/>
      <c r="KN116" s="5" t="str">
        <f t="shared" si="340"/>
        <v>NO APLICA</v>
      </c>
      <c r="KO116" s="5"/>
      <c r="KP116" s="3">
        <v>45346</v>
      </c>
      <c r="KQ116" s="4">
        <f>DATE(YEAR(KP116)+5,MONTH(KP116),DAY(KP116))</f>
        <v>47173</v>
      </c>
      <c r="KR116" s="8">
        <f ca="1">KQ116-TODAY()</f>
        <v>1039</v>
      </c>
      <c r="KS116" s="5" t="str">
        <f t="shared" ca="1" si="366"/>
        <v>VIGENTE</v>
      </c>
      <c r="KT116" s="6"/>
      <c r="KU116" s="6"/>
      <c r="KV116" s="4"/>
      <c r="KW116" s="6"/>
      <c r="KX116" s="5" t="str">
        <f t="shared" si="375"/>
        <v>NO APLICA</v>
      </c>
      <c r="KY116" s="5"/>
      <c r="KZ116" s="6"/>
      <c r="LA116" s="4"/>
      <c r="LB116" s="6"/>
      <c r="LC116" s="5" t="str">
        <f t="shared" si="367"/>
        <v>NO APLICA</v>
      </c>
      <c r="LD116" s="6"/>
      <c r="LE116" s="4"/>
      <c r="LF116" s="4"/>
      <c r="LG116" s="8"/>
      <c r="LH116" s="5" t="str">
        <f t="shared" si="341"/>
        <v>NO APLICA</v>
      </c>
      <c r="LI116" s="5"/>
      <c r="LJ116" s="5"/>
      <c r="LK116" s="5"/>
      <c r="LL116" s="5"/>
      <c r="LM116" s="5" t="str">
        <f t="shared" si="376"/>
        <v>NO APLICA</v>
      </c>
      <c r="LN116" s="6"/>
      <c r="LO116" s="6"/>
      <c r="LP116" s="4"/>
      <c r="LQ116" s="8"/>
      <c r="LR116" s="5" t="str">
        <f t="shared" si="368"/>
        <v>NO APLICA</v>
      </c>
      <c r="LS116" s="6"/>
      <c r="LT116" s="6"/>
      <c r="LU116" s="4"/>
      <c r="LV116" s="6"/>
      <c r="LW116" s="5" t="str">
        <f t="shared" si="369"/>
        <v>NO APLICA</v>
      </c>
      <c r="LX116" s="6"/>
      <c r="LY116" s="6"/>
      <c r="LZ116" s="4"/>
      <c r="MA116" s="6"/>
      <c r="MB116" s="5" t="str">
        <f t="shared" si="370"/>
        <v>NO APLICA</v>
      </c>
      <c r="MC116" s="6"/>
      <c r="MD116" s="6"/>
      <c r="ME116" s="4"/>
      <c r="MF116" s="6"/>
      <c r="MG116" s="5" t="str">
        <f t="shared" si="342"/>
        <v>NO APLICA</v>
      </c>
      <c r="MH116" s="6"/>
      <c r="MI116" s="6"/>
      <c r="MJ116" s="4"/>
      <c r="MK116" s="6"/>
      <c r="ML116" s="5" t="str">
        <f t="shared" si="343"/>
        <v>NO APLICA</v>
      </c>
      <c r="MM116" s="5"/>
      <c r="MN116" s="6"/>
      <c r="MO116" s="4"/>
      <c r="MP116" s="6"/>
      <c r="MQ116" s="5" t="str">
        <f t="shared" si="344"/>
        <v>NO APLICA</v>
      </c>
      <c r="MR116" s="5"/>
      <c r="MS116" s="6"/>
      <c r="MT116" s="6"/>
      <c r="MU116" s="6"/>
      <c r="MV116" s="5" t="str">
        <f t="shared" si="345"/>
        <v>NO APLICA</v>
      </c>
      <c r="MW116" s="6"/>
      <c r="MX116" s="6"/>
      <c r="MY116" s="4"/>
      <c r="MZ116" s="6"/>
      <c r="NA116" s="5" t="str">
        <f t="shared" si="346"/>
        <v>NO APLICA</v>
      </c>
      <c r="NB116" s="6"/>
      <c r="NC116" s="6"/>
      <c r="ND116" s="4"/>
      <c r="NE116" s="6"/>
      <c r="NF116" s="5" t="str">
        <f t="shared" si="347"/>
        <v>NO APLICA</v>
      </c>
      <c r="NG116" s="6"/>
      <c r="NH116" s="6"/>
      <c r="NI116" s="4"/>
      <c r="NJ116" s="6"/>
      <c r="NK116" s="5" t="str">
        <f t="shared" si="348"/>
        <v>NO APLICA</v>
      </c>
      <c r="NL116" s="6"/>
      <c r="NM116" s="6"/>
      <c r="NN116" s="4"/>
      <c r="NO116" s="6"/>
      <c r="NP116" s="5" t="str">
        <f t="shared" si="349"/>
        <v>NO APLICA</v>
      </c>
      <c r="NQ116" s="6"/>
      <c r="NR116" s="6"/>
      <c r="NS116" s="4"/>
      <c r="NT116" s="6"/>
      <c r="NU116" s="5" t="str">
        <f t="shared" si="350"/>
        <v>NO APLICA</v>
      </c>
      <c r="NV116" s="6"/>
      <c r="NW116" s="6"/>
      <c r="NX116" s="4"/>
      <c r="NY116" s="8"/>
      <c r="NZ116" s="5" t="str">
        <f t="shared" si="351"/>
        <v>NO APLICA</v>
      </c>
      <c r="OA116" s="6"/>
      <c r="OB116" s="6"/>
      <c r="OC116" s="6"/>
      <c r="OD116" s="6"/>
      <c r="OE116" s="5" t="str">
        <f t="shared" si="352"/>
        <v>NO APLICA</v>
      </c>
      <c r="OF116" s="6"/>
      <c r="OG116" s="6"/>
      <c r="OH116" s="6"/>
      <c r="OI116" s="6"/>
      <c r="OJ116" s="5" t="str">
        <f t="shared" si="353"/>
        <v>NO APLICA</v>
      </c>
      <c r="OK116" s="6"/>
      <c r="OL116" s="6"/>
      <c r="OM116" s="4"/>
      <c r="ON116" s="8"/>
      <c r="OO116" s="5" t="str">
        <f t="shared" si="354"/>
        <v>NO APLICA</v>
      </c>
      <c r="OP116" s="6"/>
      <c r="OQ116" s="6"/>
      <c r="OR116" s="6"/>
      <c r="OS116" s="6"/>
      <c r="OT116" s="5" t="str">
        <f t="shared" si="355"/>
        <v>NO APLICA</v>
      </c>
      <c r="OU116" s="6"/>
      <c r="OV116" s="6"/>
      <c r="OW116" s="6"/>
      <c r="OX116" s="6"/>
      <c r="OY116" s="5" t="str">
        <f t="shared" si="356"/>
        <v>NO APLICA</v>
      </c>
      <c r="OZ116" s="6"/>
      <c r="PA116" s="6"/>
      <c r="PB116" s="6"/>
      <c r="PC116" s="6"/>
      <c r="PD116" s="5" t="str">
        <f t="shared" si="357"/>
        <v>NO APLICA</v>
      </c>
      <c r="PE116" s="6"/>
      <c r="PF116" s="6"/>
      <c r="PG116" s="6"/>
      <c r="PH116" s="6"/>
      <c r="PI116" s="5" t="str">
        <f t="shared" si="358"/>
        <v>NO APLICA</v>
      </c>
      <c r="PJ116" s="5"/>
      <c r="PK116" s="6"/>
      <c r="PL116" s="6"/>
      <c r="PM116" s="6"/>
      <c r="PN116" s="5" t="str">
        <f t="shared" si="359"/>
        <v>NO APLICA</v>
      </c>
      <c r="PO116" s="6"/>
      <c r="PP116" s="6"/>
      <c r="PQ116" s="6"/>
      <c r="PR116" s="6"/>
      <c r="PS116" s="5" t="str">
        <f t="shared" si="360"/>
        <v>NO APLICA</v>
      </c>
      <c r="PT116" s="5"/>
      <c r="PU116" s="6"/>
      <c r="PV116" s="6"/>
      <c r="PW116" s="6"/>
      <c r="PX116" s="5" t="str">
        <f t="shared" si="361"/>
        <v>NO APLICA</v>
      </c>
    </row>
    <row r="117" spans="1:440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2" t="s">
        <v>398</v>
      </c>
      <c r="V117" s="4">
        <v>44590</v>
      </c>
      <c r="W117" s="4">
        <f t="shared" si="421"/>
        <v>46416</v>
      </c>
      <c r="X117" s="8">
        <f t="shared" ca="1" si="422"/>
        <v>282</v>
      </c>
      <c r="Y117" s="5" t="str">
        <f t="shared" ca="1" si="423"/>
        <v>VIGENTE</v>
      </c>
      <c r="Z117" s="2" t="s">
        <v>399</v>
      </c>
      <c r="AA117" s="4">
        <v>45190</v>
      </c>
      <c r="AB117" s="4">
        <f t="shared" si="424"/>
        <v>47017</v>
      </c>
      <c r="AC117" s="8">
        <f t="shared" ca="1" si="425"/>
        <v>883</v>
      </c>
      <c r="AD117" s="5" t="str">
        <f t="shared" ca="1" si="426"/>
        <v>VIGENTE</v>
      </c>
      <c r="AE117" s="3"/>
      <c r="AF117" s="4">
        <v>45902</v>
      </c>
      <c r="AG117" s="4">
        <f>DATE(YEAR(AF117)+2,MONTH(AF117),DAY(AF117))</f>
        <v>46632</v>
      </c>
      <c r="AH117" s="8">
        <f t="shared" ca="1" si="252"/>
        <v>498</v>
      </c>
      <c r="AI117" s="5" t="str">
        <f t="shared" ca="1" si="419"/>
        <v>VIGENTE</v>
      </c>
      <c r="AJ117" s="3"/>
      <c r="AK117" s="4">
        <v>45710</v>
      </c>
      <c r="AL117" s="4">
        <f>DATE(YEAR(AK117)+2,MONTH(AK117),DAY(AK117)-1)</f>
        <v>46439</v>
      </c>
      <c r="AM117" s="8">
        <f t="shared" ca="1" si="253"/>
        <v>305</v>
      </c>
      <c r="AN117" s="5" t="str">
        <f t="shared" ca="1" si="254"/>
        <v>VIGENTE</v>
      </c>
      <c r="AO117" s="3"/>
      <c r="AP117" s="4">
        <v>45703</v>
      </c>
      <c r="AQ117" s="4">
        <f>DATE(YEAR(AP117)+2,MONTH(AP117),DAY(AP117)-1)</f>
        <v>46432</v>
      </c>
      <c r="AR117" s="8">
        <f t="shared" ca="1" si="255"/>
        <v>298</v>
      </c>
      <c r="AS117" s="5" t="str">
        <f t="shared" ca="1" si="256"/>
        <v>VIGENTE</v>
      </c>
      <c r="AT117" s="3"/>
      <c r="AU117" s="4">
        <v>45702</v>
      </c>
      <c r="AV117" s="4">
        <f>DATE(YEAR(AU117)+2,MONTH(AU117),DAY(AU117)-1)</f>
        <v>46431</v>
      </c>
      <c r="AW117" s="8">
        <f t="shared" ca="1" si="257"/>
        <v>297</v>
      </c>
      <c r="AX117" s="5" t="str">
        <f t="shared" ca="1" si="258"/>
        <v>VIGENTE</v>
      </c>
      <c r="AY117" s="3"/>
      <c r="AZ117" s="4">
        <v>45603</v>
      </c>
      <c r="BA117" s="4">
        <f>DATE(YEAR(AZ117)+2,MONTH(AZ117),DAY(AZ117)-1)</f>
        <v>46332</v>
      </c>
      <c r="BB117" s="8">
        <f t="shared" ca="1" si="259"/>
        <v>198</v>
      </c>
      <c r="BC117" s="5" t="str">
        <f t="shared" ca="1" si="260"/>
        <v>VIGENTE</v>
      </c>
      <c r="BD117" s="3"/>
      <c r="BE117" s="4">
        <v>45698</v>
      </c>
      <c r="BF117" s="4">
        <f>DATE(YEAR(BE117)+2,MONTH(BE117),DAY(BE117)-1)</f>
        <v>46427</v>
      </c>
      <c r="BG117" s="8">
        <f t="shared" ca="1" si="261"/>
        <v>293</v>
      </c>
      <c r="BH117" s="5" t="str">
        <f t="shared" ca="1" si="262"/>
        <v>VIGENTE</v>
      </c>
      <c r="BI117" s="3"/>
      <c r="BJ117" s="4">
        <v>45600</v>
      </c>
      <c r="BK117" s="4">
        <f>DATE(YEAR(BJ117)+2,MONTH(BJ117),DAY(BJ117)-1)</f>
        <v>46329</v>
      </c>
      <c r="BL117" s="8">
        <f t="shared" ca="1" si="263"/>
        <v>195</v>
      </c>
      <c r="BM117" s="5" t="str">
        <f t="shared" ca="1" si="264"/>
        <v>VIGENTE</v>
      </c>
      <c r="BN117" s="3"/>
      <c r="BO117" s="4">
        <v>45701</v>
      </c>
      <c r="BP117" s="4">
        <f>DATE(YEAR(BO117)+2,MONTH(BO117),DAY(BO117)-1)</f>
        <v>46430</v>
      </c>
      <c r="BQ117" s="8">
        <f t="shared" ca="1" si="265"/>
        <v>296</v>
      </c>
      <c r="BR117" s="5" t="str">
        <f t="shared" ca="1" si="266"/>
        <v>VIGENTE</v>
      </c>
      <c r="BS117" s="3"/>
      <c r="BT117" s="4">
        <v>45611</v>
      </c>
      <c r="BU117" s="4">
        <f>DATE(YEAR(BT117)+2,MONTH(BT117),DAY(BT117)-1)</f>
        <v>46340</v>
      </c>
      <c r="BV117" s="8">
        <f t="shared" ca="1" si="267"/>
        <v>206</v>
      </c>
      <c r="BW117" s="5" t="str">
        <f t="shared" ca="1" si="268"/>
        <v>VIGENTE</v>
      </c>
      <c r="BX117" s="3"/>
      <c r="BY117" s="4">
        <v>45944</v>
      </c>
      <c r="BZ117" s="4">
        <f t="shared" si="435"/>
        <v>46674</v>
      </c>
      <c r="CA117" s="8">
        <f t="shared" ca="1" si="269"/>
        <v>540</v>
      </c>
      <c r="CB117" s="5" t="str">
        <f t="shared" ca="1" si="270"/>
        <v>VIGENTE</v>
      </c>
      <c r="CC117" s="6" t="s">
        <v>73</v>
      </c>
      <c r="CD117" s="4">
        <v>45464</v>
      </c>
      <c r="CE117" s="4">
        <f t="shared" si="428"/>
        <v>46925</v>
      </c>
      <c r="CF117" s="8">
        <f t="shared" ca="1" si="429"/>
        <v>791</v>
      </c>
      <c r="CG117" s="5" t="str">
        <f t="shared" ca="1" si="430"/>
        <v>VIGENTE</v>
      </c>
      <c r="CH117" s="4"/>
      <c r="CI117" s="4">
        <v>45601</v>
      </c>
      <c r="CJ117" s="4">
        <f>DATE(YEAR(CI117)+2,MONTH(CI117),DAY(CI117)-1)</f>
        <v>46330</v>
      </c>
      <c r="CK117" s="8">
        <f t="shared" ca="1" si="274"/>
        <v>196</v>
      </c>
      <c r="CL117" s="5" t="str">
        <f t="shared" ca="1" si="275"/>
        <v>VIGENTE</v>
      </c>
      <c r="CM117" s="3"/>
      <c r="CN117" s="4">
        <v>45684</v>
      </c>
      <c r="CO117" s="4">
        <f>DATE(YEAR(CN117)+2,MONTH(CN117),DAY(CN117)-1)</f>
        <v>46413</v>
      </c>
      <c r="CP117" s="8">
        <f t="shared" ca="1" si="276"/>
        <v>279</v>
      </c>
      <c r="CQ117" s="5" t="str">
        <f t="shared" ca="1" si="277"/>
        <v>VIGENTE</v>
      </c>
      <c r="CR117" s="3"/>
      <c r="CS117" s="4">
        <v>45727</v>
      </c>
      <c r="CT117" s="4">
        <f>DATE(YEAR(CS117)+2,MONTH(CS117),DAY(CS117)-1)</f>
        <v>46456</v>
      </c>
      <c r="CU117" s="8">
        <f t="shared" ca="1" si="278"/>
        <v>322</v>
      </c>
      <c r="CV117" s="5" t="str">
        <f t="shared" ca="1" si="279"/>
        <v>VIGENTE</v>
      </c>
      <c r="CW117" s="3"/>
      <c r="CX117" s="4">
        <v>45681</v>
      </c>
      <c r="CY117" s="4">
        <f>DATE(YEAR(CX117)+2,MONTH(CX117),DAY(CX117)-1)</f>
        <v>46410</v>
      </c>
      <c r="CZ117" s="8">
        <f t="shared" ca="1" si="280"/>
        <v>276</v>
      </c>
      <c r="DA117" s="5" t="str">
        <f t="shared" ca="1" si="281"/>
        <v>VIGENTE</v>
      </c>
      <c r="DB117" s="3"/>
      <c r="DC117" s="4">
        <v>45607</v>
      </c>
      <c r="DD117" s="4">
        <f>DATE(YEAR(DC117)+2,MONTH(DC117),DAY(DC117)-1)</f>
        <v>46336</v>
      </c>
      <c r="DE117" s="8">
        <f t="shared" ca="1" si="282"/>
        <v>202</v>
      </c>
      <c r="DF117" s="5" t="str">
        <f t="shared" ca="1" si="283"/>
        <v>VIGENTE</v>
      </c>
      <c r="DG117" s="3"/>
      <c r="DH117" s="4">
        <v>45696</v>
      </c>
      <c r="DI117" s="4">
        <f>DATE(YEAR(DH117)+2,MONTH(DH117),DAY(DH117)-1)</f>
        <v>46425</v>
      </c>
      <c r="DJ117" s="8">
        <f t="shared" ca="1" si="284"/>
        <v>291</v>
      </c>
      <c r="DK117" s="5" t="str">
        <f t="shared" ca="1" si="285"/>
        <v>VIGENTE</v>
      </c>
      <c r="DL117" s="3"/>
      <c r="DM117" s="4">
        <v>45577</v>
      </c>
      <c r="DN117" s="4">
        <f>DATE(YEAR(DM117)+2,MONTH(DM117),DAY(DM117)-1)</f>
        <v>46306</v>
      </c>
      <c r="DO117" s="8">
        <f t="shared" ca="1" si="286"/>
        <v>172</v>
      </c>
      <c r="DP117" s="5" t="str">
        <f t="shared" ca="1" si="287"/>
        <v>VIGENTE</v>
      </c>
      <c r="DQ117" s="3"/>
      <c r="DR117" s="4">
        <v>45619</v>
      </c>
      <c r="DS117" s="4">
        <f>DATE(YEAR(DR117)+2,MONTH(DR117),DAY(DR117)-1)</f>
        <v>46348</v>
      </c>
      <c r="DT117" s="8">
        <f t="shared" ca="1" si="288"/>
        <v>214</v>
      </c>
      <c r="DU117" s="5" t="str">
        <f t="shared" ca="1" si="289"/>
        <v>VIGENTE</v>
      </c>
      <c r="DV117" s="3"/>
      <c r="DW117" s="4">
        <v>45612</v>
      </c>
      <c r="DX117" s="4">
        <f>DATE(YEAR(DW117)+2,MONTH(DW117),DAY(DW117)-1)</f>
        <v>46341</v>
      </c>
      <c r="DY117" s="8">
        <f t="shared" ca="1" si="290"/>
        <v>207</v>
      </c>
      <c r="DZ117" s="5" t="str">
        <f t="shared" ca="1" si="291"/>
        <v>VIGENTE</v>
      </c>
      <c r="EA117" s="3"/>
      <c r="EB117" s="4">
        <v>45642</v>
      </c>
      <c r="EC117" s="4">
        <f>DATE(YEAR(EB117)+2,MONTH(EB117),DAY(EB117)-1)</f>
        <v>46371</v>
      </c>
      <c r="ED117" s="8">
        <f t="shared" ca="1" si="292"/>
        <v>237</v>
      </c>
      <c r="EE117" s="5" t="str">
        <f t="shared" ca="1" si="293"/>
        <v>VIGENTE</v>
      </c>
      <c r="EF117" s="3"/>
      <c r="EG117" s="4">
        <v>45812</v>
      </c>
      <c r="EH117" s="4">
        <f t="shared" si="364"/>
        <v>46177</v>
      </c>
      <c r="EI117" s="8">
        <f t="shared" ca="1" si="294"/>
        <v>43</v>
      </c>
      <c r="EJ117" s="5" t="str">
        <f t="shared" ca="1" si="295"/>
        <v>POR VENCER</v>
      </c>
      <c r="EK117" s="3"/>
      <c r="EL117" s="4">
        <v>45584</v>
      </c>
      <c r="EM117" s="4">
        <f>DATE(YEAR(EL117)+2,MONTH(EL117),DAY(EL117)-1)</f>
        <v>46313</v>
      </c>
      <c r="EN117" s="8">
        <f t="shared" ca="1" si="296"/>
        <v>179</v>
      </c>
      <c r="EO117" s="5" t="str">
        <f t="shared" ca="1" si="297"/>
        <v>VIGENTE</v>
      </c>
      <c r="EP117" s="3"/>
      <c r="EQ117" s="4">
        <v>45575</v>
      </c>
      <c r="ER117" s="4">
        <f>DATE(YEAR(EQ117)+2,MONTH(EQ117),DAY(EQ117)-1)</f>
        <v>46304</v>
      </c>
      <c r="ES117" s="8">
        <f t="shared" ca="1" si="298"/>
        <v>170</v>
      </c>
      <c r="ET117" s="5" t="str">
        <f t="shared" ca="1" si="299"/>
        <v>VIGENTE</v>
      </c>
      <c r="EU117" s="3"/>
      <c r="EV117" s="4">
        <v>45953</v>
      </c>
      <c r="EW117" s="4">
        <f t="shared" si="436"/>
        <v>46683</v>
      </c>
      <c r="EX117" s="8">
        <f t="shared" ca="1" si="300"/>
        <v>549</v>
      </c>
      <c r="EY117" s="5" t="str">
        <f t="shared" ca="1" si="301"/>
        <v>VIGENTE</v>
      </c>
      <c r="EZ117" s="3"/>
      <c r="FA117" s="4">
        <v>45951</v>
      </c>
      <c r="FB117" s="4">
        <f>DATE(YEAR(FA117)+2,MONTH(FA117),DAY(FA117))</f>
        <v>46681</v>
      </c>
      <c r="FC117" s="8">
        <f t="shared" ca="1" si="302"/>
        <v>547</v>
      </c>
      <c r="FD117" s="5" t="str">
        <f t="shared" ca="1" si="303"/>
        <v>VIGENTE</v>
      </c>
      <c r="FE117" s="3"/>
      <c r="FF117" s="4">
        <v>45962</v>
      </c>
      <c r="FG117" s="4">
        <f t="shared" si="437"/>
        <v>46692</v>
      </c>
      <c r="FH117" s="8">
        <f t="shared" ca="1" si="304"/>
        <v>558</v>
      </c>
      <c r="FI117" s="5" t="str">
        <f t="shared" ca="1" si="305"/>
        <v>VIGENTE</v>
      </c>
      <c r="FJ117" s="3"/>
      <c r="FK117" s="4">
        <v>45588</v>
      </c>
      <c r="FL117" s="4">
        <f>DATE(YEAR(FK117)+2,MONTH(FK117),DAY(FK117)-1)</f>
        <v>46317</v>
      </c>
      <c r="FM117" s="8">
        <f t="shared" ca="1" si="306"/>
        <v>183</v>
      </c>
      <c r="FN117" s="5" t="str">
        <f t="shared" ca="1" si="307"/>
        <v>VIGENTE</v>
      </c>
      <c r="FO117" s="3"/>
      <c r="FP117" s="4">
        <v>45664</v>
      </c>
      <c r="FQ117" s="4">
        <f>DATE(YEAR(FP117)+2,MONTH(FP117),DAY(FP117)-1)</f>
        <v>46393</v>
      </c>
      <c r="FR117" s="8">
        <f t="shared" ca="1" si="308"/>
        <v>259</v>
      </c>
      <c r="FS117" s="5" t="str">
        <f t="shared" ca="1" si="309"/>
        <v>VIGENTE</v>
      </c>
      <c r="FT117" s="3"/>
      <c r="FU117" s="4">
        <v>46014</v>
      </c>
      <c r="FV117" s="4">
        <f>DATE(YEAR(FU117)+2,MONTH(FU117),DAY(FU117))</f>
        <v>46744</v>
      </c>
      <c r="FW117" s="8">
        <f t="shared" ca="1" si="310"/>
        <v>610</v>
      </c>
      <c r="FX117" s="5" t="str">
        <f t="shared" ca="1" si="311"/>
        <v>VIGENTE</v>
      </c>
      <c r="FY117" s="3"/>
      <c r="FZ117" s="4">
        <v>45667</v>
      </c>
      <c r="GA117" s="4">
        <f>DATE(YEAR(FZ117)+2,MONTH(FZ117),DAY(FZ117)-1)</f>
        <v>46396</v>
      </c>
      <c r="GB117" s="8">
        <f t="shared" ca="1" si="312"/>
        <v>262</v>
      </c>
      <c r="GC117" s="5" t="str">
        <f t="shared" ca="1" si="313"/>
        <v>VIGENTE</v>
      </c>
      <c r="GD117" s="3"/>
      <c r="GE117" s="4">
        <v>45672</v>
      </c>
      <c r="GF117" s="4">
        <f>DATE(YEAR(GE117)+2,MONTH(GE117),DAY(GE117)-1)</f>
        <v>46401</v>
      </c>
      <c r="GG117" s="8">
        <f t="shared" ca="1" si="314"/>
        <v>267</v>
      </c>
      <c r="GH117" s="5" t="str">
        <f t="shared" ca="1" si="315"/>
        <v>VIGENTE</v>
      </c>
      <c r="GI117" s="3"/>
      <c r="GJ117" s="4">
        <v>45608</v>
      </c>
      <c r="GK117" s="4">
        <f>DATE(YEAR(GJ117)+2,MONTH(GJ117),DAY(GJ117)-1)</f>
        <v>46337</v>
      </c>
      <c r="GL117" s="8">
        <f t="shared" ca="1" si="316"/>
        <v>203</v>
      </c>
      <c r="GM117" s="5" t="str">
        <f t="shared" ca="1" si="317"/>
        <v>VIGENTE</v>
      </c>
      <c r="GN117" s="4"/>
      <c r="GO117" s="4">
        <v>44966</v>
      </c>
      <c r="GP117" s="4">
        <f t="shared" si="318"/>
        <v>46792</v>
      </c>
      <c r="GQ117" s="8">
        <f t="shared" ca="1" si="418"/>
        <v>658</v>
      </c>
      <c r="GR117" s="5" t="str">
        <f t="shared" ca="1" si="431"/>
        <v>VIGENTE</v>
      </c>
      <c r="GS117" s="3"/>
      <c r="GT117" s="4">
        <v>44952</v>
      </c>
      <c r="GU117" s="4">
        <f t="shared" si="320"/>
        <v>46778</v>
      </c>
      <c r="GV117" s="8">
        <f t="shared" ca="1" si="321"/>
        <v>644</v>
      </c>
      <c r="GW117" s="5" t="str">
        <f t="shared" ref="GW117:GW175" ca="1" si="438">IF(GV117&gt;=91,"VIGENTE",IF(GV117&gt;=1,"POR VENCER",IF(GV117&lt;=-1,"VENCIDA",IF(GT117=0,"NO APLICA"))))</f>
        <v>VIGENTE</v>
      </c>
      <c r="GX117" s="2"/>
      <c r="GY117" s="4">
        <v>44980</v>
      </c>
      <c r="GZ117" s="4">
        <f t="shared" si="323"/>
        <v>46806</v>
      </c>
      <c r="HA117" s="8">
        <f t="shared" ca="1" si="324"/>
        <v>672</v>
      </c>
      <c r="HB117" s="5" t="str">
        <f t="shared" ca="1" si="433"/>
        <v>VIGENTE</v>
      </c>
      <c r="HC117" s="6"/>
      <c r="HD117" s="4">
        <v>44956</v>
      </c>
      <c r="HE117" s="4">
        <f t="shared" si="416"/>
        <v>46782</v>
      </c>
      <c r="HF117" s="8">
        <f t="shared" ca="1" si="417"/>
        <v>648</v>
      </c>
      <c r="HG117" s="5" t="str">
        <f t="shared" ref="HG117:HG175" ca="1" si="439">IF(HF117&gt;=61,"VIGENTE",IF(HF117&gt;=1,"POR VENCER",IF(HF117&lt;=-1,"VENCIDA",IF(HD117=0,"NO APLICA"))))</f>
        <v>VIGENTE</v>
      </c>
      <c r="HH117" s="2"/>
      <c r="HI117" s="6"/>
      <c r="HJ117" s="4"/>
      <c r="HK117" s="8"/>
      <c r="HL117" s="5" t="str">
        <f t="shared" si="420"/>
        <v>NO APLICA</v>
      </c>
      <c r="HM117" s="2"/>
      <c r="HN117" s="2"/>
      <c r="HO117" s="4"/>
      <c r="HP117" s="2"/>
      <c r="HQ117" s="5" t="str">
        <f t="shared" si="326"/>
        <v>NO APLICA</v>
      </c>
      <c r="HR117" s="2"/>
      <c r="HS117" s="4">
        <v>44939</v>
      </c>
      <c r="HT117" s="4">
        <f>DATE(YEAR(HS117)+5,MONTH(HS117),DAY(HS117))</f>
        <v>46765</v>
      </c>
      <c r="HU117" s="8">
        <f ca="1">HT117-TODAY()</f>
        <v>631</v>
      </c>
      <c r="HV117" s="5" t="str">
        <f t="shared" ca="1" si="327"/>
        <v>VIGENTE</v>
      </c>
      <c r="HW117" s="2"/>
      <c r="HX117" s="4">
        <v>44932</v>
      </c>
      <c r="HY117" s="4">
        <f>DATE(YEAR(HX117)+5,MONTH(HX117),DAY(HX117))</f>
        <v>46758</v>
      </c>
      <c r="HZ117" s="8">
        <f ca="1">HY117-TODAY()</f>
        <v>624</v>
      </c>
      <c r="IA117" s="5" t="str">
        <f t="shared" ca="1" si="328"/>
        <v>VIGENTE</v>
      </c>
      <c r="IB117" s="2"/>
      <c r="IC117" s="4">
        <v>44971</v>
      </c>
      <c r="ID117" s="4">
        <f>DATE(YEAR(IC117)+5,MONTH(IC117),DAY(IC117))</f>
        <v>46797</v>
      </c>
      <c r="IE117" s="8">
        <f ca="1">ID117-TODAY()</f>
        <v>663</v>
      </c>
      <c r="IF117" s="5" t="str">
        <f t="shared" ca="1" si="329"/>
        <v>VIGENTE</v>
      </c>
      <c r="IG117" s="6"/>
      <c r="IH117" s="4">
        <v>44965</v>
      </c>
      <c r="II117" s="4">
        <f>DATE(YEAR(IH117)+5,MONTH(IH117),DAY(IH117))</f>
        <v>46791</v>
      </c>
      <c r="IJ117" s="8">
        <f ca="1">II117-TODAY()</f>
        <v>657</v>
      </c>
      <c r="IK117" s="5" t="str">
        <f t="shared" ca="1" si="330"/>
        <v>VIGENTE</v>
      </c>
      <c r="IL117" s="2"/>
      <c r="IM117" s="4">
        <v>44977</v>
      </c>
      <c r="IN117" s="4">
        <f>DATE(YEAR(IM117)+5,MONTH(IM117),DAY(IM117))</f>
        <v>46803</v>
      </c>
      <c r="IO117" s="8">
        <f ca="1">IN117-TODAY()</f>
        <v>669</v>
      </c>
      <c r="IP117" s="5" t="str">
        <f t="shared" ca="1" si="331"/>
        <v>VIGENTE</v>
      </c>
      <c r="IQ117" s="2"/>
      <c r="IR117" s="4">
        <v>44970</v>
      </c>
      <c r="IS117" s="4">
        <f>DATE(YEAR(IR117)+5,MONTH(IR117),DAY(IR117))</f>
        <v>46796</v>
      </c>
      <c r="IT117" s="8">
        <f ca="1">IS117-TODAY()</f>
        <v>662</v>
      </c>
      <c r="IU117" s="5" t="str">
        <f t="shared" ca="1" si="332"/>
        <v>VIGENTE</v>
      </c>
      <c r="IV117" s="2"/>
      <c r="IW117" s="4">
        <v>44933</v>
      </c>
      <c r="IX117" s="4">
        <f>DATE(YEAR(IW117)+5,MONTH(IW117),DAY(IW117))</f>
        <v>46759</v>
      </c>
      <c r="IY117" s="8">
        <f ca="1">IX117-TODAY()</f>
        <v>625</v>
      </c>
      <c r="IZ117" s="5" t="str">
        <f t="shared" ca="1" si="333"/>
        <v>VIGENTE</v>
      </c>
      <c r="JA117" s="3"/>
      <c r="JB117" s="3"/>
      <c r="JC117" s="4"/>
      <c r="JD117" s="8"/>
      <c r="JE117" s="5" t="str">
        <f t="shared" si="334"/>
        <v>NO APLICA</v>
      </c>
      <c r="JF117" s="6"/>
      <c r="JG117" s="6"/>
      <c r="JH117" s="6"/>
      <c r="JI117" s="6"/>
      <c r="JJ117" s="5" t="str">
        <f t="shared" si="335"/>
        <v>NO APLICA</v>
      </c>
      <c r="JK117" s="6"/>
      <c r="JL117" s="6"/>
      <c r="JM117" s="6"/>
      <c r="JN117" s="6"/>
      <c r="JO117" s="5" t="str">
        <f t="shared" si="336"/>
        <v>NO APLICA</v>
      </c>
      <c r="JP117" s="6"/>
      <c r="JQ117" s="6"/>
      <c r="JR117" s="6"/>
      <c r="JS117" s="6"/>
      <c r="JT117" s="5" t="str">
        <f t="shared" si="337"/>
        <v>NO APLICA</v>
      </c>
      <c r="JU117" s="5"/>
      <c r="JV117" s="5"/>
      <c r="JW117" s="5"/>
      <c r="JX117" s="5"/>
      <c r="JY117" s="5" t="str">
        <f t="shared" si="338"/>
        <v>NO APLICA</v>
      </c>
      <c r="JZ117" s="5"/>
      <c r="KA117" s="2"/>
      <c r="KB117" s="4"/>
      <c r="KC117" s="8"/>
      <c r="KD117" s="5" t="str">
        <f t="shared" si="339"/>
        <v>NO APLICA</v>
      </c>
      <c r="KE117" s="5"/>
      <c r="KF117" s="3">
        <v>45328</v>
      </c>
      <c r="KG117" s="4">
        <f>DATE(YEAR(KF117)+5,MONTH(KF117),DAY(KF117)-1)</f>
        <v>47154</v>
      </c>
      <c r="KH117" s="8">
        <f ca="1">KG117-TODAY()</f>
        <v>1020</v>
      </c>
      <c r="KI117" s="5" t="str">
        <f t="shared" ca="1" si="365"/>
        <v>VIGENTE</v>
      </c>
      <c r="KJ117" s="5"/>
      <c r="KK117" s="2"/>
      <c r="KL117" s="4"/>
      <c r="KM117" s="8"/>
      <c r="KN117" s="5" t="str">
        <f t="shared" si="340"/>
        <v>NO APLICA</v>
      </c>
      <c r="KO117" s="5"/>
      <c r="KP117" s="2"/>
      <c r="KQ117" s="4"/>
      <c r="KR117" s="8"/>
      <c r="KS117" s="5" t="str">
        <f t="shared" si="366"/>
        <v>NO APLICA</v>
      </c>
      <c r="KT117" s="2"/>
      <c r="KU117" s="6"/>
      <c r="KV117" s="4"/>
      <c r="KW117" s="8"/>
      <c r="KX117" s="5" t="str">
        <f t="shared" si="375"/>
        <v>NO APLICA</v>
      </c>
      <c r="KY117" s="5"/>
      <c r="KZ117" s="4">
        <v>44608</v>
      </c>
      <c r="LA117" s="4">
        <f>DATE(YEAR(KZ117)+5,MONTH(KZ117),DAY(KZ117))</f>
        <v>46434</v>
      </c>
      <c r="LB117" s="8">
        <f ca="1">LA117-TODAY()</f>
        <v>300</v>
      </c>
      <c r="LC117" s="5" t="str">
        <f t="shared" ca="1" si="367"/>
        <v>VIGENTE</v>
      </c>
      <c r="LD117" s="6"/>
      <c r="LE117" s="6"/>
      <c r="LF117" s="4"/>
      <c r="LG117" s="8"/>
      <c r="LH117" s="5" t="str">
        <f t="shared" si="341"/>
        <v>NO APLICA</v>
      </c>
      <c r="LI117" s="5"/>
      <c r="LJ117" s="5"/>
      <c r="LK117" s="4"/>
      <c r="LL117" s="8"/>
      <c r="LM117" s="5" t="str">
        <f t="shared" si="376"/>
        <v>NO APLICA</v>
      </c>
      <c r="LN117" s="2"/>
      <c r="LO117" s="6"/>
      <c r="LP117" s="4"/>
      <c r="LQ117" s="8"/>
      <c r="LR117" s="5" t="str">
        <f t="shared" si="368"/>
        <v>NO APLICA</v>
      </c>
      <c r="LS117" s="6"/>
      <c r="LT117" s="6"/>
      <c r="LU117" s="4"/>
      <c r="LV117" s="8"/>
      <c r="LW117" s="5" t="str">
        <f t="shared" si="369"/>
        <v>NO APLICA</v>
      </c>
      <c r="LX117" s="6"/>
      <c r="LY117" s="6"/>
      <c r="LZ117" s="4"/>
      <c r="MA117" s="8"/>
      <c r="MB117" s="5" t="str">
        <f t="shared" si="370"/>
        <v>NO APLICA</v>
      </c>
      <c r="MC117" s="2"/>
      <c r="MD117" s="2"/>
      <c r="ME117" s="4"/>
      <c r="MF117" s="8"/>
      <c r="MG117" s="5" t="str">
        <f t="shared" si="342"/>
        <v>NO APLICA</v>
      </c>
      <c r="MH117" s="2"/>
      <c r="MI117" s="2"/>
      <c r="MJ117" s="4"/>
      <c r="MK117" s="8"/>
      <c r="ML117" s="5" t="str">
        <f t="shared" si="343"/>
        <v>NO APLICA</v>
      </c>
      <c r="MM117" s="5"/>
      <c r="MN117" s="2"/>
      <c r="MO117" s="4"/>
      <c r="MP117" s="8"/>
      <c r="MQ117" s="5" t="str">
        <f t="shared" si="344"/>
        <v>NO APLICA</v>
      </c>
      <c r="MR117" s="5"/>
      <c r="MS117" s="2"/>
      <c r="MT117" s="4"/>
      <c r="MU117" s="2"/>
      <c r="MV117" s="5" t="str">
        <f t="shared" si="345"/>
        <v>NO APLICA</v>
      </c>
      <c r="MW117" s="2"/>
      <c r="MX117" s="6"/>
      <c r="MY117" s="4"/>
      <c r="MZ117" s="8"/>
      <c r="NA117" s="5" t="str">
        <f t="shared" si="346"/>
        <v>NO APLICA</v>
      </c>
      <c r="NB117" s="2"/>
      <c r="NC117" s="6"/>
      <c r="ND117" s="4"/>
      <c r="NE117" s="8"/>
      <c r="NF117" s="5" t="str">
        <f t="shared" si="347"/>
        <v>NO APLICA</v>
      </c>
      <c r="NG117" s="2"/>
      <c r="NH117" s="6"/>
      <c r="NI117" s="4"/>
      <c r="NJ117" s="8"/>
      <c r="NK117" s="5" t="str">
        <f t="shared" si="348"/>
        <v>NO APLICA</v>
      </c>
      <c r="NL117" s="2"/>
      <c r="NM117" s="2"/>
      <c r="NN117" s="4"/>
      <c r="NO117" s="8"/>
      <c r="NP117" s="5" t="str">
        <f t="shared" si="349"/>
        <v>NO APLICA</v>
      </c>
      <c r="NQ117" s="2"/>
      <c r="NR117" s="2"/>
      <c r="NS117" s="4"/>
      <c r="NT117" s="2"/>
      <c r="NU117" s="5" t="str">
        <f t="shared" si="350"/>
        <v>NO APLICA</v>
      </c>
      <c r="NV117" s="6"/>
      <c r="NW117" s="6"/>
      <c r="NX117" s="4"/>
      <c r="NY117" s="8"/>
      <c r="NZ117" s="5" t="str">
        <f t="shared" si="351"/>
        <v>NO APLICA</v>
      </c>
      <c r="OA117" s="6"/>
      <c r="OB117" s="6"/>
      <c r="OC117" s="6"/>
      <c r="OD117" s="6"/>
      <c r="OE117" s="5" t="str">
        <f t="shared" si="352"/>
        <v>NO APLICA</v>
      </c>
      <c r="OF117" s="2"/>
      <c r="OG117" s="2"/>
      <c r="OH117" s="4"/>
      <c r="OI117" s="8"/>
      <c r="OJ117" s="5" t="str">
        <f t="shared" si="353"/>
        <v>NO APLICA</v>
      </c>
      <c r="OK117" s="6"/>
      <c r="OL117" s="6"/>
      <c r="OM117" s="6"/>
      <c r="ON117" s="6"/>
      <c r="OO117" s="5" t="str">
        <f t="shared" si="354"/>
        <v>NO APLICA</v>
      </c>
      <c r="OP117" s="6"/>
      <c r="OQ117" s="6"/>
      <c r="OR117" s="6"/>
      <c r="OS117" s="6"/>
      <c r="OT117" s="5" t="str">
        <f t="shared" si="355"/>
        <v>NO APLICA</v>
      </c>
      <c r="OU117" s="6"/>
      <c r="OV117" s="6"/>
      <c r="OW117" s="6"/>
      <c r="OX117" s="6"/>
      <c r="OY117" s="5" t="str">
        <f t="shared" si="356"/>
        <v>NO APLICA</v>
      </c>
      <c r="OZ117" s="6"/>
      <c r="PA117" s="6"/>
      <c r="PB117" s="6"/>
      <c r="PC117" s="6"/>
      <c r="PD117" s="5" t="str">
        <f t="shared" si="357"/>
        <v>NO APLICA</v>
      </c>
      <c r="PE117" s="6"/>
      <c r="PF117" s="6"/>
      <c r="PG117" s="6"/>
      <c r="PH117" s="6"/>
      <c r="PI117" s="5" t="str">
        <f t="shared" si="358"/>
        <v>NO APLICA</v>
      </c>
      <c r="PJ117" s="5"/>
      <c r="PK117" s="6"/>
      <c r="PL117" s="4"/>
      <c r="PM117" s="8"/>
      <c r="PN117" s="5" t="str">
        <f t="shared" si="359"/>
        <v>NO APLICA</v>
      </c>
      <c r="PO117" s="6"/>
      <c r="PP117" s="6"/>
      <c r="PQ117" s="6"/>
      <c r="PR117" s="6"/>
      <c r="PS117" s="5" t="str">
        <f t="shared" si="360"/>
        <v>NO APLICA</v>
      </c>
      <c r="PT117" s="5"/>
      <c r="PU117" s="6"/>
      <c r="PV117" s="6"/>
      <c r="PW117" s="6"/>
      <c r="PX117" s="5" t="str">
        <f t="shared" si="361"/>
        <v>NO APLICA</v>
      </c>
    </row>
    <row r="118" spans="1:440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401</v>
      </c>
      <c r="V118" s="4">
        <v>45282</v>
      </c>
      <c r="W118" s="4">
        <f t="shared" si="421"/>
        <v>47109</v>
      </c>
      <c r="X118" s="8">
        <f t="shared" ca="1" si="422"/>
        <v>975</v>
      </c>
      <c r="Y118" s="5" t="str">
        <f t="shared" ca="1" si="423"/>
        <v>VIGENTE</v>
      </c>
      <c r="Z118" s="2" t="s">
        <v>402</v>
      </c>
      <c r="AA118" s="4">
        <v>44603</v>
      </c>
      <c r="AB118" s="4">
        <f t="shared" si="424"/>
        <v>46429</v>
      </c>
      <c r="AC118" s="8">
        <f t="shared" ca="1" si="425"/>
        <v>295</v>
      </c>
      <c r="AD118" s="5" t="str">
        <f t="shared" ca="1" si="426"/>
        <v>VIGENTE</v>
      </c>
      <c r="AE118" s="3"/>
      <c r="AF118" s="3">
        <v>45594</v>
      </c>
      <c r="AG118" s="4">
        <f>DATE(YEAR(AF118)+2,MONTH(AF118),DAY(AF118)-1)</f>
        <v>46323</v>
      </c>
      <c r="AH118" s="8">
        <f t="shared" ca="1" si="252"/>
        <v>189</v>
      </c>
      <c r="AI118" s="5" t="str">
        <f t="shared" ca="1" si="419"/>
        <v>VIGENTE</v>
      </c>
      <c r="AJ118" s="3"/>
      <c r="AK118" s="4">
        <v>45937</v>
      </c>
      <c r="AL118" s="4">
        <f>DATE(YEAR(AK118)+2,MONTH(AK118),DAY(AK118))</f>
        <v>46667</v>
      </c>
      <c r="AM118" s="8">
        <f t="shared" ca="1" si="253"/>
        <v>533</v>
      </c>
      <c r="AN118" s="5" t="str">
        <f t="shared" ca="1" si="254"/>
        <v>VIGENTE</v>
      </c>
      <c r="AO118" s="3"/>
      <c r="AP118" s="4">
        <v>45904</v>
      </c>
      <c r="AQ118" s="4">
        <f>DATE(YEAR(AP118)+2,MONTH(AP118),DAY(AP118))</f>
        <v>46634</v>
      </c>
      <c r="AR118" s="8">
        <f t="shared" ca="1" si="255"/>
        <v>500</v>
      </c>
      <c r="AS118" s="5" t="str">
        <f t="shared" ca="1" si="256"/>
        <v>VIGENTE</v>
      </c>
      <c r="AT118" s="3"/>
      <c r="AU118" s="4">
        <v>45972</v>
      </c>
      <c r="AV118" s="4">
        <f>DATE(YEAR(AU118)+2,MONTH(AU118),DAY(AU118))</f>
        <v>46702</v>
      </c>
      <c r="AW118" s="8">
        <f t="shared" ca="1" si="257"/>
        <v>568</v>
      </c>
      <c r="AX118" s="5" t="str">
        <f t="shared" ca="1" si="258"/>
        <v>VIGENTE</v>
      </c>
      <c r="AY118" s="3"/>
      <c r="AZ118" s="4">
        <v>45901</v>
      </c>
      <c r="BA118" s="4">
        <f>DATE(YEAR(AZ118)+2,MONTH(AZ118),DAY(AZ118))</f>
        <v>46631</v>
      </c>
      <c r="BB118" s="8">
        <f t="shared" ca="1" si="259"/>
        <v>497</v>
      </c>
      <c r="BC118" s="5" t="str">
        <f t="shared" ca="1" si="260"/>
        <v>VIGENTE</v>
      </c>
      <c r="BD118" s="3"/>
      <c r="BE118" s="4">
        <v>45968</v>
      </c>
      <c r="BF118" s="4">
        <f>DATE(YEAR(BE118)+2,MONTH(BE118),DAY(BE118))</f>
        <v>46698</v>
      </c>
      <c r="BG118" s="8">
        <f t="shared" ca="1" si="261"/>
        <v>564</v>
      </c>
      <c r="BH118" s="5" t="str">
        <f t="shared" ca="1" si="262"/>
        <v>VIGENTE</v>
      </c>
      <c r="BI118" s="3"/>
      <c r="BJ118" s="4">
        <v>46056</v>
      </c>
      <c r="BK118" s="4">
        <f>DATE(YEAR(BJ118)+2,MONTH(BJ118),DAY(BJ118))</f>
        <v>46786</v>
      </c>
      <c r="BL118" s="8">
        <f t="shared" ca="1" si="263"/>
        <v>652</v>
      </c>
      <c r="BM118" s="5" t="str">
        <f t="shared" ca="1" si="264"/>
        <v>VIGENTE</v>
      </c>
      <c r="BN118" s="3"/>
      <c r="BO118" s="4">
        <v>46069</v>
      </c>
      <c r="BP118" s="4">
        <f>DATE(YEAR(BO118)+2,MONTH(BO118),DAY(BO118))</f>
        <v>46799</v>
      </c>
      <c r="BQ118" s="8">
        <f t="shared" ca="1" si="265"/>
        <v>665</v>
      </c>
      <c r="BR118" s="5" t="str">
        <f t="shared" ca="1" si="266"/>
        <v>VIGENTE</v>
      </c>
      <c r="BS118" s="3"/>
      <c r="BT118" s="4">
        <v>45881</v>
      </c>
      <c r="BU118" s="4">
        <f>DATE(YEAR(BT118)+2,MONTH(BT118),DAY(BT118))</f>
        <v>46611</v>
      </c>
      <c r="BV118" s="8">
        <f t="shared" ca="1" si="267"/>
        <v>477</v>
      </c>
      <c r="BW118" s="5" t="str">
        <f t="shared" ca="1" si="268"/>
        <v>VIGENTE</v>
      </c>
      <c r="BX118" s="3"/>
      <c r="BY118" s="4">
        <v>45986</v>
      </c>
      <c r="BZ118" s="4">
        <f t="shared" si="435"/>
        <v>46716</v>
      </c>
      <c r="CA118" s="8">
        <f t="shared" ca="1" si="269"/>
        <v>582</v>
      </c>
      <c r="CB118" s="5" t="str">
        <f t="shared" ca="1" si="270"/>
        <v>VIGENTE</v>
      </c>
      <c r="CC118" s="6" t="s">
        <v>73</v>
      </c>
      <c r="CD118" s="4">
        <v>45301</v>
      </c>
      <c r="CE118" s="4">
        <f t="shared" si="428"/>
        <v>46762</v>
      </c>
      <c r="CF118" s="8">
        <f t="shared" ca="1" si="429"/>
        <v>628</v>
      </c>
      <c r="CG118" s="5" t="str">
        <f t="shared" ca="1" si="430"/>
        <v>VIGENTE</v>
      </c>
      <c r="CH118" s="4"/>
      <c r="CI118" s="4">
        <v>45929</v>
      </c>
      <c r="CJ118" s="4">
        <f>DATE(YEAR(CI118)+2,MONTH(CI118),DAY(CI118))</f>
        <v>46659</v>
      </c>
      <c r="CK118" s="8">
        <f t="shared" ca="1" si="274"/>
        <v>525</v>
      </c>
      <c r="CL118" s="5" t="str">
        <f t="shared" ca="1" si="275"/>
        <v>VIGENTE</v>
      </c>
      <c r="CM118" s="3"/>
      <c r="CN118" s="4">
        <v>45898</v>
      </c>
      <c r="CO118" s="4">
        <f>DATE(YEAR(CN118)+2,MONTH(CN118),DAY(CN118))</f>
        <v>46628</v>
      </c>
      <c r="CP118" s="8">
        <f t="shared" ca="1" si="276"/>
        <v>494</v>
      </c>
      <c r="CQ118" s="5" t="str">
        <f t="shared" ca="1" si="277"/>
        <v>VIGENTE</v>
      </c>
      <c r="CR118" s="3"/>
      <c r="CS118" s="4">
        <v>45639</v>
      </c>
      <c r="CT118" s="4">
        <f>DATE(YEAR(CS118)+2,MONTH(CS118),DAY(CS118)-1)</f>
        <v>46368</v>
      </c>
      <c r="CU118" s="8">
        <f t="shared" ca="1" si="278"/>
        <v>234</v>
      </c>
      <c r="CV118" s="5" t="str">
        <f t="shared" ca="1" si="279"/>
        <v>VIGENTE</v>
      </c>
      <c r="CW118" s="3"/>
      <c r="CX118" s="4">
        <v>45665</v>
      </c>
      <c r="CY118" s="4">
        <f>DATE(YEAR(CX118)+2,MONTH(CX118),DAY(CX118)-1)</f>
        <v>46394</v>
      </c>
      <c r="CZ118" s="8">
        <f t="shared" ca="1" si="280"/>
        <v>260</v>
      </c>
      <c r="DA118" s="5" t="str">
        <f t="shared" ca="1" si="281"/>
        <v>VIGENTE</v>
      </c>
      <c r="DB118" s="3"/>
      <c r="DC118" s="4">
        <v>45689</v>
      </c>
      <c r="DD118" s="4">
        <f>DATE(YEAR(DC118)+2,MONTH(DC118),DAY(DC118)-1)</f>
        <v>46418</v>
      </c>
      <c r="DE118" s="8">
        <f t="shared" ca="1" si="282"/>
        <v>284</v>
      </c>
      <c r="DF118" s="5" t="str">
        <f t="shared" ca="1" si="283"/>
        <v>VIGENTE</v>
      </c>
      <c r="DG118" s="3"/>
      <c r="DH118" s="4">
        <v>45955</v>
      </c>
      <c r="DI118" s="4">
        <f>DATE(YEAR(DH118)+2,MONTH(DH118),DAY(DH118))</f>
        <v>46685</v>
      </c>
      <c r="DJ118" s="8">
        <f t="shared" ca="1" si="284"/>
        <v>551</v>
      </c>
      <c r="DK118" s="5" t="str">
        <f t="shared" ca="1" si="285"/>
        <v>VIGENTE</v>
      </c>
      <c r="DL118" s="3"/>
      <c r="DM118" s="4">
        <v>45533</v>
      </c>
      <c r="DN118" s="4">
        <f>DATE(YEAR(DM118)+2,MONTH(DM118),DAY(DM118)-1)</f>
        <v>46262</v>
      </c>
      <c r="DO118" s="8">
        <f t="shared" ca="1" si="286"/>
        <v>128</v>
      </c>
      <c r="DP118" s="5" t="str">
        <f t="shared" ca="1" si="287"/>
        <v>VIGENTE</v>
      </c>
      <c r="DQ118" s="3"/>
      <c r="DR118" s="4">
        <v>45852</v>
      </c>
      <c r="DS118" s="4">
        <f>DATE(YEAR(DR118)+2,MONTH(DR118),DAY(DR118))</f>
        <v>46582</v>
      </c>
      <c r="DT118" s="8">
        <f t="shared" ca="1" si="288"/>
        <v>448</v>
      </c>
      <c r="DU118" s="5" t="str">
        <f t="shared" ca="1" si="289"/>
        <v>VIGENTE</v>
      </c>
      <c r="DV118" s="3"/>
      <c r="DW118" s="4">
        <v>45934</v>
      </c>
      <c r="DX118" s="4">
        <f>DATE(YEAR(DW118)+2,MONTH(DW118),DAY(DW118))</f>
        <v>46664</v>
      </c>
      <c r="DY118" s="8">
        <f t="shared" ca="1" si="290"/>
        <v>530</v>
      </c>
      <c r="DZ118" s="5" t="str">
        <f t="shared" ca="1" si="291"/>
        <v>VIGENTE</v>
      </c>
      <c r="EA118" s="3"/>
      <c r="EB118" s="4">
        <v>45462</v>
      </c>
      <c r="EC118" s="4">
        <f>DATE(YEAR(EB118)+2,MONTH(EB118),DAY(EB118)-1)</f>
        <v>46191</v>
      </c>
      <c r="ED118" s="8">
        <f t="shared" ca="1" si="292"/>
        <v>57</v>
      </c>
      <c r="EE118" s="5" t="str">
        <f t="shared" ca="1" si="293"/>
        <v>POR VENCER</v>
      </c>
      <c r="EF118" s="3"/>
      <c r="EG118" s="4">
        <v>45948</v>
      </c>
      <c r="EH118" s="4">
        <f t="shared" si="364"/>
        <v>46313</v>
      </c>
      <c r="EI118" s="8">
        <f t="shared" ca="1" si="294"/>
        <v>179</v>
      </c>
      <c r="EJ118" s="5" t="str">
        <f t="shared" ca="1" si="295"/>
        <v>VIGENTE</v>
      </c>
      <c r="EK118" s="3"/>
      <c r="EL118" s="4">
        <v>45460</v>
      </c>
      <c r="EM118" s="4">
        <f>DATE(YEAR(EL118)+2,MONTH(EL118),DAY(EL118)-1)</f>
        <v>46189</v>
      </c>
      <c r="EN118" s="8">
        <f t="shared" ca="1" si="296"/>
        <v>55</v>
      </c>
      <c r="EO118" s="5" t="str">
        <f t="shared" ca="1" si="297"/>
        <v>POR VENCER</v>
      </c>
      <c r="EP118" s="3"/>
      <c r="EQ118" s="4">
        <v>45999</v>
      </c>
      <c r="ER118" s="4">
        <f>DATE(YEAR(EQ118)+2,MONTH(EQ118),DAY(EQ118))</f>
        <v>46729</v>
      </c>
      <c r="ES118" s="8">
        <f t="shared" ca="1" si="298"/>
        <v>595</v>
      </c>
      <c r="ET118" s="5" t="str">
        <f t="shared" ca="1" si="299"/>
        <v>VIGENTE</v>
      </c>
      <c r="EU118" s="3"/>
      <c r="EV118" s="4">
        <v>46037</v>
      </c>
      <c r="EW118" s="4">
        <f t="shared" si="436"/>
        <v>46767</v>
      </c>
      <c r="EX118" s="8">
        <f t="shared" ca="1" si="300"/>
        <v>633</v>
      </c>
      <c r="EY118" s="5" t="str">
        <f t="shared" ca="1" si="301"/>
        <v>VIGENTE</v>
      </c>
      <c r="EZ118" s="3"/>
      <c r="FA118" s="4">
        <v>45951</v>
      </c>
      <c r="FB118" s="4">
        <f>DATE(YEAR(FA118)+2,MONTH(FA118),DAY(FA118))</f>
        <v>46681</v>
      </c>
      <c r="FC118" s="8">
        <f t="shared" ca="1" si="302"/>
        <v>547</v>
      </c>
      <c r="FD118" s="5" t="str">
        <f t="shared" ca="1" si="303"/>
        <v>VIGENTE</v>
      </c>
      <c r="FE118" s="3"/>
      <c r="FF118" s="4">
        <v>45919</v>
      </c>
      <c r="FG118" s="4">
        <f t="shared" si="437"/>
        <v>46649</v>
      </c>
      <c r="FH118" s="8">
        <f t="shared" ca="1" si="304"/>
        <v>515</v>
      </c>
      <c r="FI118" s="5" t="str">
        <f t="shared" ca="1" si="305"/>
        <v>VIGENTE</v>
      </c>
      <c r="FJ118" s="3"/>
      <c r="FK118" s="4">
        <v>45964</v>
      </c>
      <c r="FL118" s="4">
        <f>DATE(YEAR(FK118)+2,MONTH(FK118),DAY(FK118))</f>
        <v>46694</v>
      </c>
      <c r="FM118" s="8">
        <f t="shared" ca="1" si="306"/>
        <v>560</v>
      </c>
      <c r="FN118" s="5" t="str">
        <f t="shared" ca="1" si="307"/>
        <v>VIGENTE</v>
      </c>
      <c r="FO118" s="3"/>
      <c r="FP118" s="4">
        <v>45957</v>
      </c>
      <c r="FQ118" s="4">
        <f>DATE(YEAR(FP118)+2,MONTH(FP118),DAY(FP118))</f>
        <v>46687</v>
      </c>
      <c r="FR118" s="8">
        <f t="shared" ca="1" si="308"/>
        <v>553</v>
      </c>
      <c r="FS118" s="5" t="str">
        <f t="shared" ca="1" si="309"/>
        <v>VIGENTE</v>
      </c>
      <c r="FT118" s="3"/>
      <c r="FU118" s="4">
        <v>46014</v>
      </c>
      <c r="FV118" s="4">
        <f>DATE(YEAR(FU118)+2,MONTH(FU118),DAY(FU118))</f>
        <v>46744</v>
      </c>
      <c r="FW118" s="8">
        <f t="shared" ca="1" si="310"/>
        <v>610</v>
      </c>
      <c r="FX118" s="5" t="str">
        <f t="shared" ca="1" si="311"/>
        <v>VIGENTE</v>
      </c>
      <c r="FY118" s="3"/>
      <c r="FZ118" s="4">
        <v>46003</v>
      </c>
      <c r="GA118" s="4">
        <f>DATE(YEAR(FZ118)+2,MONTH(FZ118),DAY(FZ118))</f>
        <v>46733</v>
      </c>
      <c r="GB118" s="8">
        <f t="shared" ca="1" si="312"/>
        <v>599</v>
      </c>
      <c r="GC118" s="5" t="str">
        <f t="shared" ca="1" si="313"/>
        <v>VIGENTE</v>
      </c>
      <c r="GD118" s="3"/>
      <c r="GE118" s="4">
        <v>45912</v>
      </c>
      <c r="GF118" s="4">
        <f>DATE(YEAR(GE118)+2,MONTH(GE118),DAY(GE118))</f>
        <v>46642</v>
      </c>
      <c r="GG118" s="8">
        <f t="shared" ca="1" si="314"/>
        <v>508</v>
      </c>
      <c r="GH118" s="5" t="str">
        <f t="shared" ca="1" si="315"/>
        <v>VIGENTE</v>
      </c>
      <c r="GI118" s="3"/>
      <c r="GJ118" s="4">
        <v>45945</v>
      </c>
      <c r="GK118" s="4">
        <f>DATE(YEAR(GJ118)+2,MONTH(GJ118),DAY(GJ118))</f>
        <v>46675</v>
      </c>
      <c r="GL118" s="8">
        <f t="shared" ca="1" si="316"/>
        <v>541</v>
      </c>
      <c r="GM118" s="5" t="str">
        <f t="shared" ca="1" si="317"/>
        <v>VIGENTE</v>
      </c>
      <c r="GN118" s="4"/>
      <c r="GO118" s="4">
        <v>45459</v>
      </c>
      <c r="GP118" s="4">
        <f t="shared" si="318"/>
        <v>47285</v>
      </c>
      <c r="GQ118" s="8">
        <f t="shared" ca="1" si="418"/>
        <v>1151</v>
      </c>
      <c r="GR118" s="5" t="str">
        <f t="shared" ca="1" si="431"/>
        <v>VIGENTE</v>
      </c>
      <c r="GS118" s="3"/>
      <c r="GT118" s="4">
        <v>45464</v>
      </c>
      <c r="GU118" s="4">
        <f t="shared" si="320"/>
        <v>47290</v>
      </c>
      <c r="GV118" s="8">
        <f t="shared" ca="1" si="321"/>
        <v>1156</v>
      </c>
      <c r="GW118" s="5" t="str">
        <f t="shared" ca="1" si="438"/>
        <v>VIGENTE</v>
      </c>
      <c r="GX118" s="3"/>
      <c r="GY118" s="4">
        <v>45466</v>
      </c>
      <c r="GZ118" s="4">
        <f t="shared" si="323"/>
        <v>47292</v>
      </c>
      <c r="HA118" s="8">
        <f t="shared" ca="1" si="324"/>
        <v>1158</v>
      </c>
      <c r="HB118" s="5" t="str">
        <f t="shared" ca="1" si="433"/>
        <v>VIGENTE</v>
      </c>
      <c r="HC118" s="6"/>
      <c r="HD118" s="4">
        <v>44865</v>
      </c>
      <c r="HE118" s="4">
        <f t="shared" si="416"/>
        <v>46691</v>
      </c>
      <c r="HF118" s="8">
        <f t="shared" ca="1" si="417"/>
        <v>557</v>
      </c>
      <c r="HG118" s="5" t="str">
        <f t="shared" ca="1" si="439"/>
        <v>VIGENTE</v>
      </c>
      <c r="HH118" s="3"/>
      <c r="HI118" s="4">
        <v>45368</v>
      </c>
      <c r="HJ118" s="4">
        <f>DATE(YEAR(HI118)+5,MONTH(HI118),DAY(HI118))</f>
        <v>47194</v>
      </c>
      <c r="HK118" s="8">
        <f ca="1">HJ118-TODAY()</f>
        <v>1060</v>
      </c>
      <c r="HL118" s="5" t="str">
        <f t="shared" ca="1" si="420"/>
        <v>VIGENTE</v>
      </c>
      <c r="HM118" s="2"/>
      <c r="HN118" s="2"/>
      <c r="HO118" s="4"/>
      <c r="HP118" s="2"/>
      <c r="HQ118" s="5" t="str">
        <f t="shared" si="326"/>
        <v>NO APLICA</v>
      </c>
      <c r="HR118" s="3"/>
      <c r="HS118" s="4">
        <v>45469</v>
      </c>
      <c r="HT118" s="4">
        <f>DATE(YEAR(HS118)+5,MONTH(HS118),DAY(HS118))</f>
        <v>47295</v>
      </c>
      <c r="HU118" s="8">
        <f ca="1">HT118-TODAY()</f>
        <v>1161</v>
      </c>
      <c r="HV118" s="5" t="str">
        <f t="shared" ca="1" si="327"/>
        <v>VIGENTE</v>
      </c>
      <c r="HW118" s="3"/>
      <c r="HX118" s="4">
        <v>45234</v>
      </c>
      <c r="HY118" s="4">
        <f>DATE(YEAR(HX118)+5,MONTH(HX118),DAY(HX118))</f>
        <v>47061</v>
      </c>
      <c r="HZ118" s="8">
        <f ca="1">HY118-TODAY()</f>
        <v>927</v>
      </c>
      <c r="IA118" s="5" t="str">
        <f t="shared" ca="1" si="328"/>
        <v>VIGENTE</v>
      </c>
      <c r="IB118" s="3"/>
      <c r="IC118" s="4">
        <v>45236</v>
      </c>
      <c r="ID118" s="4">
        <f>DATE(YEAR(IC118)+5,MONTH(IC118),DAY(IC118))</f>
        <v>47063</v>
      </c>
      <c r="IE118" s="8">
        <f ca="1">ID118-TODAY()</f>
        <v>929</v>
      </c>
      <c r="IF118" s="5" t="str">
        <f t="shared" ca="1" si="329"/>
        <v>VIGENTE</v>
      </c>
      <c r="IG118" s="4"/>
      <c r="IH118" s="4">
        <v>45262</v>
      </c>
      <c r="II118" s="4">
        <f>DATE(YEAR(IH118)+5,MONTH(IH118),DAY(IH118))</f>
        <v>47089</v>
      </c>
      <c r="IJ118" s="8">
        <f ca="1">II118-TODAY()</f>
        <v>955</v>
      </c>
      <c r="IK118" s="5" t="str">
        <f t="shared" ca="1" si="330"/>
        <v>VIGENTE</v>
      </c>
      <c r="IL118" s="3"/>
      <c r="IM118" s="4">
        <v>45239</v>
      </c>
      <c r="IN118" s="4">
        <f>DATE(YEAR(IM118)+5,MONTH(IM118),DAY(IM118))</f>
        <v>47066</v>
      </c>
      <c r="IO118" s="8">
        <f ca="1">IN118-TODAY()</f>
        <v>932</v>
      </c>
      <c r="IP118" s="5" t="str">
        <f t="shared" ca="1" si="331"/>
        <v>VIGENTE</v>
      </c>
      <c r="IQ118" s="3"/>
      <c r="IR118" s="4">
        <v>45240</v>
      </c>
      <c r="IS118" s="4">
        <f>DATE(YEAR(IR118)+5,MONTH(IR118),DAY(IR118))</f>
        <v>47067</v>
      </c>
      <c r="IT118" s="8">
        <f ca="1">IS118-TODAY()</f>
        <v>933</v>
      </c>
      <c r="IU118" s="5" t="str">
        <f t="shared" ca="1" si="332"/>
        <v>VIGENTE</v>
      </c>
      <c r="IV118" s="3"/>
      <c r="IW118" s="4">
        <v>45289</v>
      </c>
      <c r="IX118" s="4">
        <f>DATE(YEAR(IW118)+5,MONTH(IW118),DAY(IW118))</f>
        <v>47116</v>
      </c>
      <c r="IY118" s="8">
        <f ca="1">IX118-TODAY()</f>
        <v>982</v>
      </c>
      <c r="IZ118" s="5" t="str">
        <f t="shared" ca="1" si="333"/>
        <v>VIGENTE</v>
      </c>
      <c r="JA118" s="3"/>
      <c r="JB118" s="3"/>
      <c r="JC118" s="4"/>
      <c r="JD118" s="8"/>
      <c r="JE118" s="5" t="str">
        <f t="shared" si="334"/>
        <v>NO APLICA</v>
      </c>
      <c r="JF118" s="6"/>
      <c r="JG118" s="6"/>
      <c r="JH118" s="6"/>
      <c r="JI118" s="6"/>
      <c r="JJ118" s="5" t="str">
        <f t="shared" si="335"/>
        <v>NO APLICA</v>
      </c>
      <c r="JK118" s="6"/>
      <c r="JL118" s="6"/>
      <c r="JM118" s="6"/>
      <c r="JN118" s="6"/>
      <c r="JO118" s="5" t="str">
        <f t="shared" si="336"/>
        <v>NO APLICA</v>
      </c>
      <c r="JP118" s="6"/>
      <c r="JQ118" s="6"/>
      <c r="JR118" s="6"/>
      <c r="JS118" s="6"/>
      <c r="JT118" s="5" t="str">
        <f t="shared" si="337"/>
        <v>NO APLICA</v>
      </c>
      <c r="JU118" s="5"/>
      <c r="JV118" s="5"/>
      <c r="JW118" s="5"/>
      <c r="JX118" s="5"/>
      <c r="JY118" s="5" t="str">
        <f t="shared" si="338"/>
        <v>NO APLICA</v>
      </c>
      <c r="JZ118" s="5"/>
      <c r="KA118" s="2"/>
      <c r="KB118" s="4"/>
      <c r="KC118" s="8"/>
      <c r="KD118" s="5" t="str">
        <f t="shared" si="339"/>
        <v>NO APLICA</v>
      </c>
      <c r="KE118" s="5"/>
      <c r="KF118" s="2"/>
      <c r="KG118" s="4"/>
      <c r="KH118" s="8"/>
      <c r="KI118" s="5" t="str">
        <f t="shared" si="365"/>
        <v>NO APLICA</v>
      </c>
      <c r="KJ118" s="5"/>
      <c r="KK118" s="2"/>
      <c r="KL118" s="4"/>
      <c r="KM118" s="8"/>
      <c r="KN118" s="5" t="str">
        <f t="shared" si="340"/>
        <v>NO APLICA</v>
      </c>
      <c r="KO118" s="5"/>
      <c r="KP118" s="2"/>
      <c r="KQ118" s="4"/>
      <c r="KR118" s="8"/>
      <c r="KS118" s="5" t="str">
        <f t="shared" si="366"/>
        <v>NO APLICA</v>
      </c>
      <c r="KT118" s="2"/>
      <c r="KU118" s="6"/>
      <c r="KV118" s="4"/>
      <c r="KW118" s="8"/>
      <c r="KX118" s="5" t="str">
        <f t="shared" si="375"/>
        <v>NO APLICA</v>
      </c>
      <c r="KY118" s="5"/>
      <c r="KZ118" s="6"/>
      <c r="LA118" s="4"/>
      <c r="LB118" s="8"/>
      <c r="LC118" s="5" t="str">
        <f t="shared" si="367"/>
        <v>NO APLICA</v>
      </c>
      <c r="LD118" s="6"/>
      <c r="LE118" s="4"/>
      <c r="LF118" s="4"/>
      <c r="LG118" s="8"/>
      <c r="LH118" s="5" t="str">
        <f t="shared" si="341"/>
        <v>NO APLICA</v>
      </c>
      <c r="LI118" s="5"/>
      <c r="LJ118" s="5"/>
      <c r="LK118" s="4"/>
      <c r="LL118" s="8"/>
      <c r="LM118" s="5" t="str">
        <f t="shared" si="376"/>
        <v>NO APLICA</v>
      </c>
      <c r="LN118" s="2"/>
      <c r="LO118" s="6"/>
      <c r="LP118" s="4"/>
      <c r="LQ118" s="8"/>
      <c r="LR118" s="5" t="str">
        <f t="shared" si="368"/>
        <v>NO APLICA</v>
      </c>
      <c r="LS118" s="6"/>
      <c r="LT118" s="6"/>
      <c r="LU118" s="4"/>
      <c r="LV118" s="8"/>
      <c r="LW118" s="5" t="str">
        <f t="shared" si="369"/>
        <v>NO APLICA</v>
      </c>
      <c r="LX118" s="6"/>
      <c r="LY118" s="6"/>
      <c r="LZ118" s="4"/>
      <c r="MA118" s="8"/>
      <c r="MB118" s="5" t="str">
        <f t="shared" si="370"/>
        <v>NO APLICA</v>
      </c>
      <c r="MC118" s="2"/>
      <c r="MD118" s="2"/>
      <c r="ME118" s="4"/>
      <c r="MF118" s="8"/>
      <c r="MG118" s="5" t="str">
        <f t="shared" si="342"/>
        <v>NO APLICA</v>
      </c>
      <c r="MH118" s="2"/>
      <c r="MI118" s="2"/>
      <c r="MJ118" s="4"/>
      <c r="MK118" s="8"/>
      <c r="ML118" s="5" t="str">
        <f t="shared" si="343"/>
        <v>NO APLICA</v>
      </c>
      <c r="MM118" s="5"/>
      <c r="MN118" s="2"/>
      <c r="MO118" s="4"/>
      <c r="MP118" s="8"/>
      <c r="MQ118" s="5" t="str">
        <f t="shared" si="344"/>
        <v>NO APLICA</v>
      </c>
      <c r="MR118" s="5"/>
      <c r="MS118" s="2"/>
      <c r="MT118" s="4"/>
      <c r="MU118" s="2"/>
      <c r="MV118" s="5" t="str">
        <f t="shared" si="345"/>
        <v>NO APLICA</v>
      </c>
      <c r="MW118" s="2"/>
      <c r="MX118" s="6"/>
      <c r="MY118" s="4"/>
      <c r="MZ118" s="8"/>
      <c r="NA118" s="5" t="str">
        <f t="shared" si="346"/>
        <v>NO APLICA</v>
      </c>
      <c r="NB118" s="2"/>
      <c r="NC118" s="6"/>
      <c r="ND118" s="4"/>
      <c r="NE118" s="8"/>
      <c r="NF118" s="5" t="str">
        <f t="shared" si="347"/>
        <v>NO APLICA</v>
      </c>
      <c r="NG118" s="2"/>
      <c r="NH118" s="6"/>
      <c r="NI118" s="4"/>
      <c r="NJ118" s="8"/>
      <c r="NK118" s="5" t="str">
        <f t="shared" si="348"/>
        <v>NO APLICA</v>
      </c>
      <c r="NL118" s="2"/>
      <c r="NM118" s="2"/>
      <c r="NN118" s="4"/>
      <c r="NO118" s="2"/>
      <c r="NP118" s="5" t="str">
        <f t="shared" si="349"/>
        <v>NO APLICA</v>
      </c>
      <c r="NQ118" s="2"/>
      <c r="NR118" s="2"/>
      <c r="NS118" s="4"/>
      <c r="NT118" s="2"/>
      <c r="NU118" s="5" t="str">
        <f t="shared" si="350"/>
        <v>NO APLICA</v>
      </c>
      <c r="NV118" s="6"/>
      <c r="NW118" s="6"/>
      <c r="NX118" s="4"/>
      <c r="NY118" s="8"/>
      <c r="NZ118" s="5" t="str">
        <f t="shared" si="351"/>
        <v>NO APLICA</v>
      </c>
      <c r="OA118" s="6"/>
      <c r="OB118" s="6"/>
      <c r="OC118" s="6"/>
      <c r="OD118" s="6"/>
      <c r="OE118" s="5" t="str">
        <f t="shared" si="352"/>
        <v>NO APLICA</v>
      </c>
      <c r="OF118" s="6"/>
      <c r="OG118" s="6"/>
      <c r="OH118" s="4"/>
      <c r="OI118" s="8"/>
      <c r="OJ118" s="5" t="str">
        <f t="shared" si="353"/>
        <v>NO APLICA</v>
      </c>
      <c r="OK118" s="6"/>
      <c r="OL118" s="6"/>
      <c r="OM118" s="6"/>
      <c r="ON118" s="6"/>
      <c r="OO118" s="5" t="str">
        <f t="shared" si="354"/>
        <v>NO APLICA</v>
      </c>
      <c r="OP118" s="6"/>
      <c r="OQ118" s="6"/>
      <c r="OR118" s="6"/>
      <c r="OS118" s="6"/>
      <c r="OT118" s="5" t="str">
        <f t="shared" si="355"/>
        <v>NO APLICA</v>
      </c>
      <c r="OU118" s="6"/>
      <c r="OV118" s="6"/>
      <c r="OW118" s="6"/>
      <c r="OX118" s="6"/>
      <c r="OY118" s="5" t="str">
        <f t="shared" si="356"/>
        <v>NO APLICA</v>
      </c>
      <c r="OZ118" s="6"/>
      <c r="PA118" s="6"/>
      <c r="PB118" s="6"/>
      <c r="PC118" s="6"/>
      <c r="PD118" s="5" t="str">
        <f t="shared" si="357"/>
        <v>NO APLICA</v>
      </c>
      <c r="PE118" s="6"/>
      <c r="PF118" s="6"/>
      <c r="PG118" s="6"/>
      <c r="PH118" s="6"/>
      <c r="PI118" s="5" t="str">
        <f t="shared" si="358"/>
        <v>NO APLICA</v>
      </c>
      <c r="PJ118" s="5"/>
      <c r="PK118" s="6"/>
      <c r="PL118" s="4"/>
      <c r="PM118" s="8"/>
      <c r="PN118" s="5" t="str">
        <f t="shared" si="359"/>
        <v>NO APLICA</v>
      </c>
      <c r="PO118" s="6"/>
      <c r="PP118" s="6"/>
      <c r="PQ118" s="6"/>
      <c r="PR118" s="6"/>
      <c r="PS118" s="5" t="str">
        <f t="shared" si="360"/>
        <v>NO APLICA</v>
      </c>
      <c r="PT118" s="5"/>
      <c r="PU118" s="6"/>
      <c r="PV118" s="6"/>
      <c r="PW118" s="6"/>
      <c r="PX118" s="5" t="str">
        <f t="shared" si="361"/>
        <v>NO APLICA</v>
      </c>
    </row>
    <row r="119" spans="1:440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716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404</v>
      </c>
      <c r="V119" s="4">
        <v>44786</v>
      </c>
      <c r="W119" s="4">
        <f t="shared" si="421"/>
        <v>46612</v>
      </c>
      <c r="X119" s="8">
        <f t="shared" ca="1" si="422"/>
        <v>478</v>
      </c>
      <c r="Y119" s="5" t="str">
        <f t="shared" ca="1" si="423"/>
        <v>VIGENTE</v>
      </c>
      <c r="Z119" s="2"/>
      <c r="AA119" s="6"/>
      <c r="AB119" s="4"/>
      <c r="AC119" s="8"/>
      <c r="AD119" s="5" t="str">
        <f t="shared" si="426"/>
        <v>NO APLICA</v>
      </c>
      <c r="AE119" s="3"/>
      <c r="AF119" s="4">
        <v>45892</v>
      </c>
      <c r="AG119" s="4">
        <f>DATE(YEAR(AF119)+2,MONTH(AF119),DAY(AF119))</f>
        <v>46622</v>
      </c>
      <c r="AH119" s="8">
        <f t="shared" ca="1" si="252"/>
        <v>488</v>
      </c>
      <c r="AI119" s="5" t="str">
        <f t="shared" ca="1" si="419"/>
        <v>VIGENTE</v>
      </c>
      <c r="AJ119" s="3"/>
      <c r="AK119" s="4">
        <v>46062</v>
      </c>
      <c r="AL119" s="4">
        <f>DATE(YEAR(AK119)+2,MONTH(AK119),DAY(AK119))</f>
        <v>46792</v>
      </c>
      <c r="AM119" s="8">
        <f t="shared" ca="1" si="253"/>
        <v>658</v>
      </c>
      <c r="AN119" s="5" t="str">
        <f t="shared" ca="1" si="254"/>
        <v>VIGENTE</v>
      </c>
      <c r="AO119" s="3"/>
      <c r="AP119" s="4">
        <v>46048</v>
      </c>
      <c r="AQ119" s="4">
        <f>DATE(YEAR(AP119)+2,MONTH(AP119),DAY(AP119))</f>
        <v>46778</v>
      </c>
      <c r="AR119" s="8">
        <f t="shared" ca="1" si="255"/>
        <v>644</v>
      </c>
      <c r="AS119" s="5" t="str">
        <f t="shared" ca="1" si="256"/>
        <v>VIGENTE</v>
      </c>
      <c r="AT119" s="3"/>
      <c r="AU119" s="4">
        <v>45927</v>
      </c>
      <c r="AV119" s="4">
        <f>DATE(YEAR(AU119)+2,MONTH(AU119),DAY(AU119))</f>
        <v>46657</v>
      </c>
      <c r="AW119" s="8">
        <f t="shared" ca="1" si="257"/>
        <v>523</v>
      </c>
      <c r="AX119" s="5" t="str">
        <f t="shared" ca="1" si="258"/>
        <v>VIGENTE</v>
      </c>
      <c r="AY119" s="3"/>
      <c r="AZ119" s="4">
        <v>45742</v>
      </c>
      <c r="BA119" s="4">
        <f>DATE(YEAR(AZ119)+2,MONTH(AZ119),DAY(AZ119)-1)</f>
        <v>46471</v>
      </c>
      <c r="BB119" s="8">
        <f t="shared" ca="1" si="259"/>
        <v>337</v>
      </c>
      <c r="BC119" s="5" t="str">
        <f t="shared" ca="1" si="260"/>
        <v>VIGENTE</v>
      </c>
      <c r="BD119" s="3"/>
      <c r="BE119" s="4">
        <v>45698</v>
      </c>
      <c r="BF119" s="4">
        <f>DATE(YEAR(BE119)+2,MONTH(BE119),DAY(BE119)-1)</f>
        <v>46427</v>
      </c>
      <c r="BG119" s="8">
        <f t="shared" ca="1" si="261"/>
        <v>293</v>
      </c>
      <c r="BH119" s="5" t="str">
        <f t="shared" ca="1" si="262"/>
        <v>VIGENTE</v>
      </c>
      <c r="BI119" s="3"/>
      <c r="BJ119" s="4">
        <v>46090</v>
      </c>
      <c r="BK119" s="4">
        <f>DATE(YEAR(BJ119)+2,MONTH(BJ119),DAY(BJ119))</f>
        <v>46821</v>
      </c>
      <c r="BL119" s="8">
        <f t="shared" ca="1" si="263"/>
        <v>687</v>
      </c>
      <c r="BM119" s="5" t="str">
        <f t="shared" ca="1" si="264"/>
        <v>VIGENTE</v>
      </c>
      <c r="BN119" s="3"/>
      <c r="BO119" s="4">
        <v>46050</v>
      </c>
      <c r="BP119" s="4">
        <f>DATE(YEAR(BO119)+2,MONTH(BO119),DAY(BO119))</f>
        <v>46780</v>
      </c>
      <c r="BQ119" s="8">
        <f t="shared" ca="1" si="265"/>
        <v>646</v>
      </c>
      <c r="BR119" s="5" t="str">
        <f t="shared" ca="1" si="266"/>
        <v>VIGENTE</v>
      </c>
      <c r="BS119" s="2"/>
      <c r="BT119" s="4">
        <v>45736</v>
      </c>
      <c r="BU119" s="4">
        <f>DATE(YEAR(BT119)+2,MONTH(BT119),DAY(BT119)-1)</f>
        <v>46465</v>
      </c>
      <c r="BV119" s="8">
        <f t="shared" ca="1" si="267"/>
        <v>331</v>
      </c>
      <c r="BW119" s="5" t="str">
        <f t="shared" ca="1" si="268"/>
        <v>VIGENTE</v>
      </c>
      <c r="BX119" s="3"/>
      <c r="BY119" s="4">
        <v>46065</v>
      </c>
      <c r="BZ119" s="4">
        <f t="shared" si="435"/>
        <v>46795</v>
      </c>
      <c r="CA119" s="8">
        <f t="shared" ca="1" si="269"/>
        <v>661</v>
      </c>
      <c r="CB119" s="5" t="str">
        <f t="shared" ca="1" si="270"/>
        <v>VIGENTE</v>
      </c>
      <c r="CC119" s="6" t="s">
        <v>73</v>
      </c>
      <c r="CD119" s="4">
        <v>45616</v>
      </c>
      <c r="CE119" s="4">
        <f t="shared" si="428"/>
        <v>47077</v>
      </c>
      <c r="CF119" s="8">
        <f t="shared" ca="1" si="429"/>
        <v>943</v>
      </c>
      <c r="CG119" s="5" t="str">
        <f t="shared" ca="1" si="430"/>
        <v>VIGENTE</v>
      </c>
      <c r="CH119" s="4"/>
      <c r="CI119" s="4">
        <v>45688</v>
      </c>
      <c r="CJ119" s="4">
        <f>DATE(YEAR(CI119)+2,MONTH(CI119),DAY(CI119)-1)</f>
        <v>46417</v>
      </c>
      <c r="CK119" s="8">
        <f t="shared" ca="1" si="274"/>
        <v>283</v>
      </c>
      <c r="CL119" s="5" t="str">
        <f t="shared" ca="1" si="275"/>
        <v>VIGENTE</v>
      </c>
      <c r="CM119" s="3"/>
      <c r="CN119" s="4">
        <v>45769</v>
      </c>
      <c r="CO119" s="4">
        <f>DATE(YEAR(CN119)+2,MONTH(CN119),DAY(CN119))</f>
        <v>46499</v>
      </c>
      <c r="CP119" s="8">
        <f t="shared" ca="1" si="276"/>
        <v>365</v>
      </c>
      <c r="CQ119" s="5" t="str">
        <f t="shared" ca="1" si="277"/>
        <v>VIGENTE</v>
      </c>
      <c r="CR119" s="3"/>
      <c r="CS119" s="4">
        <v>46043</v>
      </c>
      <c r="CT119" s="4">
        <f>DATE(YEAR(CS119)+2,MONTH(CS119),DAY(CS119))</f>
        <v>46773</v>
      </c>
      <c r="CU119" s="8">
        <f t="shared" ca="1" si="278"/>
        <v>639</v>
      </c>
      <c r="CV119" s="5" t="str">
        <f t="shared" ca="1" si="279"/>
        <v>VIGENTE</v>
      </c>
      <c r="CW119" s="3"/>
      <c r="CX119" s="4">
        <v>46028</v>
      </c>
      <c r="CY119" s="4">
        <f>DATE(YEAR(CX119)+2,MONTH(CX119),DAY(CX119))</f>
        <v>46758</v>
      </c>
      <c r="CZ119" s="8">
        <f t="shared" ca="1" si="280"/>
        <v>624</v>
      </c>
      <c r="DA119" s="5" t="str">
        <f t="shared" ca="1" si="281"/>
        <v>VIGENTE</v>
      </c>
      <c r="DB119" s="3"/>
      <c r="DC119" s="4">
        <v>46066</v>
      </c>
      <c r="DD119" s="4">
        <f>DATE(YEAR(DC119)+2,MONTH(DC119),DAY(DC119))</f>
        <v>46796</v>
      </c>
      <c r="DE119" s="8">
        <f t="shared" ca="1" si="282"/>
        <v>662</v>
      </c>
      <c r="DF119" s="5" t="str">
        <f t="shared" ca="1" si="283"/>
        <v>VIGENTE</v>
      </c>
      <c r="DG119" s="3"/>
      <c r="DH119" s="4">
        <v>46029</v>
      </c>
      <c r="DI119" s="4">
        <f>DATE(YEAR(DH119)+2,MONTH(DH119),DAY(DH119))</f>
        <v>46759</v>
      </c>
      <c r="DJ119" s="8">
        <f t="shared" ca="1" si="284"/>
        <v>625</v>
      </c>
      <c r="DK119" s="5" t="str">
        <f t="shared" ca="1" si="285"/>
        <v>VIGENTE</v>
      </c>
      <c r="DL119" s="3"/>
      <c r="DM119" s="4">
        <v>46046</v>
      </c>
      <c r="DN119" s="4">
        <f>DATE(YEAR(DM119)+2,MONTH(DM119),DAY(DM119))</f>
        <v>46776</v>
      </c>
      <c r="DO119" s="8">
        <f t="shared" ca="1" si="286"/>
        <v>642</v>
      </c>
      <c r="DP119" s="5" t="str">
        <f t="shared" ca="1" si="287"/>
        <v>VIGENTE</v>
      </c>
      <c r="DQ119" s="3"/>
      <c r="DR119" s="4">
        <v>45685</v>
      </c>
      <c r="DS119" s="4">
        <f>DATE(YEAR(DR119)+2,MONTH(DR119),DAY(DR119)-1)</f>
        <v>46414</v>
      </c>
      <c r="DT119" s="8">
        <f t="shared" ca="1" si="288"/>
        <v>280</v>
      </c>
      <c r="DU119" s="5" t="str">
        <f t="shared" ca="1" si="289"/>
        <v>VIGENTE</v>
      </c>
      <c r="DV119" s="3"/>
      <c r="DW119" s="4">
        <v>45663</v>
      </c>
      <c r="DX119" s="4">
        <f>DATE(YEAR(DW119)+2,MONTH(DW119),DAY(DW119)-1)</f>
        <v>46392</v>
      </c>
      <c r="DY119" s="8">
        <f t="shared" ca="1" si="290"/>
        <v>258</v>
      </c>
      <c r="DZ119" s="5" t="str">
        <f t="shared" ca="1" si="291"/>
        <v>VIGENTE</v>
      </c>
      <c r="EA119" s="3"/>
      <c r="EB119" s="4">
        <v>45674</v>
      </c>
      <c r="EC119" s="4">
        <f>DATE(YEAR(EB119)+2,MONTH(EB119),DAY(EB119)-1)</f>
        <v>46403</v>
      </c>
      <c r="ED119" s="8">
        <f t="shared" ca="1" si="292"/>
        <v>269</v>
      </c>
      <c r="EE119" s="5" t="str">
        <f t="shared" ca="1" si="293"/>
        <v>VIGENTE</v>
      </c>
      <c r="EF119" s="3"/>
      <c r="EG119" s="3">
        <v>46085</v>
      </c>
      <c r="EH119" s="4">
        <f t="shared" si="364"/>
        <v>46450</v>
      </c>
      <c r="EI119" s="8">
        <f t="shared" ca="1" si="294"/>
        <v>316</v>
      </c>
      <c r="EJ119" s="5" t="str">
        <f t="shared" ca="1" si="295"/>
        <v>VIGENTE</v>
      </c>
      <c r="EK119" s="3"/>
      <c r="EL119" s="4">
        <v>45465</v>
      </c>
      <c r="EM119" s="4">
        <f>DATE(YEAR(EL119)+2,MONTH(EL119),DAY(EL119)-1)</f>
        <v>46194</v>
      </c>
      <c r="EN119" s="8">
        <f t="shared" ca="1" si="296"/>
        <v>60</v>
      </c>
      <c r="EO119" s="5" t="str">
        <f t="shared" ca="1" si="297"/>
        <v>POR VENCER</v>
      </c>
      <c r="EP119" s="2"/>
      <c r="EQ119" s="4">
        <v>45735</v>
      </c>
      <c r="ER119" s="4">
        <f>DATE(YEAR(EQ119)+2,MONTH(EQ119),DAY(EQ119)-1)</f>
        <v>46464</v>
      </c>
      <c r="ES119" s="8">
        <f t="shared" ca="1" si="298"/>
        <v>330</v>
      </c>
      <c r="ET119" s="5" t="str">
        <f t="shared" ca="1" si="299"/>
        <v>VIGENTE</v>
      </c>
      <c r="EU119" s="3"/>
      <c r="EV119" s="4">
        <v>45917</v>
      </c>
      <c r="EW119" s="4">
        <f t="shared" si="436"/>
        <v>46647</v>
      </c>
      <c r="EX119" s="8">
        <f t="shared" ca="1" si="300"/>
        <v>513</v>
      </c>
      <c r="EY119" s="5" t="str">
        <f t="shared" ca="1" si="301"/>
        <v>VIGENTE</v>
      </c>
      <c r="EZ119" s="3"/>
      <c r="FA119" s="4">
        <v>46091</v>
      </c>
      <c r="FB119" s="4">
        <f>DATE(YEAR(FA119)+2,MONTH(FA119),DAY(FA119))</f>
        <v>46822</v>
      </c>
      <c r="FC119" s="8">
        <f t="shared" ca="1" si="302"/>
        <v>688</v>
      </c>
      <c r="FD119" s="5" t="str">
        <f t="shared" ca="1" si="303"/>
        <v>VIGENTE</v>
      </c>
      <c r="FE119" s="3"/>
      <c r="FF119" s="4">
        <v>46074</v>
      </c>
      <c r="FG119" s="4">
        <f t="shared" si="437"/>
        <v>46804</v>
      </c>
      <c r="FH119" s="8">
        <f t="shared" ca="1" si="304"/>
        <v>670</v>
      </c>
      <c r="FI119" s="5" t="str">
        <f t="shared" ca="1" si="305"/>
        <v>VIGENTE</v>
      </c>
      <c r="FJ119" s="3"/>
      <c r="FK119" s="4">
        <v>45670</v>
      </c>
      <c r="FL119" s="4">
        <f>DATE(YEAR(FK119)+2,MONTH(FK119),DAY(FK119)-1)</f>
        <v>46399</v>
      </c>
      <c r="FM119" s="8">
        <f t="shared" ca="1" si="306"/>
        <v>265</v>
      </c>
      <c r="FN119" s="5" t="str">
        <f t="shared" ca="1" si="307"/>
        <v>VIGENTE</v>
      </c>
      <c r="FO119" s="3"/>
      <c r="FP119" s="4">
        <v>45466</v>
      </c>
      <c r="FQ119" s="4">
        <f>DATE(YEAR(FP119)+2,MONTH(FP119),DAY(FP119)-1)</f>
        <v>46195</v>
      </c>
      <c r="FR119" s="8">
        <f t="shared" ca="1" si="308"/>
        <v>61</v>
      </c>
      <c r="FS119" s="5" t="str">
        <f t="shared" ca="1" si="309"/>
        <v>POR VENCER</v>
      </c>
      <c r="FT119" s="3"/>
      <c r="FU119" s="4">
        <v>46087</v>
      </c>
      <c r="FV119" s="4">
        <f>DATE(YEAR(FU119)+2,MONTH(FU119),DAY(FU119))</f>
        <v>46818</v>
      </c>
      <c r="FW119" s="8">
        <f t="shared" ca="1" si="310"/>
        <v>684</v>
      </c>
      <c r="FX119" s="5" t="str">
        <f t="shared" ca="1" si="311"/>
        <v>VIGENTE</v>
      </c>
      <c r="FY119" s="3"/>
      <c r="FZ119" s="4">
        <v>45667</v>
      </c>
      <c r="GA119" s="4">
        <f>DATE(YEAR(FZ119)+2,MONTH(FZ119),DAY(FZ119)-1)</f>
        <v>46396</v>
      </c>
      <c r="GB119" s="8">
        <f t="shared" ca="1" si="312"/>
        <v>262</v>
      </c>
      <c r="GC119" s="5" t="str">
        <f t="shared" ca="1" si="313"/>
        <v>VIGENTE</v>
      </c>
      <c r="GD119" s="3"/>
      <c r="GE119" s="4">
        <v>46092</v>
      </c>
      <c r="GF119" s="4">
        <f>DATE(YEAR(GE119)+2,MONTH(GE119),DAY(GE119))</f>
        <v>46823</v>
      </c>
      <c r="GG119" s="8">
        <f t="shared" ca="1" si="314"/>
        <v>689</v>
      </c>
      <c r="GH119" s="5" t="str">
        <f t="shared" ca="1" si="315"/>
        <v>VIGENTE</v>
      </c>
      <c r="GI119" s="3"/>
      <c r="GJ119" s="4">
        <v>45608</v>
      </c>
      <c r="GK119" s="4">
        <f>DATE(YEAR(GJ119)+2,MONTH(GJ119),DAY(GJ119)-1)</f>
        <v>46337</v>
      </c>
      <c r="GL119" s="8">
        <f t="shared" ca="1" si="316"/>
        <v>203</v>
      </c>
      <c r="GM119" s="5" t="str">
        <f t="shared" ca="1" si="317"/>
        <v>VIGENTE</v>
      </c>
      <c r="GN119" s="4"/>
      <c r="GO119" s="4">
        <v>45017</v>
      </c>
      <c r="GP119" s="4">
        <f t="shared" si="318"/>
        <v>46844</v>
      </c>
      <c r="GQ119" s="8">
        <f t="shared" ca="1" si="418"/>
        <v>710</v>
      </c>
      <c r="GR119" s="5" t="str">
        <f t="shared" ca="1" si="431"/>
        <v>VIGENTE</v>
      </c>
      <c r="GS119" s="3"/>
      <c r="GT119" s="4">
        <v>44961</v>
      </c>
      <c r="GU119" s="4">
        <f t="shared" si="320"/>
        <v>46787</v>
      </c>
      <c r="GV119" s="8">
        <f t="shared" ca="1" si="321"/>
        <v>653</v>
      </c>
      <c r="GW119" s="5" t="str">
        <f t="shared" ca="1" si="438"/>
        <v>VIGENTE</v>
      </c>
      <c r="GX119" s="2"/>
      <c r="GY119" s="4">
        <v>45073</v>
      </c>
      <c r="GZ119" s="4">
        <f t="shared" si="323"/>
        <v>46900</v>
      </c>
      <c r="HA119" s="8">
        <f t="shared" ca="1" si="324"/>
        <v>766</v>
      </c>
      <c r="HB119" s="5" t="str">
        <f t="shared" ca="1" si="433"/>
        <v>VIGENTE</v>
      </c>
      <c r="HC119" s="6"/>
      <c r="HD119" s="6"/>
      <c r="HE119" s="4"/>
      <c r="HF119" s="8"/>
      <c r="HG119" s="5" t="str">
        <f t="shared" si="439"/>
        <v>NO APLICA</v>
      </c>
      <c r="HH119" s="2"/>
      <c r="HI119" s="6"/>
      <c r="HJ119" s="4"/>
      <c r="HK119" s="8"/>
      <c r="HL119" s="5" t="str">
        <f t="shared" si="420"/>
        <v>NO APLICA</v>
      </c>
      <c r="HM119" s="2"/>
      <c r="HN119" s="2"/>
      <c r="HO119" s="4"/>
      <c r="HP119" s="2"/>
      <c r="HQ119" s="5" t="str">
        <f t="shared" si="326"/>
        <v>NO APLICA</v>
      </c>
      <c r="HR119" s="2"/>
      <c r="HS119" s="6"/>
      <c r="HT119" s="4"/>
      <c r="HU119" s="8"/>
      <c r="HV119" s="5" t="str">
        <f t="shared" si="327"/>
        <v>NO APLICA</v>
      </c>
      <c r="HW119" s="2"/>
      <c r="HX119" s="6"/>
      <c r="HY119" s="4"/>
      <c r="HZ119" s="8"/>
      <c r="IA119" s="5" t="str">
        <f t="shared" si="328"/>
        <v>NO APLICA</v>
      </c>
      <c r="IB119" s="2"/>
      <c r="IC119" s="6"/>
      <c r="ID119" s="4"/>
      <c r="IE119" s="8"/>
      <c r="IF119" s="5" t="str">
        <f t="shared" si="329"/>
        <v>NO APLICA</v>
      </c>
      <c r="IG119" s="6"/>
      <c r="IH119" s="6"/>
      <c r="II119" s="4"/>
      <c r="IJ119" s="8"/>
      <c r="IK119" s="5" t="str">
        <f t="shared" si="330"/>
        <v>NO APLICA</v>
      </c>
      <c r="IL119" s="2"/>
      <c r="IM119" s="6"/>
      <c r="IN119" s="4"/>
      <c r="IO119" s="8"/>
      <c r="IP119" s="5" t="str">
        <f t="shared" si="331"/>
        <v>NO APLICA</v>
      </c>
      <c r="IQ119" s="2"/>
      <c r="IR119" s="6"/>
      <c r="IS119" s="4"/>
      <c r="IT119" s="8"/>
      <c r="IU119" s="5" t="str">
        <f t="shared" si="332"/>
        <v>NO APLICA</v>
      </c>
      <c r="IV119" s="2"/>
      <c r="IW119" s="6"/>
      <c r="IX119" s="4"/>
      <c r="IY119" s="8"/>
      <c r="IZ119" s="5" t="str">
        <f t="shared" si="333"/>
        <v>NO APLICA</v>
      </c>
      <c r="JA119" s="3"/>
      <c r="JB119" s="3"/>
      <c r="JC119" s="4"/>
      <c r="JD119" s="8"/>
      <c r="JE119" s="5" t="str">
        <f t="shared" si="334"/>
        <v>NO APLICA</v>
      </c>
      <c r="JF119" s="6"/>
      <c r="JG119" s="6"/>
      <c r="JH119" s="6"/>
      <c r="JI119" s="6"/>
      <c r="JJ119" s="5" t="str">
        <f t="shared" si="335"/>
        <v>NO APLICA</v>
      </c>
      <c r="JK119" s="6"/>
      <c r="JL119" s="6"/>
      <c r="JM119" s="6"/>
      <c r="JN119" s="6"/>
      <c r="JO119" s="5" t="str">
        <f t="shared" si="336"/>
        <v>NO APLICA</v>
      </c>
      <c r="JP119" s="6"/>
      <c r="JQ119" s="6"/>
      <c r="JR119" s="6"/>
      <c r="JS119" s="6"/>
      <c r="JT119" s="5" t="str">
        <f t="shared" si="337"/>
        <v>NO APLICA</v>
      </c>
      <c r="JU119" s="5"/>
      <c r="JV119" s="5"/>
      <c r="JW119" s="5"/>
      <c r="JX119" s="5"/>
      <c r="JY119" s="5" t="str">
        <f t="shared" si="338"/>
        <v>NO APLICA</v>
      </c>
      <c r="JZ119" s="5"/>
      <c r="KA119" s="2"/>
      <c r="KB119" s="4"/>
      <c r="KC119" s="8"/>
      <c r="KD119" s="5" t="str">
        <f t="shared" si="339"/>
        <v>NO APLICA</v>
      </c>
      <c r="KE119" s="5"/>
      <c r="KF119" s="2"/>
      <c r="KG119" s="4"/>
      <c r="KH119" s="8"/>
      <c r="KI119" s="5" t="str">
        <f t="shared" si="365"/>
        <v>NO APLICA</v>
      </c>
      <c r="KJ119" s="5"/>
      <c r="KK119" s="2"/>
      <c r="KL119" s="4"/>
      <c r="KM119" s="8"/>
      <c r="KN119" s="5" t="str">
        <f t="shared" si="340"/>
        <v>NO APLICA</v>
      </c>
      <c r="KO119" s="5"/>
      <c r="KP119" s="2"/>
      <c r="KQ119" s="4"/>
      <c r="KR119" s="8"/>
      <c r="KS119" s="5" t="str">
        <f t="shared" si="366"/>
        <v>NO APLICA</v>
      </c>
      <c r="KT119" s="2"/>
      <c r="KU119" s="6"/>
      <c r="KV119" s="4"/>
      <c r="KW119" s="8"/>
      <c r="KX119" s="5" t="str">
        <f t="shared" si="375"/>
        <v>NO APLICA</v>
      </c>
      <c r="KY119" s="5"/>
      <c r="KZ119" s="6"/>
      <c r="LA119" s="4"/>
      <c r="LB119" s="8"/>
      <c r="LC119" s="5" t="str">
        <f t="shared" si="367"/>
        <v>NO APLICA</v>
      </c>
      <c r="LD119" s="6"/>
      <c r="LE119" s="6"/>
      <c r="LF119" s="4"/>
      <c r="LG119" s="8"/>
      <c r="LH119" s="5" t="str">
        <f t="shared" si="341"/>
        <v>NO APLICA</v>
      </c>
      <c r="LI119" s="5"/>
      <c r="LJ119" s="5"/>
      <c r="LK119" s="4"/>
      <c r="LL119" s="8"/>
      <c r="LM119" s="5" t="str">
        <f t="shared" si="376"/>
        <v>NO APLICA</v>
      </c>
      <c r="LN119" s="2"/>
      <c r="LO119" s="6"/>
      <c r="LP119" s="4"/>
      <c r="LQ119" s="8"/>
      <c r="LR119" s="5" t="str">
        <f t="shared" si="368"/>
        <v>NO APLICA</v>
      </c>
      <c r="LS119" s="6"/>
      <c r="LT119" s="6"/>
      <c r="LU119" s="4"/>
      <c r="LV119" s="8"/>
      <c r="LW119" s="5" t="str">
        <f t="shared" si="369"/>
        <v>NO APLICA</v>
      </c>
      <c r="LX119" s="6"/>
      <c r="LY119" s="6"/>
      <c r="LZ119" s="4"/>
      <c r="MA119" s="8"/>
      <c r="MB119" s="5" t="str">
        <f t="shared" si="370"/>
        <v>NO APLICA</v>
      </c>
      <c r="MC119" s="2"/>
      <c r="MD119" s="2"/>
      <c r="ME119" s="4"/>
      <c r="MF119" s="8"/>
      <c r="MG119" s="5" t="str">
        <f t="shared" si="342"/>
        <v>NO APLICA</v>
      </c>
      <c r="MH119" s="2"/>
      <c r="MI119" s="2"/>
      <c r="MJ119" s="4"/>
      <c r="MK119" s="8"/>
      <c r="ML119" s="5" t="str">
        <f t="shared" si="343"/>
        <v>NO APLICA</v>
      </c>
      <c r="MM119" s="5"/>
      <c r="MN119" s="2"/>
      <c r="MO119" s="4"/>
      <c r="MP119" s="8"/>
      <c r="MQ119" s="5" t="str">
        <f t="shared" si="344"/>
        <v>NO APLICA</v>
      </c>
      <c r="MR119" s="5"/>
      <c r="MS119" s="2"/>
      <c r="MT119" s="4"/>
      <c r="MU119" s="2"/>
      <c r="MV119" s="5" t="str">
        <f t="shared" si="345"/>
        <v>NO APLICA</v>
      </c>
      <c r="MW119" s="2"/>
      <c r="MX119" s="6"/>
      <c r="MY119" s="4"/>
      <c r="MZ119" s="8"/>
      <c r="NA119" s="5" t="str">
        <f t="shared" si="346"/>
        <v>NO APLICA</v>
      </c>
      <c r="NB119" s="2"/>
      <c r="NC119" s="6"/>
      <c r="ND119" s="4"/>
      <c r="NE119" s="8"/>
      <c r="NF119" s="5" t="str">
        <f t="shared" si="347"/>
        <v>NO APLICA</v>
      </c>
      <c r="NG119" s="2"/>
      <c r="NH119" s="6"/>
      <c r="NI119" s="4"/>
      <c r="NJ119" s="8"/>
      <c r="NK119" s="5" t="str">
        <f t="shared" si="348"/>
        <v>NO APLICA</v>
      </c>
      <c r="NL119" s="2"/>
      <c r="NM119" s="2"/>
      <c r="NN119" s="4"/>
      <c r="NO119" s="8"/>
      <c r="NP119" s="5" t="str">
        <f t="shared" si="349"/>
        <v>NO APLICA</v>
      </c>
      <c r="NQ119" s="2"/>
      <c r="NR119" s="2"/>
      <c r="NS119" s="2"/>
      <c r="NT119" s="2"/>
      <c r="NU119" s="5" t="str">
        <f t="shared" si="350"/>
        <v>NO APLICA</v>
      </c>
      <c r="NV119" s="6"/>
      <c r="NW119" s="6"/>
      <c r="NX119" s="4"/>
      <c r="NY119" s="8"/>
      <c r="NZ119" s="5" t="str">
        <f t="shared" si="351"/>
        <v>NO APLICA</v>
      </c>
      <c r="OA119" s="6"/>
      <c r="OB119" s="6"/>
      <c r="OC119" s="6"/>
      <c r="OD119" s="6"/>
      <c r="OE119" s="5" t="str">
        <f t="shared" si="352"/>
        <v>NO APLICA</v>
      </c>
      <c r="OF119" s="2"/>
      <c r="OG119" s="2"/>
      <c r="OH119" s="4"/>
      <c r="OI119" s="8"/>
      <c r="OJ119" s="5" t="str">
        <f t="shared" si="353"/>
        <v>NO APLICA</v>
      </c>
      <c r="OK119" s="6"/>
      <c r="OL119" s="6"/>
      <c r="OM119" s="6"/>
      <c r="ON119" s="6"/>
      <c r="OO119" s="5" t="str">
        <f t="shared" si="354"/>
        <v>NO APLICA</v>
      </c>
      <c r="OP119" s="6"/>
      <c r="OQ119" s="6"/>
      <c r="OR119" s="6"/>
      <c r="OS119" s="6"/>
      <c r="OT119" s="5" t="str">
        <f t="shared" si="355"/>
        <v>NO APLICA</v>
      </c>
      <c r="OU119" s="6"/>
      <c r="OV119" s="6"/>
      <c r="OW119" s="6"/>
      <c r="OX119" s="6"/>
      <c r="OY119" s="5" t="str">
        <f t="shared" si="356"/>
        <v>NO APLICA</v>
      </c>
      <c r="OZ119" s="6"/>
      <c r="PA119" s="6"/>
      <c r="PB119" s="6"/>
      <c r="PC119" s="6"/>
      <c r="PD119" s="5" t="str">
        <f t="shared" si="357"/>
        <v>NO APLICA</v>
      </c>
      <c r="PE119" s="6"/>
      <c r="PF119" s="6"/>
      <c r="PG119" s="6"/>
      <c r="PH119" s="6"/>
      <c r="PI119" s="5" t="str">
        <f t="shared" si="358"/>
        <v>NO APLICA</v>
      </c>
      <c r="PJ119" s="5"/>
      <c r="PK119" s="6"/>
      <c r="PL119" s="4"/>
      <c r="PM119" s="8"/>
      <c r="PN119" s="5" t="str">
        <f t="shared" si="359"/>
        <v>NO APLICA</v>
      </c>
      <c r="PO119" s="6"/>
      <c r="PP119" s="6"/>
      <c r="PQ119" s="6"/>
      <c r="PR119" s="6"/>
      <c r="PS119" s="5" t="str">
        <f t="shared" si="360"/>
        <v>NO APLICA</v>
      </c>
      <c r="PT119" s="5"/>
      <c r="PU119" s="4">
        <v>45499</v>
      </c>
      <c r="PV119" s="4"/>
      <c r="PW119" s="8"/>
      <c r="PX119" s="5" t="str">
        <f>IF(PW119&gt;=61,"VIGENTE",IF(PW119&gt;=1,"POR VENCER",IF(PW119&lt;=-1,"VENCIDA",IF(PW119=0,"NO APLICA"))))</f>
        <v>NO APLICA</v>
      </c>
    </row>
    <row r="120" spans="1:440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185</v>
      </c>
      <c r="T120" s="5" t="str">
        <f t="shared" ca="1" si="362"/>
        <v>VIGENTE</v>
      </c>
      <c r="U120" s="6" t="s">
        <v>406</v>
      </c>
      <c r="V120" s="4">
        <v>45309</v>
      </c>
      <c r="W120" s="4">
        <f t="shared" si="421"/>
        <v>47136</v>
      </c>
      <c r="X120" s="8">
        <f t="shared" ca="1" si="422"/>
        <v>1002</v>
      </c>
      <c r="Y120" s="5" t="str">
        <f t="shared" ca="1" si="423"/>
        <v>VIGENTE</v>
      </c>
      <c r="Z120" s="6"/>
      <c r="AA120" s="6"/>
      <c r="AB120" s="4"/>
      <c r="AC120" s="8"/>
      <c r="AD120" s="23" t="str">
        <f>IF(AC120&gt;=91,"VIGENTE",IF(AC120&gt;=1,"POR VENCER",IF(AC120&lt;=-1,"VENCIDA",IF(AA120=0,"PENDIENTE"))))</f>
        <v>PENDIENTE</v>
      </c>
      <c r="AE120" s="6"/>
      <c r="AF120" s="4">
        <v>45936</v>
      </c>
      <c r="AG120" s="4">
        <f>DATE(YEAR(AF120)+2,MONTH(AF120),DAY(AF120))</f>
        <v>46666</v>
      </c>
      <c r="AH120" s="8">
        <f t="shared" ca="1" si="252"/>
        <v>532</v>
      </c>
      <c r="AI120" s="5" t="str">
        <f t="shared" ca="1" si="419"/>
        <v>VIGENTE</v>
      </c>
      <c r="AJ120" s="6"/>
      <c r="AK120" s="4">
        <v>45937</v>
      </c>
      <c r="AL120" s="4">
        <f>DATE(YEAR(AK120)+2,MONTH(AK120),DAY(AK120))</f>
        <v>46667</v>
      </c>
      <c r="AM120" s="8">
        <f t="shared" ca="1" si="253"/>
        <v>533</v>
      </c>
      <c r="AN120" s="5" t="str">
        <f t="shared" ca="1" si="254"/>
        <v>VIGENTE</v>
      </c>
      <c r="AO120" s="4"/>
      <c r="AP120" s="4">
        <v>45989</v>
      </c>
      <c r="AQ120" s="4">
        <f>DATE(YEAR(AP120)+2,MONTH(AP120),DAY(AP120))</f>
        <v>46719</v>
      </c>
      <c r="AR120" s="8">
        <f t="shared" ca="1" si="255"/>
        <v>585</v>
      </c>
      <c r="AS120" s="5" t="str">
        <f t="shared" ca="1" si="256"/>
        <v>VIGENTE</v>
      </c>
      <c r="AT120" s="4"/>
      <c r="AU120" s="4">
        <v>45972</v>
      </c>
      <c r="AV120" s="4">
        <f>DATE(YEAR(AU120)+2,MONTH(AU120),DAY(AU120))</f>
        <v>46702</v>
      </c>
      <c r="AW120" s="8">
        <f t="shared" ca="1" si="257"/>
        <v>568</v>
      </c>
      <c r="AX120" s="5" t="str">
        <f t="shared" ca="1" si="258"/>
        <v>VIGENTE</v>
      </c>
      <c r="AY120" s="3"/>
      <c r="AZ120" s="4">
        <v>46041</v>
      </c>
      <c r="BA120" s="4">
        <f>DATE(YEAR(AZ120)+2,MONTH(AZ120),DAY(AZ120))</f>
        <v>46771</v>
      </c>
      <c r="BB120" s="8">
        <f t="shared" ca="1" si="259"/>
        <v>637</v>
      </c>
      <c r="BC120" s="5" t="str">
        <f t="shared" ca="1" si="260"/>
        <v>VIGENTE</v>
      </c>
      <c r="BD120" s="6"/>
      <c r="BE120" s="4">
        <v>45997</v>
      </c>
      <c r="BF120" s="4">
        <f>DATE(YEAR(BE120)+2,MONTH(BE120),DAY(BE120))</f>
        <v>46727</v>
      </c>
      <c r="BG120" s="8">
        <f t="shared" ca="1" si="261"/>
        <v>593</v>
      </c>
      <c r="BH120" s="5" t="str">
        <f t="shared" ca="1" si="262"/>
        <v>VIGENTE</v>
      </c>
      <c r="BI120" s="4"/>
      <c r="BJ120" s="4">
        <v>46017</v>
      </c>
      <c r="BK120" s="4">
        <f>DATE(YEAR(BJ120)+2,MONTH(BJ120),DAY(BJ120))</f>
        <v>46747</v>
      </c>
      <c r="BL120" s="8">
        <f t="shared" ca="1" si="263"/>
        <v>613</v>
      </c>
      <c r="BM120" s="5" t="str">
        <f t="shared" ca="1" si="264"/>
        <v>VIGENTE</v>
      </c>
      <c r="BN120" s="4"/>
      <c r="BO120" s="4">
        <v>46050</v>
      </c>
      <c r="BP120" s="4">
        <f>DATE(YEAR(BO120)+2,MONTH(BO120),DAY(BO120))</f>
        <v>46780</v>
      </c>
      <c r="BQ120" s="8">
        <f t="shared" ca="1" si="265"/>
        <v>646</v>
      </c>
      <c r="BR120" s="5" t="str">
        <f t="shared" ca="1" si="266"/>
        <v>VIGENTE</v>
      </c>
      <c r="BS120" s="3"/>
      <c r="BT120" s="4">
        <v>46031</v>
      </c>
      <c r="BU120" s="4">
        <f>DATE(YEAR(BT120)+2,MONTH(BT120),DAY(BT120))</f>
        <v>46761</v>
      </c>
      <c r="BV120" s="8">
        <f t="shared" ca="1" si="267"/>
        <v>627</v>
      </c>
      <c r="BW120" s="5" t="str">
        <f t="shared" ca="1" si="268"/>
        <v>VIGENTE</v>
      </c>
      <c r="BX120" s="6"/>
      <c r="BY120" s="4">
        <v>45986</v>
      </c>
      <c r="BZ120" s="4">
        <f t="shared" si="435"/>
        <v>46716</v>
      </c>
      <c r="CA120" s="8">
        <f t="shared" ca="1" si="269"/>
        <v>582</v>
      </c>
      <c r="CB120" s="5" t="str">
        <f t="shared" ca="1" si="270"/>
        <v>VIGENTE</v>
      </c>
      <c r="CC120" s="6" t="s">
        <v>68</v>
      </c>
      <c r="CD120" s="4">
        <v>45723</v>
      </c>
      <c r="CE120" s="4">
        <f t="shared" si="428"/>
        <v>47184</v>
      </c>
      <c r="CF120" s="8">
        <f t="shared" ca="1" si="429"/>
        <v>1050</v>
      </c>
      <c r="CG120" s="5" t="str">
        <f t="shared" ca="1" si="430"/>
        <v>VIGENTE</v>
      </c>
      <c r="CH120" s="4"/>
      <c r="CI120" s="4">
        <v>46018</v>
      </c>
      <c r="CJ120" s="4">
        <f>DATE(YEAR(CI120)+2,MONTH(CI120),DAY(CI120))</f>
        <v>46748</v>
      </c>
      <c r="CK120" s="8">
        <f t="shared" ca="1" si="274"/>
        <v>614</v>
      </c>
      <c r="CL120" s="5" t="str">
        <f t="shared" ca="1" si="275"/>
        <v>VIGENTE</v>
      </c>
      <c r="CM120" s="4"/>
      <c r="CN120" s="4">
        <v>45979</v>
      </c>
      <c r="CO120" s="4">
        <f>DATE(YEAR(CN120)+2,MONTH(CN120),DAY(CN120))</f>
        <v>46709</v>
      </c>
      <c r="CP120" s="8">
        <f t="shared" ca="1" si="276"/>
        <v>575</v>
      </c>
      <c r="CQ120" s="5" t="str">
        <f t="shared" ca="1" si="277"/>
        <v>VIGENTE</v>
      </c>
      <c r="CR120" s="4"/>
      <c r="CS120" s="4">
        <v>46043</v>
      </c>
      <c r="CT120" s="4">
        <f>DATE(YEAR(CS120)+2,MONTH(CS120),DAY(CS120))</f>
        <v>46773</v>
      </c>
      <c r="CU120" s="8">
        <f t="shared" ca="1" si="278"/>
        <v>639</v>
      </c>
      <c r="CV120" s="5" t="str">
        <f t="shared" ca="1" si="279"/>
        <v>VIGENTE</v>
      </c>
      <c r="CW120" s="4"/>
      <c r="CX120" s="4">
        <v>46000</v>
      </c>
      <c r="CY120" s="4">
        <f>DATE(YEAR(CX120)+2,MONTH(CX120),DAY(CX120))</f>
        <v>46730</v>
      </c>
      <c r="CZ120" s="8">
        <f t="shared" ca="1" si="280"/>
        <v>596</v>
      </c>
      <c r="DA120" s="5" t="str">
        <f t="shared" ca="1" si="281"/>
        <v>VIGENTE</v>
      </c>
      <c r="DB120" s="3"/>
      <c r="DC120" s="4">
        <v>45996</v>
      </c>
      <c r="DD120" s="4">
        <f>DATE(YEAR(DC120)+2,MONTH(DC120),DAY(DC120))</f>
        <v>46726</v>
      </c>
      <c r="DE120" s="8">
        <f t="shared" ca="1" si="282"/>
        <v>592</v>
      </c>
      <c r="DF120" s="5" t="str">
        <f t="shared" ca="1" si="283"/>
        <v>VIGENTE</v>
      </c>
      <c r="DG120" s="4"/>
      <c r="DH120" s="4">
        <v>45975</v>
      </c>
      <c r="DI120" s="4">
        <f>DATE(YEAR(DH120)+2,MONTH(DH120),DAY(DH120))</f>
        <v>46705</v>
      </c>
      <c r="DJ120" s="8">
        <f t="shared" ca="1" si="284"/>
        <v>571</v>
      </c>
      <c r="DK120" s="5" t="str">
        <f t="shared" ca="1" si="285"/>
        <v>VIGENTE</v>
      </c>
      <c r="DL120" s="4"/>
      <c r="DM120" s="4">
        <v>46007</v>
      </c>
      <c r="DN120" s="4">
        <f>DATE(YEAR(DM120)+2,MONTH(DM120),DAY(DM120))</f>
        <v>46737</v>
      </c>
      <c r="DO120" s="8">
        <f t="shared" ca="1" si="286"/>
        <v>603</v>
      </c>
      <c r="DP120" s="5" t="str">
        <f t="shared" ca="1" si="287"/>
        <v>VIGENTE</v>
      </c>
      <c r="DQ120" s="4"/>
      <c r="DR120" s="3">
        <v>46009</v>
      </c>
      <c r="DS120" s="4">
        <f>DATE(YEAR(DR120)+2,MONTH(DR120),DAY(DR120))</f>
        <v>46739</v>
      </c>
      <c r="DT120" s="8">
        <f t="shared" ca="1" si="288"/>
        <v>605</v>
      </c>
      <c r="DU120" s="5" t="str">
        <f t="shared" ca="1" si="289"/>
        <v>VIGENTE</v>
      </c>
      <c r="DV120" s="4"/>
      <c r="DW120" s="4">
        <v>46032</v>
      </c>
      <c r="DX120" s="4">
        <f>DATE(YEAR(DW120)+2,MONTH(DW120),DAY(DW120))</f>
        <v>46762</v>
      </c>
      <c r="DY120" s="8">
        <f t="shared" ca="1" si="290"/>
        <v>628</v>
      </c>
      <c r="DZ120" s="5" t="str">
        <f t="shared" ca="1" si="291"/>
        <v>VIGENTE</v>
      </c>
      <c r="EA120" s="4"/>
      <c r="EB120" s="4">
        <v>45994</v>
      </c>
      <c r="EC120" s="4">
        <f>DATE(YEAR(EB120)+2,MONTH(EB120),DAY(EB120))</f>
        <v>46724</v>
      </c>
      <c r="ED120" s="8">
        <f t="shared" ca="1" si="292"/>
        <v>590</v>
      </c>
      <c r="EE120" s="5" t="str">
        <f t="shared" ca="1" si="293"/>
        <v>VIGENTE</v>
      </c>
      <c r="EF120" s="3"/>
      <c r="EG120" s="3">
        <v>46015</v>
      </c>
      <c r="EH120" s="4">
        <f t="shared" si="364"/>
        <v>46380</v>
      </c>
      <c r="EI120" s="8">
        <f t="shared" ca="1" si="294"/>
        <v>246</v>
      </c>
      <c r="EJ120" s="5" t="str">
        <f t="shared" ca="1" si="295"/>
        <v>VIGENTE</v>
      </c>
      <c r="EK120" s="3"/>
      <c r="EL120" s="4">
        <v>45983</v>
      </c>
      <c r="EM120" s="4">
        <f>DATE(YEAR(EL120)+2,MONTH(EL120),DAY(EL120))</f>
        <v>46713</v>
      </c>
      <c r="EN120" s="8">
        <f t="shared" ca="1" si="296"/>
        <v>579</v>
      </c>
      <c r="EO120" s="5" t="str">
        <f t="shared" ca="1" si="297"/>
        <v>VIGENTE</v>
      </c>
      <c r="EP120" s="6"/>
      <c r="EQ120" s="4">
        <v>45999</v>
      </c>
      <c r="ER120" s="4">
        <f>DATE(YEAR(EQ120)+2,MONTH(EQ120),DAY(EQ120))</f>
        <v>46729</v>
      </c>
      <c r="ES120" s="8">
        <f t="shared" ca="1" si="298"/>
        <v>595</v>
      </c>
      <c r="ET120" s="5" t="str">
        <f t="shared" ca="1" si="299"/>
        <v>VIGENTE</v>
      </c>
      <c r="EU120" s="4"/>
      <c r="EV120" s="4">
        <v>45964</v>
      </c>
      <c r="EW120" s="4">
        <f t="shared" si="436"/>
        <v>46694</v>
      </c>
      <c r="EX120" s="8">
        <f t="shared" ca="1" si="300"/>
        <v>560</v>
      </c>
      <c r="EY120" s="5" t="str">
        <f t="shared" ca="1" si="301"/>
        <v>VIGENTE</v>
      </c>
      <c r="EZ120" s="6"/>
      <c r="FA120" s="4">
        <v>45988</v>
      </c>
      <c r="FB120" s="4">
        <f>DATE(YEAR(FA120)+2,MONTH(FA120),DAY(FA120))</f>
        <v>46718</v>
      </c>
      <c r="FC120" s="8">
        <f t="shared" ca="1" si="302"/>
        <v>584</v>
      </c>
      <c r="FD120" s="5" t="str">
        <f t="shared" ca="1" si="303"/>
        <v>VIGENTE</v>
      </c>
      <c r="FE120" s="4"/>
      <c r="FF120" s="4">
        <v>45962</v>
      </c>
      <c r="FG120" s="4">
        <f t="shared" si="437"/>
        <v>46692</v>
      </c>
      <c r="FH120" s="8">
        <f t="shared" ca="1" si="304"/>
        <v>558</v>
      </c>
      <c r="FI120" s="5" t="str">
        <f t="shared" ca="1" si="305"/>
        <v>VIGENTE</v>
      </c>
      <c r="FJ120" s="4"/>
      <c r="FK120" s="4">
        <v>46039</v>
      </c>
      <c r="FL120" s="4">
        <f>DATE(YEAR(FK120)+2,MONTH(FK120),DAY(FK120))</f>
        <v>46769</v>
      </c>
      <c r="FM120" s="8">
        <f t="shared" ca="1" si="306"/>
        <v>635</v>
      </c>
      <c r="FN120" s="5" t="str">
        <f t="shared" ca="1" si="307"/>
        <v>VIGENTE</v>
      </c>
      <c r="FO120" s="4"/>
      <c r="FP120" s="4">
        <v>46034</v>
      </c>
      <c r="FQ120" s="4">
        <f>DATE(YEAR(FP120)+2,MONTH(FP120),DAY(FP120))</f>
        <v>46764</v>
      </c>
      <c r="FR120" s="8">
        <f t="shared" ca="1" si="308"/>
        <v>630</v>
      </c>
      <c r="FS120" s="5" t="str">
        <f t="shared" ca="1" si="309"/>
        <v>VIGENTE</v>
      </c>
      <c r="FT120" s="4"/>
      <c r="FU120" s="4">
        <v>46004</v>
      </c>
      <c r="FV120" s="4">
        <f>DATE(YEAR(FU120)+2,MONTH(FU120),DAY(FU120))</f>
        <v>46734</v>
      </c>
      <c r="FW120" s="8">
        <f t="shared" ca="1" si="310"/>
        <v>600</v>
      </c>
      <c r="FX120" s="5" t="str">
        <f t="shared" ca="1" si="311"/>
        <v>VIGENTE</v>
      </c>
      <c r="FY120" s="4"/>
      <c r="FZ120" s="4">
        <v>45925</v>
      </c>
      <c r="GA120" s="4">
        <f>DATE(YEAR(FZ120)+2,MONTH(FZ120),DAY(FZ120))</f>
        <v>46655</v>
      </c>
      <c r="GB120" s="8">
        <f t="shared" ca="1" si="312"/>
        <v>521</v>
      </c>
      <c r="GC120" s="5" t="str">
        <f t="shared" ca="1" si="313"/>
        <v>VIGENTE</v>
      </c>
      <c r="GD120" s="4"/>
      <c r="GE120" s="4">
        <v>45960</v>
      </c>
      <c r="GF120" s="4">
        <f>DATE(YEAR(GE120)+2,MONTH(GE120),DAY(GE120))</f>
        <v>46690</v>
      </c>
      <c r="GG120" s="8">
        <f t="shared" ca="1" si="314"/>
        <v>556</v>
      </c>
      <c r="GH120" s="5" t="str">
        <f t="shared" ca="1" si="315"/>
        <v>VIGENTE</v>
      </c>
      <c r="GI120" s="4"/>
      <c r="GJ120" s="4">
        <v>45499</v>
      </c>
      <c r="GK120" s="4">
        <f>DATE(YEAR(GJ120)+2,MONTH(GJ120),DAY(GJ120)-1)</f>
        <v>46228</v>
      </c>
      <c r="GL120" s="8">
        <f t="shared" ca="1" si="316"/>
        <v>94</v>
      </c>
      <c r="GM120" s="5" t="str">
        <f t="shared" ca="1" si="317"/>
        <v>VIGENTE</v>
      </c>
      <c r="GN120" s="4"/>
      <c r="GO120" s="4">
        <v>45299</v>
      </c>
      <c r="GP120" s="4">
        <f t="shared" si="318"/>
        <v>47126</v>
      </c>
      <c r="GQ120" s="8">
        <f t="shared" ca="1" si="418"/>
        <v>992</v>
      </c>
      <c r="GR120" s="5" t="str">
        <f t="shared" ca="1" si="431"/>
        <v>VIGENTE</v>
      </c>
      <c r="GS120" s="4"/>
      <c r="GT120" s="4">
        <v>45329</v>
      </c>
      <c r="GU120" s="4">
        <f t="shared" si="320"/>
        <v>47156</v>
      </c>
      <c r="GV120" s="8">
        <f t="shared" ca="1" si="321"/>
        <v>1022</v>
      </c>
      <c r="GW120" s="5" t="str">
        <f t="shared" ca="1" si="438"/>
        <v>VIGENTE</v>
      </c>
      <c r="GX120" s="6"/>
      <c r="GY120" s="4">
        <v>45343</v>
      </c>
      <c r="GZ120" s="4">
        <f t="shared" si="323"/>
        <v>47170</v>
      </c>
      <c r="HA120" s="8">
        <f t="shared" ca="1" si="324"/>
        <v>1036</v>
      </c>
      <c r="HB120" s="5" t="str">
        <f t="shared" ca="1" si="433"/>
        <v>VIGENTE</v>
      </c>
      <c r="HC120" s="6"/>
      <c r="HD120" s="4">
        <v>45317</v>
      </c>
      <c r="HE120" s="4">
        <f t="shared" ref="HE120:HE130" si="440">DATE(YEAR(HD120)+5,MONTH(HD120),DAY(HD120))</f>
        <v>47144</v>
      </c>
      <c r="HF120" s="8">
        <f t="shared" ref="HF120:HF130" ca="1" si="441">HE120-TODAY()</f>
        <v>1010</v>
      </c>
      <c r="HG120" s="5" t="str">
        <f t="shared" ca="1" si="439"/>
        <v>VIGENTE</v>
      </c>
      <c r="HH120" s="6"/>
      <c r="HI120" s="6"/>
      <c r="HJ120" s="4"/>
      <c r="HK120" s="8"/>
      <c r="HL120" s="5" t="str">
        <f t="shared" si="420"/>
        <v>NO APLICA</v>
      </c>
      <c r="HM120" s="2"/>
      <c r="HN120" s="2"/>
      <c r="HO120" s="4"/>
      <c r="HP120" s="2"/>
      <c r="HQ120" s="5" t="str">
        <f t="shared" si="326"/>
        <v>NO APLICA</v>
      </c>
      <c r="HR120" s="6"/>
      <c r="HS120" s="6"/>
      <c r="HT120" s="4"/>
      <c r="HU120" s="8"/>
      <c r="HV120" s="5" t="str">
        <f t="shared" si="327"/>
        <v>NO APLICA</v>
      </c>
      <c r="HW120" s="6"/>
      <c r="HX120" s="6"/>
      <c r="HY120" s="4"/>
      <c r="HZ120" s="8"/>
      <c r="IA120" s="5" t="str">
        <f t="shared" si="328"/>
        <v>NO APLICA</v>
      </c>
      <c r="IB120" s="6"/>
      <c r="IC120" s="6"/>
      <c r="ID120" s="4"/>
      <c r="IE120" s="8"/>
      <c r="IF120" s="5" t="str">
        <f t="shared" si="329"/>
        <v>NO APLICA</v>
      </c>
      <c r="IG120" s="6"/>
      <c r="IH120" s="6"/>
      <c r="II120" s="4"/>
      <c r="IJ120" s="6"/>
      <c r="IK120" s="5" t="str">
        <f t="shared" si="330"/>
        <v>NO APLICA</v>
      </c>
      <c r="IL120" s="6"/>
      <c r="IM120" s="6"/>
      <c r="IN120" s="4"/>
      <c r="IO120" s="8"/>
      <c r="IP120" s="5" t="str">
        <f t="shared" si="331"/>
        <v>NO APLICA</v>
      </c>
      <c r="IQ120" s="6"/>
      <c r="IR120" s="6"/>
      <c r="IS120" s="4"/>
      <c r="IT120" s="8"/>
      <c r="IU120" s="5" t="str">
        <f t="shared" si="332"/>
        <v>NO APLICA</v>
      </c>
      <c r="IV120" s="6"/>
      <c r="IW120" s="6"/>
      <c r="IX120" s="4"/>
      <c r="IY120" s="8"/>
      <c r="IZ120" s="5" t="str">
        <f t="shared" si="333"/>
        <v>NO APLICA</v>
      </c>
      <c r="JA120" s="3"/>
      <c r="JB120" s="3"/>
      <c r="JC120" s="4"/>
      <c r="JD120" s="8"/>
      <c r="JE120" s="5" t="str">
        <f t="shared" si="334"/>
        <v>NO APLICA</v>
      </c>
      <c r="JF120" s="6"/>
      <c r="JG120" s="6"/>
      <c r="JH120" s="6"/>
      <c r="JI120" s="6"/>
      <c r="JJ120" s="5" t="str">
        <f t="shared" si="335"/>
        <v>NO APLICA</v>
      </c>
      <c r="JK120" s="6"/>
      <c r="JL120" s="6"/>
      <c r="JM120" s="6"/>
      <c r="JN120" s="6"/>
      <c r="JO120" s="5" t="str">
        <f t="shared" si="336"/>
        <v>NO APLICA</v>
      </c>
      <c r="JP120" s="6"/>
      <c r="JQ120" s="6"/>
      <c r="JR120" s="6"/>
      <c r="JS120" s="6"/>
      <c r="JT120" s="5" t="str">
        <f t="shared" si="337"/>
        <v>NO APLICA</v>
      </c>
      <c r="JU120" s="5"/>
      <c r="JV120" s="5"/>
      <c r="JW120" s="5"/>
      <c r="JX120" s="5"/>
      <c r="JY120" s="5" t="str">
        <f t="shared" si="338"/>
        <v>NO APLICA</v>
      </c>
      <c r="JZ120" s="5"/>
      <c r="KA120" s="2"/>
      <c r="KB120" s="4"/>
      <c r="KC120" s="8"/>
      <c r="KD120" s="5" t="str">
        <f t="shared" si="339"/>
        <v>NO APLICA</v>
      </c>
      <c r="KE120" s="5"/>
      <c r="KF120" s="2"/>
      <c r="KG120" s="4"/>
      <c r="KH120" s="8"/>
      <c r="KI120" s="5" t="str">
        <f t="shared" si="365"/>
        <v>NO APLICA</v>
      </c>
      <c r="KJ120" s="5"/>
      <c r="KK120" s="2"/>
      <c r="KL120" s="4"/>
      <c r="KM120" s="8"/>
      <c r="KN120" s="5" t="str">
        <f t="shared" si="340"/>
        <v>NO APLICA</v>
      </c>
      <c r="KO120" s="5"/>
      <c r="KP120" s="2"/>
      <c r="KQ120" s="4"/>
      <c r="KR120" s="8"/>
      <c r="KS120" s="5" t="str">
        <f t="shared" si="366"/>
        <v>NO APLICA</v>
      </c>
      <c r="KT120" s="6"/>
      <c r="KU120" s="6"/>
      <c r="KV120" s="4"/>
      <c r="KW120" s="6"/>
      <c r="KX120" s="5" t="str">
        <f t="shared" si="375"/>
        <v>NO APLICA</v>
      </c>
      <c r="KY120" s="5"/>
      <c r="KZ120" s="6"/>
      <c r="LA120" s="4"/>
      <c r="LB120" s="6"/>
      <c r="LC120" s="5" t="str">
        <f t="shared" si="367"/>
        <v>NO APLICA</v>
      </c>
      <c r="LD120" s="6"/>
      <c r="LE120" s="6"/>
      <c r="LF120" s="6"/>
      <c r="LG120" s="6"/>
      <c r="LH120" s="5" t="str">
        <f t="shared" si="341"/>
        <v>NO APLICA</v>
      </c>
      <c r="LI120" s="5"/>
      <c r="LJ120" s="5"/>
      <c r="LK120" s="5"/>
      <c r="LL120" s="5"/>
      <c r="LM120" s="5" t="str">
        <f t="shared" si="376"/>
        <v>NO APLICA</v>
      </c>
      <c r="LN120" s="6"/>
      <c r="LO120" s="6"/>
      <c r="LP120" s="4"/>
      <c r="LQ120" s="8"/>
      <c r="LR120" s="5" t="str">
        <f t="shared" si="368"/>
        <v>NO APLICA</v>
      </c>
      <c r="LS120" s="6"/>
      <c r="LT120" s="6"/>
      <c r="LU120" s="4"/>
      <c r="LV120" s="6"/>
      <c r="LW120" s="5" t="str">
        <f t="shared" si="369"/>
        <v>NO APLICA</v>
      </c>
      <c r="LX120" s="6"/>
      <c r="LY120" s="6"/>
      <c r="LZ120" s="4"/>
      <c r="MA120" s="6"/>
      <c r="MB120" s="5" t="str">
        <f t="shared" si="370"/>
        <v>NO APLICA</v>
      </c>
      <c r="MC120" s="6"/>
      <c r="MD120" s="6"/>
      <c r="ME120" s="4"/>
      <c r="MF120" s="6"/>
      <c r="MG120" s="5" t="str">
        <f t="shared" si="342"/>
        <v>NO APLICA</v>
      </c>
      <c r="MH120" s="6"/>
      <c r="MI120" s="6"/>
      <c r="MJ120" s="4"/>
      <c r="MK120" s="6"/>
      <c r="ML120" s="5" t="str">
        <f t="shared" si="343"/>
        <v>NO APLICA</v>
      </c>
      <c r="MM120" s="5"/>
      <c r="MN120" s="6"/>
      <c r="MO120" s="4"/>
      <c r="MP120" s="6"/>
      <c r="MQ120" s="5" t="str">
        <f t="shared" si="344"/>
        <v>NO APLICA</v>
      </c>
      <c r="MR120" s="5"/>
      <c r="MS120" s="6"/>
      <c r="MT120" s="6"/>
      <c r="MU120" s="6"/>
      <c r="MV120" s="5" t="str">
        <f t="shared" si="345"/>
        <v>NO APLICA</v>
      </c>
      <c r="MW120" s="6"/>
      <c r="MX120" s="6"/>
      <c r="MY120" s="4"/>
      <c r="MZ120" s="6"/>
      <c r="NA120" s="5" t="str">
        <f t="shared" si="346"/>
        <v>NO APLICA</v>
      </c>
      <c r="NB120" s="6"/>
      <c r="NC120" s="6"/>
      <c r="ND120" s="4"/>
      <c r="NE120" s="6"/>
      <c r="NF120" s="5" t="str">
        <f t="shared" si="347"/>
        <v>NO APLICA</v>
      </c>
      <c r="NG120" s="6"/>
      <c r="NH120" s="6"/>
      <c r="NI120" s="4"/>
      <c r="NJ120" s="6"/>
      <c r="NK120" s="5" t="str">
        <f t="shared" si="348"/>
        <v>NO APLICA</v>
      </c>
      <c r="NL120" s="6"/>
      <c r="NM120" s="6"/>
      <c r="NN120" s="4"/>
      <c r="NO120" s="6"/>
      <c r="NP120" s="5" t="str">
        <f t="shared" si="349"/>
        <v>NO APLICA</v>
      </c>
      <c r="NQ120" s="6"/>
      <c r="NR120" s="6"/>
      <c r="NS120" s="4"/>
      <c r="NT120" s="6"/>
      <c r="NU120" s="5" t="str">
        <f t="shared" si="350"/>
        <v>NO APLICA</v>
      </c>
      <c r="NV120" s="6"/>
      <c r="NW120" s="6"/>
      <c r="NX120" s="4"/>
      <c r="NY120" s="8"/>
      <c r="NZ120" s="5" t="str">
        <f t="shared" si="351"/>
        <v>NO APLICA</v>
      </c>
      <c r="OA120" s="6"/>
      <c r="OB120" s="6"/>
      <c r="OC120" s="6"/>
      <c r="OD120" s="6"/>
      <c r="OE120" s="5" t="str">
        <f t="shared" si="352"/>
        <v>NO APLICA</v>
      </c>
      <c r="OF120" s="6"/>
      <c r="OG120" s="6"/>
      <c r="OH120" s="6"/>
      <c r="OI120" s="6"/>
      <c r="OJ120" s="5" t="str">
        <f t="shared" si="353"/>
        <v>NO APLICA</v>
      </c>
      <c r="OK120" s="6"/>
      <c r="OL120" s="6"/>
      <c r="OM120" s="6"/>
      <c r="ON120" s="6"/>
      <c r="OO120" s="5" t="str">
        <f t="shared" si="354"/>
        <v>NO APLICA</v>
      </c>
      <c r="OP120" s="6"/>
      <c r="OQ120" s="6"/>
      <c r="OR120" s="6"/>
      <c r="OS120" s="6"/>
      <c r="OT120" s="5" t="str">
        <f t="shared" si="355"/>
        <v>NO APLICA</v>
      </c>
      <c r="OU120" s="6"/>
      <c r="OV120" s="6"/>
      <c r="OW120" s="6"/>
      <c r="OX120" s="6"/>
      <c r="OY120" s="5" t="str">
        <f t="shared" si="356"/>
        <v>NO APLICA</v>
      </c>
      <c r="OZ120" s="6"/>
      <c r="PA120" s="6"/>
      <c r="PB120" s="6"/>
      <c r="PC120" s="6"/>
      <c r="PD120" s="5" t="str">
        <f t="shared" si="357"/>
        <v>NO APLICA</v>
      </c>
      <c r="PE120" s="6"/>
      <c r="PF120" s="6"/>
      <c r="PG120" s="6"/>
      <c r="PH120" s="6"/>
      <c r="PI120" s="5" t="str">
        <f t="shared" si="358"/>
        <v>NO APLICA</v>
      </c>
      <c r="PJ120" s="5"/>
      <c r="PK120" s="6"/>
      <c r="PL120" s="6"/>
      <c r="PM120" s="6"/>
      <c r="PN120" s="5" t="str">
        <f t="shared" si="359"/>
        <v>NO APLICA</v>
      </c>
      <c r="PO120" s="6"/>
      <c r="PP120" s="6"/>
      <c r="PQ120" s="6"/>
      <c r="PR120" s="6"/>
      <c r="PS120" s="5" t="str">
        <f t="shared" si="360"/>
        <v>NO APLICA</v>
      </c>
      <c r="PT120" s="5"/>
      <c r="PU120" s="4">
        <v>46126</v>
      </c>
      <c r="PV120" s="4">
        <f>DATE(YEAR(PU120)+1,MONTH(PU120),DAY(PU120))</f>
        <v>46491</v>
      </c>
      <c r="PW120" s="8">
        <f ca="1">PV120-TODAY()</f>
        <v>357</v>
      </c>
      <c r="PX120" s="5" t="str">
        <f t="shared" ca="1" si="361"/>
        <v>VIGENTE</v>
      </c>
    </row>
    <row r="121" spans="1:440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409</v>
      </c>
      <c r="V121" s="4">
        <v>45502</v>
      </c>
      <c r="W121" s="4">
        <f t="shared" si="421"/>
        <v>47328</v>
      </c>
      <c r="X121" s="8">
        <f t="shared" ca="1" si="422"/>
        <v>1194</v>
      </c>
      <c r="Y121" s="5" t="str">
        <f t="shared" ca="1" si="423"/>
        <v>VIGENTE</v>
      </c>
      <c r="Z121" s="2" t="s">
        <v>410</v>
      </c>
      <c r="AA121" s="4">
        <v>45499</v>
      </c>
      <c r="AB121" s="4">
        <f t="shared" ref="AB121:AB130" si="442">DATE(YEAR(AA121)+5,MONTH(AA121),DAY(AA121))</f>
        <v>47325</v>
      </c>
      <c r="AC121" s="8">
        <f t="shared" ref="AC121:AC130" ca="1" si="443">AB121-TODAY()</f>
        <v>1191</v>
      </c>
      <c r="AD121" s="5" t="str">
        <f t="shared" ref="AD121:AD132" ca="1" si="444">IF(AC121&gt;=91,"VIGENTE",IF(AC121&gt;=1,"POR VENCER",IF(AC121&lt;=-1,"VENCIDA",IF(AA121=0,"NO APLICA"))))</f>
        <v>VIGENTE</v>
      </c>
      <c r="AE121" s="3"/>
      <c r="AF121" s="4">
        <v>45512</v>
      </c>
      <c r="AG121" s="4">
        <f t="shared" ref="AG121:AG127" si="445">DATE(YEAR(AF121)+2,MONTH(AF121),DAY(AF121)-1)</f>
        <v>46241</v>
      </c>
      <c r="AH121" s="8">
        <f t="shared" ca="1" si="252"/>
        <v>107</v>
      </c>
      <c r="AI121" s="5" t="str">
        <f t="shared" ca="1" si="419"/>
        <v>VIGENTE</v>
      </c>
      <c r="AJ121" s="3"/>
      <c r="AK121" s="4">
        <v>45518</v>
      </c>
      <c r="AL121" s="4">
        <f>DATE(YEAR(AK121)+2,MONTH(AK121),DAY(AK121)-1)</f>
        <v>46247</v>
      </c>
      <c r="AM121" s="8">
        <f t="shared" ca="1" si="253"/>
        <v>113</v>
      </c>
      <c r="AN121" s="5" t="str">
        <f t="shared" ca="1" si="254"/>
        <v>VIGENTE</v>
      </c>
      <c r="AO121" s="3"/>
      <c r="AP121" s="4">
        <v>45505</v>
      </c>
      <c r="AQ121" s="4">
        <f>DATE(YEAR(AP121)+2,MONTH(AP121),DAY(AP121)-1)</f>
        <v>46234</v>
      </c>
      <c r="AR121" s="8">
        <f t="shared" ca="1" si="255"/>
        <v>100</v>
      </c>
      <c r="AS121" s="5" t="str">
        <f t="shared" ca="1" si="256"/>
        <v>VIGENTE</v>
      </c>
      <c r="AT121" s="3"/>
      <c r="AU121" s="4">
        <v>45514</v>
      </c>
      <c r="AV121" s="4">
        <f>DATE(YEAR(AU121)+2,MONTH(AU121),DAY(AU121)-1)</f>
        <v>46243</v>
      </c>
      <c r="AW121" s="8">
        <f t="shared" ca="1" si="257"/>
        <v>109</v>
      </c>
      <c r="AX121" s="5" t="str">
        <f t="shared" ca="1" si="258"/>
        <v>VIGENTE</v>
      </c>
      <c r="AY121" s="3"/>
      <c r="AZ121" s="4">
        <v>45515</v>
      </c>
      <c r="BA121" s="4">
        <f>DATE(YEAR(AZ121)+2,MONTH(AZ121),DAY(AZ121)-1)</f>
        <v>46244</v>
      </c>
      <c r="BB121" s="8">
        <f t="shared" ca="1" si="259"/>
        <v>110</v>
      </c>
      <c r="BC121" s="5" t="str">
        <f t="shared" ca="1" si="260"/>
        <v>VIGENTE</v>
      </c>
      <c r="BD121" s="3"/>
      <c r="BE121" s="4">
        <v>45531</v>
      </c>
      <c r="BF121" s="4">
        <f>DATE(YEAR(BE121)+2,MONTH(BE121),DAY(BE121)-1)</f>
        <v>46260</v>
      </c>
      <c r="BG121" s="8">
        <f t="shared" ca="1" si="261"/>
        <v>126</v>
      </c>
      <c r="BH121" s="5" t="str">
        <f t="shared" ca="1" si="262"/>
        <v>VIGENTE</v>
      </c>
      <c r="BI121" s="3"/>
      <c r="BJ121" s="4">
        <v>45699</v>
      </c>
      <c r="BK121" s="4">
        <f>DATE(YEAR(BJ121)+2,MONTH(BJ121),DAY(BJ121)-1)</f>
        <v>46428</v>
      </c>
      <c r="BL121" s="8">
        <f t="shared" ca="1" si="263"/>
        <v>294</v>
      </c>
      <c r="BM121" s="5" t="str">
        <f t="shared" ca="1" si="264"/>
        <v>VIGENTE</v>
      </c>
      <c r="BN121" s="3"/>
      <c r="BO121" s="4">
        <v>45532</v>
      </c>
      <c r="BP121" s="4">
        <f>DATE(YEAR(BO121)+2,MONTH(BO121),DAY(BO121)-1)</f>
        <v>46261</v>
      </c>
      <c r="BQ121" s="8">
        <f t="shared" ca="1" si="265"/>
        <v>127</v>
      </c>
      <c r="BR121" s="5" t="str">
        <f t="shared" ca="1" si="266"/>
        <v>VIGENTE</v>
      </c>
      <c r="BS121" s="3"/>
      <c r="BT121" s="4">
        <v>45527</v>
      </c>
      <c r="BU121" s="4">
        <f>DATE(YEAR(BT121)+2,MONTH(BT121),DAY(BT121)-1)</f>
        <v>46256</v>
      </c>
      <c r="BV121" s="8">
        <f t="shared" ca="1" si="267"/>
        <v>122</v>
      </c>
      <c r="BW121" s="5" t="str">
        <f t="shared" ca="1" si="268"/>
        <v>VIGENTE</v>
      </c>
      <c r="BX121" s="3"/>
      <c r="BY121" s="4">
        <v>45730</v>
      </c>
      <c r="BZ121" s="4">
        <f>DATE(YEAR(BY121)+2,MONTH(BY121),DAY(BY121)-1)</f>
        <v>46459</v>
      </c>
      <c r="CA121" s="8">
        <f t="shared" ca="1" si="269"/>
        <v>325</v>
      </c>
      <c r="CB121" s="5" t="str">
        <f t="shared" ca="1" si="270"/>
        <v>VIGENTE</v>
      </c>
      <c r="CC121" s="6" t="s">
        <v>73</v>
      </c>
      <c r="CD121" s="4">
        <v>45464</v>
      </c>
      <c r="CE121" s="4">
        <f t="shared" si="428"/>
        <v>46925</v>
      </c>
      <c r="CF121" s="8">
        <f t="shared" ca="1" si="429"/>
        <v>791</v>
      </c>
      <c r="CG121" s="5" t="str">
        <f t="shared" ca="1" si="430"/>
        <v>VIGENTE</v>
      </c>
      <c r="CH121" s="4"/>
      <c r="CI121" s="4">
        <v>45511</v>
      </c>
      <c r="CJ121" s="4">
        <f t="shared" ref="CJ121:CJ127" si="446">DATE(YEAR(CI121)+2,MONTH(CI121),DAY(CI121)-1)</f>
        <v>46240</v>
      </c>
      <c r="CK121" s="8">
        <f t="shared" ca="1" si="274"/>
        <v>106</v>
      </c>
      <c r="CL121" s="5" t="str">
        <f t="shared" ca="1" si="275"/>
        <v>VIGENTE</v>
      </c>
      <c r="CM121" s="3"/>
      <c r="CN121" s="4">
        <v>45684</v>
      </c>
      <c r="CO121" s="4">
        <f t="shared" ref="CO121:CO127" si="447">DATE(YEAR(CN121)+2,MONTH(CN121),DAY(CN121)-1)</f>
        <v>46413</v>
      </c>
      <c r="CP121" s="8">
        <f t="shared" ca="1" si="276"/>
        <v>279</v>
      </c>
      <c r="CQ121" s="5" t="str">
        <f t="shared" ca="1" si="277"/>
        <v>VIGENTE</v>
      </c>
      <c r="CR121" s="3"/>
      <c r="CS121" s="4">
        <v>45624</v>
      </c>
      <c r="CT121" s="4">
        <f t="shared" ref="CT121:CT127" si="448">DATE(YEAR(CS121)+2,MONTH(CS121),DAY(CS121)-1)</f>
        <v>46353</v>
      </c>
      <c r="CU121" s="8">
        <f t="shared" ca="1" si="278"/>
        <v>219</v>
      </c>
      <c r="CV121" s="5" t="str">
        <f t="shared" ca="1" si="279"/>
        <v>VIGENTE</v>
      </c>
      <c r="CW121" s="3"/>
      <c r="CX121" s="4">
        <v>45661</v>
      </c>
      <c r="CY121" s="4">
        <f>DATE(YEAR(CX121)+2,MONTH(CX121),DAY(CX121)-1)</f>
        <v>46390</v>
      </c>
      <c r="CZ121" s="8">
        <f t="shared" ca="1" si="280"/>
        <v>256</v>
      </c>
      <c r="DA121" s="5" t="str">
        <f t="shared" ca="1" si="281"/>
        <v>VIGENTE</v>
      </c>
      <c r="DB121" s="3"/>
      <c r="DC121" s="4">
        <v>45535</v>
      </c>
      <c r="DD121" s="4">
        <f t="shared" ref="DD121:DD127" si="449">DATE(YEAR(DC121)+2,MONTH(DC121),DAY(DC121)-1)</f>
        <v>46264</v>
      </c>
      <c r="DE121" s="8">
        <f t="shared" ca="1" si="282"/>
        <v>130</v>
      </c>
      <c r="DF121" s="5" t="str">
        <f t="shared" ca="1" si="283"/>
        <v>VIGENTE</v>
      </c>
      <c r="DG121" s="3"/>
      <c r="DH121" s="4">
        <v>45509</v>
      </c>
      <c r="DI121" s="4">
        <f>DATE(YEAR(DH121)+2,MONTH(DH121),DAY(DH121)-1)</f>
        <v>46238</v>
      </c>
      <c r="DJ121" s="8">
        <f t="shared" ca="1" si="284"/>
        <v>104</v>
      </c>
      <c r="DK121" s="5" t="str">
        <f t="shared" ca="1" si="285"/>
        <v>VIGENTE</v>
      </c>
      <c r="DL121" s="3"/>
      <c r="DM121" s="4">
        <v>45533</v>
      </c>
      <c r="DN121" s="4">
        <f>DATE(YEAR(DM121)+2,MONTH(DM121),DAY(DM121)-1)</f>
        <v>46262</v>
      </c>
      <c r="DO121" s="8">
        <f t="shared" ca="1" si="286"/>
        <v>128</v>
      </c>
      <c r="DP121" s="5" t="str">
        <f t="shared" ca="1" si="287"/>
        <v>VIGENTE</v>
      </c>
      <c r="DQ121" s="3"/>
      <c r="DR121" s="4">
        <v>45540</v>
      </c>
      <c r="DS121" s="4">
        <f>DATE(YEAR(DR121)+2,MONTH(DR121),DAY(DR121)-1)</f>
        <v>46269</v>
      </c>
      <c r="DT121" s="8">
        <f t="shared" ca="1" si="288"/>
        <v>135</v>
      </c>
      <c r="DU121" s="5" t="str">
        <f t="shared" ca="1" si="289"/>
        <v>VIGENTE</v>
      </c>
      <c r="DV121" s="3"/>
      <c r="DW121" s="4">
        <v>45663</v>
      </c>
      <c r="DX121" s="4">
        <f t="shared" ref="DX121:DX127" si="450">DATE(YEAR(DW121)+2,MONTH(DW121),DAY(DW121)-1)</f>
        <v>46392</v>
      </c>
      <c r="DY121" s="8">
        <f t="shared" ca="1" si="290"/>
        <v>258</v>
      </c>
      <c r="DZ121" s="5" t="str">
        <f t="shared" ca="1" si="291"/>
        <v>VIGENTE</v>
      </c>
      <c r="EA121" s="3"/>
      <c r="EB121" s="4">
        <v>45674</v>
      </c>
      <c r="EC121" s="4">
        <f t="shared" ref="EC121:EC127" si="451">DATE(YEAR(EB121)+2,MONTH(EB121),DAY(EB121)-1)</f>
        <v>46403</v>
      </c>
      <c r="ED121" s="8">
        <f t="shared" ca="1" si="292"/>
        <v>269</v>
      </c>
      <c r="EE121" s="5" t="str">
        <f t="shared" ca="1" si="293"/>
        <v>VIGENTE</v>
      </c>
      <c r="EF121" s="3"/>
      <c r="EG121" s="3">
        <v>46085</v>
      </c>
      <c r="EH121" s="4">
        <f t="shared" si="364"/>
        <v>46450</v>
      </c>
      <c r="EI121" s="8">
        <f t="shared" ca="1" si="294"/>
        <v>316</v>
      </c>
      <c r="EJ121" s="5" t="str">
        <f t="shared" ca="1" si="295"/>
        <v>VIGENTE</v>
      </c>
      <c r="EK121" s="3"/>
      <c r="EL121" s="4">
        <v>45612</v>
      </c>
      <c r="EM121" s="4">
        <f t="shared" ref="EM121:EM127" si="452">DATE(YEAR(EL121)+2,MONTH(EL121),DAY(EL121)-1)</f>
        <v>46341</v>
      </c>
      <c r="EN121" s="8">
        <f t="shared" ca="1" si="296"/>
        <v>207</v>
      </c>
      <c r="EO121" s="5" t="str">
        <f t="shared" ca="1" si="297"/>
        <v>VIGENTE</v>
      </c>
      <c r="EP121" s="3"/>
      <c r="EQ121" s="4">
        <v>45539</v>
      </c>
      <c r="ER121" s="4">
        <f>DATE(YEAR(EQ121)+2,MONTH(EQ121),DAY(EQ121)-1)</f>
        <v>46268</v>
      </c>
      <c r="ES121" s="8">
        <f t="shared" ca="1" si="298"/>
        <v>134</v>
      </c>
      <c r="ET121" s="5" t="str">
        <f t="shared" ca="1" si="299"/>
        <v>VIGENTE</v>
      </c>
      <c r="EU121" s="3"/>
      <c r="EV121" s="4">
        <v>45610</v>
      </c>
      <c r="EW121" s="4">
        <f>DATE(YEAR(EV121)+2,MONTH(EV121),DAY(EV121)-1)</f>
        <v>46339</v>
      </c>
      <c r="EX121" s="8">
        <f t="shared" ca="1" si="300"/>
        <v>205</v>
      </c>
      <c r="EY121" s="5" t="str">
        <f t="shared" ca="1" si="301"/>
        <v>VIGENTE</v>
      </c>
      <c r="EZ121" s="3"/>
      <c r="FA121" s="4">
        <v>45666</v>
      </c>
      <c r="FB121" s="4">
        <f>DATE(YEAR(FA121)+2,MONTH(FA121),DAY(FA121)-1)</f>
        <v>46395</v>
      </c>
      <c r="FC121" s="8">
        <f t="shared" ca="1" si="302"/>
        <v>261</v>
      </c>
      <c r="FD121" s="5" t="str">
        <f t="shared" ca="1" si="303"/>
        <v>VIGENTE</v>
      </c>
      <c r="FE121" s="3"/>
      <c r="FF121" s="4">
        <v>45668</v>
      </c>
      <c r="FG121" s="4">
        <f>DATE(YEAR(FF121)+2,MONTH(FF121),DAY(FF121)-1)</f>
        <v>46397</v>
      </c>
      <c r="FH121" s="8">
        <f t="shared" ca="1" si="304"/>
        <v>263</v>
      </c>
      <c r="FI121" s="5" t="str">
        <f t="shared" ca="1" si="305"/>
        <v>VIGENTE</v>
      </c>
      <c r="FJ121" s="3"/>
      <c r="FK121" s="4">
        <v>45670</v>
      </c>
      <c r="FL121" s="4">
        <f t="shared" ref="FL121:FL127" si="453">DATE(YEAR(FK121)+2,MONTH(FK121),DAY(FK121)-1)</f>
        <v>46399</v>
      </c>
      <c r="FM121" s="8">
        <f t="shared" ca="1" si="306"/>
        <v>265</v>
      </c>
      <c r="FN121" s="5" t="str">
        <f t="shared" ca="1" si="307"/>
        <v>VIGENTE</v>
      </c>
      <c r="FO121" s="3"/>
      <c r="FP121" s="4">
        <v>45586</v>
      </c>
      <c r="FQ121" s="4">
        <f t="shared" ref="FQ121:FQ127" si="454">DATE(YEAR(FP121)+2,MONTH(FP121),DAY(FP121)-1)</f>
        <v>46315</v>
      </c>
      <c r="FR121" s="8">
        <f t="shared" ca="1" si="308"/>
        <v>181</v>
      </c>
      <c r="FS121" s="5" t="str">
        <f t="shared" ca="1" si="309"/>
        <v>VIGENTE</v>
      </c>
      <c r="FT121" s="4"/>
      <c r="FU121" s="4">
        <v>45587</v>
      </c>
      <c r="FV121" s="4">
        <f>DATE(YEAR(FU121)+2,MONTH(FU121),DAY(FU121)-1)</f>
        <v>46316</v>
      </c>
      <c r="FW121" s="8">
        <f t="shared" ca="1" si="310"/>
        <v>182</v>
      </c>
      <c r="FX121" s="5" t="str">
        <f t="shared" ca="1" si="311"/>
        <v>VIGENTE</v>
      </c>
      <c r="FY121" s="3"/>
      <c r="FZ121" s="4">
        <v>45667</v>
      </c>
      <c r="GA121" s="4">
        <f>DATE(YEAR(FZ121)+2,MONTH(FZ121),DAY(FZ121)-1)</f>
        <v>46396</v>
      </c>
      <c r="GB121" s="8">
        <f t="shared" ca="1" si="312"/>
        <v>262</v>
      </c>
      <c r="GC121" s="5" t="str">
        <f t="shared" ca="1" si="313"/>
        <v>VIGENTE</v>
      </c>
      <c r="GD121" s="3"/>
      <c r="GE121" s="4">
        <v>45579</v>
      </c>
      <c r="GF121" s="4">
        <f t="shared" ref="GF121:GF127" si="455">DATE(YEAR(GE121)+2,MONTH(GE121),DAY(GE121)-1)</f>
        <v>46308</v>
      </c>
      <c r="GG121" s="8">
        <f t="shared" ca="1" si="314"/>
        <v>174</v>
      </c>
      <c r="GH121" s="5" t="str">
        <f t="shared" ca="1" si="315"/>
        <v>VIGENTE</v>
      </c>
      <c r="GI121" s="3"/>
      <c r="GJ121" s="4">
        <v>45557</v>
      </c>
      <c r="GK121" s="4">
        <f>DATE(YEAR(GJ121)+2,MONTH(GJ121),DAY(GJ121)-1)</f>
        <v>46286</v>
      </c>
      <c r="GL121" s="8">
        <f t="shared" ca="1" si="316"/>
        <v>152</v>
      </c>
      <c r="GM121" s="5" t="str">
        <f t="shared" ca="1" si="317"/>
        <v>VIGENTE</v>
      </c>
      <c r="GN121" s="4"/>
      <c r="GO121" s="4">
        <v>44952</v>
      </c>
      <c r="GP121" s="4">
        <f t="shared" si="318"/>
        <v>46778</v>
      </c>
      <c r="GQ121" s="8">
        <f t="shared" ca="1" si="418"/>
        <v>644</v>
      </c>
      <c r="GR121" s="5" t="str">
        <f t="shared" ca="1" si="431"/>
        <v>VIGENTE</v>
      </c>
      <c r="GS121" s="3"/>
      <c r="GT121" s="4">
        <v>45010</v>
      </c>
      <c r="GU121" s="4">
        <f t="shared" si="320"/>
        <v>46837</v>
      </c>
      <c r="GV121" s="8">
        <f t="shared" ca="1" si="321"/>
        <v>703</v>
      </c>
      <c r="GW121" s="5" t="str">
        <f t="shared" ca="1" si="438"/>
        <v>VIGENTE</v>
      </c>
      <c r="GX121" s="2"/>
      <c r="GY121" s="4">
        <v>44883</v>
      </c>
      <c r="GZ121" s="4">
        <f t="shared" si="323"/>
        <v>46709</v>
      </c>
      <c r="HA121" s="8">
        <f t="shared" ca="1" si="324"/>
        <v>575</v>
      </c>
      <c r="HB121" s="5" t="str">
        <f t="shared" ca="1" si="433"/>
        <v>VIGENTE</v>
      </c>
      <c r="HC121" s="6"/>
      <c r="HD121" s="4">
        <v>44862</v>
      </c>
      <c r="HE121" s="4">
        <f t="shared" si="440"/>
        <v>46688</v>
      </c>
      <c r="HF121" s="8">
        <f t="shared" ca="1" si="441"/>
        <v>554</v>
      </c>
      <c r="HG121" s="5" t="str">
        <f t="shared" ca="1" si="439"/>
        <v>VIGENTE</v>
      </c>
      <c r="HH121" s="2"/>
      <c r="HI121" s="6"/>
      <c r="HJ121" s="4"/>
      <c r="HK121" s="8"/>
      <c r="HL121" s="5" t="str">
        <f t="shared" si="420"/>
        <v>NO APLICA</v>
      </c>
      <c r="HM121" s="2"/>
      <c r="HN121" s="5"/>
      <c r="HO121" s="5"/>
      <c r="HP121" s="5"/>
      <c r="HQ121" s="5" t="str">
        <f t="shared" si="326"/>
        <v>NO APLICA</v>
      </c>
      <c r="HR121" s="3"/>
      <c r="HS121" s="4">
        <v>45420</v>
      </c>
      <c r="HT121" s="4">
        <f>DATE(YEAR(HS121)+5,MONTH(HS121),DAY(HS121))</f>
        <v>47246</v>
      </c>
      <c r="HU121" s="8">
        <f ca="1">HT121-TODAY()</f>
        <v>1112</v>
      </c>
      <c r="HV121" s="5" t="str">
        <f t="shared" ca="1" si="327"/>
        <v>VIGENTE</v>
      </c>
      <c r="HW121" s="3"/>
      <c r="HX121" s="4">
        <v>45447</v>
      </c>
      <c r="HY121" s="4">
        <f>DATE(YEAR(HX121)+5,MONTH(HX121),DAY(HX121))</f>
        <v>47273</v>
      </c>
      <c r="HZ121" s="8">
        <f ca="1">HY121-TODAY()</f>
        <v>1139</v>
      </c>
      <c r="IA121" s="5" t="str">
        <f t="shared" ca="1" si="328"/>
        <v>VIGENTE</v>
      </c>
      <c r="IB121" s="3"/>
      <c r="IC121" s="4">
        <v>45444</v>
      </c>
      <c r="ID121" s="4">
        <f>DATE(YEAR(IC121)+5,MONTH(IC121),DAY(IC121))</f>
        <v>47270</v>
      </c>
      <c r="IE121" s="8">
        <f ca="1">ID121-TODAY()</f>
        <v>1136</v>
      </c>
      <c r="IF121" s="5" t="str">
        <f t="shared" ca="1" si="329"/>
        <v>VIGENTE</v>
      </c>
      <c r="IG121" s="4"/>
      <c r="IH121" s="4">
        <v>45449</v>
      </c>
      <c r="II121" s="4">
        <f>DATE(YEAR(IH121)+5,MONTH(IH121),DAY(IH121))</f>
        <v>47275</v>
      </c>
      <c r="IJ121" s="8">
        <f ca="1">II121-TODAY()</f>
        <v>1141</v>
      </c>
      <c r="IK121" s="5" t="str">
        <f t="shared" ca="1" si="330"/>
        <v>VIGENTE</v>
      </c>
      <c r="IL121" s="3"/>
      <c r="IM121" s="4">
        <v>45460</v>
      </c>
      <c r="IN121" s="4">
        <f>DATE(YEAR(IM121)+5,MONTH(IM121),DAY(IM121))</f>
        <v>47286</v>
      </c>
      <c r="IO121" s="8">
        <f ca="1">IN121-TODAY()</f>
        <v>1152</v>
      </c>
      <c r="IP121" s="5" t="str">
        <f t="shared" ca="1" si="331"/>
        <v>VIGENTE</v>
      </c>
      <c r="IQ121" s="3"/>
      <c r="IR121" s="4">
        <v>45435</v>
      </c>
      <c r="IS121" s="4">
        <f>DATE(YEAR(IR121)+5,MONTH(IR121),DAY(IR121))</f>
        <v>47261</v>
      </c>
      <c r="IT121" s="8">
        <f ca="1">IS121-TODAY()</f>
        <v>1127</v>
      </c>
      <c r="IU121" s="5" t="str">
        <f t="shared" ca="1" si="332"/>
        <v>VIGENTE</v>
      </c>
      <c r="IV121" s="4"/>
      <c r="IW121" s="4">
        <v>45446</v>
      </c>
      <c r="IX121" s="4">
        <f>DATE(YEAR(IW121)+5,MONTH(IW121),DAY(IW121))</f>
        <v>47272</v>
      </c>
      <c r="IY121" s="8">
        <f ca="1">IX121-TODAY()</f>
        <v>1138</v>
      </c>
      <c r="IZ121" s="5" t="str">
        <f t="shared" ca="1" si="333"/>
        <v>VIGENTE</v>
      </c>
      <c r="JA121" s="3"/>
      <c r="JB121" s="3"/>
      <c r="JC121" s="4"/>
      <c r="JD121" s="8"/>
      <c r="JE121" s="5" t="str">
        <f t="shared" si="334"/>
        <v>NO APLICA</v>
      </c>
      <c r="JF121" s="6"/>
      <c r="JG121" s="6"/>
      <c r="JH121" s="6"/>
      <c r="JI121" s="6"/>
      <c r="JJ121" s="5" t="str">
        <f t="shared" si="335"/>
        <v>NO APLICA</v>
      </c>
      <c r="JK121" s="6"/>
      <c r="JL121" s="6"/>
      <c r="JM121" s="6"/>
      <c r="JN121" s="6"/>
      <c r="JO121" s="5" t="str">
        <f t="shared" si="336"/>
        <v>NO APLICA</v>
      </c>
      <c r="JP121" s="6"/>
      <c r="JQ121" s="6"/>
      <c r="JR121" s="6"/>
      <c r="JS121" s="6"/>
      <c r="JT121" s="5" t="str">
        <f t="shared" si="337"/>
        <v>NO APLICA</v>
      </c>
      <c r="JU121" s="5"/>
      <c r="JV121" s="5"/>
      <c r="JW121" s="5"/>
      <c r="JX121" s="5"/>
      <c r="JY121" s="5" t="str">
        <f t="shared" si="338"/>
        <v>NO APLICA</v>
      </c>
      <c r="JZ121" s="5"/>
      <c r="KA121" s="5"/>
      <c r="KB121" s="4"/>
      <c r="KC121" s="8"/>
      <c r="KD121" s="5" t="str">
        <f t="shared" si="339"/>
        <v>NO APLICA</v>
      </c>
      <c r="KE121" s="5"/>
      <c r="KF121" s="5"/>
      <c r="KG121" s="4"/>
      <c r="KH121" s="8"/>
      <c r="KI121" s="5" t="str">
        <f t="shared" si="365"/>
        <v>NO APLICA</v>
      </c>
      <c r="KJ121" s="5"/>
      <c r="KK121" s="5"/>
      <c r="KL121" s="4"/>
      <c r="KM121" s="8"/>
      <c r="KN121" s="5" t="str">
        <f t="shared" si="340"/>
        <v>NO APLICA</v>
      </c>
      <c r="KO121" s="5"/>
      <c r="KP121" s="2"/>
      <c r="KQ121" s="4"/>
      <c r="KR121" s="8"/>
      <c r="KS121" s="5" t="str">
        <f t="shared" si="366"/>
        <v>NO APLICA</v>
      </c>
      <c r="KT121" s="2"/>
      <c r="KU121" s="6"/>
      <c r="KV121" s="4"/>
      <c r="KW121" s="8"/>
      <c r="KX121" s="5" t="str">
        <f t="shared" si="375"/>
        <v>NO APLICA</v>
      </c>
      <c r="KY121" s="5"/>
      <c r="KZ121" s="4">
        <v>44545</v>
      </c>
      <c r="LA121" s="4">
        <f>DATE(YEAR(KZ121)+5,MONTH(KZ121),DAY(KZ121))</f>
        <v>46371</v>
      </c>
      <c r="LB121" s="8">
        <f ca="1">LA121-TODAY()</f>
        <v>237</v>
      </c>
      <c r="LC121" s="5" t="str">
        <f t="shared" ca="1" si="367"/>
        <v>VIGENTE</v>
      </c>
      <c r="LD121" s="6"/>
      <c r="LE121" s="6"/>
      <c r="LF121" s="4"/>
      <c r="LG121" s="8"/>
      <c r="LH121" s="5" t="str">
        <f t="shared" si="341"/>
        <v>NO APLICA</v>
      </c>
      <c r="LI121" s="5"/>
      <c r="LJ121" s="5"/>
      <c r="LK121" s="4"/>
      <c r="LL121" s="8"/>
      <c r="LM121" s="5" t="str">
        <f t="shared" si="376"/>
        <v>NO APLICA</v>
      </c>
      <c r="LN121" s="3"/>
      <c r="LO121" s="4">
        <v>44407</v>
      </c>
      <c r="LP121" s="4">
        <f>DATE(YEAR(LO121)+5,MONTH(LO121),DAY(LO121))</f>
        <v>46233</v>
      </c>
      <c r="LQ121" s="8">
        <f ca="1">LP121-TODAY()</f>
        <v>99</v>
      </c>
      <c r="LR121" s="5" t="str">
        <f t="shared" ca="1" si="368"/>
        <v>VIGENTE</v>
      </c>
      <c r="LS121" s="4"/>
      <c r="LT121" s="4">
        <v>44986</v>
      </c>
      <c r="LU121" s="4">
        <f>DATE(YEAR(LT121)+5,MONTH(LT121),DAY(LT121))</f>
        <v>46813</v>
      </c>
      <c r="LV121" s="8">
        <f ca="1">LU121-TODAY()</f>
        <v>679</v>
      </c>
      <c r="LW121" s="5" t="str">
        <f t="shared" ca="1" si="369"/>
        <v>VIGENTE</v>
      </c>
      <c r="LX121" s="4"/>
      <c r="LY121" s="4">
        <v>44988</v>
      </c>
      <c r="LZ121" s="4">
        <f>DATE(YEAR(LY121)+5,MONTH(LY121),DAY(LY121))</f>
        <v>46815</v>
      </c>
      <c r="MA121" s="8">
        <f ca="1">LZ121-TODAY()</f>
        <v>681</v>
      </c>
      <c r="MB121" s="5" t="str">
        <f t="shared" ca="1" si="370"/>
        <v>VIGENTE</v>
      </c>
      <c r="MC121" s="5"/>
      <c r="MD121" s="5"/>
      <c r="ME121" s="4"/>
      <c r="MF121" s="8"/>
      <c r="MG121" s="5" t="str">
        <f t="shared" si="342"/>
        <v>NO APLICA</v>
      </c>
      <c r="MH121" s="5"/>
      <c r="MI121" s="5"/>
      <c r="MJ121" s="4"/>
      <c r="MK121" s="8"/>
      <c r="ML121" s="5" t="str">
        <f t="shared" si="343"/>
        <v>NO APLICA</v>
      </c>
      <c r="MM121" s="5"/>
      <c r="MN121" s="3">
        <v>45154</v>
      </c>
      <c r="MO121" s="4">
        <f>DATE(YEAR(MN121)+5,MONTH(MN121),DAY(MN121))</f>
        <v>46981</v>
      </c>
      <c r="MP121" s="8">
        <f ca="1">MO121-TODAY()</f>
        <v>847</v>
      </c>
      <c r="MQ121" s="5" t="str">
        <f t="shared" ca="1" si="344"/>
        <v>VIGENTE</v>
      </c>
      <c r="MR121" s="5"/>
      <c r="MS121" s="3">
        <v>45155</v>
      </c>
      <c r="MT121" s="4">
        <f>DATE(YEAR(MS121)+5,MONTH(MS121),DAY(MS121))</f>
        <v>46982</v>
      </c>
      <c r="MU121" s="8">
        <f ca="1">MT121-TODAY()</f>
        <v>848</v>
      </c>
      <c r="MV121" s="5" t="str">
        <f t="shared" ca="1" si="345"/>
        <v>VIGENTE</v>
      </c>
      <c r="MW121" s="5"/>
      <c r="MX121" s="6"/>
      <c r="MY121" s="4"/>
      <c r="MZ121" s="8"/>
      <c r="NA121" s="5" t="str">
        <f t="shared" si="346"/>
        <v>NO APLICA</v>
      </c>
      <c r="NB121" s="5"/>
      <c r="NC121" s="6"/>
      <c r="ND121" s="4"/>
      <c r="NE121" s="8"/>
      <c r="NF121" s="5" t="str">
        <f t="shared" si="347"/>
        <v>NO APLICA</v>
      </c>
      <c r="NG121" s="5"/>
      <c r="NH121" s="4">
        <v>44751</v>
      </c>
      <c r="NI121" s="4">
        <f>DATE(YEAR(NH121)+5,MONTH(NH121),DAY(NH121))</f>
        <v>46577</v>
      </c>
      <c r="NJ121" s="8">
        <f ca="1">NI121-TODAY()</f>
        <v>443</v>
      </c>
      <c r="NK121" s="5" t="str">
        <f t="shared" ca="1" si="348"/>
        <v>VIGENTE</v>
      </c>
      <c r="NL121" s="5"/>
      <c r="NM121" s="5"/>
      <c r="NN121" s="4"/>
      <c r="NO121" s="8"/>
      <c r="NP121" s="5" t="str">
        <f t="shared" si="349"/>
        <v>NO APLICA</v>
      </c>
      <c r="NQ121" s="5"/>
      <c r="NR121" s="5"/>
      <c r="NS121" s="5"/>
      <c r="NT121" s="5"/>
      <c r="NU121" s="5" t="str">
        <f t="shared" si="350"/>
        <v>NO APLICA</v>
      </c>
      <c r="NV121" s="6"/>
      <c r="NW121" s="6"/>
      <c r="NX121" s="4"/>
      <c r="NY121" s="8"/>
      <c r="NZ121" s="5" t="str">
        <f t="shared" si="351"/>
        <v>NO APLICA</v>
      </c>
      <c r="OA121" s="6"/>
      <c r="OB121" s="6"/>
      <c r="OC121" s="6"/>
      <c r="OD121" s="6"/>
      <c r="OE121" s="5" t="str">
        <f t="shared" si="352"/>
        <v>NO APLICA</v>
      </c>
      <c r="OF121" s="3"/>
      <c r="OG121" s="3">
        <v>45110</v>
      </c>
      <c r="OH121" s="4">
        <f>DATE(YEAR(OG121)+2,MONTH(OG121),DAY(OG121))</f>
        <v>45841</v>
      </c>
      <c r="OI121" s="8">
        <f ca="1">OH121-TODAY()</f>
        <v>-293</v>
      </c>
      <c r="OJ121" s="5" t="str">
        <f t="shared" ca="1" si="353"/>
        <v>VENCIDA</v>
      </c>
      <c r="OK121" s="6"/>
      <c r="OL121" s="4"/>
      <c r="OM121" s="6"/>
      <c r="ON121" s="6"/>
      <c r="OO121" s="5" t="str">
        <f t="shared" si="354"/>
        <v>NO APLICA</v>
      </c>
      <c r="OP121" s="6"/>
      <c r="OQ121" s="6"/>
      <c r="OR121" s="6"/>
      <c r="OS121" s="6"/>
      <c r="OT121" s="5" t="str">
        <f t="shared" si="355"/>
        <v>NO APLICA</v>
      </c>
      <c r="OU121" s="4"/>
      <c r="OV121" s="4">
        <v>44770</v>
      </c>
      <c r="OW121" s="4">
        <f>DATE(YEAR(OV121)+5,MONTH(OV121),DAY(OV121))</f>
        <v>46596</v>
      </c>
      <c r="OX121" s="8">
        <f ca="1">OW121-TODAY()</f>
        <v>462</v>
      </c>
      <c r="OY121" s="5" t="str">
        <f t="shared" ca="1" si="356"/>
        <v>VIGENTE</v>
      </c>
      <c r="OZ121" s="6"/>
      <c r="PA121" s="6"/>
      <c r="PB121" s="6"/>
      <c r="PC121" s="6"/>
      <c r="PD121" s="5" t="str">
        <f t="shared" si="357"/>
        <v>NO APLICA</v>
      </c>
      <c r="PE121" s="6"/>
      <c r="PF121" s="6"/>
      <c r="PG121" s="6"/>
      <c r="PH121" s="6"/>
      <c r="PI121" s="5" t="str">
        <f t="shared" si="358"/>
        <v>NO APLICA</v>
      </c>
      <c r="PJ121" s="5"/>
      <c r="PK121" s="4">
        <v>44627</v>
      </c>
      <c r="PL121" s="4">
        <f>DATE(YEAR(PK121)+5,MONTH(PK121),DAY(PK121))</f>
        <v>46453</v>
      </c>
      <c r="PM121" s="8">
        <f ca="1">PL121-TODAY()</f>
        <v>319</v>
      </c>
      <c r="PN121" s="5" t="str">
        <f t="shared" ca="1" si="359"/>
        <v>VIGENTE</v>
      </c>
      <c r="PO121" s="6"/>
      <c r="PP121" s="6"/>
      <c r="PQ121" s="6"/>
      <c r="PR121" s="6"/>
      <c r="PS121" s="5" t="str">
        <f t="shared" si="360"/>
        <v>NO APLICA</v>
      </c>
      <c r="PT121" s="5"/>
      <c r="PU121" s="4"/>
      <c r="PV121" s="6"/>
      <c r="PW121" s="6"/>
      <c r="PX121" s="5" t="str">
        <f t="shared" si="361"/>
        <v>NO APLICA</v>
      </c>
    </row>
    <row r="122" spans="1:440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412</v>
      </c>
      <c r="V122" s="4">
        <v>44829</v>
      </c>
      <c r="W122" s="4">
        <f t="shared" si="421"/>
        <v>46655</v>
      </c>
      <c r="X122" s="8">
        <f t="shared" ca="1" si="422"/>
        <v>521</v>
      </c>
      <c r="Y122" s="5" t="str">
        <f t="shared" ca="1" si="423"/>
        <v>VIGENTE</v>
      </c>
      <c r="Z122" s="2" t="s">
        <v>413</v>
      </c>
      <c r="AA122" s="4">
        <v>45499</v>
      </c>
      <c r="AB122" s="4">
        <f t="shared" si="442"/>
        <v>47325</v>
      </c>
      <c r="AC122" s="8">
        <f t="shared" ca="1" si="443"/>
        <v>1191</v>
      </c>
      <c r="AD122" s="5" t="str">
        <f t="shared" ca="1" si="444"/>
        <v>VIGENTE</v>
      </c>
      <c r="AE122" s="3"/>
      <c r="AF122" s="3">
        <v>45609</v>
      </c>
      <c r="AG122" s="4">
        <f t="shared" si="445"/>
        <v>46338</v>
      </c>
      <c r="AH122" s="8">
        <f t="shared" ca="1" si="252"/>
        <v>204</v>
      </c>
      <c r="AI122" s="5" t="str">
        <f t="shared" ca="1" si="419"/>
        <v>VIGENTE</v>
      </c>
      <c r="AJ122" s="3"/>
      <c r="AK122" s="4">
        <v>45926</v>
      </c>
      <c r="AL122" s="4">
        <f>DATE(YEAR(AK122)+2,MONTH(AK122),DAY(AK122))</f>
        <v>46656</v>
      </c>
      <c r="AM122" s="8">
        <f t="shared" ca="1" si="253"/>
        <v>522</v>
      </c>
      <c r="AN122" s="5" t="str">
        <f t="shared" ca="1" si="254"/>
        <v>VIGENTE</v>
      </c>
      <c r="AO122" s="3"/>
      <c r="AP122" s="4">
        <v>45989</v>
      </c>
      <c r="AQ122" s="4">
        <f>DATE(YEAR(AP122)+2,MONTH(AP122),DAY(AP122))</f>
        <v>46719</v>
      </c>
      <c r="AR122" s="8">
        <f t="shared" ca="1" si="255"/>
        <v>585</v>
      </c>
      <c r="AS122" s="5" t="str">
        <f t="shared" ca="1" si="256"/>
        <v>VIGENTE</v>
      </c>
      <c r="AT122" s="3"/>
      <c r="AU122" s="4">
        <v>45990</v>
      </c>
      <c r="AV122" s="4">
        <f>DATE(YEAR(AU122)+2,MONTH(AU122),DAY(AU122))</f>
        <v>46720</v>
      </c>
      <c r="AW122" s="8">
        <f t="shared" ca="1" si="257"/>
        <v>586</v>
      </c>
      <c r="AX122" s="5" t="str">
        <f t="shared" ca="1" si="258"/>
        <v>VIGENTE</v>
      </c>
      <c r="AY122" s="3"/>
      <c r="AZ122" s="4">
        <v>46071</v>
      </c>
      <c r="BA122" s="4">
        <f>DATE(YEAR(AZ122)+2,MONTH(AZ122),DAY(AZ122))</f>
        <v>46801</v>
      </c>
      <c r="BB122" s="8">
        <f t="shared" ca="1" si="259"/>
        <v>667</v>
      </c>
      <c r="BC122" s="5" t="str">
        <f t="shared" ca="1" si="260"/>
        <v>VIGENTE</v>
      </c>
      <c r="BD122" s="3"/>
      <c r="BE122" s="4">
        <v>45987</v>
      </c>
      <c r="BF122" s="4">
        <f t="shared" ref="BF122:BF128" si="456">DATE(YEAR(BE122)+2,MONTH(BE122),DAY(BE122))</f>
        <v>46717</v>
      </c>
      <c r="BG122" s="8">
        <f t="shared" ca="1" si="261"/>
        <v>583</v>
      </c>
      <c r="BH122" s="5" t="str">
        <f t="shared" ca="1" si="262"/>
        <v>VIGENTE</v>
      </c>
      <c r="BI122" s="3"/>
      <c r="BJ122" s="4">
        <v>46051</v>
      </c>
      <c r="BK122" s="4">
        <f>DATE(YEAR(BJ122)+2,MONTH(BJ122),DAY(BJ122))</f>
        <v>46781</v>
      </c>
      <c r="BL122" s="8">
        <f t="shared" ca="1" si="263"/>
        <v>647</v>
      </c>
      <c r="BM122" s="5" t="str">
        <f t="shared" ca="1" si="264"/>
        <v>VIGENTE</v>
      </c>
      <c r="BN122" s="3"/>
      <c r="BO122" s="4">
        <v>46069</v>
      </c>
      <c r="BP122" s="4">
        <f>DATE(YEAR(BO122)+2,MONTH(BO122),DAY(BO122))</f>
        <v>46799</v>
      </c>
      <c r="BQ122" s="8">
        <f t="shared" ca="1" si="265"/>
        <v>665</v>
      </c>
      <c r="BR122" s="5" t="str">
        <f t="shared" ca="1" si="266"/>
        <v>VIGENTE</v>
      </c>
      <c r="BS122" s="3"/>
      <c r="BT122" s="4">
        <v>45455</v>
      </c>
      <c r="BU122" s="4">
        <f>DATE(YEAR(BT122)+2,MONTH(BT122),DAY(BT122)-1)</f>
        <v>46184</v>
      </c>
      <c r="BV122" s="8">
        <f t="shared" ca="1" si="267"/>
        <v>50</v>
      </c>
      <c r="BW122" s="5" t="str">
        <f t="shared" ca="1" si="268"/>
        <v>POR VENCER</v>
      </c>
      <c r="BX122" s="3"/>
      <c r="BY122" s="4">
        <v>45730</v>
      </c>
      <c r="BZ122" s="4">
        <f>DATE(YEAR(BY122)+2,MONTH(BY122),DAY(BY122)-1)</f>
        <v>46459</v>
      </c>
      <c r="CA122" s="8">
        <f t="shared" ca="1" si="269"/>
        <v>325</v>
      </c>
      <c r="CB122" s="5" t="str">
        <f t="shared" ca="1" si="270"/>
        <v>VIGENTE</v>
      </c>
      <c r="CC122" s="6" t="s">
        <v>73</v>
      </c>
      <c r="CD122" s="4">
        <v>45262</v>
      </c>
      <c r="CE122" s="4">
        <f t="shared" si="428"/>
        <v>46723</v>
      </c>
      <c r="CF122" s="8">
        <f t="shared" ca="1" si="429"/>
        <v>589</v>
      </c>
      <c r="CG122" s="5" t="str">
        <f t="shared" ca="1" si="430"/>
        <v>VIGENTE</v>
      </c>
      <c r="CH122" s="4"/>
      <c r="CI122" s="4">
        <v>45500</v>
      </c>
      <c r="CJ122" s="4">
        <f t="shared" si="446"/>
        <v>46229</v>
      </c>
      <c r="CK122" s="8">
        <f t="shared" ca="1" si="274"/>
        <v>95</v>
      </c>
      <c r="CL122" s="5" t="str">
        <f t="shared" ca="1" si="275"/>
        <v>VIGENTE</v>
      </c>
      <c r="CM122" s="4"/>
      <c r="CN122" s="4">
        <v>45726</v>
      </c>
      <c r="CO122" s="4">
        <f t="shared" si="447"/>
        <v>46455</v>
      </c>
      <c r="CP122" s="8">
        <f t="shared" ca="1" si="276"/>
        <v>321</v>
      </c>
      <c r="CQ122" s="5" t="str">
        <f t="shared" ca="1" si="277"/>
        <v>VIGENTE</v>
      </c>
      <c r="CR122" s="3"/>
      <c r="CS122" s="4">
        <v>45631</v>
      </c>
      <c r="CT122" s="4">
        <f t="shared" si="448"/>
        <v>46360</v>
      </c>
      <c r="CU122" s="8">
        <f t="shared" ca="1" si="278"/>
        <v>226</v>
      </c>
      <c r="CV122" s="5" t="str">
        <f t="shared" ca="1" si="279"/>
        <v>VIGENTE</v>
      </c>
      <c r="CW122" s="3"/>
      <c r="CX122" s="4">
        <v>46098</v>
      </c>
      <c r="CY122" s="4">
        <f>DATE(YEAR(CX122)+2,MONTH(CX122),DAY(CX122))</f>
        <v>46829</v>
      </c>
      <c r="CZ122" s="8">
        <f t="shared" ca="1" si="280"/>
        <v>695</v>
      </c>
      <c r="DA122" s="5" t="str">
        <f t="shared" ca="1" si="281"/>
        <v>VIGENTE</v>
      </c>
      <c r="DB122" s="3"/>
      <c r="DC122" s="4">
        <v>45723</v>
      </c>
      <c r="DD122" s="4">
        <f t="shared" si="449"/>
        <v>46452</v>
      </c>
      <c r="DE122" s="8">
        <f t="shared" ca="1" si="282"/>
        <v>318</v>
      </c>
      <c r="DF122" s="5" t="str">
        <f t="shared" ca="1" si="283"/>
        <v>VIGENTE</v>
      </c>
      <c r="DG122" s="3"/>
      <c r="DH122" s="4">
        <v>45696</v>
      </c>
      <c r="DI122" s="4">
        <f>DATE(YEAR(DH122)+2,MONTH(DH122),DAY(DH122)-1)</f>
        <v>46425</v>
      </c>
      <c r="DJ122" s="8">
        <f t="shared" ca="1" si="284"/>
        <v>291</v>
      </c>
      <c r="DK122" s="5" t="str">
        <f t="shared" ca="1" si="285"/>
        <v>VIGENTE</v>
      </c>
      <c r="DL122" s="3"/>
      <c r="DM122" s="4">
        <v>46007</v>
      </c>
      <c r="DN122" s="4">
        <f>DATE(YEAR(DM122)+2,MONTH(DM122),DAY(DM122))</f>
        <v>46737</v>
      </c>
      <c r="DO122" s="8">
        <f t="shared" ca="1" si="286"/>
        <v>603</v>
      </c>
      <c r="DP122" s="5" t="str">
        <f t="shared" ca="1" si="287"/>
        <v>VIGENTE</v>
      </c>
      <c r="DQ122" s="3"/>
      <c r="DR122" s="4">
        <v>46053</v>
      </c>
      <c r="DS122" s="4">
        <f>DATE(YEAR(DR122)+2,MONTH(DR122),DAY(DR122))</f>
        <v>46783</v>
      </c>
      <c r="DT122" s="8">
        <f t="shared" ca="1" si="288"/>
        <v>649</v>
      </c>
      <c r="DU122" s="5" t="str">
        <f t="shared" ca="1" si="289"/>
        <v>VIGENTE</v>
      </c>
      <c r="DV122" s="3"/>
      <c r="DW122" s="4">
        <v>45682</v>
      </c>
      <c r="DX122" s="4">
        <f t="shared" si="450"/>
        <v>46411</v>
      </c>
      <c r="DY122" s="8">
        <f t="shared" ca="1" si="290"/>
        <v>277</v>
      </c>
      <c r="DZ122" s="5" t="str">
        <f t="shared" ca="1" si="291"/>
        <v>VIGENTE</v>
      </c>
      <c r="EA122" s="3"/>
      <c r="EB122" s="4">
        <v>45642</v>
      </c>
      <c r="EC122" s="4">
        <f t="shared" si="451"/>
        <v>46371</v>
      </c>
      <c r="ED122" s="8">
        <f t="shared" ca="1" si="292"/>
        <v>237</v>
      </c>
      <c r="EE122" s="5" t="str">
        <f t="shared" ca="1" si="293"/>
        <v>VIGENTE</v>
      </c>
      <c r="EF122" s="3"/>
      <c r="EG122" s="3">
        <v>46085</v>
      </c>
      <c r="EH122" s="4">
        <f t="shared" si="364"/>
        <v>46450</v>
      </c>
      <c r="EI122" s="8">
        <f t="shared" ca="1" si="294"/>
        <v>316</v>
      </c>
      <c r="EJ122" s="5" t="str">
        <f t="shared" ca="1" si="295"/>
        <v>VIGENTE</v>
      </c>
      <c r="EK122" s="3"/>
      <c r="EL122" s="4">
        <v>45636</v>
      </c>
      <c r="EM122" s="4">
        <f t="shared" si="452"/>
        <v>46365</v>
      </c>
      <c r="EN122" s="8">
        <f t="shared" ca="1" si="296"/>
        <v>231</v>
      </c>
      <c r="EO122" s="5" t="str">
        <f t="shared" ca="1" si="297"/>
        <v>VIGENTE</v>
      </c>
      <c r="EP122" s="3"/>
      <c r="EQ122" s="4">
        <v>46094</v>
      </c>
      <c r="ER122" s="4">
        <f>DATE(YEAR(EQ122)+2,MONTH(EQ122),DAY(EQ122))</f>
        <v>46825</v>
      </c>
      <c r="ES122" s="8">
        <f t="shared" ca="1" si="298"/>
        <v>691</v>
      </c>
      <c r="ET122" s="5" t="str">
        <f t="shared" ca="1" si="299"/>
        <v>VIGENTE</v>
      </c>
      <c r="EU122" s="3"/>
      <c r="EV122" s="4">
        <v>45694</v>
      </c>
      <c r="EW122" s="4">
        <f>DATE(YEAR(EV122)+2,MONTH(EV122),DAY(EV122)-1)</f>
        <v>46423</v>
      </c>
      <c r="EX122" s="8">
        <f t="shared" ca="1" si="300"/>
        <v>289</v>
      </c>
      <c r="EY122" s="5" t="str">
        <f t="shared" ca="1" si="301"/>
        <v>VIGENTE</v>
      </c>
      <c r="EZ122" s="3"/>
      <c r="FA122" s="4">
        <v>45611</v>
      </c>
      <c r="FB122" s="4">
        <f>DATE(YEAR(FA122)+2,MONTH(FA122),DAY(FA122)-1)</f>
        <v>46340</v>
      </c>
      <c r="FC122" s="8">
        <f t="shared" ca="1" si="302"/>
        <v>206</v>
      </c>
      <c r="FD122" s="5" t="str">
        <f t="shared" ca="1" si="303"/>
        <v>VIGENTE</v>
      </c>
      <c r="FE122" s="3"/>
      <c r="FF122" s="4">
        <v>45668</v>
      </c>
      <c r="FG122" s="4">
        <f>DATE(YEAR(FF122)+2,MONTH(FF122),DAY(FF122)-1)</f>
        <v>46397</v>
      </c>
      <c r="FH122" s="8">
        <f t="shared" ca="1" si="304"/>
        <v>263</v>
      </c>
      <c r="FI122" s="5" t="str">
        <f t="shared" ca="1" si="305"/>
        <v>VIGENTE</v>
      </c>
      <c r="FJ122" s="3"/>
      <c r="FK122" s="4">
        <v>45686</v>
      </c>
      <c r="FL122" s="4">
        <f t="shared" si="453"/>
        <v>46415</v>
      </c>
      <c r="FM122" s="8">
        <f t="shared" ca="1" si="306"/>
        <v>281</v>
      </c>
      <c r="FN122" s="5" t="str">
        <f t="shared" ca="1" si="307"/>
        <v>VIGENTE</v>
      </c>
      <c r="FO122" s="3"/>
      <c r="FP122" s="4">
        <v>45664</v>
      </c>
      <c r="FQ122" s="4">
        <f t="shared" si="454"/>
        <v>46393</v>
      </c>
      <c r="FR122" s="8">
        <f t="shared" ca="1" si="308"/>
        <v>259</v>
      </c>
      <c r="FS122" s="5" t="str">
        <f t="shared" ca="1" si="309"/>
        <v>VIGENTE</v>
      </c>
      <c r="FT122" s="3"/>
      <c r="FU122" s="4">
        <v>45587</v>
      </c>
      <c r="FV122" s="4">
        <f>DATE(YEAR(FU122)+2,MONTH(FU122),DAY(FU122)-1)</f>
        <v>46316</v>
      </c>
      <c r="FW122" s="8">
        <f t="shared" ca="1" si="310"/>
        <v>182</v>
      </c>
      <c r="FX122" s="5" t="str">
        <f t="shared" ca="1" si="311"/>
        <v>VIGENTE</v>
      </c>
      <c r="FY122" s="3"/>
      <c r="FZ122" s="4">
        <v>46073</v>
      </c>
      <c r="GA122" s="4">
        <f>DATE(YEAR(FZ122)+2,MONTH(FZ122),DAY(FZ122))</f>
        <v>46803</v>
      </c>
      <c r="GB122" s="8">
        <f t="shared" ca="1" si="312"/>
        <v>669</v>
      </c>
      <c r="GC122" s="5" t="str">
        <f t="shared" ca="1" si="313"/>
        <v>VIGENTE</v>
      </c>
      <c r="GD122" s="3"/>
      <c r="GE122" s="4">
        <v>45672</v>
      </c>
      <c r="GF122" s="4">
        <f t="shared" si="455"/>
        <v>46401</v>
      </c>
      <c r="GG122" s="8">
        <f t="shared" ca="1" si="314"/>
        <v>267</v>
      </c>
      <c r="GH122" s="5" t="str">
        <f t="shared" ca="1" si="315"/>
        <v>VIGENTE</v>
      </c>
      <c r="GI122" s="3"/>
      <c r="GJ122" s="4">
        <v>45945</v>
      </c>
      <c r="GK122" s="4">
        <f>DATE(YEAR(GJ122)+2,MONTH(GJ122),DAY(GJ122))</f>
        <v>46675</v>
      </c>
      <c r="GL122" s="8">
        <f t="shared" ca="1" si="316"/>
        <v>541</v>
      </c>
      <c r="GM122" s="5" t="str">
        <f t="shared" ca="1" si="317"/>
        <v>VIGENTE</v>
      </c>
      <c r="GN122" s="4"/>
      <c r="GO122" s="4">
        <v>45283</v>
      </c>
      <c r="GP122" s="4">
        <f t="shared" si="318"/>
        <v>47110</v>
      </c>
      <c r="GQ122" s="8">
        <f t="shared" ca="1" si="418"/>
        <v>976</v>
      </c>
      <c r="GR122" s="5" t="str">
        <f t="shared" ca="1" si="431"/>
        <v>VIGENTE</v>
      </c>
      <c r="GS122" s="3"/>
      <c r="GT122" s="4">
        <v>45245</v>
      </c>
      <c r="GU122" s="4">
        <f t="shared" si="320"/>
        <v>47072</v>
      </c>
      <c r="GV122" s="8">
        <f t="shared" ca="1" si="321"/>
        <v>938</v>
      </c>
      <c r="GW122" s="5" t="str">
        <f t="shared" ca="1" si="438"/>
        <v>VIGENTE</v>
      </c>
      <c r="GX122" s="3"/>
      <c r="GY122" s="4">
        <v>45251</v>
      </c>
      <c r="GZ122" s="4">
        <f t="shared" si="323"/>
        <v>47078</v>
      </c>
      <c r="HA122" s="8">
        <f t="shared" ca="1" si="324"/>
        <v>944</v>
      </c>
      <c r="HB122" s="5" t="str">
        <f t="shared" ca="1" si="433"/>
        <v>VIGENTE</v>
      </c>
      <c r="HC122" s="6"/>
      <c r="HD122" s="4">
        <v>44879</v>
      </c>
      <c r="HE122" s="4">
        <f t="shared" si="440"/>
        <v>46705</v>
      </c>
      <c r="HF122" s="8">
        <f t="shared" ca="1" si="441"/>
        <v>571</v>
      </c>
      <c r="HG122" s="5" t="str">
        <f t="shared" ca="1" si="439"/>
        <v>VIGENTE</v>
      </c>
      <c r="HH122" s="3"/>
      <c r="HI122" s="4">
        <v>45368</v>
      </c>
      <c r="HJ122" s="4">
        <f>DATE(YEAR(HI122)+5,MONTH(HI122),DAY(HI122))</f>
        <v>47194</v>
      </c>
      <c r="HK122" s="8">
        <f ca="1">HJ122-TODAY()</f>
        <v>1060</v>
      </c>
      <c r="HL122" s="5" t="str">
        <f t="shared" ca="1" si="420"/>
        <v>VIGENTE</v>
      </c>
      <c r="HM122" s="2"/>
      <c r="HN122" s="3">
        <v>45374</v>
      </c>
      <c r="HO122" s="4">
        <f>DATE(YEAR(HN122)+5,MONTH(HN122),DAY(HN122))</f>
        <v>47200</v>
      </c>
      <c r="HP122" s="8">
        <f ca="1">HO122-TODAY()</f>
        <v>1066</v>
      </c>
      <c r="HQ122" s="5" t="str">
        <f t="shared" ca="1" si="326"/>
        <v>VIGENTE</v>
      </c>
      <c r="HR122" s="3"/>
      <c r="HS122" s="4">
        <v>45469</v>
      </c>
      <c r="HT122" s="4">
        <f>DATE(YEAR(HS122)+5,MONTH(HS122),DAY(HS122))</f>
        <v>47295</v>
      </c>
      <c r="HU122" s="8">
        <f ca="1">HT122-TODAY()</f>
        <v>1161</v>
      </c>
      <c r="HV122" s="5" t="str">
        <f t="shared" ca="1" si="327"/>
        <v>VIGENTE</v>
      </c>
      <c r="HW122" s="3"/>
      <c r="HX122" s="4">
        <v>45223</v>
      </c>
      <c r="HY122" s="4">
        <f>DATE(YEAR(HX122)+5,MONTH(HX122),DAY(HX122))</f>
        <v>47050</v>
      </c>
      <c r="HZ122" s="8">
        <f ca="1">HY122-TODAY()</f>
        <v>916</v>
      </c>
      <c r="IA122" s="5" t="str">
        <f t="shared" ca="1" si="328"/>
        <v>VIGENTE</v>
      </c>
      <c r="IB122" s="3"/>
      <c r="IC122" s="4">
        <v>45264</v>
      </c>
      <c r="ID122" s="4">
        <f>DATE(YEAR(IC122)+5,MONTH(IC122),DAY(IC122))</f>
        <v>47091</v>
      </c>
      <c r="IE122" s="8">
        <f ca="1">ID122-TODAY()</f>
        <v>957</v>
      </c>
      <c r="IF122" s="5" t="str">
        <f t="shared" ca="1" si="329"/>
        <v>VIGENTE</v>
      </c>
      <c r="IG122" s="4"/>
      <c r="IH122" s="4">
        <v>45238</v>
      </c>
      <c r="II122" s="4">
        <f>DATE(YEAR(IH122)+5,MONTH(IH122),DAY(IH122))</f>
        <v>47065</v>
      </c>
      <c r="IJ122" s="8">
        <f ca="1">II122-TODAY()</f>
        <v>931</v>
      </c>
      <c r="IK122" s="5" t="str">
        <f t="shared" ca="1" si="330"/>
        <v>VIGENTE</v>
      </c>
      <c r="IL122" s="3"/>
      <c r="IM122" s="4">
        <v>45304</v>
      </c>
      <c r="IN122" s="4">
        <f>DATE(YEAR(IM122)+5,MONTH(IM122),DAY(IM122))</f>
        <v>47131</v>
      </c>
      <c r="IO122" s="8">
        <f ca="1">IN122-TODAY()</f>
        <v>997</v>
      </c>
      <c r="IP122" s="5" t="str">
        <f t="shared" ca="1" si="331"/>
        <v>VIGENTE</v>
      </c>
      <c r="IQ122" s="3"/>
      <c r="IR122" s="4">
        <v>45191</v>
      </c>
      <c r="IS122" s="4">
        <f>DATE(YEAR(IR122)+5,MONTH(IR122),DAY(IR122))</f>
        <v>47018</v>
      </c>
      <c r="IT122" s="8">
        <f ca="1">IS122-TODAY()</f>
        <v>884</v>
      </c>
      <c r="IU122" s="5" t="str">
        <f t="shared" ca="1" si="332"/>
        <v>VIGENTE</v>
      </c>
      <c r="IV122" s="3"/>
      <c r="IW122" s="4">
        <v>45251</v>
      </c>
      <c r="IX122" s="4">
        <f>DATE(YEAR(IW122)+5,MONTH(IW122),DAY(IW122))</f>
        <v>47078</v>
      </c>
      <c r="IY122" s="8">
        <f ca="1">IX122-TODAY()</f>
        <v>944</v>
      </c>
      <c r="IZ122" s="5" t="str">
        <f t="shared" ca="1" si="333"/>
        <v>VIGENTE</v>
      </c>
      <c r="JA122" s="3"/>
      <c r="JB122" s="3"/>
      <c r="JC122" s="4"/>
      <c r="JD122" s="8"/>
      <c r="JE122" s="5" t="str">
        <f t="shared" si="334"/>
        <v>NO APLICA</v>
      </c>
      <c r="JF122" s="6"/>
      <c r="JG122" s="6"/>
      <c r="JH122" s="6"/>
      <c r="JI122" s="6"/>
      <c r="JJ122" s="5" t="str">
        <f t="shared" si="335"/>
        <v>NO APLICA</v>
      </c>
      <c r="JK122" s="6"/>
      <c r="JL122" s="6"/>
      <c r="JM122" s="6"/>
      <c r="JN122" s="6"/>
      <c r="JO122" s="5" t="str">
        <f t="shared" si="336"/>
        <v>NO APLICA</v>
      </c>
      <c r="JP122" s="6"/>
      <c r="JQ122" s="6"/>
      <c r="JR122" s="6"/>
      <c r="JS122" s="6"/>
      <c r="JT122" s="5" t="str">
        <f t="shared" si="337"/>
        <v>NO APLICA</v>
      </c>
      <c r="JU122" s="5"/>
      <c r="JV122" s="5"/>
      <c r="JW122" s="5"/>
      <c r="JX122" s="5"/>
      <c r="JY122" s="5" t="str">
        <f t="shared" si="338"/>
        <v>NO APLICA</v>
      </c>
      <c r="JZ122" s="5"/>
      <c r="KA122" s="2"/>
      <c r="KB122" s="4"/>
      <c r="KC122" s="8"/>
      <c r="KD122" s="5" t="str">
        <f t="shared" si="339"/>
        <v>NO APLICA</v>
      </c>
      <c r="KE122" s="5"/>
      <c r="KF122" s="2"/>
      <c r="KG122" s="4"/>
      <c r="KH122" s="8"/>
      <c r="KI122" s="5" t="str">
        <f t="shared" si="365"/>
        <v>NO APLICA</v>
      </c>
      <c r="KJ122" s="5"/>
      <c r="KK122" s="2"/>
      <c r="KL122" s="4"/>
      <c r="KM122" s="8"/>
      <c r="KN122" s="5" t="str">
        <f t="shared" si="340"/>
        <v>NO APLICA</v>
      </c>
      <c r="KO122" s="5"/>
      <c r="KP122" s="3">
        <v>45346</v>
      </c>
      <c r="KQ122" s="4">
        <f>DATE(YEAR(KP122)+5,MONTH(KP122),DAY(KP122))</f>
        <v>47173</v>
      </c>
      <c r="KR122" s="8">
        <f ca="1">KQ122-TODAY()</f>
        <v>1039</v>
      </c>
      <c r="KS122" s="5" t="str">
        <f t="shared" ca="1" si="366"/>
        <v>VIGENTE</v>
      </c>
      <c r="KT122" s="4"/>
      <c r="KU122" s="4">
        <v>44649</v>
      </c>
      <c r="KV122" s="4">
        <f>DATE(YEAR(KU122)+5,MONTH(KU122),DAY(KU122))</f>
        <v>46475</v>
      </c>
      <c r="KW122" s="8">
        <f ca="1">KV122-TODAY()</f>
        <v>341</v>
      </c>
      <c r="KX122" s="5" t="str">
        <f t="shared" ca="1" si="375"/>
        <v>VIGENTE</v>
      </c>
      <c r="KY122" s="5"/>
      <c r="KZ122" s="6"/>
      <c r="LA122" s="4"/>
      <c r="LB122" s="8"/>
      <c r="LC122" s="5" t="str">
        <f t="shared" si="367"/>
        <v>NO APLICA</v>
      </c>
      <c r="LD122" s="4"/>
      <c r="LE122" s="4"/>
      <c r="LF122" s="4"/>
      <c r="LG122" s="8"/>
      <c r="LH122" s="5" t="str">
        <f t="shared" si="341"/>
        <v>NO APLICA</v>
      </c>
      <c r="LI122" s="5"/>
      <c r="LJ122" s="5"/>
      <c r="LK122" s="4"/>
      <c r="LL122" s="8"/>
      <c r="LM122" s="5" t="str">
        <f t="shared" si="376"/>
        <v>NO APLICA</v>
      </c>
      <c r="LN122" s="2"/>
      <c r="LO122" s="6"/>
      <c r="LP122" s="4"/>
      <c r="LQ122" s="8"/>
      <c r="LR122" s="5" t="str">
        <f t="shared" si="368"/>
        <v>NO APLICA</v>
      </c>
      <c r="LS122" s="4"/>
      <c r="LT122" s="4">
        <v>44986</v>
      </c>
      <c r="LU122" s="4">
        <f>DATE(YEAR(LT122)+5,MONTH(LT122),DAY(LT122))</f>
        <v>46813</v>
      </c>
      <c r="LV122" s="8">
        <f ca="1">LU122-TODAY()</f>
        <v>679</v>
      </c>
      <c r="LW122" s="5" t="str">
        <f t="shared" ca="1" si="369"/>
        <v>VIGENTE</v>
      </c>
      <c r="LX122" s="4"/>
      <c r="LY122" s="4">
        <v>44988</v>
      </c>
      <c r="LZ122" s="4">
        <f>DATE(YEAR(LY122)+5,MONTH(LY122),DAY(LY122))</f>
        <v>46815</v>
      </c>
      <c r="MA122" s="8">
        <f ca="1">LZ122-TODAY()</f>
        <v>681</v>
      </c>
      <c r="MB122" s="5" t="str">
        <f t="shared" ca="1" si="370"/>
        <v>VIGENTE</v>
      </c>
      <c r="MC122" s="2"/>
      <c r="MD122" s="2"/>
      <c r="ME122" s="4"/>
      <c r="MF122" s="8"/>
      <c r="MG122" s="5" t="str">
        <f t="shared" si="342"/>
        <v>NO APLICA</v>
      </c>
      <c r="MH122" s="2"/>
      <c r="MI122" s="2"/>
      <c r="MJ122" s="4"/>
      <c r="MK122" s="8"/>
      <c r="ML122" s="5" t="str">
        <f t="shared" si="343"/>
        <v>NO APLICA</v>
      </c>
      <c r="MM122" s="5"/>
      <c r="MN122" s="3">
        <v>45154</v>
      </c>
      <c r="MO122" s="4">
        <f>DATE(YEAR(MN122)+5,MONTH(MN122),DAY(MN122))</f>
        <v>46981</v>
      </c>
      <c r="MP122" s="8">
        <f ca="1">MO122-TODAY()</f>
        <v>847</v>
      </c>
      <c r="MQ122" s="5" t="str">
        <f t="shared" ca="1" si="344"/>
        <v>VIGENTE</v>
      </c>
      <c r="MR122" s="5"/>
      <c r="MS122" s="3">
        <v>45155</v>
      </c>
      <c r="MT122" s="4">
        <f>DATE(YEAR(MS122)+5,MONTH(MS122),DAY(MS122))</f>
        <v>46982</v>
      </c>
      <c r="MU122" s="8">
        <f ca="1">MT122-TODAY()</f>
        <v>848</v>
      </c>
      <c r="MV122" s="5" t="str">
        <f t="shared" ca="1" si="345"/>
        <v>VIGENTE</v>
      </c>
      <c r="MW122" s="2"/>
      <c r="MX122" s="4">
        <v>44834</v>
      </c>
      <c r="MY122" s="4">
        <f>DATE(YEAR(MX122)+5,MONTH(MX122),DAY(MX122))</f>
        <v>46660</v>
      </c>
      <c r="MZ122" s="8">
        <f ca="1">MY122-TODAY()</f>
        <v>526</v>
      </c>
      <c r="NA122" s="5" t="str">
        <f t="shared" ca="1" si="346"/>
        <v>VIGENTE</v>
      </c>
      <c r="NB122" s="2"/>
      <c r="NC122" s="4">
        <v>44835</v>
      </c>
      <c r="ND122" s="4">
        <f>DATE(YEAR(NC122)+5,MONTH(NC122),DAY(NC122))</f>
        <v>46661</v>
      </c>
      <c r="NE122" s="8">
        <f ca="1">ND122-TODAY()</f>
        <v>527</v>
      </c>
      <c r="NF122" s="5" t="str">
        <f t="shared" ca="1" si="347"/>
        <v>VIGENTE</v>
      </c>
      <c r="NG122" s="2"/>
      <c r="NH122" s="4"/>
      <c r="NI122" s="4"/>
      <c r="NJ122" s="8"/>
      <c r="NK122" s="5" t="str">
        <f t="shared" si="348"/>
        <v>NO APLICA</v>
      </c>
      <c r="NL122" s="2"/>
      <c r="NM122" s="2"/>
      <c r="NN122" s="4"/>
      <c r="NO122" s="8"/>
      <c r="NP122" s="5" t="str">
        <f t="shared" si="349"/>
        <v>NO APLICA</v>
      </c>
      <c r="NQ122" s="2"/>
      <c r="NR122" s="2"/>
      <c r="NS122" s="4"/>
      <c r="NT122" s="2"/>
      <c r="NU122" s="5" t="str">
        <f t="shared" si="350"/>
        <v>NO APLICA</v>
      </c>
      <c r="NV122" s="6"/>
      <c r="NW122" s="6"/>
      <c r="NX122" s="4"/>
      <c r="NY122" s="8"/>
      <c r="NZ122" s="5" t="str">
        <f t="shared" si="351"/>
        <v>NO APLICA</v>
      </c>
      <c r="OA122" s="6"/>
      <c r="OB122" s="6"/>
      <c r="OC122" s="6"/>
      <c r="OD122" s="6"/>
      <c r="OE122" s="5" t="str">
        <f t="shared" si="352"/>
        <v>NO APLICA</v>
      </c>
      <c r="OF122" s="2"/>
      <c r="OG122" s="2"/>
      <c r="OH122" s="4"/>
      <c r="OI122" s="8"/>
      <c r="OJ122" s="5" t="str">
        <f t="shared" si="353"/>
        <v>NO APLICA</v>
      </c>
      <c r="OK122" s="6"/>
      <c r="OL122" s="6"/>
      <c r="OM122" s="6"/>
      <c r="ON122" s="6"/>
      <c r="OO122" s="5" t="str">
        <f t="shared" si="354"/>
        <v>NO APLICA</v>
      </c>
      <c r="OP122" s="6"/>
      <c r="OQ122" s="6"/>
      <c r="OR122" s="6"/>
      <c r="OS122" s="6"/>
      <c r="OT122" s="5" t="str">
        <f t="shared" si="355"/>
        <v>NO APLICA</v>
      </c>
      <c r="OU122" s="6"/>
      <c r="OV122" s="6"/>
      <c r="OW122" s="6"/>
      <c r="OX122" s="6"/>
      <c r="OY122" s="5" t="str">
        <f t="shared" si="356"/>
        <v>NO APLICA</v>
      </c>
      <c r="OZ122" s="6"/>
      <c r="PA122" s="6"/>
      <c r="PB122" s="6"/>
      <c r="PC122" s="6"/>
      <c r="PD122" s="5" t="str">
        <f t="shared" si="357"/>
        <v>NO APLICA</v>
      </c>
      <c r="PE122" s="6"/>
      <c r="PF122" s="6"/>
      <c r="PG122" s="6"/>
      <c r="PH122" s="6"/>
      <c r="PI122" s="5" t="str">
        <f t="shared" si="358"/>
        <v>NO APLICA</v>
      </c>
      <c r="PJ122" s="5"/>
      <c r="PK122" s="6"/>
      <c r="PL122" s="4"/>
      <c r="PM122" s="8"/>
      <c r="PN122" s="5" t="str">
        <f t="shared" si="359"/>
        <v>NO APLICA</v>
      </c>
      <c r="PO122" s="6"/>
      <c r="PP122" s="6"/>
      <c r="PQ122" s="6"/>
      <c r="PR122" s="6"/>
      <c r="PS122" s="5" t="str">
        <f t="shared" si="360"/>
        <v>NO APLICA</v>
      </c>
      <c r="PT122" s="5"/>
      <c r="PU122" s="6"/>
      <c r="PV122" s="6"/>
      <c r="PW122" s="6"/>
      <c r="PX122" s="5" t="str">
        <f t="shared" si="361"/>
        <v>NO APLICA</v>
      </c>
    </row>
    <row r="123" spans="1:440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415</v>
      </c>
      <c r="V123" s="4">
        <v>45500</v>
      </c>
      <c r="W123" s="4">
        <f t="shared" si="421"/>
        <v>47326</v>
      </c>
      <c r="X123" s="8">
        <f t="shared" ca="1" si="422"/>
        <v>1192</v>
      </c>
      <c r="Y123" s="5" t="str">
        <f t="shared" ca="1" si="423"/>
        <v>VIGENTE</v>
      </c>
      <c r="Z123" s="2" t="s">
        <v>416</v>
      </c>
      <c r="AA123" s="4">
        <v>44826</v>
      </c>
      <c r="AB123" s="4">
        <f t="shared" si="442"/>
        <v>46652</v>
      </c>
      <c r="AC123" s="8">
        <f t="shared" ca="1" si="443"/>
        <v>518</v>
      </c>
      <c r="AD123" s="5" t="str">
        <f t="shared" ca="1" si="444"/>
        <v>VIGENTE</v>
      </c>
      <c r="AE123" s="3"/>
      <c r="AF123" s="4">
        <v>45589</v>
      </c>
      <c r="AG123" s="4">
        <f t="shared" si="445"/>
        <v>46318</v>
      </c>
      <c r="AH123" s="8">
        <f t="shared" ca="1" si="252"/>
        <v>184</v>
      </c>
      <c r="AI123" s="5" t="str">
        <f t="shared" ca="1" si="419"/>
        <v>VIGENTE</v>
      </c>
      <c r="AJ123" s="3"/>
      <c r="AK123" s="4">
        <v>45926</v>
      </c>
      <c r="AL123" s="4">
        <f>DATE(YEAR(AK123)+2,MONTH(AK123),DAY(AK123))</f>
        <v>46656</v>
      </c>
      <c r="AM123" s="8">
        <f t="shared" ca="1" si="253"/>
        <v>522</v>
      </c>
      <c r="AN123" s="5" t="str">
        <f t="shared" ca="1" si="254"/>
        <v>VIGENTE</v>
      </c>
      <c r="AO123" s="3"/>
      <c r="AP123" s="4">
        <v>45971</v>
      </c>
      <c r="AQ123" s="4">
        <f>DATE(YEAR(AP123)+2,MONTH(AP123),DAY(AP123))</f>
        <v>46701</v>
      </c>
      <c r="AR123" s="8">
        <f t="shared" ca="1" si="255"/>
        <v>567</v>
      </c>
      <c r="AS123" s="5" t="str">
        <f t="shared" ca="1" si="256"/>
        <v>VIGENTE</v>
      </c>
      <c r="AT123" s="3"/>
      <c r="AU123" s="4">
        <v>45972</v>
      </c>
      <c r="AV123" s="4">
        <f>DATE(YEAR(AU123)+2,MONTH(AU123),DAY(AU123))</f>
        <v>46702</v>
      </c>
      <c r="AW123" s="8">
        <f t="shared" ca="1" si="257"/>
        <v>568</v>
      </c>
      <c r="AX123" s="5" t="str">
        <f t="shared" ca="1" si="258"/>
        <v>VIGENTE</v>
      </c>
      <c r="AY123" s="3"/>
      <c r="AZ123" s="4">
        <v>46041</v>
      </c>
      <c r="BA123" s="4">
        <f>DATE(YEAR(AZ123)+2,MONTH(AZ123),DAY(AZ123))</f>
        <v>46771</v>
      </c>
      <c r="BB123" s="8">
        <f t="shared" ca="1" si="259"/>
        <v>637</v>
      </c>
      <c r="BC123" s="5" t="str">
        <f t="shared" ca="1" si="260"/>
        <v>VIGENTE</v>
      </c>
      <c r="BD123" s="3"/>
      <c r="BE123" s="4">
        <v>46067</v>
      </c>
      <c r="BF123" s="4">
        <f t="shared" si="456"/>
        <v>46797</v>
      </c>
      <c r="BG123" s="8">
        <f t="shared" ca="1" si="261"/>
        <v>663</v>
      </c>
      <c r="BH123" s="5" t="str">
        <f t="shared" ca="1" si="262"/>
        <v>VIGENTE</v>
      </c>
      <c r="BI123" s="3"/>
      <c r="BJ123" s="4">
        <v>46056</v>
      </c>
      <c r="BK123" s="4">
        <f>DATE(YEAR(BJ123)+2,MONTH(BJ123),DAY(BJ123))</f>
        <v>46786</v>
      </c>
      <c r="BL123" s="8">
        <f t="shared" ca="1" si="263"/>
        <v>652</v>
      </c>
      <c r="BM123" s="5" t="str">
        <f t="shared" ca="1" si="264"/>
        <v>VIGENTE</v>
      </c>
      <c r="BN123" s="3"/>
      <c r="BO123" s="4">
        <v>45478</v>
      </c>
      <c r="BP123" s="4">
        <f>DATE(YEAR(BO123)+2,MONTH(BO123),DAY(BO123)-1)</f>
        <v>46207</v>
      </c>
      <c r="BQ123" s="8">
        <f t="shared" ca="1" si="265"/>
        <v>73</v>
      </c>
      <c r="BR123" s="5" t="str">
        <f t="shared" ca="1" si="266"/>
        <v>POR VENCER</v>
      </c>
      <c r="BS123" s="3"/>
      <c r="BT123" s="4">
        <v>46063</v>
      </c>
      <c r="BU123" s="4">
        <f>DATE(YEAR(BT123)+2,MONTH(BT123),DAY(BT123))</f>
        <v>46793</v>
      </c>
      <c r="BV123" s="8">
        <f t="shared" ca="1" si="267"/>
        <v>659</v>
      </c>
      <c r="BW123" s="5" t="str">
        <f t="shared" ca="1" si="268"/>
        <v>VIGENTE</v>
      </c>
      <c r="BX123" s="3"/>
      <c r="BY123" s="4">
        <v>45954</v>
      </c>
      <c r="BZ123" s="4">
        <f>DATE(YEAR(BY123)+2,MONTH(BY123),DAY(BY123))</f>
        <v>46684</v>
      </c>
      <c r="CA123" s="8">
        <f t="shared" ca="1" si="269"/>
        <v>550</v>
      </c>
      <c r="CB123" s="5" t="str">
        <f t="shared" ca="1" si="270"/>
        <v>VIGENTE</v>
      </c>
      <c r="CC123" s="6" t="s">
        <v>73</v>
      </c>
      <c r="CD123" s="4">
        <v>45227</v>
      </c>
      <c r="CE123" s="4">
        <f t="shared" si="428"/>
        <v>46688</v>
      </c>
      <c r="CF123" s="8">
        <f t="shared" ca="1" si="429"/>
        <v>554</v>
      </c>
      <c r="CG123" s="5" t="str">
        <f t="shared" ca="1" si="430"/>
        <v>VIGENTE</v>
      </c>
      <c r="CH123" s="4"/>
      <c r="CI123" s="4">
        <v>45723</v>
      </c>
      <c r="CJ123" s="4">
        <f t="shared" si="446"/>
        <v>46452</v>
      </c>
      <c r="CK123" s="8">
        <f t="shared" ca="1" si="274"/>
        <v>318</v>
      </c>
      <c r="CL123" s="5" t="str">
        <f t="shared" ca="1" si="275"/>
        <v>VIGENTE</v>
      </c>
      <c r="CM123" s="3"/>
      <c r="CN123" s="4">
        <v>45684</v>
      </c>
      <c r="CO123" s="4">
        <f t="shared" si="447"/>
        <v>46413</v>
      </c>
      <c r="CP123" s="8">
        <f t="shared" ca="1" si="276"/>
        <v>279</v>
      </c>
      <c r="CQ123" s="5" t="str">
        <f t="shared" ca="1" si="277"/>
        <v>VIGENTE</v>
      </c>
      <c r="CR123" s="3"/>
      <c r="CS123" s="4">
        <v>45631</v>
      </c>
      <c r="CT123" s="4">
        <f t="shared" si="448"/>
        <v>46360</v>
      </c>
      <c r="CU123" s="8">
        <f t="shared" ca="1" si="278"/>
        <v>226</v>
      </c>
      <c r="CV123" s="5" t="str">
        <f t="shared" ca="1" si="279"/>
        <v>VIGENTE</v>
      </c>
      <c r="CW123" s="3"/>
      <c r="CX123" s="4">
        <v>45665</v>
      </c>
      <c r="CY123" s="4">
        <f>DATE(YEAR(CX123)+2,MONTH(CX123),DAY(CX123)-1)</f>
        <v>46394</v>
      </c>
      <c r="CZ123" s="8">
        <f t="shared" ca="1" si="280"/>
        <v>260</v>
      </c>
      <c r="DA123" s="5" t="str">
        <f t="shared" ca="1" si="281"/>
        <v>VIGENTE</v>
      </c>
      <c r="DB123" s="3"/>
      <c r="DC123" s="4">
        <v>45689</v>
      </c>
      <c r="DD123" s="4">
        <f t="shared" si="449"/>
        <v>46418</v>
      </c>
      <c r="DE123" s="8">
        <f t="shared" ca="1" si="282"/>
        <v>284</v>
      </c>
      <c r="DF123" s="5" t="str">
        <f t="shared" ca="1" si="283"/>
        <v>VIGENTE</v>
      </c>
      <c r="DG123" s="3"/>
      <c r="DH123" s="4">
        <v>45955</v>
      </c>
      <c r="DI123" s="4">
        <f>DATE(YEAR(DH123)+2,MONTH(DH123),DAY(DH123))</f>
        <v>46685</v>
      </c>
      <c r="DJ123" s="8">
        <f t="shared" ca="1" si="284"/>
        <v>551</v>
      </c>
      <c r="DK123" s="5" t="str">
        <f t="shared" ca="1" si="285"/>
        <v>VIGENTE</v>
      </c>
      <c r="DL123" s="3"/>
      <c r="DM123" s="4">
        <v>46007</v>
      </c>
      <c r="DN123" s="4">
        <f>DATE(YEAR(DM123)+2,MONTH(DM123),DAY(DM123))</f>
        <v>46737</v>
      </c>
      <c r="DO123" s="8">
        <f t="shared" ca="1" si="286"/>
        <v>603</v>
      </c>
      <c r="DP123" s="5" t="str">
        <f t="shared" ca="1" si="287"/>
        <v>VIGENTE</v>
      </c>
      <c r="DQ123" s="3"/>
      <c r="DR123" s="4">
        <v>46053</v>
      </c>
      <c r="DS123" s="4">
        <f>DATE(YEAR(DR123)+2,MONTH(DR123),DAY(DR123))</f>
        <v>46783</v>
      </c>
      <c r="DT123" s="8">
        <f t="shared" ca="1" si="288"/>
        <v>649</v>
      </c>
      <c r="DU123" s="5" t="str">
        <f t="shared" ca="1" si="289"/>
        <v>VIGENTE</v>
      </c>
      <c r="DV123" s="3"/>
      <c r="DW123" s="4">
        <v>45682</v>
      </c>
      <c r="DX123" s="4">
        <f t="shared" si="450"/>
        <v>46411</v>
      </c>
      <c r="DY123" s="8">
        <f t="shared" ca="1" si="290"/>
        <v>277</v>
      </c>
      <c r="DZ123" s="5" t="str">
        <f t="shared" ca="1" si="291"/>
        <v>VIGENTE</v>
      </c>
      <c r="EA123" s="3"/>
      <c r="EB123" s="4">
        <v>45674</v>
      </c>
      <c r="EC123" s="4">
        <f t="shared" si="451"/>
        <v>46403</v>
      </c>
      <c r="ED123" s="8">
        <f t="shared" ca="1" si="292"/>
        <v>269</v>
      </c>
      <c r="EE123" s="5" t="str">
        <f t="shared" ca="1" si="293"/>
        <v>VIGENTE</v>
      </c>
      <c r="EF123" s="3"/>
      <c r="EG123" s="4">
        <v>45948</v>
      </c>
      <c r="EH123" s="4">
        <f t="shared" si="364"/>
        <v>46313</v>
      </c>
      <c r="EI123" s="8">
        <f t="shared" ca="1" si="294"/>
        <v>179</v>
      </c>
      <c r="EJ123" s="5" t="str">
        <f t="shared" ca="1" si="295"/>
        <v>VIGENTE</v>
      </c>
      <c r="EK123" s="3"/>
      <c r="EL123" s="4">
        <v>45737</v>
      </c>
      <c r="EM123" s="4">
        <f t="shared" si="452"/>
        <v>46466</v>
      </c>
      <c r="EN123" s="8">
        <f t="shared" ca="1" si="296"/>
        <v>332</v>
      </c>
      <c r="EO123" s="5" t="str">
        <f t="shared" ca="1" si="297"/>
        <v>VIGENTE</v>
      </c>
      <c r="EP123" s="3"/>
      <c r="EQ123" s="4">
        <v>46094</v>
      </c>
      <c r="ER123" s="4">
        <f>DATE(YEAR(EQ123)+2,MONTH(EQ123),DAY(EQ123))</f>
        <v>46825</v>
      </c>
      <c r="ES123" s="8">
        <f t="shared" ca="1" si="298"/>
        <v>691</v>
      </c>
      <c r="ET123" s="5" t="str">
        <f t="shared" ca="1" si="299"/>
        <v>VIGENTE</v>
      </c>
      <c r="EU123" s="3"/>
      <c r="EV123" s="4">
        <v>45953</v>
      </c>
      <c r="EW123" s="4">
        <f>DATE(YEAR(EV123)+2,MONTH(EV123),DAY(EV123))</f>
        <v>46683</v>
      </c>
      <c r="EX123" s="8">
        <f t="shared" ca="1" si="300"/>
        <v>549</v>
      </c>
      <c r="EY123" s="5" t="str">
        <f t="shared" ca="1" si="301"/>
        <v>VIGENTE</v>
      </c>
      <c r="EZ123" s="3"/>
      <c r="FA123" s="4">
        <v>45951</v>
      </c>
      <c r="FB123" s="4">
        <f>DATE(YEAR(FA123)+2,MONTH(FA123),DAY(FA123))</f>
        <v>46681</v>
      </c>
      <c r="FC123" s="8">
        <f t="shared" ca="1" si="302"/>
        <v>547</v>
      </c>
      <c r="FD123" s="5" t="str">
        <f t="shared" ca="1" si="303"/>
        <v>VIGENTE</v>
      </c>
      <c r="FE123" s="3"/>
      <c r="FF123" s="4">
        <v>45992</v>
      </c>
      <c r="FG123" s="4">
        <f>DATE(YEAR(FF123)+2,MONTH(FF123),DAY(FF123))</f>
        <v>46722</v>
      </c>
      <c r="FH123" s="8">
        <f t="shared" ca="1" si="304"/>
        <v>588</v>
      </c>
      <c r="FI123" s="5" t="str">
        <f t="shared" ca="1" si="305"/>
        <v>VIGENTE</v>
      </c>
      <c r="FJ123" s="3"/>
      <c r="FK123" s="4">
        <v>45738</v>
      </c>
      <c r="FL123" s="4">
        <f t="shared" si="453"/>
        <v>46467</v>
      </c>
      <c r="FM123" s="8">
        <f t="shared" ca="1" si="306"/>
        <v>333</v>
      </c>
      <c r="FN123" s="5" t="str">
        <f t="shared" ca="1" si="307"/>
        <v>VIGENTE</v>
      </c>
      <c r="FO123" s="3"/>
      <c r="FP123" s="4">
        <v>45724</v>
      </c>
      <c r="FQ123" s="4">
        <f t="shared" si="454"/>
        <v>46453</v>
      </c>
      <c r="FR123" s="8">
        <f t="shared" ca="1" si="308"/>
        <v>319</v>
      </c>
      <c r="FS123" s="5" t="str">
        <f t="shared" ca="1" si="309"/>
        <v>VIGENTE</v>
      </c>
      <c r="FT123" s="3"/>
      <c r="FU123" s="4">
        <v>46014</v>
      </c>
      <c r="FV123" s="4">
        <f>DATE(YEAR(FU123)+2,MONTH(FU123),DAY(FU123))</f>
        <v>46744</v>
      </c>
      <c r="FW123" s="8">
        <f t="shared" ca="1" si="310"/>
        <v>610</v>
      </c>
      <c r="FX123" s="5" t="str">
        <f t="shared" ca="1" si="311"/>
        <v>VIGENTE</v>
      </c>
      <c r="FY123" s="3"/>
      <c r="FZ123" s="4">
        <v>46030</v>
      </c>
      <c r="GA123" s="4">
        <f>DATE(YEAR(FZ123)+2,MONTH(FZ123),DAY(FZ123))</f>
        <v>46760</v>
      </c>
      <c r="GB123" s="8">
        <f t="shared" ca="1" si="312"/>
        <v>626</v>
      </c>
      <c r="GC123" s="5" t="str">
        <f t="shared" ca="1" si="313"/>
        <v>VIGENTE</v>
      </c>
      <c r="GD123" s="3"/>
      <c r="GE123" s="4">
        <v>45579</v>
      </c>
      <c r="GF123" s="4">
        <f t="shared" si="455"/>
        <v>46308</v>
      </c>
      <c r="GG123" s="8">
        <f t="shared" ca="1" si="314"/>
        <v>174</v>
      </c>
      <c r="GH123" s="5" t="str">
        <f t="shared" ca="1" si="315"/>
        <v>VIGENTE</v>
      </c>
      <c r="GI123" s="3"/>
      <c r="GJ123" s="4">
        <v>45923</v>
      </c>
      <c r="GK123" s="4">
        <f>DATE(YEAR(GJ123)+2,MONTH(GJ123),DAY(GJ123))</f>
        <v>46653</v>
      </c>
      <c r="GL123" s="8">
        <f t="shared" ca="1" si="316"/>
        <v>519</v>
      </c>
      <c r="GM123" s="5" t="str">
        <f t="shared" ca="1" si="317"/>
        <v>VIGENTE</v>
      </c>
      <c r="GN123" s="4"/>
      <c r="GO123" s="4">
        <v>45224</v>
      </c>
      <c r="GP123" s="4">
        <f t="shared" si="318"/>
        <v>47051</v>
      </c>
      <c r="GQ123" s="8">
        <f t="shared" ca="1" si="418"/>
        <v>917</v>
      </c>
      <c r="GR123" s="5" t="str">
        <f t="shared" ca="1" si="431"/>
        <v>VIGENTE</v>
      </c>
      <c r="GS123" s="3"/>
      <c r="GT123" s="4">
        <v>45195</v>
      </c>
      <c r="GU123" s="4">
        <f t="shared" si="320"/>
        <v>47022</v>
      </c>
      <c r="GV123" s="8">
        <f t="shared" ca="1" si="321"/>
        <v>888</v>
      </c>
      <c r="GW123" s="5" t="str">
        <f t="shared" ca="1" si="438"/>
        <v>VIGENTE</v>
      </c>
      <c r="GX123" s="3"/>
      <c r="GY123" s="4">
        <v>45268</v>
      </c>
      <c r="GZ123" s="4">
        <f t="shared" si="323"/>
        <v>47095</v>
      </c>
      <c r="HA123" s="8">
        <f t="shared" ca="1" si="324"/>
        <v>961</v>
      </c>
      <c r="HB123" s="5" t="str">
        <f t="shared" ca="1" si="433"/>
        <v>VIGENTE</v>
      </c>
      <c r="HC123" s="6"/>
      <c r="HD123" s="4">
        <v>44862</v>
      </c>
      <c r="HE123" s="4">
        <f t="shared" si="440"/>
        <v>46688</v>
      </c>
      <c r="HF123" s="8">
        <f t="shared" ca="1" si="441"/>
        <v>554</v>
      </c>
      <c r="HG123" s="5" t="str">
        <f t="shared" ca="1" si="439"/>
        <v>VIGENTE</v>
      </c>
      <c r="HH123" s="3"/>
      <c r="HI123" s="4">
        <v>45414</v>
      </c>
      <c r="HJ123" s="4">
        <f>DATE(YEAR(HI123)+5,MONTH(HI123),DAY(HI123))</f>
        <v>47240</v>
      </c>
      <c r="HK123" s="8">
        <f ca="1">HJ123-TODAY()</f>
        <v>1106</v>
      </c>
      <c r="HL123" s="5" t="str">
        <f t="shared" ca="1" si="420"/>
        <v>VIGENTE</v>
      </c>
      <c r="HM123" s="2"/>
      <c r="HN123" s="2"/>
      <c r="HO123" s="4"/>
      <c r="HP123" s="2"/>
      <c r="HQ123" s="5" t="str">
        <f t="shared" si="326"/>
        <v>NO APLICA</v>
      </c>
      <c r="HR123" s="3"/>
      <c r="HS123" s="4">
        <v>45260</v>
      </c>
      <c r="HT123" s="4">
        <f>DATE(YEAR(HS123)+5,MONTH(HS123),DAY(HS123))</f>
        <v>47087</v>
      </c>
      <c r="HU123" s="8">
        <f ca="1">HT123-TODAY()</f>
        <v>953</v>
      </c>
      <c r="HV123" s="5" t="str">
        <f t="shared" ca="1" si="327"/>
        <v>VIGENTE</v>
      </c>
      <c r="HW123" s="3"/>
      <c r="HX123" s="4">
        <v>45234</v>
      </c>
      <c r="HY123" s="4">
        <f>DATE(YEAR(HX123)+5,MONTH(HX123),DAY(HX123))</f>
        <v>47061</v>
      </c>
      <c r="HZ123" s="8">
        <f ca="1">HY123-TODAY()</f>
        <v>927</v>
      </c>
      <c r="IA123" s="5" t="str">
        <f t="shared" ca="1" si="328"/>
        <v>VIGENTE</v>
      </c>
      <c r="IB123" s="3"/>
      <c r="IC123" s="4">
        <v>45248</v>
      </c>
      <c r="ID123" s="4">
        <f>DATE(YEAR(IC123)+5,MONTH(IC123),DAY(IC123))</f>
        <v>47075</v>
      </c>
      <c r="IE123" s="8">
        <f ca="1">ID123-TODAY()</f>
        <v>941</v>
      </c>
      <c r="IF123" s="5" t="str">
        <f t="shared" ca="1" si="329"/>
        <v>VIGENTE</v>
      </c>
      <c r="IG123" s="4"/>
      <c r="IH123" s="4">
        <v>45238</v>
      </c>
      <c r="II123" s="4">
        <f>DATE(YEAR(IH123)+5,MONTH(IH123),DAY(IH123))</f>
        <v>47065</v>
      </c>
      <c r="IJ123" s="8">
        <f ca="1">II123-TODAY()</f>
        <v>931</v>
      </c>
      <c r="IK123" s="5" t="str">
        <f t="shared" ca="1" si="330"/>
        <v>VIGENTE</v>
      </c>
      <c r="IL123" s="3"/>
      <c r="IM123" s="4">
        <v>45239</v>
      </c>
      <c r="IN123" s="4">
        <f>DATE(YEAR(IM123)+5,MONTH(IM123),DAY(IM123))</f>
        <v>47066</v>
      </c>
      <c r="IO123" s="8">
        <f ca="1">IN123-TODAY()</f>
        <v>932</v>
      </c>
      <c r="IP123" s="5" t="str">
        <f t="shared" ca="1" si="331"/>
        <v>VIGENTE</v>
      </c>
      <c r="IQ123" s="3"/>
      <c r="IR123" s="4">
        <v>45240</v>
      </c>
      <c r="IS123" s="4">
        <f>DATE(YEAR(IR123)+5,MONTH(IR123),DAY(IR123))</f>
        <v>47067</v>
      </c>
      <c r="IT123" s="8">
        <f ca="1">IS123-TODAY()</f>
        <v>933</v>
      </c>
      <c r="IU123" s="5" t="str">
        <f t="shared" ca="1" si="332"/>
        <v>VIGENTE</v>
      </c>
      <c r="IV123" s="3"/>
      <c r="IW123" s="4">
        <v>45289</v>
      </c>
      <c r="IX123" s="4">
        <f>DATE(YEAR(IW123)+5,MONTH(IW123),DAY(IW123))</f>
        <v>47116</v>
      </c>
      <c r="IY123" s="8">
        <f ca="1">IX123-TODAY()</f>
        <v>982</v>
      </c>
      <c r="IZ123" s="5" t="str">
        <f t="shared" ca="1" si="333"/>
        <v>VIGENTE</v>
      </c>
      <c r="JA123" s="3"/>
      <c r="JB123" s="3"/>
      <c r="JC123" s="4"/>
      <c r="JD123" s="8"/>
      <c r="JE123" s="5" t="str">
        <f t="shared" si="334"/>
        <v>NO APLICA</v>
      </c>
      <c r="JF123" s="6"/>
      <c r="JG123" s="6"/>
      <c r="JH123" s="6"/>
      <c r="JI123" s="6"/>
      <c r="JJ123" s="5" t="str">
        <f t="shared" si="335"/>
        <v>NO APLICA</v>
      </c>
      <c r="JK123" s="6"/>
      <c r="JL123" s="6"/>
      <c r="JM123" s="6"/>
      <c r="JN123" s="6"/>
      <c r="JO123" s="5" t="str">
        <f t="shared" si="336"/>
        <v>NO APLICA</v>
      </c>
      <c r="JP123" s="6"/>
      <c r="JQ123" s="6"/>
      <c r="JR123" s="6"/>
      <c r="JS123" s="6"/>
      <c r="JT123" s="5" t="str">
        <f t="shared" si="337"/>
        <v>NO APLICA</v>
      </c>
      <c r="JU123" s="5"/>
      <c r="JV123" s="5"/>
      <c r="JW123" s="5"/>
      <c r="JX123" s="5"/>
      <c r="JY123" s="5" t="str">
        <f t="shared" si="338"/>
        <v>NO APLICA</v>
      </c>
      <c r="JZ123" s="5"/>
      <c r="KA123" s="3">
        <v>45362</v>
      </c>
      <c r="KB123" s="4">
        <f>DATE(YEAR(KA123)+5,MONTH(KA123),DAY(KA123))</f>
        <v>47188</v>
      </c>
      <c r="KC123" s="8">
        <f ca="1">KB123-TODAY()</f>
        <v>1054</v>
      </c>
      <c r="KD123" s="5" t="str">
        <f t="shared" ca="1" si="339"/>
        <v>VIGENTE</v>
      </c>
      <c r="KE123" s="5"/>
      <c r="KF123" s="3">
        <v>45328</v>
      </c>
      <c r="KG123" s="4">
        <f>DATE(YEAR(KF123)+5,MONTH(KF123),DAY(KF123)-1)</f>
        <v>47154</v>
      </c>
      <c r="KH123" s="8">
        <f ca="1">KG123-TODAY()</f>
        <v>1020</v>
      </c>
      <c r="KI123" s="5" t="str">
        <f t="shared" ca="1" si="365"/>
        <v>VIGENTE</v>
      </c>
      <c r="KJ123" s="5"/>
      <c r="KK123" s="3"/>
      <c r="KL123" s="4"/>
      <c r="KM123" s="8"/>
      <c r="KN123" s="5" t="str">
        <f t="shared" si="340"/>
        <v>NO APLICA</v>
      </c>
      <c r="KO123" s="5"/>
      <c r="KP123" s="2"/>
      <c r="KQ123" s="4"/>
      <c r="KR123" s="8"/>
      <c r="KS123" s="5" t="str">
        <f t="shared" si="366"/>
        <v>NO APLICA</v>
      </c>
      <c r="KT123" s="4"/>
      <c r="KU123" s="4">
        <v>44658</v>
      </c>
      <c r="KV123" s="4">
        <f>DATE(YEAR(KU123)+5,MONTH(KU123),DAY(KU123))</f>
        <v>46484</v>
      </c>
      <c r="KW123" s="8">
        <f ca="1">KV123-TODAY()</f>
        <v>350</v>
      </c>
      <c r="KX123" s="5" t="str">
        <f t="shared" ca="1" si="375"/>
        <v>VIGENTE</v>
      </c>
      <c r="KY123" s="5"/>
      <c r="KZ123" s="4">
        <v>44614</v>
      </c>
      <c r="LA123" s="4">
        <f>DATE(YEAR(KZ123)+5,MONTH(KZ123),DAY(KZ123))</f>
        <v>46440</v>
      </c>
      <c r="LB123" s="8">
        <f ca="1">LA123-TODAY()</f>
        <v>306</v>
      </c>
      <c r="LC123" s="5" t="str">
        <f t="shared" ca="1" si="367"/>
        <v>VIGENTE</v>
      </c>
      <c r="LD123" s="6"/>
      <c r="LE123" s="4"/>
      <c r="LF123" s="4"/>
      <c r="LG123" s="8"/>
      <c r="LH123" s="5" t="str">
        <f t="shared" si="341"/>
        <v>NO APLICA</v>
      </c>
      <c r="LI123" s="5"/>
      <c r="LJ123" s="5"/>
      <c r="LK123" s="4"/>
      <c r="LL123" s="8"/>
      <c r="LM123" s="5" t="str">
        <f t="shared" si="376"/>
        <v>NO APLICA</v>
      </c>
      <c r="LN123" s="2"/>
      <c r="LO123" s="6"/>
      <c r="LP123" s="4"/>
      <c r="LQ123" s="8"/>
      <c r="LR123" s="5" t="str">
        <f t="shared" si="368"/>
        <v>NO APLICA</v>
      </c>
      <c r="LS123" s="4"/>
      <c r="LT123" s="4">
        <v>44986</v>
      </c>
      <c r="LU123" s="4">
        <f>DATE(YEAR(LT123)+5,MONTH(LT123),DAY(LT123))</f>
        <v>46813</v>
      </c>
      <c r="LV123" s="8">
        <f ca="1">LU123-TODAY()</f>
        <v>679</v>
      </c>
      <c r="LW123" s="5" t="str">
        <f t="shared" ca="1" si="369"/>
        <v>VIGENTE</v>
      </c>
      <c r="LX123" s="4"/>
      <c r="LY123" s="4">
        <v>44988</v>
      </c>
      <c r="LZ123" s="4">
        <f>DATE(YEAR(LY123)+5,MONTH(LY123),DAY(LY123))</f>
        <v>46815</v>
      </c>
      <c r="MA123" s="8">
        <f ca="1">LZ123-TODAY()</f>
        <v>681</v>
      </c>
      <c r="MB123" s="5" t="str">
        <f t="shared" ca="1" si="370"/>
        <v>VIGENTE</v>
      </c>
      <c r="MC123" s="2"/>
      <c r="MD123" s="2"/>
      <c r="ME123" s="4"/>
      <c r="MF123" s="8"/>
      <c r="MG123" s="5" t="str">
        <f t="shared" si="342"/>
        <v>NO APLICA</v>
      </c>
      <c r="MH123" s="2"/>
      <c r="MI123" s="2"/>
      <c r="MJ123" s="4"/>
      <c r="MK123" s="8"/>
      <c r="ML123" s="5" t="str">
        <f t="shared" si="343"/>
        <v>NO APLICA</v>
      </c>
      <c r="MM123" s="5"/>
      <c r="MN123" s="2"/>
      <c r="MO123" s="4"/>
      <c r="MP123" s="8"/>
      <c r="MQ123" s="5" t="str">
        <f t="shared" si="344"/>
        <v>NO APLICA</v>
      </c>
      <c r="MR123" s="5"/>
      <c r="MS123" s="2"/>
      <c r="MT123" s="4"/>
      <c r="MU123" s="2"/>
      <c r="MV123" s="5" t="str">
        <f t="shared" si="345"/>
        <v>NO APLICA</v>
      </c>
      <c r="MW123" s="2"/>
      <c r="MX123" s="4">
        <v>44834</v>
      </c>
      <c r="MY123" s="4">
        <f>DATE(YEAR(MX123)+5,MONTH(MX123),DAY(MX123))</f>
        <v>46660</v>
      </c>
      <c r="MZ123" s="8">
        <f ca="1">MY123-TODAY()</f>
        <v>526</v>
      </c>
      <c r="NA123" s="5" t="str">
        <f t="shared" ca="1" si="346"/>
        <v>VIGENTE</v>
      </c>
      <c r="NB123" s="2"/>
      <c r="NC123" s="4">
        <v>44835</v>
      </c>
      <c r="ND123" s="4">
        <f>DATE(YEAR(NC123)+5,MONTH(NC123),DAY(NC123))</f>
        <v>46661</v>
      </c>
      <c r="NE123" s="8">
        <f ca="1">ND123-TODAY()</f>
        <v>527</v>
      </c>
      <c r="NF123" s="5" t="str">
        <f t="shared" ca="1" si="347"/>
        <v>VIGENTE</v>
      </c>
      <c r="NG123" s="2"/>
      <c r="NH123" s="6"/>
      <c r="NI123" s="4"/>
      <c r="NJ123" s="8"/>
      <c r="NK123" s="5" t="str">
        <f t="shared" si="348"/>
        <v>NO APLICA</v>
      </c>
      <c r="NL123" s="3"/>
      <c r="NM123" s="4">
        <v>45001</v>
      </c>
      <c r="NN123" s="4">
        <f>DATE(YEAR(NM123)+5,MONTH(NM123),DAY(NM123))</f>
        <v>46828</v>
      </c>
      <c r="NO123" s="8">
        <f ca="1">NN123-TODAY()</f>
        <v>694</v>
      </c>
      <c r="NP123" s="5" t="str">
        <f t="shared" ca="1" si="349"/>
        <v>VIGENTE</v>
      </c>
      <c r="NQ123" s="2"/>
      <c r="NR123" s="2"/>
      <c r="NS123" s="4"/>
      <c r="NT123" s="2"/>
      <c r="NU123" s="5" t="str">
        <f t="shared" si="350"/>
        <v>NO APLICA</v>
      </c>
      <c r="NV123" s="6"/>
      <c r="NW123" s="6"/>
      <c r="NX123" s="4"/>
      <c r="NY123" s="8"/>
      <c r="NZ123" s="5" t="str">
        <f t="shared" si="351"/>
        <v>NO APLICA</v>
      </c>
      <c r="OA123" s="6"/>
      <c r="OB123" s="6"/>
      <c r="OC123" s="6"/>
      <c r="OD123" s="6"/>
      <c r="OE123" s="5" t="str">
        <f t="shared" si="352"/>
        <v>NO APLICA</v>
      </c>
      <c r="OF123" s="2"/>
      <c r="OG123" s="2"/>
      <c r="OH123" s="4"/>
      <c r="OI123" s="8"/>
      <c r="OJ123" s="5" t="str">
        <f t="shared" si="353"/>
        <v>NO APLICA</v>
      </c>
      <c r="OK123" s="6"/>
      <c r="OL123" s="6"/>
      <c r="OM123" s="6"/>
      <c r="ON123" s="6"/>
      <c r="OO123" s="5" t="str">
        <f t="shared" si="354"/>
        <v>NO APLICA</v>
      </c>
      <c r="OP123" s="6"/>
      <c r="OQ123" s="6"/>
      <c r="OR123" s="6"/>
      <c r="OS123" s="6"/>
      <c r="OT123" s="5" t="str">
        <f t="shared" si="355"/>
        <v>NO APLICA</v>
      </c>
      <c r="OU123" s="6"/>
      <c r="OV123" s="6"/>
      <c r="OW123" s="6"/>
      <c r="OX123" s="6"/>
      <c r="OY123" s="5" t="str">
        <f t="shared" si="356"/>
        <v>NO APLICA</v>
      </c>
      <c r="OZ123" s="6"/>
      <c r="PA123" s="6"/>
      <c r="PB123" s="6"/>
      <c r="PC123" s="6"/>
      <c r="PD123" s="5" t="str">
        <f t="shared" si="357"/>
        <v>NO APLICA</v>
      </c>
      <c r="PE123" s="6"/>
      <c r="PF123" s="6"/>
      <c r="PG123" s="6"/>
      <c r="PH123" s="6"/>
      <c r="PI123" s="5" t="str">
        <f t="shared" si="358"/>
        <v>NO APLICA</v>
      </c>
      <c r="PJ123" s="5"/>
      <c r="PK123" s="6"/>
      <c r="PL123" s="4"/>
      <c r="PM123" s="8"/>
      <c r="PN123" s="5" t="str">
        <f t="shared" si="359"/>
        <v>NO APLICA</v>
      </c>
      <c r="PO123" s="6"/>
      <c r="PP123" s="6"/>
      <c r="PQ123" s="6"/>
      <c r="PR123" s="6"/>
      <c r="PS123" s="5" t="str">
        <f t="shared" si="360"/>
        <v>NO APLICA</v>
      </c>
      <c r="PT123" s="5"/>
      <c r="PU123" s="6"/>
      <c r="PV123" s="6"/>
      <c r="PW123" s="6"/>
      <c r="PX123" s="5" t="str">
        <f t="shared" si="361"/>
        <v>NO APLICA</v>
      </c>
    </row>
    <row r="124" spans="1:440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418</v>
      </c>
      <c r="V124" s="4">
        <v>44772</v>
      </c>
      <c r="W124" s="4">
        <f t="shared" si="421"/>
        <v>46598</v>
      </c>
      <c r="X124" s="8">
        <f t="shared" ca="1" si="422"/>
        <v>464</v>
      </c>
      <c r="Y124" s="5" t="str">
        <f t="shared" ca="1" si="423"/>
        <v>VIGENTE</v>
      </c>
      <c r="Z124" s="2" t="s">
        <v>419</v>
      </c>
      <c r="AA124" s="4">
        <v>45233</v>
      </c>
      <c r="AB124" s="4">
        <f t="shared" si="442"/>
        <v>47060</v>
      </c>
      <c r="AC124" s="8">
        <f t="shared" ca="1" si="443"/>
        <v>926</v>
      </c>
      <c r="AD124" s="5" t="str">
        <f t="shared" ca="1" si="444"/>
        <v>VIGENTE</v>
      </c>
      <c r="AE124" s="3"/>
      <c r="AF124" s="4">
        <v>45680</v>
      </c>
      <c r="AG124" s="4">
        <f t="shared" si="445"/>
        <v>46409</v>
      </c>
      <c r="AH124" s="8">
        <f t="shared" ca="1" si="252"/>
        <v>275</v>
      </c>
      <c r="AI124" s="5" t="str">
        <f t="shared" ca="1" si="419"/>
        <v>VIGENTE</v>
      </c>
      <c r="AJ124" s="3"/>
      <c r="AK124" s="4">
        <v>45710</v>
      </c>
      <c r="AL124" s="4">
        <f>DATE(YEAR(AK124)+2,MONTH(AK124),DAY(AK124)-1)</f>
        <v>46439</v>
      </c>
      <c r="AM124" s="8">
        <f t="shared" ca="1" si="253"/>
        <v>305</v>
      </c>
      <c r="AN124" s="5" t="str">
        <f t="shared" ca="1" si="254"/>
        <v>VIGENTE</v>
      </c>
      <c r="AO124" s="2"/>
      <c r="AP124" s="4">
        <v>45740</v>
      </c>
      <c r="AQ124" s="4">
        <f>DATE(YEAR(AP124)+2,MONTH(AP124),DAY(AP124)-1)</f>
        <v>46469</v>
      </c>
      <c r="AR124" s="8">
        <f t="shared" ca="1" si="255"/>
        <v>335</v>
      </c>
      <c r="AS124" s="5" t="str">
        <f t="shared" ca="1" si="256"/>
        <v>VIGENTE</v>
      </c>
      <c r="AT124" s="3"/>
      <c r="AU124" s="4">
        <v>45702</v>
      </c>
      <c r="AV124" s="4">
        <f>DATE(YEAR(AU124)+2,MONTH(AU124),DAY(AU124)-1)</f>
        <v>46431</v>
      </c>
      <c r="AW124" s="8">
        <f t="shared" ca="1" si="257"/>
        <v>297</v>
      </c>
      <c r="AX124" s="5" t="str">
        <f t="shared" ca="1" si="258"/>
        <v>VIGENTE</v>
      </c>
      <c r="AY124" s="3"/>
      <c r="AZ124" s="4">
        <v>46041</v>
      </c>
      <c r="BA124" s="4">
        <f>DATE(YEAR(AZ124)+2,MONTH(AZ124),DAY(AZ124))</f>
        <v>46771</v>
      </c>
      <c r="BB124" s="8">
        <f t="shared" ca="1" si="259"/>
        <v>637</v>
      </c>
      <c r="BC124" s="5" t="str">
        <f t="shared" ca="1" si="260"/>
        <v>VIGENTE</v>
      </c>
      <c r="BD124" s="3"/>
      <c r="BE124" s="4">
        <v>46027</v>
      </c>
      <c r="BF124" s="4">
        <f t="shared" si="456"/>
        <v>46757</v>
      </c>
      <c r="BG124" s="8">
        <f t="shared" ca="1" si="261"/>
        <v>623</v>
      </c>
      <c r="BH124" s="5" t="str">
        <f t="shared" ca="1" si="262"/>
        <v>VIGENTE</v>
      </c>
      <c r="BI124" s="3"/>
      <c r="BJ124" s="4">
        <v>45570</v>
      </c>
      <c r="BK124" s="4">
        <f>DATE(YEAR(BJ124)+2,MONTH(BJ124),DAY(BJ124)-1)</f>
        <v>46299</v>
      </c>
      <c r="BL124" s="8">
        <f t="shared" ca="1" si="263"/>
        <v>165</v>
      </c>
      <c r="BM124" s="5" t="str">
        <f t="shared" ca="1" si="264"/>
        <v>VIGENTE</v>
      </c>
      <c r="BN124" s="3"/>
      <c r="BO124" s="4">
        <v>45701</v>
      </c>
      <c r="BP124" s="4">
        <f>DATE(YEAR(BO124)+2,MONTH(BO124),DAY(BO124)-1)</f>
        <v>46430</v>
      </c>
      <c r="BQ124" s="8">
        <f t="shared" ca="1" si="265"/>
        <v>296</v>
      </c>
      <c r="BR124" s="5" t="str">
        <f t="shared" ca="1" si="266"/>
        <v>VIGENTE</v>
      </c>
      <c r="BS124" s="3"/>
      <c r="BT124" s="4">
        <v>45455</v>
      </c>
      <c r="BU124" s="4">
        <f>DATE(YEAR(BT124)+2,MONTH(BT124),DAY(BT124)-1)</f>
        <v>46184</v>
      </c>
      <c r="BV124" s="8">
        <f t="shared" ca="1" si="267"/>
        <v>50</v>
      </c>
      <c r="BW124" s="5" t="str">
        <f t="shared" ca="1" si="268"/>
        <v>POR VENCER</v>
      </c>
      <c r="BX124" s="3"/>
      <c r="BY124" s="4">
        <v>45730</v>
      </c>
      <c r="BZ124" s="4">
        <f>DATE(YEAR(BY124)+2,MONTH(BY124),DAY(BY124)-1)</f>
        <v>46459</v>
      </c>
      <c r="CA124" s="8">
        <f t="shared" ca="1" si="269"/>
        <v>325</v>
      </c>
      <c r="CB124" s="5" t="str">
        <f t="shared" ca="1" si="270"/>
        <v>VIGENTE</v>
      </c>
      <c r="CC124" s="6" t="s">
        <v>68</v>
      </c>
      <c r="CD124" s="4">
        <v>45832</v>
      </c>
      <c r="CE124" s="4">
        <f t="shared" si="428"/>
        <v>47293</v>
      </c>
      <c r="CF124" s="8">
        <f t="shared" ca="1" si="429"/>
        <v>1159</v>
      </c>
      <c r="CG124" s="5" t="str">
        <f t="shared" ca="1" si="430"/>
        <v>VIGENTE</v>
      </c>
      <c r="CH124" s="4"/>
      <c r="CI124" s="4">
        <v>45511</v>
      </c>
      <c r="CJ124" s="4">
        <f t="shared" si="446"/>
        <v>46240</v>
      </c>
      <c r="CK124" s="8">
        <f t="shared" ca="1" si="274"/>
        <v>106</v>
      </c>
      <c r="CL124" s="5" t="str">
        <f t="shared" ca="1" si="275"/>
        <v>VIGENTE</v>
      </c>
      <c r="CM124" s="3"/>
      <c r="CN124" s="4">
        <v>45517</v>
      </c>
      <c r="CO124" s="4">
        <f t="shared" si="447"/>
        <v>46246</v>
      </c>
      <c r="CP124" s="8">
        <f t="shared" ca="1" si="276"/>
        <v>112</v>
      </c>
      <c r="CQ124" s="5" t="str">
        <f t="shared" ca="1" si="277"/>
        <v>VIGENTE</v>
      </c>
      <c r="CR124" s="3"/>
      <c r="CS124" s="4">
        <v>45624</v>
      </c>
      <c r="CT124" s="4">
        <f t="shared" si="448"/>
        <v>46353</v>
      </c>
      <c r="CU124" s="8">
        <f t="shared" ca="1" si="278"/>
        <v>219</v>
      </c>
      <c r="CV124" s="5" t="str">
        <f t="shared" ca="1" si="279"/>
        <v>VIGENTE</v>
      </c>
      <c r="CW124" s="3"/>
      <c r="CX124" s="4">
        <v>45665</v>
      </c>
      <c r="CY124" s="4">
        <f>DATE(YEAR(CX124)+2,MONTH(CX124),DAY(CX124)-1)</f>
        <v>46394</v>
      </c>
      <c r="CZ124" s="8">
        <f t="shared" ca="1" si="280"/>
        <v>260</v>
      </c>
      <c r="DA124" s="5" t="str">
        <f t="shared" ca="1" si="281"/>
        <v>VIGENTE</v>
      </c>
      <c r="DB124" s="3"/>
      <c r="DC124" s="4">
        <v>45549</v>
      </c>
      <c r="DD124" s="4">
        <f t="shared" si="449"/>
        <v>46278</v>
      </c>
      <c r="DE124" s="8">
        <f t="shared" ca="1" si="282"/>
        <v>144</v>
      </c>
      <c r="DF124" s="5" t="str">
        <f t="shared" ca="1" si="283"/>
        <v>VIGENTE</v>
      </c>
      <c r="DG124" s="3"/>
      <c r="DH124" s="4">
        <v>45580</v>
      </c>
      <c r="DI124" s="4">
        <f>DATE(YEAR(DH124)+2,MONTH(DH124),DAY(DH124)-1)</f>
        <v>46309</v>
      </c>
      <c r="DJ124" s="8">
        <f t="shared" ca="1" si="284"/>
        <v>175</v>
      </c>
      <c r="DK124" s="5" t="str">
        <f t="shared" ca="1" si="285"/>
        <v>VIGENTE</v>
      </c>
      <c r="DL124" s="3"/>
      <c r="DM124" s="4">
        <v>45590</v>
      </c>
      <c r="DN124" s="4">
        <f>DATE(YEAR(DM124)+2,MONTH(DM124),DAY(DM124)-1)</f>
        <v>46319</v>
      </c>
      <c r="DO124" s="8">
        <f t="shared" ca="1" si="286"/>
        <v>185</v>
      </c>
      <c r="DP124" s="5" t="str">
        <f t="shared" ca="1" si="287"/>
        <v>VIGENTE</v>
      </c>
      <c r="DQ124" s="3"/>
      <c r="DR124" s="4">
        <v>46053</v>
      </c>
      <c r="DS124" s="4">
        <f>DATE(YEAR(DR124)+2,MONTH(DR124),DAY(DR124))</f>
        <v>46783</v>
      </c>
      <c r="DT124" s="8">
        <f t="shared" ca="1" si="288"/>
        <v>649</v>
      </c>
      <c r="DU124" s="5" t="str">
        <f t="shared" ca="1" si="289"/>
        <v>VIGENTE</v>
      </c>
      <c r="DV124" s="3"/>
      <c r="DW124" s="4">
        <v>45663</v>
      </c>
      <c r="DX124" s="4">
        <f t="shared" si="450"/>
        <v>46392</v>
      </c>
      <c r="DY124" s="8">
        <f t="shared" ca="1" si="290"/>
        <v>258</v>
      </c>
      <c r="DZ124" s="5" t="str">
        <f t="shared" ca="1" si="291"/>
        <v>VIGENTE</v>
      </c>
      <c r="EA124" s="3"/>
      <c r="EB124" s="4">
        <v>45674</v>
      </c>
      <c r="EC124" s="4">
        <f t="shared" si="451"/>
        <v>46403</v>
      </c>
      <c r="ED124" s="8">
        <f t="shared" ca="1" si="292"/>
        <v>269</v>
      </c>
      <c r="EE124" s="5" t="str">
        <f t="shared" ca="1" si="293"/>
        <v>VIGENTE</v>
      </c>
      <c r="EF124" s="3"/>
      <c r="EG124" s="3">
        <v>46107</v>
      </c>
      <c r="EH124" s="4">
        <f t="shared" si="364"/>
        <v>46472</v>
      </c>
      <c r="EI124" s="8">
        <f t="shared" ca="1" si="294"/>
        <v>338</v>
      </c>
      <c r="EJ124" s="5" t="str">
        <f t="shared" ca="1" si="295"/>
        <v>VIGENTE</v>
      </c>
      <c r="EK124" s="3"/>
      <c r="EL124" s="4">
        <v>45660</v>
      </c>
      <c r="EM124" s="4">
        <f t="shared" si="452"/>
        <v>46389</v>
      </c>
      <c r="EN124" s="8">
        <f t="shared" ca="1" si="296"/>
        <v>255</v>
      </c>
      <c r="EO124" s="5" t="str">
        <f t="shared" ca="1" si="297"/>
        <v>VIGENTE</v>
      </c>
      <c r="EP124" s="3"/>
      <c r="EQ124" s="4">
        <v>46094</v>
      </c>
      <c r="ER124" s="4">
        <f>DATE(YEAR(EQ124)+2,MONTH(EQ124),DAY(EQ124))</f>
        <v>46825</v>
      </c>
      <c r="ES124" s="8">
        <f t="shared" ca="1" si="298"/>
        <v>691</v>
      </c>
      <c r="ET124" s="5" t="str">
        <f t="shared" ca="1" si="299"/>
        <v>VIGENTE</v>
      </c>
      <c r="EU124" s="3"/>
      <c r="EV124" s="4">
        <v>45694</v>
      </c>
      <c r="EW124" s="4">
        <f>DATE(YEAR(EV124)+2,MONTH(EV124),DAY(EV124)-1)</f>
        <v>46423</v>
      </c>
      <c r="EX124" s="8">
        <f t="shared" ca="1" si="300"/>
        <v>289</v>
      </c>
      <c r="EY124" s="5" t="str">
        <f t="shared" ca="1" si="301"/>
        <v>VIGENTE</v>
      </c>
      <c r="EZ124" s="3"/>
      <c r="FA124" s="4">
        <v>45666</v>
      </c>
      <c r="FB124" s="4">
        <f>DATE(YEAR(FA124)+2,MONTH(FA124),DAY(FA124)-1)</f>
        <v>46395</v>
      </c>
      <c r="FC124" s="8">
        <f t="shared" ca="1" si="302"/>
        <v>261</v>
      </c>
      <c r="FD124" s="5" t="str">
        <f t="shared" ca="1" si="303"/>
        <v>VIGENTE</v>
      </c>
      <c r="FE124" s="3"/>
      <c r="FF124" s="4">
        <v>45668</v>
      </c>
      <c r="FG124" s="4">
        <f>DATE(YEAR(FF124)+2,MONTH(FF124),DAY(FF124)-1)</f>
        <v>46397</v>
      </c>
      <c r="FH124" s="8">
        <f t="shared" ca="1" si="304"/>
        <v>263</v>
      </c>
      <c r="FI124" s="5" t="str">
        <f t="shared" ca="1" si="305"/>
        <v>VIGENTE</v>
      </c>
      <c r="FJ124" s="3"/>
      <c r="FK124" s="4">
        <v>45530</v>
      </c>
      <c r="FL124" s="4">
        <f t="shared" si="453"/>
        <v>46259</v>
      </c>
      <c r="FM124" s="8">
        <f t="shared" ca="1" si="306"/>
        <v>125</v>
      </c>
      <c r="FN124" s="5" t="str">
        <f t="shared" ca="1" si="307"/>
        <v>VIGENTE</v>
      </c>
      <c r="FO124" s="3"/>
      <c r="FP124" s="4">
        <v>45586</v>
      </c>
      <c r="FQ124" s="4">
        <f t="shared" si="454"/>
        <v>46315</v>
      </c>
      <c r="FR124" s="8">
        <f t="shared" ca="1" si="308"/>
        <v>181</v>
      </c>
      <c r="FS124" s="5" t="str">
        <f t="shared" ca="1" si="309"/>
        <v>VIGENTE</v>
      </c>
      <c r="FT124" s="3"/>
      <c r="FU124" s="4">
        <v>45587</v>
      </c>
      <c r="FV124" s="4">
        <f>DATE(YEAR(FU124)+2,MONTH(FU124),DAY(FU124)-1)</f>
        <v>46316</v>
      </c>
      <c r="FW124" s="8">
        <f t="shared" ca="1" si="310"/>
        <v>182</v>
      </c>
      <c r="FX124" s="5" t="str">
        <f t="shared" ca="1" si="311"/>
        <v>VIGENTE</v>
      </c>
      <c r="FY124" s="3"/>
      <c r="FZ124" s="4">
        <v>46030</v>
      </c>
      <c r="GA124" s="4">
        <f>DATE(YEAR(FZ124)+2,MONTH(FZ124),DAY(FZ124))</f>
        <v>46760</v>
      </c>
      <c r="GB124" s="8">
        <f t="shared" ca="1" si="312"/>
        <v>626</v>
      </c>
      <c r="GC124" s="5" t="str">
        <f t="shared" ca="1" si="313"/>
        <v>VIGENTE</v>
      </c>
      <c r="GD124" s="3"/>
      <c r="GE124" s="4">
        <v>45579</v>
      </c>
      <c r="GF124" s="4">
        <f t="shared" si="455"/>
        <v>46308</v>
      </c>
      <c r="GG124" s="8">
        <f t="shared" ca="1" si="314"/>
        <v>174</v>
      </c>
      <c r="GH124" s="5" t="str">
        <f t="shared" ca="1" si="315"/>
        <v>VIGENTE</v>
      </c>
      <c r="GI124" s="3"/>
      <c r="GJ124" s="4">
        <v>45687</v>
      </c>
      <c r="GK124" s="4">
        <f>DATE(YEAR(GJ124)+2,MONTH(GJ124),DAY(GJ124)-1)</f>
        <v>46416</v>
      </c>
      <c r="GL124" s="8">
        <f t="shared" ca="1" si="316"/>
        <v>282</v>
      </c>
      <c r="GM124" s="5" t="str">
        <f t="shared" ca="1" si="317"/>
        <v>VIGENTE</v>
      </c>
      <c r="GN124" s="4"/>
      <c r="GO124" s="4">
        <v>44912</v>
      </c>
      <c r="GP124" s="4">
        <f t="shared" si="318"/>
        <v>46738</v>
      </c>
      <c r="GQ124" s="8">
        <f t="shared" ca="1" si="418"/>
        <v>604</v>
      </c>
      <c r="GR124" s="5" t="str">
        <f t="shared" ca="1" si="431"/>
        <v>VIGENTE</v>
      </c>
      <c r="GS124" s="3"/>
      <c r="GT124" s="4">
        <v>44952</v>
      </c>
      <c r="GU124" s="4">
        <f t="shared" si="320"/>
        <v>46778</v>
      </c>
      <c r="GV124" s="8">
        <f t="shared" ca="1" si="321"/>
        <v>644</v>
      </c>
      <c r="GW124" s="5" t="str">
        <f t="shared" ca="1" si="438"/>
        <v>VIGENTE</v>
      </c>
      <c r="GX124" s="2"/>
      <c r="GY124" s="4">
        <v>44911</v>
      </c>
      <c r="GZ124" s="4">
        <f t="shared" si="323"/>
        <v>46737</v>
      </c>
      <c r="HA124" s="8">
        <f t="shared" ca="1" si="324"/>
        <v>603</v>
      </c>
      <c r="HB124" s="5" t="str">
        <f t="shared" ca="1" si="433"/>
        <v>VIGENTE</v>
      </c>
      <c r="HC124" s="6"/>
      <c r="HD124" s="4">
        <v>45094</v>
      </c>
      <c r="HE124" s="4">
        <f t="shared" si="440"/>
        <v>46921</v>
      </c>
      <c r="HF124" s="8">
        <f t="shared" ca="1" si="441"/>
        <v>787</v>
      </c>
      <c r="HG124" s="5" t="str">
        <f t="shared" ca="1" si="439"/>
        <v>VIGENTE</v>
      </c>
      <c r="HH124" s="2"/>
      <c r="HI124" s="6"/>
      <c r="HJ124" s="4">
        <f>DATE(YEAR(HI124)+5,MONTH(HI124),DAY(HI124))</f>
        <v>1827</v>
      </c>
      <c r="HK124" s="8">
        <f ca="1">HJ124-TODAY()</f>
        <v>-44307</v>
      </c>
      <c r="HL124" s="5" t="str">
        <f ca="1">IF(HK124&gt;=61,"VIGENTE",IF(HK124&gt;=1,"POR VENCER",IF(HK124&lt;=-1,"PROGRAMAR",IF(HI124=0,"NO APLICA"))))</f>
        <v>PROGRAMAR</v>
      </c>
      <c r="HM124" s="2"/>
      <c r="HN124" s="2"/>
      <c r="HO124" s="4"/>
      <c r="HP124" s="2"/>
      <c r="HQ124" s="5" t="str">
        <f t="shared" si="326"/>
        <v>NO APLICA</v>
      </c>
      <c r="HR124" s="2"/>
      <c r="HS124" s="6"/>
      <c r="HT124" s="4"/>
      <c r="HU124" s="8"/>
      <c r="HV124" s="5" t="str">
        <f t="shared" si="327"/>
        <v>NO APLICA</v>
      </c>
      <c r="HW124" s="2"/>
      <c r="HX124" s="6"/>
      <c r="HY124" s="4"/>
      <c r="HZ124" s="8"/>
      <c r="IA124" s="5" t="str">
        <f t="shared" si="328"/>
        <v>NO APLICA</v>
      </c>
      <c r="IB124" s="2"/>
      <c r="IC124" s="6"/>
      <c r="ID124" s="4"/>
      <c r="IE124" s="8"/>
      <c r="IF124" s="5" t="str">
        <f t="shared" si="329"/>
        <v>NO APLICA</v>
      </c>
      <c r="IG124" s="6"/>
      <c r="IH124" s="6"/>
      <c r="II124" s="4"/>
      <c r="IJ124" s="8"/>
      <c r="IK124" s="5" t="str">
        <f t="shared" si="330"/>
        <v>NO APLICA</v>
      </c>
      <c r="IL124" s="2"/>
      <c r="IM124" s="6"/>
      <c r="IN124" s="4"/>
      <c r="IO124" s="8"/>
      <c r="IP124" s="5" t="str">
        <f t="shared" si="331"/>
        <v>NO APLICA</v>
      </c>
      <c r="IQ124" s="2"/>
      <c r="IR124" s="6"/>
      <c r="IS124" s="4"/>
      <c r="IT124" s="8"/>
      <c r="IU124" s="5" t="str">
        <f t="shared" si="332"/>
        <v>NO APLICA</v>
      </c>
      <c r="IV124" s="2"/>
      <c r="IW124" s="6"/>
      <c r="IX124" s="4"/>
      <c r="IY124" s="8"/>
      <c r="IZ124" s="5" t="str">
        <f t="shared" si="333"/>
        <v>NO APLICA</v>
      </c>
      <c r="JA124" s="3"/>
      <c r="JB124" s="3"/>
      <c r="JC124" s="4"/>
      <c r="JD124" s="8"/>
      <c r="JE124" s="5" t="str">
        <f t="shared" si="334"/>
        <v>NO APLICA</v>
      </c>
      <c r="JF124" s="6"/>
      <c r="JG124" s="6"/>
      <c r="JH124" s="6"/>
      <c r="JI124" s="6"/>
      <c r="JJ124" s="5" t="str">
        <f t="shared" si="335"/>
        <v>NO APLICA</v>
      </c>
      <c r="JK124" s="6"/>
      <c r="JL124" s="6"/>
      <c r="JM124" s="6"/>
      <c r="JN124" s="6"/>
      <c r="JO124" s="5" t="str">
        <f t="shared" si="336"/>
        <v>NO APLICA</v>
      </c>
      <c r="JP124" s="6"/>
      <c r="JQ124" s="6"/>
      <c r="JR124" s="6"/>
      <c r="JS124" s="6"/>
      <c r="JT124" s="5" t="str">
        <f t="shared" si="337"/>
        <v>NO APLICA</v>
      </c>
      <c r="JU124" s="5"/>
      <c r="JV124" s="5"/>
      <c r="JW124" s="5"/>
      <c r="JX124" s="5"/>
      <c r="JY124" s="5" t="str">
        <f t="shared" si="338"/>
        <v>NO APLICA</v>
      </c>
      <c r="JZ124" s="5"/>
      <c r="KA124" s="2"/>
      <c r="KB124" s="4"/>
      <c r="KC124" s="8"/>
      <c r="KD124" s="5" t="str">
        <f t="shared" si="339"/>
        <v>NO APLICA</v>
      </c>
      <c r="KE124" s="5"/>
      <c r="KF124" s="2"/>
      <c r="KG124" s="4"/>
      <c r="KH124" s="8"/>
      <c r="KI124" s="5" t="str">
        <f t="shared" si="365"/>
        <v>NO APLICA</v>
      </c>
      <c r="KJ124" s="5"/>
      <c r="KK124" s="2"/>
      <c r="KL124" s="4"/>
      <c r="KM124" s="8"/>
      <c r="KN124" s="5" t="str">
        <f t="shared" si="340"/>
        <v>NO APLICA</v>
      </c>
      <c r="KO124" s="5"/>
      <c r="KP124" s="3">
        <v>45346</v>
      </c>
      <c r="KQ124" s="4">
        <f>DATE(YEAR(KP124)+5,MONTH(KP124),DAY(KP124))</f>
        <v>47173</v>
      </c>
      <c r="KR124" s="8">
        <f ca="1">KQ124-TODAY()</f>
        <v>1039</v>
      </c>
      <c r="KS124" s="5" t="str">
        <f t="shared" ca="1" si="366"/>
        <v>VIGENTE</v>
      </c>
      <c r="KT124" s="2"/>
      <c r="KU124" s="6"/>
      <c r="KV124" s="4"/>
      <c r="KW124" s="8"/>
      <c r="KX124" s="5" t="str">
        <f t="shared" si="375"/>
        <v>NO APLICA</v>
      </c>
      <c r="KY124" s="5"/>
      <c r="KZ124" s="6"/>
      <c r="LA124" s="4"/>
      <c r="LB124" s="8"/>
      <c r="LC124" s="5" t="str">
        <f t="shared" si="367"/>
        <v>NO APLICA</v>
      </c>
      <c r="LD124" s="6"/>
      <c r="LE124" s="6"/>
      <c r="LF124" s="4"/>
      <c r="LG124" s="8"/>
      <c r="LH124" s="5" t="str">
        <f t="shared" si="341"/>
        <v>NO APLICA</v>
      </c>
      <c r="LI124" s="5"/>
      <c r="LJ124" s="5"/>
      <c r="LK124" s="4"/>
      <c r="LL124" s="8"/>
      <c r="LM124" s="5" t="str">
        <f t="shared" si="376"/>
        <v>NO APLICA</v>
      </c>
      <c r="LN124" s="2"/>
      <c r="LO124" s="6"/>
      <c r="LP124" s="4"/>
      <c r="LQ124" s="8"/>
      <c r="LR124" s="5" t="str">
        <f t="shared" si="368"/>
        <v>NO APLICA</v>
      </c>
      <c r="LS124" s="6"/>
      <c r="LT124" s="6"/>
      <c r="LU124" s="4"/>
      <c r="LV124" s="8"/>
      <c r="LW124" s="5" t="str">
        <f t="shared" si="369"/>
        <v>NO APLICA</v>
      </c>
      <c r="LX124" s="6"/>
      <c r="LY124" s="6"/>
      <c r="LZ124" s="4"/>
      <c r="MA124" s="8"/>
      <c r="MB124" s="5" t="str">
        <f t="shared" si="370"/>
        <v>NO APLICA</v>
      </c>
      <c r="MC124" s="2"/>
      <c r="MD124" s="2"/>
      <c r="ME124" s="4"/>
      <c r="MF124" s="8"/>
      <c r="MG124" s="5" t="str">
        <f t="shared" si="342"/>
        <v>NO APLICA</v>
      </c>
      <c r="MH124" s="2"/>
      <c r="MI124" s="2"/>
      <c r="MJ124" s="4"/>
      <c r="MK124" s="8"/>
      <c r="ML124" s="5" t="str">
        <f t="shared" si="343"/>
        <v>NO APLICA</v>
      </c>
      <c r="MM124" s="5"/>
      <c r="MN124" s="2"/>
      <c r="MO124" s="4"/>
      <c r="MP124" s="8"/>
      <c r="MQ124" s="5" t="str">
        <f t="shared" si="344"/>
        <v>NO APLICA</v>
      </c>
      <c r="MR124" s="5"/>
      <c r="MS124" s="2"/>
      <c r="MT124" s="4"/>
      <c r="MU124" s="2"/>
      <c r="MV124" s="5" t="str">
        <f t="shared" si="345"/>
        <v>NO APLICA</v>
      </c>
      <c r="MW124" s="2"/>
      <c r="MX124" s="4">
        <v>44834</v>
      </c>
      <c r="MY124" s="4">
        <f>DATE(YEAR(MX124)+5,MONTH(MX124),DAY(MX124))</f>
        <v>46660</v>
      </c>
      <c r="MZ124" s="8">
        <f ca="1">MY124-TODAY()</f>
        <v>526</v>
      </c>
      <c r="NA124" s="5" t="str">
        <f t="shared" ca="1" si="346"/>
        <v>VIGENTE</v>
      </c>
      <c r="NB124" s="2"/>
      <c r="NC124" s="4">
        <v>44835</v>
      </c>
      <c r="ND124" s="4">
        <f>DATE(YEAR(NC124)+5,MONTH(NC124),DAY(NC124))</f>
        <v>46661</v>
      </c>
      <c r="NE124" s="8">
        <f ca="1">ND124-TODAY()</f>
        <v>527</v>
      </c>
      <c r="NF124" s="5" t="str">
        <f t="shared" ca="1" si="347"/>
        <v>VIGENTE</v>
      </c>
      <c r="NG124" s="2"/>
      <c r="NH124" s="4">
        <v>44751</v>
      </c>
      <c r="NI124" s="4">
        <f>DATE(YEAR(NH124)+5,MONTH(NH124),DAY(NH124))</f>
        <v>46577</v>
      </c>
      <c r="NJ124" s="8">
        <f ca="1">NI124-TODAY()</f>
        <v>443</v>
      </c>
      <c r="NK124" s="5" t="str">
        <f t="shared" ca="1" si="348"/>
        <v>VIGENTE</v>
      </c>
      <c r="NL124" s="2"/>
      <c r="NM124" s="2"/>
      <c r="NN124" s="4"/>
      <c r="NO124" s="8"/>
      <c r="NP124" s="5" t="str">
        <f t="shared" si="349"/>
        <v>NO APLICA</v>
      </c>
      <c r="NQ124" s="4"/>
      <c r="NR124" s="4">
        <v>45103</v>
      </c>
      <c r="NS124" s="4">
        <f>DATE(YEAR(NR124)+5,MONTH(NR124),DAY(NR124))</f>
        <v>46930</v>
      </c>
      <c r="NT124" s="8">
        <f ca="1">NS124-TODAY()</f>
        <v>796</v>
      </c>
      <c r="NU124" s="5" t="str">
        <f t="shared" ca="1" si="350"/>
        <v>VIGENTE</v>
      </c>
      <c r="NV124" s="6"/>
      <c r="NW124" s="6"/>
      <c r="NX124" s="4"/>
      <c r="NY124" s="8"/>
      <c r="NZ124" s="5" t="str">
        <f t="shared" si="351"/>
        <v>NO APLICA</v>
      </c>
      <c r="OA124" s="6"/>
      <c r="OB124" s="6"/>
      <c r="OC124" s="6"/>
      <c r="OD124" s="6"/>
      <c r="OE124" s="5" t="str">
        <f t="shared" si="352"/>
        <v>NO APLICA</v>
      </c>
      <c r="OF124" s="2"/>
      <c r="OG124" s="2"/>
      <c r="OH124" s="4"/>
      <c r="OI124" s="8"/>
      <c r="OJ124" s="5" t="str">
        <f t="shared" si="353"/>
        <v>NO APLICA</v>
      </c>
      <c r="OK124" s="6"/>
      <c r="OL124" s="6"/>
      <c r="OM124" s="6"/>
      <c r="ON124" s="6"/>
      <c r="OO124" s="5" t="str">
        <f t="shared" si="354"/>
        <v>NO APLICA</v>
      </c>
      <c r="OP124" s="6"/>
      <c r="OQ124" s="6"/>
      <c r="OR124" s="6"/>
      <c r="OS124" s="6"/>
      <c r="OT124" s="5" t="str">
        <f t="shared" si="355"/>
        <v>NO APLICA</v>
      </c>
      <c r="OU124" s="6"/>
      <c r="OV124" s="6"/>
      <c r="OW124" s="6"/>
      <c r="OX124" s="6"/>
      <c r="OY124" s="5" t="str">
        <f t="shared" si="356"/>
        <v>NO APLICA</v>
      </c>
      <c r="OZ124" s="6"/>
      <c r="PA124" s="6"/>
      <c r="PB124" s="6"/>
      <c r="PC124" s="6"/>
      <c r="PD124" s="5" t="str">
        <f t="shared" si="357"/>
        <v>NO APLICA</v>
      </c>
      <c r="PE124" s="6"/>
      <c r="PF124" s="6"/>
      <c r="PG124" s="6"/>
      <c r="PH124" s="6"/>
      <c r="PI124" s="5" t="str">
        <f t="shared" si="358"/>
        <v>NO APLICA</v>
      </c>
      <c r="PJ124" s="5"/>
      <c r="PK124" s="6"/>
      <c r="PL124" s="4"/>
      <c r="PM124" s="8"/>
      <c r="PN124" s="5" t="str">
        <f t="shared" si="359"/>
        <v>NO APLICA</v>
      </c>
      <c r="PO124" s="6"/>
      <c r="PP124" s="6"/>
      <c r="PQ124" s="6"/>
      <c r="PR124" s="6"/>
      <c r="PS124" s="5" t="str">
        <f t="shared" si="360"/>
        <v>NO APLICA</v>
      </c>
      <c r="PT124" s="5"/>
      <c r="PU124" s="6"/>
      <c r="PV124" s="6"/>
      <c r="PW124" s="6"/>
      <c r="PX124" s="5" t="str">
        <f t="shared" si="361"/>
        <v>NO APLICA</v>
      </c>
    </row>
    <row r="125" spans="1:440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421</v>
      </c>
      <c r="V125" s="4">
        <v>44838</v>
      </c>
      <c r="W125" s="4">
        <f t="shared" si="421"/>
        <v>46664</v>
      </c>
      <c r="X125" s="8">
        <f t="shared" ca="1" si="422"/>
        <v>530</v>
      </c>
      <c r="Y125" s="5" t="str">
        <f t="shared" ca="1" si="423"/>
        <v>VIGENTE</v>
      </c>
      <c r="Z125" s="2" t="s">
        <v>422</v>
      </c>
      <c r="AA125" s="4">
        <v>44826</v>
      </c>
      <c r="AB125" s="4">
        <f t="shared" si="442"/>
        <v>46652</v>
      </c>
      <c r="AC125" s="8">
        <f t="shared" ca="1" si="443"/>
        <v>518</v>
      </c>
      <c r="AD125" s="5" t="str">
        <f t="shared" ca="1" si="444"/>
        <v>VIGENTE</v>
      </c>
      <c r="AE125" s="3"/>
      <c r="AF125" s="3">
        <v>45594</v>
      </c>
      <c r="AG125" s="4">
        <f t="shared" si="445"/>
        <v>46323</v>
      </c>
      <c r="AH125" s="8">
        <f t="shared" ca="1" si="252"/>
        <v>189</v>
      </c>
      <c r="AI125" s="5" t="str">
        <f t="shared" ca="1" si="419"/>
        <v>VIGENTE</v>
      </c>
      <c r="AJ125" s="3"/>
      <c r="AK125" s="4">
        <v>45959</v>
      </c>
      <c r="AL125" s="4">
        <f>DATE(YEAR(AK125)+2,MONTH(AK125),DAY(AK125))</f>
        <v>46689</v>
      </c>
      <c r="AM125" s="8">
        <f t="shared" ca="1" si="253"/>
        <v>555</v>
      </c>
      <c r="AN125" s="5" t="str">
        <f t="shared" ca="1" si="254"/>
        <v>VIGENTE</v>
      </c>
      <c r="AO125" s="3"/>
      <c r="AP125" s="4">
        <v>45971</v>
      </c>
      <c r="AQ125" s="4">
        <f>DATE(YEAR(AP125)+2,MONTH(AP125),DAY(AP125))</f>
        <v>46701</v>
      </c>
      <c r="AR125" s="8">
        <f t="shared" ca="1" si="255"/>
        <v>567</v>
      </c>
      <c r="AS125" s="5" t="str">
        <f t="shared" ca="1" si="256"/>
        <v>VIGENTE</v>
      </c>
      <c r="AT125" s="3"/>
      <c r="AU125" s="4">
        <v>45972</v>
      </c>
      <c r="AV125" s="4">
        <f>DATE(YEAR(AU125)+2,MONTH(AU125),DAY(AU125))</f>
        <v>46702</v>
      </c>
      <c r="AW125" s="8">
        <f t="shared" ca="1" si="257"/>
        <v>568</v>
      </c>
      <c r="AX125" s="5" t="str">
        <f t="shared" ca="1" si="258"/>
        <v>VIGENTE</v>
      </c>
      <c r="AY125" s="3"/>
      <c r="AZ125" s="4">
        <v>46041</v>
      </c>
      <c r="BA125" s="4">
        <f>DATE(YEAR(AZ125)+2,MONTH(AZ125),DAY(AZ125))</f>
        <v>46771</v>
      </c>
      <c r="BB125" s="8">
        <f t="shared" ca="1" si="259"/>
        <v>637</v>
      </c>
      <c r="BC125" s="5" t="str">
        <f t="shared" ca="1" si="260"/>
        <v>VIGENTE</v>
      </c>
      <c r="BD125" s="3"/>
      <c r="BE125" s="4">
        <v>46067</v>
      </c>
      <c r="BF125" s="4">
        <f t="shared" si="456"/>
        <v>46797</v>
      </c>
      <c r="BG125" s="8">
        <f t="shared" ca="1" si="261"/>
        <v>663</v>
      </c>
      <c r="BH125" s="5" t="str">
        <f t="shared" ca="1" si="262"/>
        <v>VIGENTE</v>
      </c>
      <c r="BI125" s="3"/>
      <c r="BJ125" s="4">
        <v>46051</v>
      </c>
      <c r="BK125" s="4">
        <f>DATE(YEAR(BJ125)+2,MONTH(BJ125),DAY(BJ125))</f>
        <v>46781</v>
      </c>
      <c r="BL125" s="8">
        <f t="shared" ca="1" si="263"/>
        <v>647</v>
      </c>
      <c r="BM125" s="5" t="str">
        <f t="shared" ca="1" si="264"/>
        <v>VIGENTE</v>
      </c>
      <c r="BN125" s="3"/>
      <c r="BO125" s="4">
        <v>46069</v>
      </c>
      <c r="BP125" s="4">
        <f>DATE(YEAR(BO125)+2,MONTH(BO125),DAY(BO125))</f>
        <v>46799</v>
      </c>
      <c r="BQ125" s="8">
        <f t="shared" ca="1" si="265"/>
        <v>665</v>
      </c>
      <c r="BR125" s="5" t="str">
        <f t="shared" ca="1" si="266"/>
        <v>VIGENTE</v>
      </c>
      <c r="BS125" s="3"/>
      <c r="BT125" s="4">
        <v>45449</v>
      </c>
      <c r="BU125" s="4">
        <f>DATE(YEAR(BT125)+2,MONTH(BT125),DAY(BT125)-1)</f>
        <v>46178</v>
      </c>
      <c r="BV125" s="8">
        <f t="shared" ca="1" si="267"/>
        <v>44</v>
      </c>
      <c r="BW125" s="5" t="str">
        <f t="shared" ca="1" si="268"/>
        <v>POR VENCER</v>
      </c>
      <c r="BX125" s="3"/>
      <c r="BY125" s="4">
        <v>45974</v>
      </c>
      <c r="BZ125" s="4">
        <f>DATE(YEAR(BY125)+2,MONTH(BY125),DAY(BY125))</f>
        <v>46704</v>
      </c>
      <c r="CA125" s="8">
        <f t="shared" ca="1" si="269"/>
        <v>570</v>
      </c>
      <c r="CB125" s="5" t="str">
        <f t="shared" ca="1" si="270"/>
        <v>VIGENTE</v>
      </c>
      <c r="CC125" s="6" t="s">
        <v>73</v>
      </c>
      <c r="CD125" s="4">
        <v>45241</v>
      </c>
      <c r="CE125" s="4">
        <f t="shared" si="428"/>
        <v>46702</v>
      </c>
      <c r="CF125" s="8">
        <f t="shared" ca="1" si="429"/>
        <v>568</v>
      </c>
      <c r="CG125" s="5" t="str">
        <f t="shared" ca="1" si="430"/>
        <v>VIGENTE</v>
      </c>
      <c r="CH125" s="4"/>
      <c r="CI125" s="4">
        <v>45504</v>
      </c>
      <c r="CJ125" s="4">
        <f t="shared" si="446"/>
        <v>46233</v>
      </c>
      <c r="CK125" s="8">
        <f t="shared" ca="1" si="274"/>
        <v>99</v>
      </c>
      <c r="CL125" s="5" t="str">
        <f t="shared" ca="1" si="275"/>
        <v>VIGENTE</v>
      </c>
      <c r="CM125" s="3"/>
      <c r="CN125" s="4">
        <v>45517</v>
      </c>
      <c r="CO125" s="4">
        <f t="shared" si="447"/>
        <v>46246</v>
      </c>
      <c r="CP125" s="8">
        <f t="shared" ca="1" si="276"/>
        <v>112</v>
      </c>
      <c r="CQ125" s="5" t="str">
        <f t="shared" ca="1" si="277"/>
        <v>VIGENTE</v>
      </c>
      <c r="CR125" s="3"/>
      <c r="CS125" s="4">
        <v>45631</v>
      </c>
      <c r="CT125" s="4">
        <f t="shared" si="448"/>
        <v>46360</v>
      </c>
      <c r="CU125" s="8">
        <f t="shared" ca="1" si="278"/>
        <v>226</v>
      </c>
      <c r="CV125" s="5" t="str">
        <f t="shared" ca="1" si="279"/>
        <v>VIGENTE</v>
      </c>
      <c r="CW125" s="3"/>
      <c r="CX125" s="4">
        <v>45665</v>
      </c>
      <c r="CY125" s="4">
        <f>DATE(YEAR(CX125)+2,MONTH(CX125),DAY(CX125)-1)</f>
        <v>46394</v>
      </c>
      <c r="CZ125" s="8">
        <f t="shared" ca="1" si="280"/>
        <v>260</v>
      </c>
      <c r="DA125" s="5" t="str">
        <f t="shared" ca="1" si="281"/>
        <v>VIGENTE</v>
      </c>
      <c r="DB125" s="3"/>
      <c r="DC125" s="4">
        <v>45689</v>
      </c>
      <c r="DD125" s="4">
        <f t="shared" si="449"/>
        <v>46418</v>
      </c>
      <c r="DE125" s="8">
        <f t="shared" ca="1" si="282"/>
        <v>284</v>
      </c>
      <c r="DF125" s="5" t="str">
        <f t="shared" ca="1" si="283"/>
        <v>VIGENTE</v>
      </c>
      <c r="DG125" s="3"/>
      <c r="DH125" s="4">
        <v>45734</v>
      </c>
      <c r="DI125" s="4">
        <f>DATE(YEAR(DH125)+2,MONTH(DH125),DAY(DH125)-1)</f>
        <v>46463</v>
      </c>
      <c r="DJ125" s="8">
        <f t="shared" ca="1" si="284"/>
        <v>329</v>
      </c>
      <c r="DK125" s="5" t="str">
        <f t="shared" ca="1" si="285"/>
        <v>VIGENTE</v>
      </c>
      <c r="DL125" s="3"/>
      <c r="DM125" s="4">
        <v>46007</v>
      </c>
      <c r="DN125" s="4">
        <f>DATE(YEAR(DM125)+2,MONTH(DM125),DAY(DM125))</f>
        <v>46737</v>
      </c>
      <c r="DO125" s="8">
        <f t="shared" ca="1" si="286"/>
        <v>603</v>
      </c>
      <c r="DP125" s="5" t="str">
        <f t="shared" ca="1" si="287"/>
        <v>VIGENTE</v>
      </c>
      <c r="DQ125" s="3"/>
      <c r="DR125" s="4">
        <v>46053</v>
      </c>
      <c r="DS125" s="4">
        <f>DATE(YEAR(DR125)+2,MONTH(DR125),DAY(DR125))</f>
        <v>46783</v>
      </c>
      <c r="DT125" s="8">
        <f t="shared" ca="1" si="288"/>
        <v>649</v>
      </c>
      <c r="DU125" s="5" t="str">
        <f t="shared" ca="1" si="289"/>
        <v>VIGENTE</v>
      </c>
      <c r="DV125" s="3"/>
      <c r="DW125" s="4">
        <v>45709</v>
      </c>
      <c r="DX125" s="4">
        <f t="shared" si="450"/>
        <v>46438</v>
      </c>
      <c r="DY125" s="8">
        <f t="shared" ca="1" si="290"/>
        <v>304</v>
      </c>
      <c r="DZ125" s="5" t="str">
        <f t="shared" ca="1" si="291"/>
        <v>VIGENTE</v>
      </c>
      <c r="EA125" s="3"/>
      <c r="EB125" s="4">
        <v>45642</v>
      </c>
      <c r="EC125" s="4">
        <f t="shared" si="451"/>
        <v>46371</v>
      </c>
      <c r="ED125" s="8">
        <f t="shared" ca="1" si="292"/>
        <v>237</v>
      </c>
      <c r="EE125" s="5" t="str">
        <f t="shared" ca="1" si="293"/>
        <v>VIGENTE</v>
      </c>
      <c r="EF125" s="3"/>
      <c r="EG125" s="4">
        <v>45812</v>
      </c>
      <c r="EH125" s="4">
        <f t="shared" si="364"/>
        <v>46177</v>
      </c>
      <c r="EI125" s="8">
        <f t="shared" ca="1" si="294"/>
        <v>43</v>
      </c>
      <c r="EJ125" s="5" t="str">
        <f t="shared" ca="1" si="295"/>
        <v>POR VENCER</v>
      </c>
      <c r="EK125" s="3"/>
      <c r="EL125" s="4">
        <v>45636</v>
      </c>
      <c r="EM125" s="4">
        <f t="shared" si="452"/>
        <v>46365</v>
      </c>
      <c r="EN125" s="8">
        <f t="shared" ca="1" si="296"/>
        <v>231</v>
      </c>
      <c r="EO125" s="5" t="str">
        <f t="shared" ca="1" si="297"/>
        <v>VIGENTE</v>
      </c>
      <c r="EP125" s="3"/>
      <c r="EQ125" s="4">
        <v>46042</v>
      </c>
      <c r="ER125" s="4">
        <f>DATE(YEAR(EQ125)+2,MONTH(EQ125),DAY(EQ125))</f>
        <v>46772</v>
      </c>
      <c r="ES125" s="8">
        <f t="shared" ca="1" si="298"/>
        <v>638</v>
      </c>
      <c r="ET125" s="5" t="str">
        <f t="shared" ca="1" si="299"/>
        <v>VIGENTE</v>
      </c>
      <c r="EU125" s="3"/>
      <c r="EV125" s="4">
        <v>45973</v>
      </c>
      <c r="EW125" s="4">
        <f>DATE(YEAR(EV125)+2,MONTH(EV125),DAY(EV125))</f>
        <v>46703</v>
      </c>
      <c r="EX125" s="8">
        <f t="shared" ca="1" si="300"/>
        <v>569</v>
      </c>
      <c r="EY125" s="5" t="str">
        <f t="shared" ca="1" si="301"/>
        <v>VIGENTE</v>
      </c>
      <c r="EZ125" s="3"/>
      <c r="FA125" s="4">
        <v>45931</v>
      </c>
      <c r="FB125" s="4">
        <f>DATE(YEAR(FA125)+2,MONTH(FA125),DAY(FA125))</f>
        <v>46661</v>
      </c>
      <c r="FC125" s="8">
        <f t="shared" ca="1" si="302"/>
        <v>527</v>
      </c>
      <c r="FD125" s="5" t="str">
        <f t="shared" ca="1" si="303"/>
        <v>VIGENTE</v>
      </c>
      <c r="FE125" s="3"/>
      <c r="FF125" s="4">
        <v>45969</v>
      </c>
      <c r="FG125" s="4">
        <f>DATE(YEAR(FF125)+2,MONTH(FF125),DAY(FF125))</f>
        <v>46699</v>
      </c>
      <c r="FH125" s="8">
        <f t="shared" ca="1" si="304"/>
        <v>565</v>
      </c>
      <c r="FI125" s="5" t="str">
        <f t="shared" ca="1" si="305"/>
        <v>VIGENTE</v>
      </c>
      <c r="FJ125" s="3"/>
      <c r="FK125" s="4">
        <v>45686</v>
      </c>
      <c r="FL125" s="4">
        <f t="shared" si="453"/>
        <v>46415</v>
      </c>
      <c r="FM125" s="8">
        <f t="shared" ca="1" si="306"/>
        <v>281</v>
      </c>
      <c r="FN125" s="5" t="str">
        <f t="shared" ca="1" si="307"/>
        <v>VIGENTE</v>
      </c>
      <c r="FO125" s="3"/>
      <c r="FP125" s="4">
        <v>45466</v>
      </c>
      <c r="FQ125" s="4">
        <f t="shared" si="454"/>
        <v>46195</v>
      </c>
      <c r="FR125" s="8">
        <f t="shared" ca="1" si="308"/>
        <v>61</v>
      </c>
      <c r="FS125" s="5" t="str">
        <f t="shared" ca="1" si="309"/>
        <v>POR VENCER</v>
      </c>
      <c r="FT125" s="3"/>
      <c r="FU125" s="4">
        <v>45574</v>
      </c>
      <c r="FV125" s="4">
        <f>DATE(YEAR(FU125)+2,MONTH(FU125),DAY(FU125)-1)</f>
        <v>46303</v>
      </c>
      <c r="FW125" s="8">
        <f t="shared" ca="1" si="310"/>
        <v>169</v>
      </c>
      <c r="FX125" s="5" t="str">
        <f t="shared" ca="1" si="311"/>
        <v>VIGENTE</v>
      </c>
      <c r="FY125" s="3"/>
      <c r="FZ125" s="4">
        <v>46030</v>
      </c>
      <c r="GA125" s="4">
        <f>DATE(YEAR(FZ125)+2,MONTH(FZ125),DAY(FZ125))</f>
        <v>46760</v>
      </c>
      <c r="GB125" s="8">
        <f t="shared" ca="1" si="312"/>
        <v>626</v>
      </c>
      <c r="GC125" s="5" t="str">
        <f t="shared" ca="1" si="313"/>
        <v>VIGENTE</v>
      </c>
      <c r="GD125" s="3"/>
      <c r="GE125" s="4">
        <v>45672</v>
      </c>
      <c r="GF125" s="4">
        <f t="shared" si="455"/>
        <v>46401</v>
      </c>
      <c r="GG125" s="8">
        <f t="shared" ca="1" si="314"/>
        <v>267</v>
      </c>
      <c r="GH125" s="5" t="str">
        <f t="shared" ca="1" si="315"/>
        <v>VIGENTE</v>
      </c>
      <c r="GI125" s="3"/>
      <c r="GJ125" s="4">
        <v>45945</v>
      </c>
      <c r="GK125" s="4">
        <f>DATE(YEAR(GJ125)+2,MONTH(GJ125),DAY(GJ125))</f>
        <v>46675</v>
      </c>
      <c r="GL125" s="8">
        <f t="shared" ca="1" si="316"/>
        <v>541</v>
      </c>
      <c r="GM125" s="5" t="str">
        <f t="shared" ca="1" si="317"/>
        <v>VIGENTE</v>
      </c>
      <c r="GN125" s="4"/>
      <c r="GO125" s="4">
        <v>45265</v>
      </c>
      <c r="GP125" s="4">
        <f t="shared" si="318"/>
        <v>47092</v>
      </c>
      <c r="GQ125" s="8">
        <f t="shared" ca="1" si="418"/>
        <v>958</v>
      </c>
      <c r="GR125" s="5" t="str">
        <f t="shared" ca="1" si="431"/>
        <v>VIGENTE</v>
      </c>
      <c r="GS125" s="3"/>
      <c r="GT125" s="4">
        <v>45245</v>
      </c>
      <c r="GU125" s="4">
        <f t="shared" si="320"/>
        <v>47072</v>
      </c>
      <c r="GV125" s="8">
        <f t="shared" ca="1" si="321"/>
        <v>938</v>
      </c>
      <c r="GW125" s="5" t="str">
        <f t="shared" ca="1" si="438"/>
        <v>VIGENTE</v>
      </c>
      <c r="GX125" s="3"/>
      <c r="GY125" s="4">
        <v>45251</v>
      </c>
      <c r="GZ125" s="4">
        <f t="shared" si="323"/>
        <v>47078</v>
      </c>
      <c r="HA125" s="8">
        <f t="shared" ca="1" si="324"/>
        <v>944</v>
      </c>
      <c r="HB125" s="5" t="str">
        <f t="shared" ca="1" si="433"/>
        <v>VIGENTE</v>
      </c>
      <c r="HC125" s="6"/>
      <c r="HD125" s="4">
        <v>44865</v>
      </c>
      <c r="HE125" s="4">
        <f t="shared" si="440"/>
        <v>46691</v>
      </c>
      <c r="HF125" s="8">
        <f t="shared" ca="1" si="441"/>
        <v>557</v>
      </c>
      <c r="HG125" s="5" t="str">
        <f t="shared" ca="1" si="439"/>
        <v>VIGENTE</v>
      </c>
      <c r="HH125" s="3"/>
      <c r="HI125" s="4">
        <v>45341</v>
      </c>
      <c r="HJ125" s="4">
        <f>DATE(YEAR(HI125)+5,MONTH(HI125),DAY(HI125))</f>
        <v>47168</v>
      </c>
      <c r="HK125" s="8">
        <f ca="1">HJ125-TODAY()</f>
        <v>1034</v>
      </c>
      <c r="HL125" s="5" t="str">
        <f t="shared" ref="HL125:HL187" ca="1" si="457">IF(HK125&gt;=61,"VIGENTE",IF(HK125&gt;=1,"POR VENCER",IF(HK125&lt;=-1,"VENCIDA",IF(HI125=0,"NO APLICA"))))</f>
        <v>VIGENTE</v>
      </c>
      <c r="HM125" s="2"/>
      <c r="HN125" s="3">
        <v>45374</v>
      </c>
      <c r="HO125" s="4">
        <f>DATE(YEAR(HN125)+5,MONTH(HN125),DAY(HN125))</f>
        <v>47200</v>
      </c>
      <c r="HP125" s="8">
        <f ca="1">HO125-TODAY()</f>
        <v>1066</v>
      </c>
      <c r="HQ125" s="5" t="str">
        <f t="shared" ca="1" si="326"/>
        <v>VIGENTE</v>
      </c>
      <c r="HR125" s="3"/>
      <c r="HS125" s="4">
        <v>45274</v>
      </c>
      <c r="HT125" s="4">
        <f>DATE(YEAR(HS125)+5,MONTH(HS125),DAY(HS125))</f>
        <v>47101</v>
      </c>
      <c r="HU125" s="8">
        <f ca="1">HT125-TODAY()</f>
        <v>967</v>
      </c>
      <c r="HV125" s="5" t="str">
        <f t="shared" ca="1" si="327"/>
        <v>VIGENTE</v>
      </c>
      <c r="HW125" s="3"/>
      <c r="HX125" s="4">
        <v>45223</v>
      </c>
      <c r="HY125" s="4">
        <f>DATE(YEAR(HX125)+5,MONTH(HX125),DAY(HX125))</f>
        <v>47050</v>
      </c>
      <c r="HZ125" s="8">
        <f ca="1">HY125-TODAY()</f>
        <v>916</v>
      </c>
      <c r="IA125" s="5" t="str">
        <f t="shared" ca="1" si="328"/>
        <v>VIGENTE</v>
      </c>
      <c r="IB125" s="3"/>
      <c r="IC125" s="4">
        <v>45444</v>
      </c>
      <c r="ID125" s="4">
        <f>DATE(YEAR(IC125)+5,MONTH(IC125),DAY(IC125))</f>
        <v>47270</v>
      </c>
      <c r="IE125" s="8">
        <f ca="1">ID125-TODAY()</f>
        <v>1136</v>
      </c>
      <c r="IF125" s="5" t="str">
        <f t="shared" ca="1" si="329"/>
        <v>VIGENTE</v>
      </c>
      <c r="IG125" s="4"/>
      <c r="IH125" s="4">
        <v>45266</v>
      </c>
      <c r="II125" s="4">
        <f>DATE(YEAR(IH125)+5,MONTH(IH125),DAY(IH125))</f>
        <v>47093</v>
      </c>
      <c r="IJ125" s="8">
        <f ca="1">II125-TODAY()</f>
        <v>959</v>
      </c>
      <c r="IK125" s="5" t="str">
        <f t="shared" ca="1" si="330"/>
        <v>VIGENTE</v>
      </c>
      <c r="IL125" s="3"/>
      <c r="IM125" s="4">
        <v>45273</v>
      </c>
      <c r="IN125" s="4">
        <f>DATE(YEAR(IM125)+5,MONTH(IM125),DAY(IM125))</f>
        <v>47100</v>
      </c>
      <c r="IO125" s="8">
        <f ca="1">IN125-TODAY()</f>
        <v>966</v>
      </c>
      <c r="IP125" s="5" t="str">
        <f t="shared" ca="1" si="331"/>
        <v>VIGENTE</v>
      </c>
      <c r="IQ125" s="3"/>
      <c r="IR125" s="4">
        <v>45471</v>
      </c>
      <c r="IS125" s="4">
        <f>DATE(YEAR(IR125)+5,MONTH(IR125),DAY(IR125))</f>
        <v>47297</v>
      </c>
      <c r="IT125" s="8">
        <f ca="1">IS125-TODAY()</f>
        <v>1163</v>
      </c>
      <c r="IU125" s="5" t="str">
        <f t="shared" ca="1" si="332"/>
        <v>VIGENTE</v>
      </c>
      <c r="IV125" s="3"/>
      <c r="IW125" s="4">
        <v>45224</v>
      </c>
      <c r="IX125" s="4">
        <f>DATE(YEAR(IW125)+5,MONTH(IW125),DAY(IW125))</f>
        <v>47051</v>
      </c>
      <c r="IY125" s="8">
        <f ca="1">IX125-TODAY()</f>
        <v>917</v>
      </c>
      <c r="IZ125" s="5" t="str">
        <f t="shared" ca="1" si="333"/>
        <v>VIGENTE</v>
      </c>
      <c r="JA125" s="3"/>
      <c r="JB125" s="3"/>
      <c r="JC125" s="4"/>
      <c r="JD125" s="8"/>
      <c r="JE125" s="5" t="str">
        <f t="shared" si="334"/>
        <v>NO APLICA</v>
      </c>
      <c r="JF125" s="6"/>
      <c r="JG125" s="6"/>
      <c r="JH125" s="6"/>
      <c r="JI125" s="6"/>
      <c r="JJ125" s="5" t="str">
        <f t="shared" si="335"/>
        <v>NO APLICA</v>
      </c>
      <c r="JK125" s="6"/>
      <c r="JL125" s="6"/>
      <c r="JM125" s="6"/>
      <c r="JN125" s="6"/>
      <c r="JO125" s="5" t="str">
        <f t="shared" si="336"/>
        <v>NO APLICA</v>
      </c>
      <c r="JP125" s="6"/>
      <c r="JQ125" s="6"/>
      <c r="JR125" s="6"/>
      <c r="JS125" s="6"/>
      <c r="JT125" s="5" t="str">
        <f t="shared" si="337"/>
        <v>NO APLICA</v>
      </c>
      <c r="JU125" s="5"/>
      <c r="JV125" s="5"/>
      <c r="JW125" s="5"/>
      <c r="JX125" s="5"/>
      <c r="JY125" s="5" t="str">
        <f t="shared" si="338"/>
        <v>NO APLICA</v>
      </c>
      <c r="JZ125" s="5"/>
      <c r="KA125" s="2"/>
      <c r="KB125" s="4"/>
      <c r="KC125" s="8"/>
      <c r="KD125" s="5" t="str">
        <f t="shared" si="339"/>
        <v>NO APLICA</v>
      </c>
      <c r="KE125" s="5"/>
      <c r="KF125" s="2"/>
      <c r="KG125" s="4"/>
      <c r="KH125" s="8"/>
      <c r="KI125" s="5" t="str">
        <f t="shared" si="365"/>
        <v>NO APLICA</v>
      </c>
      <c r="KJ125" s="5"/>
      <c r="KK125" s="2"/>
      <c r="KL125" s="4"/>
      <c r="KM125" s="8"/>
      <c r="KN125" s="5" t="str">
        <f t="shared" si="340"/>
        <v>NO APLICA</v>
      </c>
      <c r="KO125" s="5"/>
      <c r="KP125" s="2"/>
      <c r="KQ125" s="4"/>
      <c r="KR125" s="8"/>
      <c r="KS125" s="5" t="str">
        <f t="shared" si="366"/>
        <v>NO APLICA</v>
      </c>
      <c r="KT125" s="3"/>
      <c r="KU125" s="4">
        <v>44649</v>
      </c>
      <c r="KV125" s="4">
        <f>DATE(YEAR(KU125)+5,MONTH(KU125),DAY(KU125))</f>
        <v>46475</v>
      </c>
      <c r="KW125" s="8">
        <f ca="1">KV125-TODAY()</f>
        <v>341</v>
      </c>
      <c r="KX125" s="5" t="str">
        <f t="shared" ca="1" si="375"/>
        <v>VIGENTE</v>
      </c>
      <c r="KY125" s="5"/>
      <c r="KZ125" s="6"/>
      <c r="LA125" s="4"/>
      <c r="LB125" s="8"/>
      <c r="LC125" s="5" t="str">
        <f t="shared" si="367"/>
        <v>NO APLICA</v>
      </c>
      <c r="LD125" s="4"/>
      <c r="LE125" s="4"/>
      <c r="LF125" s="4"/>
      <c r="LG125" s="8"/>
      <c r="LH125" s="5" t="str">
        <f t="shared" si="341"/>
        <v>NO APLICA</v>
      </c>
      <c r="LI125" s="5"/>
      <c r="LJ125" s="5"/>
      <c r="LK125" s="4"/>
      <c r="LL125" s="8"/>
      <c r="LM125" s="5" t="str">
        <f t="shared" si="376"/>
        <v>NO APLICA</v>
      </c>
      <c r="LN125" s="2"/>
      <c r="LO125" s="6"/>
      <c r="LP125" s="4"/>
      <c r="LQ125" s="8"/>
      <c r="LR125" s="5" t="str">
        <f t="shared" si="368"/>
        <v>NO APLICA</v>
      </c>
      <c r="LS125" s="6"/>
      <c r="LT125" s="6"/>
      <c r="LU125" s="4"/>
      <c r="LV125" s="8"/>
      <c r="LW125" s="5" t="str">
        <f t="shared" si="369"/>
        <v>NO APLICA</v>
      </c>
      <c r="LX125" s="6"/>
      <c r="LY125" s="6"/>
      <c r="LZ125" s="4"/>
      <c r="MA125" s="8"/>
      <c r="MB125" s="5" t="str">
        <f t="shared" si="370"/>
        <v>NO APLICA</v>
      </c>
      <c r="MC125" s="2"/>
      <c r="MD125" s="2"/>
      <c r="ME125" s="4"/>
      <c r="MF125" s="8"/>
      <c r="MG125" s="5" t="str">
        <f t="shared" si="342"/>
        <v>NO APLICA</v>
      </c>
      <c r="MH125" s="2"/>
      <c r="MI125" s="2"/>
      <c r="MJ125" s="4"/>
      <c r="MK125" s="8"/>
      <c r="ML125" s="5" t="str">
        <f t="shared" si="343"/>
        <v>NO APLICA</v>
      </c>
      <c r="MM125" s="5"/>
      <c r="MN125" s="2"/>
      <c r="MO125" s="4"/>
      <c r="MP125" s="8"/>
      <c r="MQ125" s="5" t="str">
        <f t="shared" si="344"/>
        <v>NO APLICA</v>
      </c>
      <c r="MR125" s="5"/>
      <c r="MS125" s="2"/>
      <c r="MT125" s="4"/>
      <c r="MU125" s="2"/>
      <c r="MV125" s="5" t="str">
        <f t="shared" si="345"/>
        <v>NO APLICA</v>
      </c>
      <c r="MW125" s="2"/>
      <c r="MX125" s="6"/>
      <c r="MY125" s="4"/>
      <c r="MZ125" s="8"/>
      <c r="NA125" s="5" t="str">
        <f t="shared" si="346"/>
        <v>NO APLICA</v>
      </c>
      <c r="NB125" s="2"/>
      <c r="NC125" s="6"/>
      <c r="ND125" s="4"/>
      <c r="NE125" s="8"/>
      <c r="NF125" s="5" t="str">
        <f t="shared" si="347"/>
        <v>NO APLICA</v>
      </c>
      <c r="NG125" s="2"/>
      <c r="NH125" s="6"/>
      <c r="NI125" s="4"/>
      <c r="NJ125" s="8"/>
      <c r="NK125" s="5" t="str">
        <f t="shared" si="348"/>
        <v>NO APLICA</v>
      </c>
      <c r="NL125" s="2"/>
      <c r="NM125" s="2"/>
      <c r="NN125" s="4"/>
      <c r="NO125" s="2"/>
      <c r="NP125" s="5" t="str">
        <f t="shared" si="349"/>
        <v>NO APLICA</v>
      </c>
      <c r="NQ125" s="2"/>
      <c r="NR125" s="2"/>
      <c r="NS125" s="4"/>
      <c r="NT125" s="2"/>
      <c r="NU125" s="5" t="str">
        <f t="shared" si="350"/>
        <v>NO APLICA</v>
      </c>
      <c r="NV125" s="6"/>
      <c r="NW125" s="6"/>
      <c r="NX125" s="4"/>
      <c r="NY125" s="8"/>
      <c r="NZ125" s="5" t="str">
        <f t="shared" si="351"/>
        <v>NO APLICA</v>
      </c>
      <c r="OA125" s="6"/>
      <c r="OB125" s="6"/>
      <c r="OC125" s="6"/>
      <c r="OD125" s="6"/>
      <c r="OE125" s="5" t="str">
        <f t="shared" si="352"/>
        <v>NO APLICA</v>
      </c>
      <c r="OF125" s="2"/>
      <c r="OG125" s="2"/>
      <c r="OH125" s="4"/>
      <c r="OI125" s="8"/>
      <c r="OJ125" s="5" t="str">
        <f t="shared" si="353"/>
        <v>NO APLICA</v>
      </c>
      <c r="OK125" s="6"/>
      <c r="OL125" s="6"/>
      <c r="OM125" s="6"/>
      <c r="ON125" s="6"/>
      <c r="OO125" s="5" t="str">
        <f t="shared" si="354"/>
        <v>NO APLICA</v>
      </c>
      <c r="OP125" s="6"/>
      <c r="OQ125" s="6"/>
      <c r="OR125" s="6"/>
      <c r="OS125" s="6"/>
      <c r="OT125" s="5" t="str">
        <f t="shared" si="355"/>
        <v>NO APLICA</v>
      </c>
      <c r="OU125" s="6"/>
      <c r="OV125" s="6"/>
      <c r="OW125" s="6"/>
      <c r="OX125" s="6"/>
      <c r="OY125" s="5" t="str">
        <f t="shared" si="356"/>
        <v>NO APLICA</v>
      </c>
      <c r="OZ125" s="6"/>
      <c r="PA125" s="6"/>
      <c r="PB125" s="6"/>
      <c r="PC125" s="6"/>
      <c r="PD125" s="5" t="str">
        <f t="shared" si="357"/>
        <v>NO APLICA</v>
      </c>
      <c r="PE125" s="6"/>
      <c r="PF125" s="6"/>
      <c r="PG125" s="6"/>
      <c r="PH125" s="6"/>
      <c r="PI125" s="5" t="str">
        <f t="shared" si="358"/>
        <v>NO APLICA</v>
      </c>
      <c r="PJ125" s="5"/>
      <c r="PK125" s="6"/>
      <c r="PL125" s="4"/>
      <c r="PM125" s="8"/>
      <c r="PN125" s="5" t="str">
        <f t="shared" si="359"/>
        <v>NO APLICA</v>
      </c>
      <c r="PO125" s="6"/>
      <c r="PP125" s="6"/>
      <c r="PQ125" s="6"/>
      <c r="PR125" s="6"/>
      <c r="PS125" s="5" t="str">
        <f t="shared" si="360"/>
        <v>NO APLICA</v>
      </c>
      <c r="PT125" s="5"/>
      <c r="PU125" s="6"/>
      <c r="PV125" s="6"/>
      <c r="PW125" s="6"/>
      <c r="PX125" s="5" t="str">
        <f t="shared" si="361"/>
        <v>NO APLICA</v>
      </c>
    </row>
    <row r="126" spans="1:440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424</v>
      </c>
      <c r="V126" s="4">
        <v>44790</v>
      </c>
      <c r="W126" s="4">
        <f t="shared" si="421"/>
        <v>46616</v>
      </c>
      <c r="X126" s="8">
        <f t="shared" ca="1" si="422"/>
        <v>482</v>
      </c>
      <c r="Y126" s="5" t="str">
        <f t="shared" ca="1" si="423"/>
        <v>VIGENTE</v>
      </c>
      <c r="Z126" s="2" t="s">
        <v>425</v>
      </c>
      <c r="AA126" s="4">
        <v>44826</v>
      </c>
      <c r="AB126" s="4">
        <f t="shared" si="442"/>
        <v>46652</v>
      </c>
      <c r="AC126" s="8">
        <f t="shared" ca="1" si="443"/>
        <v>518</v>
      </c>
      <c r="AD126" s="5" t="str">
        <f t="shared" ca="1" si="444"/>
        <v>VIGENTE</v>
      </c>
      <c r="AE126" s="3"/>
      <c r="AF126" s="3">
        <v>45594</v>
      </c>
      <c r="AG126" s="4">
        <f t="shared" si="445"/>
        <v>46323</v>
      </c>
      <c r="AH126" s="8">
        <f t="shared" ca="1" si="252"/>
        <v>189</v>
      </c>
      <c r="AI126" s="5" t="str">
        <f t="shared" ca="1" si="419"/>
        <v>VIGENTE</v>
      </c>
      <c r="AJ126" s="4"/>
      <c r="AK126" s="4">
        <v>45926</v>
      </c>
      <c r="AL126" s="4">
        <f>DATE(YEAR(AK126)+2,MONTH(AK126),DAY(AK126))</f>
        <v>46656</v>
      </c>
      <c r="AM126" s="8">
        <f t="shared" ca="1" si="253"/>
        <v>522</v>
      </c>
      <c r="AN126" s="5" t="str">
        <f t="shared" ca="1" si="254"/>
        <v>VIGENTE</v>
      </c>
      <c r="AO126" s="3"/>
      <c r="AP126" s="4">
        <v>45967</v>
      </c>
      <c r="AQ126" s="4">
        <f>DATE(YEAR(AP126)+2,MONTH(AP126),DAY(AP126))</f>
        <v>46697</v>
      </c>
      <c r="AR126" s="8">
        <f t="shared" ca="1" si="255"/>
        <v>563</v>
      </c>
      <c r="AS126" s="5" t="str">
        <f t="shared" ca="1" si="256"/>
        <v>VIGENTE</v>
      </c>
      <c r="AT126" s="3"/>
      <c r="AU126" s="4">
        <v>45952</v>
      </c>
      <c r="AV126" s="4">
        <f>DATE(YEAR(AU126)+2,MONTH(AU126),DAY(AU126))</f>
        <v>46682</v>
      </c>
      <c r="AW126" s="8">
        <f t="shared" ca="1" si="257"/>
        <v>548</v>
      </c>
      <c r="AX126" s="5" t="str">
        <f t="shared" ca="1" si="258"/>
        <v>VIGENTE</v>
      </c>
      <c r="AY126" s="3"/>
      <c r="AZ126" s="4">
        <v>45603</v>
      </c>
      <c r="BA126" s="4">
        <f>DATE(YEAR(AZ126)+2,MONTH(AZ126),DAY(AZ126)-1)</f>
        <v>46332</v>
      </c>
      <c r="BB126" s="8">
        <f t="shared" ca="1" si="259"/>
        <v>198</v>
      </c>
      <c r="BC126" s="5" t="str">
        <f t="shared" ca="1" si="260"/>
        <v>VIGENTE</v>
      </c>
      <c r="BD126" s="3"/>
      <c r="BE126" s="4">
        <v>45968</v>
      </c>
      <c r="BF126" s="4">
        <f t="shared" si="456"/>
        <v>46698</v>
      </c>
      <c r="BG126" s="8">
        <f t="shared" ca="1" si="261"/>
        <v>564</v>
      </c>
      <c r="BH126" s="5" t="str">
        <f t="shared" ca="1" si="262"/>
        <v>VIGENTE</v>
      </c>
      <c r="BI126" s="3"/>
      <c r="BJ126" s="4">
        <v>46056</v>
      </c>
      <c r="BK126" s="4">
        <f>DATE(YEAR(BJ126)+2,MONTH(BJ126),DAY(BJ126))</f>
        <v>46786</v>
      </c>
      <c r="BL126" s="8">
        <f t="shared" ca="1" si="263"/>
        <v>652</v>
      </c>
      <c r="BM126" s="5" t="str">
        <f t="shared" ca="1" si="264"/>
        <v>VIGENTE</v>
      </c>
      <c r="BN126" s="3"/>
      <c r="BO126" s="4">
        <v>45447</v>
      </c>
      <c r="BP126" s="4">
        <f>DATE(YEAR(BO126)+2,MONTH(BO126),DAY(BO126)-1)</f>
        <v>46176</v>
      </c>
      <c r="BQ126" s="8">
        <f t="shared" ca="1" si="265"/>
        <v>42</v>
      </c>
      <c r="BR126" s="5" t="str">
        <f t="shared" ca="1" si="266"/>
        <v>POR VENCER</v>
      </c>
      <c r="BS126" s="3"/>
      <c r="BT126" s="4">
        <v>45455</v>
      </c>
      <c r="BU126" s="4">
        <f>DATE(YEAR(BT126)+2,MONTH(BT126),DAY(BT126)-1)</f>
        <v>46184</v>
      </c>
      <c r="BV126" s="8">
        <f t="shared" ca="1" si="267"/>
        <v>50</v>
      </c>
      <c r="BW126" s="5" t="str">
        <f t="shared" ca="1" si="268"/>
        <v>POR VENCER</v>
      </c>
      <c r="BX126" s="3"/>
      <c r="BY126" s="4">
        <v>45480</v>
      </c>
      <c r="BZ126" s="4">
        <f>DATE(YEAR(BY126)+2,MONTH(BY126),DAY(BY126)-1)</f>
        <v>46209</v>
      </c>
      <c r="CA126" s="8">
        <f t="shared" ca="1" si="269"/>
        <v>75</v>
      </c>
      <c r="CB126" s="5" t="str">
        <f t="shared" ca="1" si="270"/>
        <v>POR VENCER</v>
      </c>
      <c r="CC126" s="6" t="s">
        <v>73</v>
      </c>
      <c r="CD126" s="4">
        <v>45211</v>
      </c>
      <c r="CE126" s="4">
        <f t="shared" si="428"/>
        <v>46672</v>
      </c>
      <c r="CF126" s="8">
        <f t="shared" ca="1" si="429"/>
        <v>538</v>
      </c>
      <c r="CG126" s="5" t="str">
        <f t="shared" ca="1" si="430"/>
        <v>VIGENTE</v>
      </c>
      <c r="CH126" s="4"/>
      <c r="CI126" s="4">
        <v>45504</v>
      </c>
      <c r="CJ126" s="4">
        <f t="shared" si="446"/>
        <v>46233</v>
      </c>
      <c r="CK126" s="8">
        <f t="shared" ca="1" si="274"/>
        <v>99</v>
      </c>
      <c r="CL126" s="5" t="str">
        <f t="shared" ca="1" si="275"/>
        <v>VIGENTE</v>
      </c>
      <c r="CM126" s="3"/>
      <c r="CN126" s="4">
        <v>45513</v>
      </c>
      <c r="CO126" s="4">
        <f t="shared" si="447"/>
        <v>46242</v>
      </c>
      <c r="CP126" s="8">
        <f t="shared" ca="1" si="276"/>
        <v>108</v>
      </c>
      <c r="CQ126" s="5" t="str">
        <f t="shared" ca="1" si="277"/>
        <v>VIGENTE</v>
      </c>
      <c r="CR126" s="3"/>
      <c r="CS126" s="4">
        <v>45645</v>
      </c>
      <c r="CT126" s="4">
        <f t="shared" si="448"/>
        <v>46374</v>
      </c>
      <c r="CU126" s="8">
        <f t="shared" ca="1" si="278"/>
        <v>240</v>
      </c>
      <c r="CV126" s="5" t="str">
        <f t="shared" ca="1" si="279"/>
        <v>VIGENTE</v>
      </c>
      <c r="CW126" s="3"/>
      <c r="CX126" s="4">
        <v>45661</v>
      </c>
      <c r="CY126" s="4">
        <f>DATE(YEAR(CX126)+2,MONTH(CX126),DAY(CX126)-1)</f>
        <v>46390</v>
      </c>
      <c r="CZ126" s="8">
        <f t="shared" ca="1" si="280"/>
        <v>256</v>
      </c>
      <c r="DA126" s="5" t="str">
        <f t="shared" ca="1" si="281"/>
        <v>VIGENTE</v>
      </c>
      <c r="DB126" s="3"/>
      <c r="DC126" s="4">
        <v>45689</v>
      </c>
      <c r="DD126" s="4">
        <f t="shared" si="449"/>
        <v>46418</v>
      </c>
      <c r="DE126" s="8">
        <f t="shared" ca="1" si="282"/>
        <v>284</v>
      </c>
      <c r="DF126" s="5" t="str">
        <f t="shared" ca="1" si="283"/>
        <v>VIGENTE</v>
      </c>
      <c r="DG126" s="3"/>
      <c r="DH126" s="4">
        <v>45696</v>
      </c>
      <c r="DI126" s="4">
        <f>DATE(YEAR(DH126)+2,MONTH(DH126),DAY(DH126)-1)</f>
        <v>46425</v>
      </c>
      <c r="DJ126" s="8">
        <f t="shared" ca="1" si="284"/>
        <v>291</v>
      </c>
      <c r="DK126" s="5" t="str">
        <f t="shared" ca="1" si="285"/>
        <v>VIGENTE</v>
      </c>
      <c r="DL126" s="3"/>
      <c r="DM126" s="4">
        <v>45520</v>
      </c>
      <c r="DN126" s="4">
        <f>DATE(YEAR(DM126)+2,MONTH(DM126),DAY(DM126)-1)</f>
        <v>46249</v>
      </c>
      <c r="DO126" s="8">
        <f t="shared" ca="1" si="286"/>
        <v>115</v>
      </c>
      <c r="DP126" s="5" t="str">
        <f t="shared" ca="1" si="287"/>
        <v>VIGENTE</v>
      </c>
      <c r="DQ126" s="3"/>
      <c r="DR126" s="4">
        <v>45685</v>
      </c>
      <c r="DS126" s="4">
        <f>DATE(YEAR(DR126)+2,MONTH(DR126),DAY(DR126)-1)</f>
        <v>46414</v>
      </c>
      <c r="DT126" s="8">
        <f t="shared" ca="1" si="288"/>
        <v>280</v>
      </c>
      <c r="DU126" s="5" t="str">
        <f t="shared" ca="1" si="289"/>
        <v>VIGENTE</v>
      </c>
      <c r="DV126" s="3"/>
      <c r="DW126" s="4">
        <v>45663</v>
      </c>
      <c r="DX126" s="4">
        <f t="shared" si="450"/>
        <v>46392</v>
      </c>
      <c r="DY126" s="8">
        <f t="shared" ca="1" si="290"/>
        <v>258</v>
      </c>
      <c r="DZ126" s="5" t="str">
        <f t="shared" ca="1" si="291"/>
        <v>VIGENTE</v>
      </c>
      <c r="EA126" s="3"/>
      <c r="EB126" s="4">
        <v>45674</v>
      </c>
      <c r="EC126" s="4">
        <f t="shared" si="451"/>
        <v>46403</v>
      </c>
      <c r="ED126" s="8">
        <f t="shared" ca="1" si="292"/>
        <v>269</v>
      </c>
      <c r="EE126" s="5" t="str">
        <f t="shared" ca="1" si="293"/>
        <v>VIGENTE</v>
      </c>
      <c r="EF126" s="3"/>
      <c r="EG126" s="4">
        <v>45808</v>
      </c>
      <c r="EH126" s="4">
        <f t="shared" si="364"/>
        <v>46173</v>
      </c>
      <c r="EI126" s="8">
        <f t="shared" ca="1" si="294"/>
        <v>39</v>
      </c>
      <c r="EJ126" s="5" t="str">
        <f t="shared" ca="1" si="295"/>
        <v>POR VENCER</v>
      </c>
      <c r="EK126" s="3"/>
      <c r="EL126" s="4">
        <v>45660</v>
      </c>
      <c r="EM126" s="4">
        <f t="shared" si="452"/>
        <v>46389</v>
      </c>
      <c r="EN126" s="8">
        <f t="shared" ca="1" si="296"/>
        <v>255</v>
      </c>
      <c r="EO126" s="5" t="str">
        <f t="shared" ca="1" si="297"/>
        <v>VIGENTE</v>
      </c>
      <c r="EP126" s="2"/>
      <c r="EQ126" s="4">
        <v>45755</v>
      </c>
      <c r="ER126" s="4">
        <f>DATE(YEAR(EQ126)+2,MONTH(EQ126),DAY(EQ126)-1)</f>
        <v>46484</v>
      </c>
      <c r="ES126" s="8">
        <f t="shared" ca="1" si="298"/>
        <v>350</v>
      </c>
      <c r="ET126" s="5" t="str">
        <f t="shared" ca="1" si="299"/>
        <v>VIGENTE</v>
      </c>
      <c r="EU126" s="3"/>
      <c r="EV126" s="4">
        <v>45694</v>
      </c>
      <c r="EW126" s="4">
        <f>DATE(YEAR(EV126)+2,MONTH(EV126),DAY(EV126)-1)</f>
        <v>46423</v>
      </c>
      <c r="EX126" s="8">
        <f t="shared" ca="1" si="300"/>
        <v>289</v>
      </c>
      <c r="EY126" s="5" t="str">
        <f t="shared" ca="1" si="301"/>
        <v>VIGENTE</v>
      </c>
      <c r="EZ126" s="3"/>
      <c r="FA126" s="4">
        <v>45632</v>
      </c>
      <c r="FB126" s="4">
        <f>DATE(YEAR(FA126)+2,MONTH(FA126),DAY(FA126)-1)</f>
        <v>46361</v>
      </c>
      <c r="FC126" s="8">
        <f t="shared" ca="1" si="302"/>
        <v>227</v>
      </c>
      <c r="FD126" s="5" t="str">
        <f t="shared" ca="1" si="303"/>
        <v>VIGENTE</v>
      </c>
      <c r="FE126" s="3"/>
      <c r="FF126" s="4">
        <v>45668</v>
      </c>
      <c r="FG126" s="4">
        <f>DATE(YEAR(FF126)+2,MONTH(FF126),DAY(FF126)-1)</f>
        <v>46397</v>
      </c>
      <c r="FH126" s="8">
        <f t="shared" ca="1" si="304"/>
        <v>263</v>
      </c>
      <c r="FI126" s="5" t="str">
        <f t="shared" ca="1" si="305"/>
        <v>VIGENTE</v>
      </c>
      <c r="FJ126" s="3"/>
      <c r="FK126" s="4">
        <v>45576</v>
      </c>
      <c r="FL126" s="4">
        <f t="shared" si="453"/>
        <v>46305</v>
      </c>
      <c r="FM126" s="8">
        <f t="shared" ca="1" si="306"/>
        <v>171</v>
      </c>
      <c r="FN126" s="5" t="str">
        <f t="shared" ca="1" si="307"/>
        <v>VIGENTE</v>
      </c>
      <c r="FO126" s="3"/>
      <c r="FP126" s="4">
        <v>45664</v>
      </c>
      <c r="FQ126" s="4">
        <f t="shared" si="454"/>
        <v>46393</v>
      </c>
      <c r="FR126" s="8">
        <f t="shared" ca="1" si="308"/>
        <v>259</v>
      </c>
      <c r="FS126" s="5" t="str">
        <f t="shared" ca="1" si="309"/>
        <v>VIGENTE</v>
      </c>
      <c r="FT126" s="3"/>
      <c r="FU126" s="4">
        <v>45616</v>
      </c>
      <c r="FV126" s="4">
        <f>DATE(YEAR(FU126)+2,MONTH(FU126),DAY(FU126)-1)</f>
        <v>46345</v>
      </c>
      <c r="FW126" s="8">
        <f t="shared" ca="1" si="310"/>
        <v>211</v>
      </c>
      <c r="FX126" s="5" t="str">
        <f t="shared" ca="1" si="311"/>
        <v>VIGENTE</v>
      </c>
      <c r="FY126" s="3"/>
      <c r="FZ126" s="4">
        <v>45667</v>
      </c>
      <c r="GA126" s="4">
        <f>DATE(YEAR(FZ126)+2,MONTH(FZ126),DAY(FZ126)-1)</f>
        <v>46396</v>
      </c>
      <c r="GB126" s="8">
        <f t="shared" ca="1" si="312"/>
        <v>262</v>
      </c>
      <c r="GC126" s="5" t="str">
        <f t="shared" ca="1" si="313"/>
        <v>VIGENTE</v>
      </c>
      <c r="GD126" s="3"/>
      <c r="GE126" s="4">
        <v>45672</v>
      </c>
      <c r="GF126" s="4">
        <f t="shared" si="455"/>
        <v>46401</v>
      </c>
      <c r="GG126" s="8">
        <f t="shared" ca="1" si="314"/>
        <v>267</v>
      </c>
      <c r="GH126" s="5" t="str">
        <f t="shared" ca="1" si="315"/>
        <v>VIGENTE</v>
      </c>
      <c r="GI126" s="4"/>
      <c r="GJ126" s="4">
        <v>45945</v>
      </c>
      <c r="GK126" s="4">
        <f>DATE(YEAR(GJ126)+2,MONTH(GJ126),DAY(GJ126))</f>
        <v>46675</v>
      </c>
      <c r="GL126" s="8">
        <f t="shared" ca="1" si="316"/>
        <v>541</v>
      </c>
      <c r="GM126" s="5" t="str">
        <f t="shared" ca="1" si="317"/>
        <v>VIGENTE</v>
      </c>
      <c r="GN126" s="4"/>
      <c r="GO126" s="4">
        <v>45013</v>
      </c>
      <c r="GP126" s="4">
        <f t="shared" si="318"/>
        <v>46840</v>
      </c>
      <c r="GQ126" s="8">
        <f t="shared" ca="1" si="418"/>
        <v>706</v>
      </c>
      <c r="GR126" s="5" t="str">
        <f t="shared" ca="1" si="431"/>
        <v>VIGENTE</v>
      </c>
      <c r="GS126" s="3"/>
      <c r="GT126" s="4">
        <v>45478</v>
      </c>
      <c r="GU126" s="4">
        <f t="shared" si="320"/>
        <v>47304</v>
      </c>
      <c r="GV126" s="8">
        <f t="shared" ca="1" si="321"/>
        <v>1170</v>
      </c>
      <c r="GW126" s="5" t="str">
        <f t="shared" ca="1" si="438"/>
        <v>VIGENTE</v>
      </c>
      <c r="GX126" s="2"/>
      <c r="GY126" s="4">
        <v>45016</v>
      </c>
      <c r="GZ126" s="4">
        <f t="shared" si="323"/>
        <v>46843</v>
      </c>
      <c r="HA126" s="8">
        <f t="shared" ca="1" si="324"/>
        <v>709</v>
      </c>
      <c r="HB126" s="5" t="str">
        <f t="shared" ca="1" si="433"/>
        <v>VIGENTE</v>
      </c>
      <c r="HC126" s="6"/>
      <c r="HD126" s="4">
        <v>45094</v>
      </c>
      <c r="HE126" s="4">
        <f t="shared" si="440"/>
        <v>46921</v>
      </c>
      <c r="HF126" s="8">
        <f t="shared" ca="1" si="441"/>
        <v>787</v>
      </c>
      <c r="HG126" s="5" t="str">
        <f t="shared" ca="1" si="439"/>
        <v>VIGENTE</v>
      </c>
      <c r="HH126" s="2"/>
      <c r="HI126" s="6"/>
      <c r="HJ126" s="4"/>
      <c r="HK126" s="8"/>
      <c r="HL126" s="5" t="str">
        <f t="shared" si="457"/>
        <v>NO APLICA</v>
      </c>
      <c r="HM126" s="2"/>
      <c r="HN126" s="2"/>
      <c r="HO126" s="4"/>
      <c r="HP126" s="2"/>
      <c r="HQ126" s="5" t="str">
        <f t="shared" si="326"/>
        <v>NO APLICA</v>
      </c>
      <c r="HR126" s="2"/>
      <c r="HS126" s="4">
        <v>45128</v>
      </c>
      <c r="HT126" s="4">
        <f>DATE(YEAR(HS126)+5,MONTH(HS126),DAY(HS126))</f>
        <v>46955</v>
      </c>
      <c r="HU126" s="8">
        <f ca="1">HT126-TODAY()</f>
        <v>821</v>
      </c>
      <c r="HV126" s="5" t="str">
        <f t="shared" ca="1" si="327"/>
        <v>VIGENTE</v>
      </c>
      <c r="HW126" s="3"/>
      <c r="HX126" s="4">
        <v>45486</v>
      </c>
      <c r="HY126" s="4">
        <f>DATE(YEAR(HX126)+5,MONTH(HX126),DAY(HX126))</f>
        <v>47312</v>
      </c>
      <c r="HZ126" s="8">
        <f ca="1">HY126-TODAY()</f>
        <v>1178</v>
      </c>
      <c r="IA126" s="5" t="str">
        <f t="shared" ca="1" si="328"/>
        <v>VIGENTE</v>
      </c>
      <c r="IB126" s="3"/>
      <c r="IC126" s="4">
        <v>45470</v>
      </c>
      <c r="ID126" s="4">
        <f>DATE(YEAR(IC126)+5,MONTH(IC126),DAY(IC126))</f>
        <v>47296</v>
      </c>
      <c r="IE126" s="8">
        <f ca="1">ID126-TODAY()</f>
        <v>1162</v>
      </c>
      <c r="IF126" s="5" t="str">
        <f t="shared" ca="1" si="329"/>
        <v>VIGENTE</v>
      </c>
      <c r="IG126" s="4"/>
      <c r="IH126" s="4">
        <v>45485</v>
      </c>
      <c r="II126" s="4">
        <f>DATE(YEAR(IH126)+5,MONTH(IH126),DAY(IH126))</f>
        <v>47311</v>
      </c>
      <c r="IJ126" s="8">
        <f ca="1">II126-TODAY()</f>
        <v>1177</v>
      </c>
      <c r="IK126" s="5" t="str">
        <f t="shared" ca="1" si="330"/>
        <v>VIGENTE</v>
      </c>
      <c r="IL126" s="3"/>
      <c r="IM126" s="4">
        <v>45490</v>
      </c>
      <c r="IN126" s="4">
        <f>DATE(YEAR(IM126)+5,MONTH(IM126),DAY(IM126))</f>
        <v>47316</v>
      </c>
      <c r="IO126" s="8">
        <f ca="1">IN126-TODAY()</f>
        <v>1182</v>
      </c>
      <c r="IP126" s="5" t="str">
        <f t="shared" ca="1" si="331"/>
        <v>VIGENTE</v>
      </c>
      <c r="IQ126" s="3"/>
      <c r="IR126" s="4">
        <v>45402</v>
      </c>
      <c r="IS126" s="4">
        <f>DATE(YEAR(IR126)+5,MONTH(IR126),DAY(IR126))</f>
        <v>47228</v>
      </c>
      <c r="IT126" s="8">
        <f ca="1">IS126-TODAY()</f>
        <v>1094</v>
      </c>
      <c r="IU126" s="5" t="str">
        <f t="shared" ca="1" si="332"/>
        <v>VIGENTE</v>
      </c>
      <c r="IV126" s="3"/>
      <c r="IW126" s="4">
        <v>45446</v>
      </c>
      <c r="IX126" s="4">
        <f>DATE(YEAR(IW126)+5,MONTH(IW126),DAY(IW126))</f>
        <v>47272</v>
      </c>
      <c r="IY126" s="8">
        <f ca="1">IX126-TODAY()</f>
        <v>1138</v>
      </c>
      <c r="IZ126" s="5" t="str">
        <f t="shared" ca="1" si="333"/>
        <v>VIGENTE</v>
      </c>
      <c r="JA126" s="3"/>
      <c r="JB126" s="3"/>
      <c r="JC126" s="4"/>
      <c r="JD126" s="8"/>
      <c r="JE126" s="5" t="str">
        <f t="shared" si="334"/>
        <v>NO APLICA</v>
      </c>
      <c r="JF126" s="6"/>
      <c r="JG126" s="6"/>
      <c r="JH126" s="6"/>
      <c r="JI126" s="6"/>
      <c r="JJ126" s="5" t="str">
        <f t="shared" si="335"/>
        <v>NO APLICA</v>
      </c>
      <c r="JK126" s="6"/>
      <c r="JL126" s="6"/>
      <c r="JM126" s="6"/>
      <c r="JN126" s="6"/>
      <c r="JO126" s="5" t="str">
        <f t="shared" si="336"/>
        <v>NO APLICA</v>
      </c>
      <c r="JP126" s="6"/>
      <c r="JQ126" s="6"/>
      <c r="JR126" s="6"/>
      <c r="JS126" s="6"/>
      <c r="JT126" s="5" t="str">
        <f t="shared" si="337"/>
        <v>NO APLICA</v>
      </c>
      <c r="JU126" s="5"/>
      <c r="JV126" s="5"/>
      <c r="JW126" s="5"/>
      <c r="JX126" s="5"/>
      <c r="JY126" s="5" t="str">
        <f t="shared" si="338"/>
        <v>NO APLICA</v>
      </c>
      <c r="JZ126" s="5"/>
      <c r="KA126" s="2"/>
      <c r="KB126" s="4"/>
      <c r="KC126" s="8"/>
      <c r="KD126" s="5" t="str">
        <f t="shared" si="339"/>
        <v>NO APLICA</v>
      </c>
      <c r="KE126" s="5"/>
      <c r="KF126" s="2"/>
      <c r="KG126" s="4"/>
      <c r="KH126" s="8"/>
      <c r="KI126" s="5" t="str">
        <f t="shared" si="365"/>
        <v>NO APLICA</v>
      </c>
      <c r="KJ126" s="5"/>
      <c r="KK126" s="2"/>
      <c r="KL126" s="4"/>
      <c r="KM126" s="8"/>
      <c r="KN126" s="5" t="str">
        <f t="shared" si="340"/>
        <v>NO APLICA</v>
      </c>
      <c r="KO126" s="5"/>
      <c r="KP126" s="2"/>
      <c r="KQ126" s="4"/>
      <c r="KR126" s="8"/>
      <c r="KS126" s="5" t="str">
        <f t="shared" si="366"/>
        <v>NO APLICA</v>
      </c>
      <c r="KT126" s="3"/>
      <c r="KU126" s="4">
        <v>44649</v>
      </c>
      <c r="KV126" s="4">
        <f>DATE(YEAR(KU126)+5,MONTH(KU126),DAY(KU126))</f>
        <v>46475</v>
      </c>
      <c r="KW126" s="8">
        <f ca="1">KV126-TODAY()</f>
        <v>341</v>
      </c>
      <c r="KX126" s="5" t="str">
        <f t="shared" ca="1" si="375"/>
        <v>VIGENTE</v>
      </c>
      <c r="KY126" s="5"/>
      <c r="KZ126" s="6"/>
      <c r="LA126" s="4"/>
      <c r="LB126" s="8"/>
      <c r="LC126" s="5" t="str">
        <f t="shared" si="367"/>
        <v>NO APLICA</v>
      </c>
      <c r="LD126" s="4"/>
      <c r="LE126" s="4"/>
      <c r="LF126" s="4"/>
      <c r="LG126" s="8"/>
      <c r="LH126" s="5" t="str">
        <f t="shared" si="341"/>
        <v>NO APLICA</v>
      </c>
      <c r="LI126" s="5"/>
      <c r="LJ126" s="5"/>
      <c r="LK126" s="4"/>
      <c r="LL126" s="8"/>
      <c r="LM126" s="5" t="str">
        <f t="shared" si="376"/>
        <v>NO APLICA</v>
      </c>
      <c r="LN126" s="2"/>
      <c r="LO126" s="6"/>
      <c r="LP126" s="4"/>
      <c r="LQ126" s="8"/>
      <c r="LR126" s="5" t="str">
        <f t="shared" si="368"/>
        <v>NO APLICA</v>
      </c>
      <c r="LS126" s="6"/>
      <c r="LT126" s="6"/>
      <c r="LU126" s="4"/>
      <c r="LV126" s="8"/>
      <c r="LW126" s="5" t="str">
        <f t="shared" si="369"/>
        <v>NO APLICA</v>
      </c>
      <c r="LX126" s="6"/>
      <c r="LY126" s="6"/>
      <c r="LZ126" s="4"/>
      <c r="MA126" s="8"/>
      <c r="MB126" s="5" t="str">
        <f t="shared" si="370"/>
        <v>NO APLICA</v>
      </c>
      <c r="MC126" s="2"/>
      <c r="MD126" s="2"/>
      <c r="ME126" s="4"/>
      <c r="MF126" s="8"/>
      <c r="MG126" s="5" t="str">
        <f t="shared" si="342"/>
        <v>NO APLICA</v>
      </c>
      <c r="MH126" s="2"/>
      <c r="MI126" s="2"/>
      <c r="MJ126" s="4"/>
      <c r="MK126" s="8"/>
      <c r="ML126" s="5" t="str">
        <f t="shared" si="343"/>
        <v>NO APLICA</v>
      </c>
      <c r="MM126" s="5"/>
      <c r="MN126" s="2"/>
      <c r="MO126" s="4"/>
      <c r="MP126" s="8"/>
      <c r="MQ126" s="5" t="str">
        <f t="shared" si="344"/>
        <v>NO APLICA</v>
      </c>
      <c r="MR126" s="5"/>
      <c r="MS126" s="2"/>
      <c r="MT126" s="4"/>
      <c r="MU126" s="2"/>
      <c r="MV126" s="5" t="str">
        <f t="shared" si="345"/>
        <v>NO APLICA</v>
      </c>
      <c r="MW126" s="2"/>
      <c r="MX126" s="6"/>
      <c r="MY126" s="4"/>
      <c r="MZ126" s="8"/>
      <c r="NA126" s="5" t="str">
        <f t="shared" si="346"/>
        <v>NO APLICA</v>
      </c>
      <c r="NB126" s="2"/>
      <c r="NC126" s="6"/>
      <c r="ND126" s="4"/>
      <c r="NE126" s="8"/>
      <c r="NF126" s="5" t="str">
        <f t="shared" si="347"/>
        <v>NO APLICA</v>
      </c>
      <c r="NG126" s="2"/>
      <c r="NH126" s="6"/>
      <c r="NI126" s="4"/>
      <c r="NJ126" s="8"/>
      <c r="NK126" s="5" t="str">
        <f t="shared" si="348"/>
        <v>NO APLICA</v>
      </c>
      <c r="NL126" s="2"/>
      <c r="NM126" s="2"/>
      <c r="NN126" s="4"/>
      <c r="NO126" s="8"/>
      <c r="NP126" s="5" t="str">
        <f t="shared" si="349"/>
        <v>NO APLICA</v>
      </c>
      <c r="NQ126" s="2"/>
      <c r="NR126" s="2"/>
      <c r="NS126" s="2"/>
      <c r="NT126" s="2"/>
      <c r="NU126" s="5" t="str">
        <f t="shared" si="350"/>
        <v>NO APLICA</v>
      </c>
      <c r="NV126" s="6"/>
      <c r="NW126" s="6"/>
      <c r="NX126" s="4"/>
      <c r="NY126" s="8"/>
      <c r="NZ126" s="5" t="str">
        <f t="shared" si="351"/>
        <v>NO APLICA</v>
      </c>
      <c r="OA126" s="6"/>
      <c r="OB126" s="6"/>
      <c r="OC126" s="6"/>
      <c r="OD126" s="6"/>
      <c r="OE126" s="5" t="str">
        <f t="shared" si="352"/>
        <v>NO APLICA</v>
      </c>
      <c r="OF126" s="2"/>
      <c r="OG126" s="2"/>
      <c r="OH126" s="4"/>
      <c r="OI126" s="8"/>
      <c r="OJ126" s="5" t="str">
        <f t="shared" si="353"/>
        <v>NO APLICA</v>
      </c>
      <c r="OK126" s="6"/>
      <c r="OL126" s="6"/>
      <c r="OM126" s="6"/>
      <c r="ON126" s="6"/>
      <c r="OO126" s="5" t="str">
        <f t="shared" si="354"/>
        <v>NO APLICA</v>
      </c>
      <c r="OP126" s="6"/>
      <c r="OQ126" s="6"/>
      <c r="OR126" s="6"/>
      <c r="OS126" s="6"/>
      <c r="OT126" s="5" t="str">
        <f t="shared" si="355"/>
        <v>NO APLICA</v>
      </c>
      <c r="OU126" s="6"/>
      <c r="OV126" s="6"/>
      <c r="OW126" s="6"/>
      <c r="OX126" s="6"/>
      <c r="OY126" s="5" t="str">
        <f t="shared" si="356"/>
        <v>NO APLICA</v>
      </c>
      <c r="OZ126" s="6"/>
      <c r="PA126" s="6"/>
      <c r="PB126" s="6"/>
      <c r="PC126" s="6"/>
      <c r="PD126" s="5" t="str">
        <f t="shared" si="357"/>
        <v>NO APLICA</v>
      </c>
      <c r="PE126" s="6"/>
      <c r="PF126" s="6"/>
      <c r="PG126" s="6"/>
      <c r="PH126" s="6"/>
      <c r="PI126" s="5" t="str">
        <f t="shared" si="358"/>
        <v>NO APLICA</v>
      </c>
      <c r="PJ126" s="5"/>
      <c r="PK126" s="6"/>
      <c r="PL126" s="4"/>
      <c r="PM126" s="8"/>
      <c r="PN126" s="5" t="str">
        <f t="shared" si="359"/>
        <v>NO APLICA</v>
      </c>
      <c r="PO126" s="6"/>
      <c r="PP126" s="6"/>
      <c r="PQ126" s="6"/>
      <c r="PR126" s="6"/>
      <c r="PS126" s="5" t="str">
        <f t="shared" si="360"/>
        <v>NO APLICA</v>
      </c>
      <c r="PT126" s="5"/>
      <c r="PU126" s="6"/>
      <c r="PV126" s="6"/>
      <c r="PW126" s="6"/>
      <c r="PX126" s="5" t="str">
        <f t="shared" si="361"/>
        <v>NO APLICA</v>
      </c>
    </row>
    <row r="127" spans="1:440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178</v>
      </c>
      <c r="T127" s="5" t="str">
        <f t="shared" ca="1" si="362"/>
        <v>VIGENTE</v>
      </c>
      <c r="U127" s="2" t="s">
        <v>427</v>
      </c>
      <c r="V127" s="4">
        <v>44772</v>
      </c>
      <c r="W127" s="4">
        <f t="shared" si="421"/>
        <v>46598</v>
      </c>
      <c r="X127" s="8">
        <f t="shared" ca="1" si="422"/>
        <v>464</v>
      </c>
      <c r="Y127" s="5" t="str">
        <f t="shared" ca="1" si="423"/>
        <v>VIGENTE</v>
      </c>
      <c r="Z127" s="2" t="s">
        <v>428</v>
      </c>
      <c r="AA127" s="4">
        <v>45192</v>
      </c>
      <c r="AB127" s="4">
        <f t="shared" si="442"/>
        <v>47019</v>
      </c>
      <c r="AC127" s="8">
        <f t="shared" ca="1" si="443"/>
        <v>885</v>
      </c>
      <c r="AD127" s="5" t="str">
        <f t="shared" ca="1" si="444"/>
        <v>VIGENTE</v>
      </c>
      <c r="AE127" s="3"/>
      <c r="AF127" s="4">
        <v>45609</v>
      </c>
      <c r="AG127" s="4">
        <f t="shared" si="445"/>
        <v>46338</v>
      </c>
      <c r="AH127" s="8">
        <f t="shared" ca="1" si="252"/>
        <v>204</v>
      </c>
      <c r="AI127" s="5" t="str">
        <f t="shared" ca="1" si="419"/>
        <v>VIGENTE</v>
      </c>
      <c r="AJ127" s="3"/>
      <c r="AK127" s="4">
        <v>45490</v>
      </c>
      <c r="AL127" s="4">
        <f>DATE(YEAR(AK127)+2,MONTH(AK127),DAY(AK127)-1)</f>
        <v>46219</v>
      </c>
      <c r="AM127" s="8">
        <f t="shared" ca="1" si="253"/>
        <v>85</v>
      </c>
      <c r="AN127" s="5" t="str">
        <f t="shared" ca="1" si="254"/>
        <v>POR VENCER</v>
      </c>
      <c r="AO127" s="3"/>
      <c r="AP127" s="4">
        <v>45505</v>
      </c>
      <c r="AQ127" s="4">
        <f>DATE(YEAR(AP127)+2,MONTH(AP127),DAY(AP127)-1)</f>
        <v>46234</v>
      </c>
      <c r="AR127" s="8">
        <f t="shared" ca="1" si="255"/>
        <v>100</v>
      </c>
      <c r="AS127" s="5" t="str">
        <f t="shared" ca="1" si="256"/>
        <v>VIGENTE</v>
      </c>
      <c r="AT127" s="3"/>
      <c r="AU127" s="4">
        <v>45702</v>
      </c>
      <c r="AV127" s="4">
        <f>DATE(YEAR(AU127)+2,MONTH(AU127),DAY(AU127)-1)</f>
        <v>46431</v>
      </c>
      <c r="AW127" s="8">
        <f t="shared" ca="1" si="257"/>
        <v>297</v>
      </c>
      <c r="AX127" s="5" t="str">
        <f t="shared" ca="1" si="258"/>
        <v>VIGENTE</v>
      </c>
      <c r="AY127" s="3"/>
      <c r="AZ127" s="4">
        <v>46041</v>
      </c>
      <c r="BA127" s="4">
        <f>DATE(YEAR(AZ127)+2,MONTH(AZ127),DAY(AZ127))</f>
        <v>46771</v>
      </c>
      <c r="BB127" s="8">
        <f t="shared" ca="1" si="259"/>
        <v>637</v>
      </c>
      <c r="BC127" s="5" t="str">
        <f t="shared" ca="1" si="260"/>
        <v>VIGENTE</v>
      </c>
      <c r="BD127" s="3"/>
      <c r="BE127" s="4">
        <v>46027</v>
      </c>
      <c r="BF127" s="4">
        <f t="shared" si="456"/>
        <v>46757</v>
      </c>
      <c r="BG127" s="8">
        <f t="shared" ca="1" si="261"/>
        <v>623</v>
      </c>
      <c r="BH127" s="5" t="str">
        <f t="shared" ca="1" si="262"/>
        <v>VIGENTE</v>
      </c>
      <c r="BI127" s="3"/>
      <c r="BJ127" s="4">
        <v>45519</v>
      </c>
      <c r="BK127" s="4">
        <f>DATE(YEAR(BJ127)+2,MONTH(BJ127),DAY(BJ127)-1)</f>
        <v>46248</v>
      </c>
      <c r="BL127" s="8">
        <f t="shared" ca="1" si="263"/>
        <v>114</v>
      </c>
      <c r="BM127" s="5" t="str">
        <f t="shared" ca="1" si="264"/>
        <v>VIGENTE</v>
      </c>
      <c r="BN127" s="3"/>
      <c r="BO127" s="4">
        <v>45604</v>
      </c>
      <c r="BP127" s="4">
        <f>DATE(YEAR(BO127)+2,MONTH(BO127),DAY(BO127)-1)</f>
        <v>46333</v>
      </c>
      <c r="BQ127" s="8">
        <f t="shared" ca="1" si="265"/>
        <v>199</v>
      </c>
      <c r="BR127" s="5" t="str">
        <f t="shared" ca="1" si="266"/>
        <v>VIGENTE</v>
      </c>
      <c r="BS127" s="3"/>
      <c r="BT127" s="4">
        <v>45449</v>
      </c>
      <c r="BU127" s="4">
        <f>DATE(YEAR(BT127)+2,MONTH(BT127),DAY(BT127)-1)</f>
        <v>46178</v>
      </c>
      <c r="BV127" s="8">
        <f t="shared" ca="1" si="267"/>
        <v>44</v>
      </c>
      <c r="BW127" s="5" t="str">
        <f t="shared" ca="1" si="268"/>
        <v>POR VENCER</v>
      </c>
      <c r="BX127" s="3"/>
      <c r="BY127" s="4">
        <v>45629</v>
      </c>
      <c r="BZ127" s="4">
        <f>DATE(YEAR(BY127)+2,MONTH(BY127),DAY(BY127)-1)</f>
        <v>46358</v>
      </c>
      <c r="CA127" s="8">
        <f t="shared" ca="1" si="269"/>
        <v>224</v>
      </c>
      <c r="CB127" s="5" t="str">
        <f t="shared" ca="1" si="270"/>
        <v>VIGENTE</v>
      </c>
      <c r="CC127" s="6" t="s">
        <v>68</v>
      </c>
      <c r="CD127" s="4">
        <v>45828</v>
      </c>
      <c r="CE127" s="4">
        <f t="shared" si="428"/>
        <v>47289</v>
      </c>
      <c r="CF127" s="8">
        <f t="shared" ca="1" si="429"/>
        <v>1155</v>
      </c>
      <c r="CG127" s="5" t="str">
        <f t="shared" ca="1" si="430"/>
        <v>VIGENTE</v>
      </c>
      <c r="CH127" s="4"/>
      <c r="CI127" s="4">
        <v>45601</v>
      </c>
      <c r="CJ127" s="4">
        <f t="shared" si="446"/>
        <v>46330</v>
      </c>
      <c r="CK127" s="8">
        <f t="shared" ca="1" si="274"/>
        <v>196</v>
      </c>
      <c r="CL127" s="5" t="str">
        <f t="shared" ca="1" si="275"/>
        <v>VIGENTE</v>
      </c>
      <c r="CM127" s="3"/>
      <c r="CN127" s="4">
        <v>45597</v>
      </c>
      <c r="CO127" s="4">
        <f t="shared" si="447"/>
        <v>46326</v>
      </c>
      <c r="CP127" s="8">
        <f t="shared" ca="1" si="276"/>
        <v>192</v>
      </c>
      <c r="CQ127" s="5" t="str">
        <f t="shared" ca="1" si="277"/>
        <v>VIGENTE</v>
      </c>
      <c r="CR127" s="3"/>
      <c r="CS127" s="4">
        <v>45624</v>
      </c>
      <c r="CT127" s="4">
        <f t="shared" si="448"/>
        <v>46353</v>
      </c>
      <c r="CU127" s="8">
        <f t="shared" ca="1" si="278"/>
        <v>219</v>
      </c>
      <c r="CV127" s="5" t="str">
        <f t="shared" ca="1" si="279"/>
        <v>VIGENTE</v>
      </c>
      <c r="CW127" s="3"/>
      <c r="CX127" s="4">
        <v>45665</v>
      </c>
      <c r="CY127" s="4">
        <f>DATE(YEAR(CX127)+2,MONTH(CX127),DAY(CX127)-1)</f>
        <v>46394</v>
      </c>
      <c r="CZ127" s="8">
        <f t="shared" ca="1" si="280"/>
        <v>260</v>
      </c>
      <c r="DA127" s="5" t="str">
        <f t="shared" ca="1" si="281"/>
        <v>VIGENTE</v>
      </c>
      <c r="DB127" s="3"/>
      <c r="DC127" s="4">
        <v>45596</v>
      </c>
      <c r="DD127" s="4">
        <f t="shared" si="449"/>
        <v>46325</v>
      </c>
      <c r="DE127" s="8">
        <f t="shared" ca="1" si="282"/>
        <v>191</v>
      </c>
      <c r="DF127" s="5" t="str">
        <f t="shared" ca="1" si="283"/>
        <v>VIGENTE</v>
      </c>
      <c r="DG127" s="3"/>
      <c r="DH127" s="4">
        <v>45580</v>
      </c>
      <c r="DI127" s="4">
        <f>DATE(YEAR(DH127)+2,MONTH(DH127),DAY(DH127)-1)</f>
        <v>46309</v>
      </c>
      <c r="DJ127" s="8">
        <f t="shared" ca="1" si="284"/>
        <v>175</v>
      </c>
      <c r="DK127" s="5" t="str">
        <f t="shared" ca="1" si="285"/>
        <v>VIGENTE</v>
      </c>
      <c r="DL127" s="3"/>
      <c r="DM127" s="4">
        <v>45520</v>
      </c>
      <c r="DN127" s="4">
        <f>DATE(YEAR(DM127)+2,MONTH(DM127),DAY(DM127)-1)</f>
        <v>46249</v>
      </c>
      <c r="DO127" s="8">
        <f t="shared" ca="1" si="286"/>
        <v>115</v>
      </c>
      <c r="DP127" s="5" t="str">
        <f t="shared" ca="1" si="287"/>
        <v>VIGENTE</v>
      </c>
      <c r="DQ127" s="3"/>
      <c r="DR127" s="4">
        <v>45608</v>
      </c>
      <c r="DS127" s="4">
        <f>DATE(YEAR(DR127)+2,MONTH(DR127),DAY(DR127)-1)</f>
        <v>46337</v>
      </c>
      <c r="DT127" s="8">
        <f t="shared" ca="1" si="288"/>
        <v>203</v>
      </c>
      <c r="DU127" s="5" t="str">
        <f t="shared" ca="1" si="289"/>
        <v>VIGENTE</v>
      </c>
      <c r="DV127" s="3"/>
      <c r="DW127" s="4">
        <v>45663</v>
      </c>
      <c r="DX127" s="4">
        <f t="shared" si="450"/>
        <v>46392</v>
      </c>
      <c r="DY127" s="8">
        <f t="shared" ca="1" si="290"/>
        <v>258</v>
      </c>
      <c r="DZ127" s="5" t="str">
        <f t="shared" ca="1" si="291"/>
        <v>VIGENTE</v>
      </c>
      <c r="EA127" s="3"/>
      <c r="EB127" s="4">
        <v>45602</v>
      </c>
      <c r="EC127" s="4">
        <f t="shared" si="451"/>
        <v>46331</v>
      </c>
      <c r="ED127" s="8">
        <f t="shared" ca="1" si="292"/>
        <v>197</v>
      </c>
      <c r="EE127" s="5" t="str">
        <f t="shared" ca="1" si="293"/>
        <v>VIGENTE</v>
      </c>
      <c r="EF127" s="3"/>
      <c r="EG127" s="3">
        <v>46107</v>
      </c>
      <c r="EH127" s="4">
        <f t="shared" si="364"/>
        <v>46472</v>
      </c>
      <c r="EI127" s="8">
        <f t="shared" ca="1" si="294"/>
        <v>338</v>
      </c>
      <c r="EJ127" s="5" t="str">
        <f t="shared" ca="1" si="295"/>
        <v>VIGENTE</v>
      </c>
      <c r="EK127" s="3"/>
      <c r="EL127" s="4">
        <v>45671</v>
      </c>
      <c r="EM127" s="4">
        <f t="shared" si="452"/>
        <v>46400</v>
      </c>
      <c r="EN127" s="8">
        <f t="shared" ca="1" si="296"/>
        <v>266</v>
      </c>
      <c r="EO127" s="5" t="str">
        <f t="shared" ca="1" si="297"/>
        <v>VIGENTE</v>
      </c>
      <c r="EP127" s="3"/>
      <c r="EQ127" s="4">
        <v>45677</v>
      </c>
      <c r="ER127" s="4">
        <f>DATE(YEAR(EQ127)+2,MONTH(EQ127),DAY(EQ127)-1)</f>
        <v>46406</v>
      </c>
      <c r="ES127" s="8">
        <f t="shared" ca="1" si="298"/>
        <v>272</v>
      </c>
      <c r="ET127" s="5" t="str">
        <f t="shared" ca="1" si="299"/>
        <v>VIGENTE</v>
      </c>
      <c r="EU127" s="3"/>
      <c r="EV127" s="4">
        <v>45610</v>
      </c>
      <c r="EW127" s="4">
        <f>DATE(YEAR(EV127)+2,MONTH(EV127),DAY(EV127)-1)</f>
        <v>46339</v>
      </c>
      <c r="EX127" s="8">
        <f t="shared" ca="1" si="300"/>
        <v>205</v>
      </c>
      <c r="EY127" s="5" t="str">
        <f t="shared" ca="1" si="301"/>
        <v>VIGENTE</v>
      </c>
      <c r="EZ127" s="3"/>
      <c r="FA127" s="4">
        <v>45611</v>
      </c>
      <c r="FB127" s="4">
        <f>DATE(YEAR(FA127)+2,MONTH(FA127),DAY(FA127)-1)</f>
        <v>46340</v>
      </c>
      <c r="FC127" s="8">
        <f t="shared" ca="1" si="302"/>
        <v>206</v>
      </c>
      <c r="FD127" s="5" t="str">
        <f t="shared" ca="1" si="303"/>
        <v>VIGENTE</v>
      </c>
      <c r="FE127" s="3"/>
      <c r="FF127" s="4">
        <v>45668</v>
      </c>
      <c r="FG127" s="4">
        <f>DATE(YEAR(FF127)+2,MONTH(FF127),DAY(FF127)-1)</f>
        <v>46397</v>
      </c>
      <c r="FH127" s="8">
        <f t="shared" ca="1" si="304"/>
        <v>263</v>
      </c>
      <c r="FI127" s="5" t="str">
        <f t="shared" ca="1" si="305"/>
        <v>VIGENTE</v>
      </c>
      <c r="FJ127" s="3"/>
      <c r="FK127" s="4">
        <v>45588</v>
      </c>
      <c r="FL127" s="4">
        <f t="shared" si="453"/>
        <v>46317</v>
      </c>
      <c r="FM127" s="8">
        <f t="shared" ca="1" si="306"/>
        <v>183</v>
      </c>
      <c r="FN127" s="5" t="str">
        <f t="shared" ca="1" si="307"/>
        <v>VIGENTE</v>
      </c>
      <c r="FO127" s="3"/>
      <c r="FP127" s="4">
        <v>45586</v>
      </c>
      <c r="FQ127" s="4">
        <f t="shared" si="454"/>
        <v>46315</v>
      </c>
      <c r="FR127" s="8">
        <f t="shared" ca="1" si="308"/>
        <v>181</v>
      </c>
      <c r="FS127" s="5" t="str">
        <f t="shared" ca="1" si="309"/>
        <v>VIGENTE</v>
      </c>
      <c r="FT127" s="3"/>
      <c r="FU127" s="4">
        <v>45587</v>
      </c>
      <c r="FV127" s="4">
        <f>DATE(YEAR(FU127)+2,MONTH(FU127),DAY(FU127)-1)</f>
        <v>46316</v>
      </c>
      <c r="FW127" s="8">
        <f t="shared" ca="1" si="310"/>
        <v>182</v>
      </c>
      <c r="FX127" s="5" t="str">
        <f t="shared" ca="1" si="311"/>
        <v>VIGENTE</v>
      </c>
      <c r="FY127" s="3"/>
      <c r="FZ127" s="4">
        <v>46030</v>
      </c>
      <c r="GA127" s="4">
        <f>DATE(YEAR(FZ127)+2,MONTH(FZ127),DAY(FZ127))</f>
        <v>46760</v>
      </c>
      <c r="GB127" s="8">
        <f t="shared" ca="1" si="312"/>
        <v>626</v>
      </c>
      <c r="GC127" s="5" t="str">
        <f t="shared" ca="1" si="313"/>
        <v>VIGENTE</v>
      </c>
      <c r="GD127" s="3"/>
      <c r="GE127" s="4">
        <v>45579</v>
      </c>
      <c r="GF127" s="4">
        <f t="shared" si="455"/>
        <v>46308</v>
      </c>
      <c r="GG127" s="8">
        <f t="shared" ca="1" si="314"/>
        <v>174</v>
      </c>
      <c r="GH127" s="5" t="str">
        <f t="shared" ca="1" si="315"/>
        <v>VIGENTE</v>
      </c>
      <c r="GI127" s="3"/>
      <c r="GJ127" s="4">
        <v>45567</v>
      </c>
      <c r="GK127" s="4">
        <f>DATE(YEAR(GJ127)+2,MONTH(GJ127),DAY(GJ127)-1)</f>
        <v>46296</v>
      </c>
      <c r="GL127" s="8">
        <f t="shared" ca="1" si="316"/>
        <v>162</v>
      </c>
      <c r="GM127" s="5" t="str">
        <f t="shared" ca="1" si="317"/>
        <v>VIGENTE</v>
      </c>
      <c r="GN127" s="4"/>
      <c r="GO127" s="4">
        <v>44912</v>
      </c>
      <c r="GP127" s="4">
        <f t="shared" si="318"/>
        <v>46738</v>
      </c>
      <c r="GQ127" s="8">
        <f t="shared" ca="1" si="418"/>
        <v>604</v>
      </c>
      <c r="GR127" s="5" t="str">
        <f t="shared" ca="1" si="431"/>
        <v>VIGENTE</v>
      </c>
      <c r="GS127" s="3"/>
      <c r="GT127" s="4">
        <v>44910</v>
      </c>
      <c r="GU127" s="4">
        <f t="shared" si="320"/>
        <v>46736</v>
      </c>
      <c r="GV127" s="8">
        <f t="shared" ca="1" si="321"/>
        <v>602</v>
      </c>
      <c r="GW127" s="5" t="str">
        <f t="shared" ca="1" si="438"/>
        <v>VIGENTE</v>
      </c>
      <c r="GX127" s="2"/>
      <c r="GY127" s="4">
        <v>44911</v>
      </c>
      <c r="GZ127" s="4">
        <f t="shared" si="323"/>
        <v>46737</v>
      </c>
      <c r="HA127" s="8">
        <f t="shared" ca="1" si="324"/>
        <v>603</v>
      </c>
      <c r="HB127" s="5" t="str">
        <f t="shared" ca="1" si="433"/>
        <v>VIGENTE</v>
      </c>
      <c r="HC127" s="6"/>
      <c r="HD127" s="4">
        <v>44956</v>
      </c>
      <c r="HE127" s="4">
        <f t="shared" si="440"/>
        <v>46782</v>
      </c>
      <c r="HF127" s="8">
        <f t="shared" ca="1" si="441"/>
        <v>648</v>
      </c>
      <c r="HG127" s="5" t="str">
        <f t="shared" ca="1" si="439"/>
        <v>VIGENTE</v>
      </c>
      <c r="HH127" s="2"/>
      <c r="HI127" s="6"/>
      <c r="HJ127" s="4"/>
      <c r="HK127" s="8"/>
      <c r="HL127" s="5" t="str">
        <f t="shared" si="457"/>
        <v>NO APLICA</v>
      </c>
      <c r="HM127" s="2"/>
      <c r="HN127" s="2"/>
      <c r="HO127" s="4"/>
      <c r="HP127" s="2"/>
      <c r="HQ127" s="5" t="str">
        <f t="shared" si="326"/>
        <v>NO APLICA</v>
      </c>
      <c r="HR127" s="2"/>
      <c r="HS127" s="6"/>
      <c r="HT127" s="4"/>
      <c r="HU127" s="8"/>
      <c r="HV127" s="5" t="str">
        <f t="shared" si="327"/>
        <v>NO APLICA</v>
      </c>
      <c r="HW127" s="2"/>
      <c r="HX127" s="6"/>
      <c r="HY127" s="4"/>
      <c r="HZ127" s="8"/>
      <c r="IA127" s="5" t="str">
        <f t="shared" si="328"/>
        <v>NO APLICA</v>
      </c>
      <c r="IB127" s="2"/>
      <c r="IC127" s="6"/>
      <c r="ID127" s="4"/>
      <c r="IE127" s="8"/>
      <c r="IF127" s="5" t="str">
        <f t="shared" si="329"/>
        <v>NO APLICA</v>
      </c>
      <c r="IG127" s="6"/>
      <c r="IH127" s="6"/>
      <c r="II127" s="4"/>
      <c r="IJ127" s="8"/>
      <c r="IK127" s="5" t="str">
        <f t="shared" si="330"/>
        <v>NO APLICA</v>
      </c>
      <c r="IL127" s="2"/>
      <c r="IM127" s="6"/>
      <c r="IN127" s="4"/>
      <c r="IO127" s="8"/>
      <c r="IP127" s="5" t="str">
        <f t="shared" si="331"/>
        <v>NO APLICA</v>
      </c>
      <c r="IQ127" s="2"/>
      <c r="IR127" s="6"/>
      <c r="IS127" s="4"/>
      <c r="IT127" s="8"/>
      <c r="IU127" s="5" t="str">
        <f t="shared" si="332"/>
        <v>NO APLICA</v>
      </c>
      <c r="IV127" s="2"/>
      <c r="IW127" s="6"/>
      <c r="IX127" s="4"/>
      <c r="IY127" s="8"/>
      <c r="IZ127" s="5" t="str">
        <f t="shared" si="333"/>
        <v>NO APLICA</v>
      </c>
      <c r="JA127" s="3"/>
      <c r="JB127" s="3"/>
      <c r="JC127" s="4"/>
      <c r="JD127" s="8"/>
      <c r="JE127" s="5" t="str">
        <f t="shared" si="334"/>
        <v>NO APLICA</v>
      </c>
      <c r="JF127" s="6"/>
      <c r="JG127" s="6"/>
      <c r="JH127" s="6"/>
      <c r="JI127" s="6"/>
      <c r="JJ127" s="5" t="str">
        <f t="shared" si="335"/>
        <v>NO APLICA</v>
      </c>
      <c r="JK127" s="6"/>
      <c r="JL127" s="6"/>
      <c r="JM127" s="6"/>
      <c r="JN127" s="6"/>
      <c r="JO127" s="5" t="str">
        <f t="shared" si="336"/>
        <v>NO APLICA</v>
      </c>
      <c r="JP127" s="6"/>
      <c r="JQ127" s="6"/>
      <c r="JR127" s="6"/>
      <c r="JS127" s="6"/>
      <c r="JT127" s="5" t="str">
        <f t="shared" si="337"/>
        <v>NO APLICA</v>
      </c>
      <c r="JU127" s="5"/>
      <c r="JV127" s="5"/>
      <c r="JW127" s="5"/>
      <c r="JX127" s="5"/>
      <c r="JY127" s="5" t="str">
        <f t="shared" si="338"/>
        <v>NO APLICA</v>
      </c>
      <c r="JZ127" s="5"/>
      <c r="KA127" s="2"/>
      <c r="KB127" s="4"/>
      <c r="KC127" s="8"/>
      <c r="KD127" s="5" t="str">
        <f t="shared" si="339"/>
        <v>NO APLICA</v>
      </c>
      <c r="KE127" s="5"/>
      <c r="KF127" s="2"/>
      <c r="KG127" s="4"/>
      <c r="KH127" s="8"/>
      <c r="KI127" s="5" t="str">
        <f t="shared" si="365"/>
        <v>NO APLICA</v>
      </c>
      <c r="KJ127" s="5"/>
      <c r="KK127" s="2"/>
      <c r="KL127" s="4"/>
      <c r="KM127" s="8"/>
      <c r="KN127" s="5" t="str">
        <f t="shared" si="340"/>
        <v>NO APLICA</v>
      </c>
      <c r="KO127" s="5"/>
      <c r="KP127" s="2"/>
      <c r="KQ127" s="4"/>
      <c r="KR127" s="8"/>
      <c r="KS127" s="5" t="str">
        <f t="shared" si="366"/>
        <v>NO APLICA</v>
      </c>
      <c r="KT127" s="2"/>
      <c r="KU127" s="6"/>
      <c r="KV127" s="4"/>
      <c r="KW127" s="8"/>
      <c r="KX127" s="5" t="str">
        <f t="shared" si="375"/>
        <v>NO APLICA</v>
      </c>
      <c r="KY127" s="5"/>
      <c r="KZ127" s="6"/>
      <c r="LA127" s="4"/>
      <c r="LB127" s="8"/>
      <c r="LC127" s="5" t="str">
        <f t="shared" si="367"/>
        <v>NO APLICA</v>
      </c>
      <c r="LD127" s="6"/>
      <c r="LE127" s="6"/>
      <c r="LF127" s="4"/>
      <c r="LG127" s="8"/>
      <c r="LH127" s="5" t="str">
        <f t="shared" si="341"/>
        <v>NO APLICA</v>
      </c>
      <c r="LI127" s="5"/>
      <c r="LJ127" s="5"/>
      <c r="LK127" s="4"/>
      <c r="LL127" s="8"/>
      <c r="LM127" s="5" t="str">
        <f t="shared" si="376"/>
        <v>NO APLICA</v>
      </c>
      <c r="LN127" s="2"/>
      <c r="LO127" s="6"/>
      <c r="LP127" s="4"/>
      <c r="LQ127" s="8"/>
      <c r="LR127" s="5" t="str">
        <f t="shared" si="368"/>
        <v>NO APLICA</v>
      </c>
      <c r="LS127" s="6"/>
      <c r="LT127" s="6"/>
      <c r="LU127" s="4"/>
      <c r="LV127" s="8"/>
      <c r="LW127" s="5" t="str">
        <f t="shared" si="369"/>
        <v>NO APLICA</v>
      </c>
      <c r="LX127" s="6"/>
      <c r="LY127" s="6"/>
      <c r="LZ127" s="4"/>
      <c r="MA127" s="8"/>
      <c r="MB127" s="5" t="str">
        <f t="shared" si="370"/>
        <v>NO APLICA</v>
      </c>
      <c r="MC127" s="2"/>
      <c r="MD127" s="2"/>
      <c r="ME127" s="4"/>
      <c r="MF127" s="8"/>
      <c r="MG127" s="5" t="str">
        <f t="shared" si="342"/>
        <v>NO APLICA</v>
      </c>
      <c r="MH127" s="2"/>
      <c r="MI127" s="2"/>
      <c r="MJ127" s="4"/>
      <c r="MK127" s="8"/>
      <c r="ML127" s="5" t="str">
        <f t="shared" si="343"/>
        <v>NO APLICA</v>
      </c>
      <c r="MM127" s="5"/>
      <c r="MN127" s="2"/>
      <c r="MO127" s="4"/>
      <c r="MP127" s="8"/>
      <c r="MQ127" s="5" t="str">
        <f t="shared" si="344"/>
        <v>NO APLICA</v>
      </c>
      <c r="MR127" s="5"/>
      <c r="MS127" s="2"/>
      <c r="MT127" s="4"/>
      <c r="MU127" s="2"/>
      <c r="MV127" s="5" t="str">
        <f t="shared" si="345"/>
        <v>NO APLICA</v>
      </c>
      <c r="MW127" s="2"/>
      <c r="MX127" s="6"/>
      <c r="MY127" s="4"/>
      <c r="MZ127" s="8"/>
      <c r="NA127" s="5" t="str">
        <f t="shared" si="346"/>
        <v>NO APLICA</v>
      </c>
      <c r="NB127" s="2"/>
      <c r="NC127" s="6"/>
      <c r="ND127" s="4"/>
      <c r="NE127" s="8"/>
      <c r="NF127" s="5" t="str">
        <f t="shared" si="347"/>
        <v>NO APLICA</v>
      </c>
      <c r="NG127" s="2"/>
      <c r="NH127" s="6"/>
      <c r="NI127" s="4"/>
      <c r="NJ127" s="8"/>
      <c r="NK127" s="5" t="str">
        <f t="shared" si="348"/>
        <v>NO APLICA</v>
      </c>
      <c r="NL127" s="2"/>
      <c r="NM127" s="2"/>
      <c r="NN127" s="4"/>
      <c r="NO127" s="8"/>
      <c r="NP127" s="5" t="str">
        <f t="shared" si="349"/>
        <v>NO APLICA</v>
      </c>
      <c r="NQ127" s="2"/>
      <c r="NR127" s="2"/>
      <c r="NS127" s="4"/>
      <c r="NT127" s="2"/>
      <c r="NU127" s="5" t="str">
        <f t="shared" si="350"/>
        <v>NO APLICA</v>
      </c>
      <c r="NV127" s="6"/>
      <c r="NW127" s="6"/>
      <c r="NX127" s="4"/>
      <c r="NY127" s="8"/>
      <c r="NZ127" s="5" t="str">
        <f t="shared" si="351"/>
        <v>NO APLICA</v>
      </c>
      <c r="OA127" s="6"/>
      <c r="OB127" s="6"/>
      <c r="OC127" s="6"/>
      <c r="OD127" s="6"/>
      <c r="OE127" s="5" t="str">
        <f t="shared" si="352"/>
        <v>NO APLICA</v>
      </c>
      <c r="OF127" s="2"/>
      <c r="OG127" s="2"/>
      <c r="OH127" s="4"/>
      <c r="OI127" s="8"/>
      <c r="OJ127" s="5" t="str">
        <f t="shared" si="353"/>
        <v>NO APLICA</v>
      </c>
      <c r="OK127" s="6"/>
      <c r="OL127" s="6"/>
      <c r="OM127" s="6"/>
      <c r="ON127" s="6"/>
      <c r="OO127" s="5" t="str">
        <f t="shared" si="354"/>
        <v>NO APLICA</v>
      </c>
      <c r="OP127" s="6"/>
      <c r="OQ127" s="6"/>
      <c r="OR127" s="6"/>
      <c r="OS127" s="6"/>
      <c r="OT127" s="5" t="str">
        <f t="shared" si="355"/>
        <v>NO APLICA</v>
      </c>
      <c r="OU127" s="6"/>
      <c r="OV127" s="6"/>
      <c r="OW127" s="6"/>
      <c r="OX127" s="6"/>
      <c r="OY127" s="5" t="str">
        <f t="shared" si="356"/>
        <v>NO APLICA</v>
      </c>
      <c r="OZ127" s="6"/>
      <c r="PA127" s="6"/>
      <c r="PB127" s="6"/>
      <c r="PC127" s="6"/>
      <c r="PD127" s="5" t="str">
        <f t="shared" si="357"/>
        <v>NO APLICA</v>
      </c>
      <c r="PE127" s="6"/>
      <c r="PF127" s="6"/>
      <c r="PG127" s="6"/>
      <c r="PH127" s="6"/>
      <c r="PI127" s="5" t="str">
        <f t="shared" si="358"/>
        <v>NO APLICA</v>
      </c>
      <c r="PJ127" s="5"/>
      <c r="PK127" s="6"/>
      <c r="PL127" s="4"/>
      <c r="PM127" s="8"/>
      <c r="PN127" s="5" t="str">
        <f t="shared" si="359"/>
        <v>NO APLICA</v>
      </c>
      <c r="PO127" s="6"/>
      <c r="PP127" s="6"/>
      <c r="PQ127" s="6"/>
      <c r="PR127" s="6"/>
      <c r="PS127" s="5" t="str">
        <f t="shared" si="360"/>
        <v>NO APLICA</v>
      </c>
      <c r="PT127" s="5"/>
      <c r="PU127" s="6"/>
      <c r="PV127" s="6"/>
      <c r="PW127" s="6"/>
      <c r="PX127" s="5" t="str">
        <f t="shared" si="361"/>
        <v>NO APLICA</v>
      </c>
    </row>
    <row r="128" spans="1:440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430</v>
      </c>
      <c r="V128" s="4">
        <v>45854</v>
      </c>
      <c r="W128" s="4">
        <f t="shared" si="421"/>
        <v>47680</v>
      </c>
      <c r="X128" s="8">
        <f t="shared" ca="1" si="422"/>
        <v>1546</v>
      </c>
      <c r="Y128" s="5" t="str">
        <f t="shared" ca="1" si="423"/>
        <v>VIGENTE</v>
      </c>
      <c r="Z128" s="6" t="s">
        <v>431</v>
      </c>
      <c r="AA128" s="4">
        <v>45464</v>
      </c>
      <c r="AB128" s="4">
        <f t="shared" si="442"/>
        <v>47290</v>
      </c>
      <c r="AC128" s="8">
        <f t="shared" ca="1" si="443"/>
        <v>1156</v>
      </c>
      <c r="AD128" s="5" t="str">
        <f t="shared" ca="1" si="444"/>
        <v>VIGENTE</v>
      </c>
      <c r="AE128" s="4"/>
      <c r="AF128" s="4">
        <v>46006</v>
      </c>
      <c r="AG128" s="4">
        <f>DATE(YEAR(AF128)+2,MONTH(AF128),DAY(AF128))</f>
        <v>46736</v>
      </c>
      <c r="AH128" s="8">
        <f t="shared" ca="1" si="252"/>
        <v>602</v>
      </c>
      <c r="AI128" s="5" t="str">
        <f t="shared" ca="1" si="419"/>
        <v>VIGENTE</v>
      </c>
      <c r="AJ128" s="4"/>
      <c r="AK128" s="4">
        <v>46062</v>
      </c>
      <c r="AL128" s="4">
        <f>DATE(YEAR(AK128)+2,MONTH(AK128),DAY(AK128))</f>
        <v>46792</v>
      </c>
      <c r="AM128" s="8">
        <f t="shared" ca="1" si="253"/>
        <v>658</v>
      </c>
      <c r="AN128" s="5" t="str">
        <f t="shared" ca="1" si="254"/>
        <v>VIGENTE</v>
      </c>
      <c r="AO128" s="4"/>
      <c r="AP128" s="4">
        <v>46048</v>
      </c>
      <c r="AQ128" s="4">
        <f>DATE(YEAR(AP128)+2,MONTH(AP128),DAY(AP128))</f>
        <v>46778</v>
      </c>
      <c r="AR128" s="8">
        <f t="shared" ca="1" si="255"/>
        <v>644</v>
      </c>
      <c r="AS128" s="5" t="str">
        <f t="shared" ca="1" si="256"/>
        <v>VIGENTE</v>
      </c>
      <c r="AT128" s="4"/>
      <c r="AU128" s="4">
        <v>46070</v>
      </c>
      <c r="AV128" s="4">
        <f>DATE(YEAR(AU128)+2,MONTH(AU128),DAY(AU128))</f>
        <v>46800</v>
      </c>
      <c r="AW128" s="8">
        <f t="shared" ca="1" si="257"/>
        <v>666</v>
      </c>
      <c r="AX128" s="5" t="str">
        <f t="shared" ca="1" si="258"/>
        <v>VIGENTE</v>
      </c>
      <c r="AY128" s="4"/>
      <c r="AZ128" s="4">
        <v>46041</v>
      </c>
      <c r="BA128" s="4">
        <f>DATE(YEAR(AZ128)+2,MONTH(AZ128),DAY(AZ128))</f>
        <v>46771</v>
      </c>
      <c r="BB128" s="8">
        <f t="shared" ca="1" si="259"/>
        <v>637</v>
      </c>
      <c r="BC128" s="5" t="str">
        <f t="shared" ca="1" si="260"/>
        <v>VIGENTE</v>
      </c>
      <c r="BD128" s="4"/>
      <c r="BE128" s="4">
        <v>45987</v>
      </c>
      <c r="BF128" s="4">
        <f t="shared" si="456"/>
        <v>46717</v>
      </c>
      <c r="BG128" s="8">
        <f t="shared" ca="1" si="261"/>
        <v>583</v>
      </c>
      <c r="BH128" s="5" t="str">
        <f t="shared" ca="1" si="262"/>
        <v>VIGENTE</v>
      </c>
      <c r="BI128" s="4"/>
      <c r="BJ128" s="4">
        <v>46035</v>
      </c>
      <c r="BK128" s="4">
        <f>DATE(YEAR(BJ128)+2,MONTH(BJ128),DAY(BJ128))</f>
        <v>46765</v>
      </c>
      <c r="BL128" s="8">
        <f t="shared" ca="1" si="263"/>
        <v>631</v>
      </c>
      <c r="BM128" s="5" t="str">
        <f t="shared" ca="1" si="264"/>
        <v>VIGENTE</v>
      </c>
      <c r="BN128" s="4"/>
      <c r="BO128" s="4">
        <v>45988</v>
      </c>
      <c r="BP128" s="4">
        <f>DATE(YEAR(BO128)+2,MONTH(BO128),DAY(BO128))</f>
        <v>46718</v>
      </c>
      <c r="BQ128" s="8">
        <f t="shared" ca="1" si="265"/>
        <v>584</v>
      </c>
      <c r="BR128" s="5" t="str">
        <f t="shared" ca="1" si="266"/>
        <v>VIGENTE</v>
      </c>
      <c r="BS128" s="4"/>
      <c r="BT128" s="4">
        <v>46063</v>
      </c>
      <c r="BU128" s="4">
        <f>DATE(YEAR(BT128)+2,MONTH(BT128),DAY(BT128))</f>
        <v>46793</v>
      </c>
      <c r="BV128" s="8">
        <f t="shared" ca="1" si="267"/>
        <v>659</v>
      </c>
      <c r="BW128" s="5" t="str">
        <f t="shared" ca="1" si="268"/>
        <v>VIGENTE</v>
      </c>
      <c r="BX128" s="4"/>
      <c r="BY128" s="4">
        <v>45986</v>
      </c>
      <c r="BZ128" s="4">
        <f>DATE(YEAR(BY128)+2,MONTH(BY128),DAY(BY128))</f>
        <v>46716</v>
      </c>
      <c r="CA128" s="8">
        <f t="shared" ca="1" si="269"/>
        <v>582</v>
      </c>
      <c r="CB128" s="5" t="str">
        <f t="shared" ca="1" si="270"/>
        <v>VIGENTE</v>
      </c>
      <c r="CC128" s="6" t="s">
        <v>73</v>
      </c>
      <c r="CD128" s="4">
        <v>45346</v>
      </c>
      <c r="CE128" s="4">
        <f t="shared" si="428"/>
        <v>46807</v>
      </c>
      <c r="CF128" s="8">
        <f t="shared" ca="1" si="429"/>
        <v>673</v>
      </c>
      <c r="CG128" s="5" t="str">
        <f t="shared" ca="1" si="430"/>
        <v>VIGENTE</v>
      </c>
      <c r="CH128" s="4"/>
      <c r="CI128" s="4">
        <v>46018</v>
      </c>
      <c r="CJ128" s="4">
        <f>DATE(YEAR(CI128)+2,MONTH(CI128),DAY(CI128))</f>
        <v>46748</v>
      </c>
      <c r="CK128" s="8">
        <f t="shared" ca="1" si="274"/>
        <v>614</v>
      </c>
      <c r="CL128" s="5" t="str">
        <f t="shared" ca="1" si="275"/>
        <v>VIGENTE</v>
      </c>
      <c r="CM128" s="4"/>
      <c r="CN128" s="4">
        <v>46038</v>
      </c>
      <c r="CO128" s="4">
        <f>DATE(YEAR(CN128)+2,MONTH(CN128),DAY(CN128))</f>
        <v>46768</v>
      </c>
      <c r="CP128" s="8">
        <f t="shared" ca="1" si="276"/>
        <v>634</v>
      </c>
      <c r="CQ128" s="5" t="str">
        <f t="shared" ca="1" si="277"/>
        <v>VIGENTE</v>
      </c>
      <c r="CR128" s="4"/>
      <c r="CS128" s="4">
        <v>46043</v>
      </c>
      <c r="CT128" s="4">
        <f>DATE(YEAR(CS128)+2,MONTH(CS128),DAY(CS128))</f>
        <v>46773</v>
      </c>
      <c r="CU128" s="8">
        <f t="shared" ca="1" si="278"/>
        <v>639</v>
      </c>
      <c r="CV128" s="5" t="str">
        <f t="shared" ca="1" si="279"/>
        <v>VIGENTE</v>
      </c>
      <c r="CW128" s="4"/>
      <c r="CX128" s="4">
        <v>46000</v>
      </c>
      <c r="CY128" s="4">
        <f>DATE(YEAR(CX128)+2,MONTH(CX128),DAY(CX128))</f>
        <v>46730</v>
      </c>
      <c r="CZ128" s="8">
        <f t="shared" ca="1" si="280"/>
        <v>596</v>
      </c>
      <c r="DA128" s="5" t="str">
        <f t="shared" ca="1" si="281"/>
        <v>VIGENTE</v>
      </c>
      <c r="DB128" s="4"/>
      <c r="DC128" s="4">
        <v>46045</v>
      </c>
      <c r="DD128" s="4">
        <f>DATE(YEAR(DC128)+2,MONTH(DC128),DAY(DC128))</f>
        <v>46775</v>
      </c>
      <c r="DE128" s="8">
        <f t="shared" ca="1" si="282"/>
        <v>641</v>
      </c>
      <c r="DF128" s="5" t="str">
        <f t="shared" ca="1" si="283"/>
        <v>VIGENTE</v>
      </c>
      <c r="DG128" s="4"/>
      <c r="DH128" s="4">
        <v>46029</v>
      </c>
      <c r="DI128" s="4">
        <f>DATE(YEAR(DH128)+2,MONTH(DH128),DAY(DH128))</f>
        <v>46759</v>
      </c>
      <c r="DJ128" s="8">
        <f t="shared" ca="1" si="284"/>
        <v>625</v>
      </c>
      <c r="DK128" s="5" t="str">
        <f t="shared" ca="1" si="285"/>
        <v>VIGENTE</v>
      </c>
      <c r="DL128" s="4"/>
      <c r="DM128" s="4">
        <v>46046</v>
      </c>
      <c r="DN128" s="4">
        <f>DATE(YEAR(DM128)+2,MONTH(DM128),DAY(DM128))</f>
        <v>46776</v>
      </c>
      <c r="DO128" s="8">
        <f t="shared" ca="1" si="286"/>
        <v>642</v>
      </c>
      <c r="DP128" s="5" t="str">
        <f t="shared" ca="1" si="287"/>
        <v>VIGENTE</v>
      </c>
      <c r="DQ128" s="4"/>
      <c r="DR128" s="4">
        <v>46053</v>
      </c>
      <c r="DS128" s="4">
        <f>DATE(YEAR(DR128)+2,MONTH(DR128),DAY(DR128))</f>
        <v>46783</v>
      </c>
      <c r="DT128" s="8">
        <f t="shared" ca="1" si="288"/>
        <v>649</v>
      </c>
      <c r="DU128" s="5" t="str">
        <f t="shared" ca="1" si="289"/>
        <v>VIGENTE</v>
      </c>
      <c r="DV128" s="4"/>
      <c r="DW128" s="4">
        <v>46032</v>
      </c>
      <c r="DX128" s="4">
        <f>DATE(YEAR(DW128)+2,MONTH(DW128),DAY(DW128))</f>
        <v>46762</v>
      </c>
      <c r="DY128" s="8">
        <f t="shared" ca="1" si="290"/>
        <v>628</v>
      </c>
      <c r="DZ128" s="5" t="str">
        <f t="shared" ca="1" si="291"/>
        <v>VIGENTE</v>
      </c>
      <c r="EA128" s="4"/>
      <c r="EB128" s="4">
        <v>46104</v>
      </c>
      <c r="EC128" s="4">
        <f>DATE(YEAR(EB128)+2,MONTH(EB128),DAY(EB128))</f>
        <v>46835</v>
      </c>
      <c r="ED128" s="8">
        <f t="shared" ca="1" si="292"/>
        <v>701</v>
      </c>
      <c r="EE128" s="5" t="str">
        <f t="shared" ca="1" si="293"/>
        <v>VIGENTE</v>
      </c>
      <c r="EF128" s="4"/>
      <c r="EG128" s="4">
        <v>45808</v>
      </c>
      <c r="EH128" s="4">
        <f t="shared" si="364"/>
        <v>46173</v>
      </c>
      <c r="EI128" s="8">
        <f t="shared" ca="1" si="294"/>
        <v>39</v>
      </c>
      <c r="EJ128" s="5" t="str">
        <f t="shared" ca="1" si="295"/>
        <v>POR VENCER</v>
      </c>
      <c r="EK128" s="4"/>
      <c r="EL128" s="4">
        <v>45983</v>
      </c>
      <c r="EM128" s="4">
        <f>DATE(YEAR(EL128)+2,MONTH(EL128),DAY(EL128))</f>
        <v>46713</v>
      </c>
      <c r="EN128" s="8">
        <f t="shared" ca="1" si="296"/>
        <v>579</v>
      </c>
      <c r="EO128" s="5" t="str">
        <f t="shared" ca="1" si="297"/>
        <v>VIGENTE</v>
      </c>
      <c r="EP128" s="4"/>
      <c r="EQ128" s="4">
        <v>45999</v>
      </c>
      <c r="ER128" s="4">
        <f>DATE(YEAR(EQ128)+2,MONTH(EQ128),DAY(EQ128))</f>
        <v>46729</v>
      </c>
      <c r="ES128" s="8">
        <f t="shared" ca="1" si="298"/>
        <v>595</v>
      </c>
      <c r="ET128" s="5" t="str">
        <f t="shared" ca="1" si="299"/>
        <v>VIGENTE</v>
      </c>
      <c r="EU128" s="4"/>
      <c r="EV128" s="4">
        <v>46037</v>
      </c>
      <c r="EW128" s="4">
        <f>DATE(YEAR(EV128)+2,MONTH(EV128),DAY(EV128))</f>
        <v>46767</v>
      </c>
      <c r="EX128" s="8">
        <f t="shared" ca="1" si="300"/>
        <v>633</v>
      </c>
      <c r="EY128" s="5" t="str">
        <f t="shared" ca="1" si="301"/>
        <v>VIGENTE</v>
      </c>
      <c r="EZ128" s="4"/>
      <c r="FA128" s="4">
        <v>46091</v>
      </c>
      <c r="FB128" s="4">
        <f>DATE(YEAR(FA128)+2,MONTH(FA128),DAY(FA128))</f>
        <v>46822</v>
      </c>
      <c r="FC128" s="8">
        <f t="shared" ca="1" si="302"/>
        <v>688</v>
      </c>
      <c r="FD128" s="5" t="str">
        <f t="shared" ca="1" si="303"/>
        <v>VIGENTE</v>
      </c>
      <c r="FE128" s="4"/>
      <c r="FF128" s="4">
        <v>45992</v>
      </c>
      <c r="FG128" s="4">
        <f>DATE(YEAR(FF128)+2,MONTH(FF128),DAY(FF128))</f>
        <v>46722</v>
      </c>
      <c r="FH128" s="8">
        <f t="shared" ca="1" si="304"/>
        <v>588</v>
      </c>
      <c r="FI128" s="5" t="str">
        <f t="shared" ca="1" si="305"/>
        <v>VIGENTE</v>
      </c>
      <c r="FJ128" s="4"/>
      <c r="FK128" s="4">
        <v>46039</v>
      </c>
      <c r="FL128" s="4">
        <f>DATE(YEAR(FK128)+2,MONTH(FK128),DAY(FK128))</f>
        <v>46769</v>
      </c>
      <c r="FM128" s="8">
        <f t="shared" ca="1" si="306"/>
        <v>635</v>
      </c>
      <c r="FN128" s="5" t="str">
        <f t="shared" ca="1" si="307"/>
        <v>VIGENTE</v>
      </c>
      <c r="FO128" s="4"/>
      <c r="FP128" s="4">
        <v>46034</v>
      </c>
      <c r="FQ128" s="4">
        <f>DATE(YEAR(FP128)+2,MONTH(FP128),DAY(FP128))</f>
        <v>46764</v>
      </c>
      <c r="FR128" s="8">
        <f t="shared" ca="1" si="308"/>
        <v>630</v>
      </c>
      <c r="FS128" s="5" t="str">
        <f t="shared" ca="1" si="309"/>
        <v>VIGENTE</v>
      </c>
      <c r="FT128" s="4"/>
      <c r="FU128" s="4">
        <v>46014</v>
      </c>
      <c r="FV128" s="4">
        <f>DATE(YEAR(FU128)+2,MONTH(FU128),DAY(FU128))</f>
        <v>46744</v>
      </c>
      <c r="FW128" s="8">
        <f t="shared" ca="1" si="310"/>
        <v>610</v>
      </c>
      <c r="FX128" s="5" t="str">
        <f t="shared" ca="1" si="311"/>
        <v>VIGENTE</v>
      </c>
      <c r="FY128" s="4"/>
      <c r="FZ128" s="4">
        <v>46003</v>
      </c>
      <c r="GA128" s="4">
        <f>DATE(YEAR(FZ128)+2,MONTH(FZ128),DAY(FZ128))</f>
        <v>46733</v>
      </c>
      <c r="GB128" s="8">
        <f t="shared" ca="1" si="312"/>
        <v>599</v>
      </c>
      <c r="GC128" s="5" t="str">
        <f t="shared" ca="1" si="313"/>
        <v>VIGENTE</v>
      </c>
      <c r="GD128" s="4"/>
      <c r="GE128" s="4">
        <v>46036</v>
      </c>
      <c r="GF128" s="4">
        <f>DATE(YEAR(GE128)+2,MONTH(GE128),DAY(GE128))</f>
        <v>46766</v>
      </c>
      <c r="GG128" s="8">
        <f t="shared" ca="1" si="314"/>
        <v>632</v>
      </c>
      <c r="GH128" s="5" t="str">
        <f t="shared" ca="1" si="315"/>
        <v>VIGENTE</v>
      </c>
      <c r="GI128" s="4"/>
      <c r="GJ128" s="4">
        <v>46044</v>
      </c>
      <c r="GK128" s="4">
        <f>DATE(YEAR(GJ128)+2,MONTH(GJ128),DAY(GJ128))</f>
        <v>46774</v>
      </c>
      <c r="GL128" s="8">
        <f t="shared" ca="1" si="316"/>
        <v>640</v>
      </c>
      <c r="GM128" s="5" t="str">
        <f t="shared" ca="1" si="317"/>
        <v>VIGENTE</v>
      </c>
      <c r="GN128" s="4"/>
      <c r="GO128" s="4">
        <v>45367</v>
      </c>
      <c r="GP128" s="4">
        <f t="shared" si="318"/>
        <v>47193</v>
      </c>
      <c r="GQ128" s="8">
        <f t="shared" ca="1" si="418"/>
        <v>1059</v>
      </c>
      <c r="GR128" s="5" t="str">
        <f t="shared" ca="1" si="431"/>
        <v>VIGENTE</v>
      </c>
      <c r="GS128" s="4"/>
      <c r="GT128" s="4">
        <v>45342</v>
      </c>
      <c r="GU128" s="4">
        <f t="shared" si="320"/>
        <v>47169</v>
      </c>
      <c r="GV128" s="8">
        <f t="shared" ca="1" si="321"/>
        <v>1035</v>
      </c>
      <c r="GW128" s="5" t="str">
        <f t="shared" ca="1" si="438"/>
        <v>VIGENTE</v>
      </c>
      <c r="GX128" s="6"/>
      <c r="GY128" s="4">
        <v>45348</v>
      </c>
      <c r="GZ128" s="4">
        <f t="shared" si="323"/>
        <v>47175</v>
      </c>
      <c r="HA128" s="8">
        <f t="shared" ca="1" si="324"/>
        <v>1041</v>
      </c>
      <c r="HB128" s="5" t="str">
        <f t="shared" ca="1" si="433"/>
        <v>VIGENTE</v>
      </c>
      <c r="HC128" s="6"/>
      <c r="HD128" s="4">
        <v>45401</v>
      </c>
      <c r="HE128" s="4">
        <f t="shared" si="440"/>
        <v>47227</v>
      </c>
      <c r="HF128" s="8">
        <f t="shared" ca="1" si="441"/>
        <v>1093</v>
      </c>
      <c r="HG128" s="5" t="str">
        <f t="shared" ca="1" si="439"/>
        <v>VIGENTE</v>
      </c>
      <c r="HH128" s="6"/>
      <c r="HI128" s="6"/>
      <c r="HJ128" s="4"/>
      <c r="HK128" s="8"/>
      <c r="HL128" s="5" t="str">
        <f t="shared" si="457"/>
        <v>NO APLICA</v>
      </c>
      <c r="HM128" s="2"/>
      <c r="HN128" s="2"/>
      <c r="HO128" s="4"/>
      <c r="HP128" s="2"/>
      <c r="HQ128" s="5" t="str">
        <f t="shared" si="326"/>
        <v>NO APLICA</v>
      </c>
      <c r="HR128" s="6"/>
      <c r="HS128" s="6"/>
      <c r="HT128" s="4"/>
      <c r="HU128" s="8"/>
      <c r="HV128" s="5" t="str">
        <f t="shared" si="327"/>
        <v>NO APLICA</v>
      </c>
      <c r="HW128" s="6"/>
      <c r="HX128" s="6"/>
      <c r="HY128" s="4"/>
      <c r="HZ128" s="8"/>
      <c r="IA128" s="5" t="str">
        <f t="shared" si="328"/>
        <v>NO APLICA</v>
      </c>
      <c r="IB128" s="6"/>
      <c r="IC128" s="6"/>
      <c r="ID128" s="4"/>
      <c r="IE128" s="8"/>
      <c r="IF128" s="5" t="str">
        <f t="shared" si="329"/>
        <v>NO APLICA</v>
      </c>
      <c r="IG128" s="6"/>
      <c r="IH128" s="6"/>
      <c r="II128" s="4"/>
      <c r="IJ128" s="6"/>
      <c r="IK128" s="5" t="str">
        <f t="shared" si="330"/>
        <v>NO APLICA</v>
      </c>
      <c r="IL128" s="6"/>
      <c r="IM128" s="6"/>
      <c r="IN128" s="4"/>
      <c r="IO128" s="8"/>
      <c r="IP128" s="5" t="str">
        <f t="shared" si="331"/>
        <v>NO APLICA</v>
      </c>
      <c r="IQ128" s="6"/>
      <c r="IR128" s="4">
        <v>45402</v>
      </c>
      <c r="IS128" s="4">
        <f>DATE(YEAR(IR128)+5,MONTH(IR128),DAY(IR128))</f>
        <v>47228</v>
      </c>
      <c r="IT128" s="8">
        <f ca="1">IS128-TODAY()</f>
        <v>1094</v>
      </c>
      <c r="IU128" s="5" t="str">
        <f t="shared" ca="1" si="332"/>
        <v>VIGENTE</v>
      </c>
      <c r="IV128" s="6"/>
      <c r="IW128" s="6"/>
      <c r="IX128" s="4"/>
      <c r="IY128" s="8"/>
      <c r="IZ128" s="5" t="str">
        <f t="shared" si="333"/>
        <v>NO APLICA</v>
      </c>
      <c r="JA128" s="3"/>
      <c r="JB128" s="3"/>
      <c r="JC128" s="4"/>
      <c r="JD128" s="8"/>
      <c r="JE128" s="5" t="str">
        <f t="shared" si="334"/>
        <v>NO APLICA</v>
      </c>
      <c r="JF128" s="6"/>
      <c r="JG128" s="6"/>
      <c r="JH128" s="6"/>
      <c r="JI128" s="6"/>
      <c r="JJ128" s="5" t="str">
        <f t="shared" si="335"/>
        <v>NO APLICA</v>
      </c>
      <c r="JK128" s="6"/>
      <c r="JL128" s="6"/>
      <c r="JM128" s="6"/>
      <c r="JN128" s="6"/>
      <c r="JO128" s="5" t="str">
        <f t="shared" si="336"/>
        <v>NO APLICA</v>
      </c>
      <c r="JP128" s="6"/>
      <c r="JQ128" s="6"/>
      <c r="JR128" s="6"/>
      <c r="JS128" s="6"/>
      <c r="JT128" s="5" t="str">
        <f t="shared" si="337"/>
        <v>NO APLICA</v>
      </c>
      <c r="JU128" s="5"/>
      <c r="JV128" s="5"/>
      <c r="JW128" s="5"/>
      <c r="JX128" s="5"/>
      <c r="JY128" s="5" t="str">
        <f t="shared" si="338"/>
        <v>NO APLICA</v>
      </c>
      <c r="JZ128" s="5"/>
      <c r="KA128" s="3">
        <v>45362</v>
      </c>
      <c r="KB128" s="4">
        <f>DATE(YEAR(KA128)+5,MONTH(KA128),DAY(KA128))</f>
        <v>47188</v>
      </c>
      <c r="KC128" s="8">
        <f ca="1">KB128-TODAY()</f>
        <v>1054</v>
      </c>
      <c r="KD128" s="5" t="str">
        <f t="shared" ca="1" si="339"/>
        <v>VIGENTE</v>
      </c>
      <c r="KE128" s="5"/>
      <c r="KF128" s="2"/>
      <c r="KG128" s="4"/>
      <c r="KH128" s="8"/>
      <c r="KI128" s="5" t="str">
        <f t="shared" si="365"/>
        <v>NO APLICA</v>
      </c>
      <c r="KJ128" s="5"/>
      <c r="KK128" s="3"/>
      <c r="KL128" s="4"/>
      <c r="KM128" s="8"/>
      <c r="KN128" s="5" t="str">
        <f t="shared" si="340"/>
        <v>NO APLICA</v>
      </c>
      <c r="KO128" s="5"/>
      <c r="KP128" s="3">
        <v>45346</v>
      </c>
      <c r="KQ128" s="4">
        <f>DATE(YEAR(KP128)+5,MONTH(KP128),DAY(KP128))</f>
        <v>47173</v>
      </c>
      <c r="KR128" s="8">
        <f ca="1">KQ128-TODAY()</f>
        <v>1039</v>
      </c>
      <c r="KS128" s="5" t="str">
        <f t="shared" ca="1" si="366"/>
        <v>VIGENTE</v>
      </c>
      <c r="KT128" s="6"/>
      <c r="KU128" s="6"/>
      <c r="KV128" s="4"/>
      <c r="KW128" s="6"/>
      <c r="KX128" s="5" t="str">
        <f t="shared" si="375"/>
        <v>NO APLICA</v>
      </c>
      <c r="KY128" s="5"/>
      <c r="KZ128" s="6"/>
      <c r="LA128" s="4"/>
      <c r="LB128" s="6"/>
      <c r="LC128" s="5" t="str">
        <f t="shared" si="367"/>
        <v>NO APLICA</v>
      </c>
      <c r="LD128" s="6"/>
      <c r="LE128" s="6"/>
      <c r="LF128" s="6"/>
      <c r="LG128" s="6"/>
      <c r="LH128" s="5" t="str">
        <f t="shared" si="341"/>
        <v>NO APLICA</v>
      </c>
      <c r="LI128" s="5"/>
      <c r="LJ128" s="5"/>
      <c r="LK128" s="4"/>
      <c r="LL128" s="8"/>
      <c r="LM128" s="5" t="str">
        <f t="shared" si="376"/>
        <v>NO APLICA</v>
      </c>
      <c r="LN128" s="6"/>
      <c r="LO128" s="6"/>
      <c r="LP128" s="4"/>
      <c r="LQ128" s="8"/>
      <c r="LR128" s="5" t="str">
        <f t="shared" si="368"/>
        <v>NO APLICA</v>
      </c>
      <c r="LS128" s="6"/>
      <c r="LT128" s="6"/>
      <c r="LU128" s="4"/>
      <c r="LV128" s="6"/>
      <c r="LW128" s="5" t="str">
        <f t="shared" si="369"/>
        <v>NO APLICA</v>
      </c>
      <c r="LX128" s="6"/>
      <c r="LY128" s="6"/>
      <c r="LZ128" s="4"/>
      <c r="MA128" s="6"/>
      <c r="MB128" s="5" t="str">
        <f t="shared" si="370"/>
        <v>NO APLICA</v>
      </c>
      <c r="MC128" s="6"/>
      <c r="MD128" s="6"/>
      <c r="ME128" s="4"/>
      <c r="MF128" s="6"/>
      <c r="MG128" s="5" t="str">
        <f t="shared" si="342"/>
        <v>NO APLICA</v>
      </c>
      <c r="MH128" s="6"/>
      <c r="MI128" s="6"/>
      <c r="MJ128" s="4"/>
      <c r="MK128" s="6"/>
      <c r="ML128" s="5" t="str">
        <f t="shared" si="343"/>
        <v>NO APLICA</v>
      </c>
      <c r="MM128" s="5"/>
      <c r="MN128" s="6"/>
      <c r="MO128" s="4"/>
      <c r="MP128" s="6"/>
      <c r="MQ128" s="5" t="str">
        <f t="shared" si="344"/>
        <v>NO APLICA</v>
      </c>
      <c r="MR128" s="5"/>
      <c r="MS128" s="6"/>
      <c r="MT128" s="6"/>
      <c r="MU128" s="6"/>
      <c r="MV128" s="5" t="str">
        <f t="shared" si="345"/>
        <v>NO APLICA</v>
      </c>
      <c r="MW128" s="6"/>
      <c r="MX128" s="6"/>
      <c r="MY128" s="4"/>
      <c r="MZ128" s="6"/>
      <c r="NA128" s="5" t="str">
        <f t="shared" si="346"/>
        <v>NO APLICA</v>
      </c>
      <c r="NB128" s="6"/>
      <c r="NC128" s="6"/>
      <c r="ND128" s="4"/>
      <c r="NE128" s="6"/>
      <c r="NF128" s="5" t="str">
        <f t="shared" si="347"/>
        <v>NO APLICA</v>
      </c>
      <c r="NG128" s="6"/>
      <c r="NH128" s="6"/>
      <c r="NI128" s="4"/>
      <c r="NJ128" s="6"/>
      <c r="NK128" s="5" t="str">
        <f t="shared" si="348"/>
        <v>NO APLICA</v>
      </c>
      <c r="NL128" s="6"/>
      <c r="NM128" s="6"/>
      <c r="NN128" s="4"/>
      <c r="NO128" s="6"/>
      <c r="NP128" s="5" t="str">
        <f t="shared" si="349"/>
        <v>NO APLICA</v>
      </c>
      <c r="NQ128" s="6"/>
      <c r="NR128" s="6"/>
      <c r="NS128" s="4"/>
      <c r="NT128" s="6"/>
      <c r="NU128" s="5" t="str">
        <f t="shared" si="350"/>
        <v>NO APLICA</v>
      </c>
      <c r="NV128" s="6"/>
      <c r="NW128" s="6"/>
      <c r="NX128" s="4"/>
      <c r="NY128" s="8"/>
      <c r="NZ128" s="5" t="str">
        <f t="shared" si="351"/>
        <v>NO APLICA</v>
      </c>
      <c r="OA128" s="6"/>
      <c r="OB128" s="6"/>
      <c r="OC128" s="6"/>
      <c r="OD128" s="6"/>
      <c r="OE128" s="5" t="str">
        <f t="shared" si="352"/>
        <v>NO APLICA</v>
      </c>
      <c r="OF128" s="6"/>
      <c r="OG128" s="6"/>
      <c r="OH128" s="6"/>
      <c r="OI128" s="6"/>
      <c r="OJ128" s="5" t="str">
        <f t="shared" si="353"/>
        <v>NO APLICA</v>
      </c>
      <c r="OK128" s="6"/>
      <c r="OL128" s="6"/>
      <c r="OM128" s="6"/>
      <c r="ON128" s="6"/>
      <c r="OO128" s="5" t="str">
        <f t="shared" si="354"/>
        <v>NO APLICA</v>
      </c>
      <c r="OP128" s="6"/>
      <c r="OQ128" s="6"/>
      <c r="OR128" s="6"/>
      <c r="OS128" s="6"/>
      <c r="OT128" s="5" t="str">
        <f t="shared" si="355"/>
        <v>NO APLICA</v>
      </c>
      <c r="OU128" s="6"/>
      <c r="OV128" s="6"/>
      <c r="OW128" s="6"/>
      <c r="OX128" s="6"/>
      <c r="OY128" s="5" t="str">
        <f t="shared" si="356"/>
        <v>NO APLICA</v>
      </c>
      <c r="OZ128" s="6"/>
      <c r="PA128" s="6"/>
      <c r="PB128" s="6"/>
      <c r="PC128" s="6"/>
      <c r="PD128" s="5" t="str">
        <f t="shared" si="357"/>
        <v>NO APLICA</v>
      </c>
      <c r="PE128" s="6"/>
      <c r="PF128" s="6"/>
      <c r="PG128" s="6"/>
      <c r="PH128" s="6"/>
      <c r="PI128" s="5" t="str">
        <f t="shared" si="358"/>
        <v>NO APLICA</v>
      </c>
      <c r="PJ128" s="5"/>
      <c r="PK128" s="6"/>
      <c r="PL128" s="6"/>
      <c r="PM128" s="6"/>
      <c r="PN128" s="5" t="str">
        <f t="shared" si="359"/>
        <v>NO APLICA</v>
      </c>
      <c r="PO128" s="6"/>
      <c r="PP128" s="6"/>
      <c r="PQ128" s="6"/>
      <c r="PR128" s="6"/>
      <c r="PS128" s="5" t="str">
        <f t="shared" si="360"/>
        <v>NO APLICA</v>
      </c>
      <c r="PT128" s="5"/>
      <c r="PU128" s="6"/>
      <c r="PV128" s="6"/>
      <c r="PW128" s="6"/>
      <c r="PX128" s="5" t="str">
        <f t="shared" si="361"/>
        <v>NO APLICA</v>
      </c>
    </row>
    <row r="129" spans="1:440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433</v>
      </c>
      <c r="V129" s="4">
        <v>44918</v>
      </c>
      <c r="W129" s="4">
        <f t="shared" si="421"/>
        <v>46744</v>
      </c>
      <c r="X129" s="8">
        <f t="shared" ca="1" si="422"/>
        <v>610</v>
      </c>
      <c r="Y129" s="5" t="str">
        <f t="shared" ca="1" si="423"/>
        <v>VIGENTE</v>
      </c>
      <c r="Z129" s="2" t="s">
        <v>434</v>
      </c>
      <c r="AA129" s="4">
        <v>44988</v>
      </c>
      <c r="AB129" s="4">
        <f t="shared" si="442"/>
        <v>46815</v>
      </c>
      <c r="AC129" s="8">
        <f t="shared" ca="1" si="443"/>
        <v>681</v>
      </c>
      <c r="AD129" s="5" t="str">
        <f t="shared" ca="1" si="444"/>
        <v>VIGENTE</v>
      </c>
      <c r="AE129" s="3"/>
      <c r="AF129" s="4">
        <v>45609</v>
      </c>
      <c r="AG129" s="4">
        <f>DATE(YEAR(AF129)+2,MONTH(AF129),DAY(AF129)-1)</f>
        <v>46338</v>
      </c>
      <c r="AH129" s="8">
        <f t="shared" ca="1" si="252"/>
        <v>204</v>
      </c>
      <c r="AI129" s="5" t="str">
        <f t="shared" ca="1" si="419"/>
        <v>VIGENTE</v>
      </c>
      <c r="AJ129" s="3"/>
      <c r="AK129" s="4">
        <v>45516</v>
      </c>
      <c r="AL129" s="4">
        <f>DATE(YEAR(AK129)+2,MONTH(AK129),DAY(AK129)-1)</f>
        <v>46245</v>
      </c>
      <c r="AM129" s="8">
        <f t="shared" ca="1" si="253"/>
        <v>111</v>
      </c>
      <c r="AN129" s="5" t="str">
        <f t="shared" ca="1" si="254"/>
        <v>VIGENTE</v>
      </c>
      <c r="AO129" s="3"/>
      <c r="AP129" s="4">
        <v>45505</v>
      </c>
      <c r="AQ129" s="4">
        <f>DATE(YEAR(AP129)+2,MONTH(AP129),DAY(AP129)-1)</f>
        <v>46234</v>
      </c>
      <c r="AR129" s="8">
        <f t="shared" ca="1" si="255"/>
        <v>100</v>
      </c>
      <c r="AS129" s="5" t="str">
        <f t="shared" ca="1" si="256"/>
        <v>VIGENTE</v>
      </c>
      <c r="AT129" s="3"/>
      <c r="AU129" s="4">
        <v>45514</v>
      </c>
      <c r="AV129" s="4">
        <f>DATE(YEAR(AU129)+2,MONTH(AU129),DAY(AU129)-1)</f>
        <v>46243</v>
      </c>
      <c r="AW129" s="8">
        <f t="shared" ca="1" si="257"/>
        <v>109</v>
      </c>
      <c r="AX129" s="5" t="str">
        <f t="shared" ca="1" si="258"/>
        <v>VIGENTE</v>
      </c>
      <c r="AY129" s="3"/>
      <c r="AZ129" s="4">
        <v>45515</v>
      </c>
      <c r="BA129" s="4">
        <f>DATE(YEAR(AZ129)+2,MONTH(AZ129),DAY(AZ129)-1)</f>
        <v>46244</v>
      </c>
      <c r="BB129" s="8">
        <f t="shared" ca="1" si="259"/>
        <v>110</v>
      </c>
      <c r="BC129" s="5" t="str">
        <f t="shared" ca="1" si="260"/>
        <v>VIGENTE</v>
      </c>
      <c r="BD129" s="3"/>
      <c r="BE129" s="4">
        <v>45531</v>
      </c>
      <c r="BF129" s="4">
        <f>DATE(YEAR(BE129)+2,MONTH(BE129),DAY(BE129)-1)</f>
        <v>46260</v>
      </c>
      <c r="BG129" s="8">
        <f t="shared" ca="1" si="261"/>
        <v>126</v>
      </c>
      <c r="BH129" s="5" t="str">
        <f t="shared" ca="1" si="262"/>
        <v>VIGENTE</v>
      </c>
      <c r="BI129" s="3"/>
      <c r="BJ129" s="4">
        <v>45519</v>
      </c>
      <c r="BK129" s="4">
        <f>DATE(YEAR(BJ129)+2,MONTH(BJ129),DAY(BJ129)-1)</f>
        <v>46248</v>
      </c>
      <c r="BL129" s="8">
        <f t="shared" ca="1" si="263"/>
        <v>114</v>
      </c>
      <c r="BM129" s="5" t="str">
        <f t="shared" ca="1" si="264"/>
        <v>VIGENTE</v>
      </c>
      <c r="BN129" s="3"/>
      <c r="BO129" s="4">
        <v>45532</v>
      </c>
      <c r="BP129" s="4">
        <f>DATE(YEAR(BO129)+2,MONTH(BO129),DAY(BO129)-1)</f>
        <v>46261</v>
      </c>
      <c r="BQ129" s="8">
        <f t="shared" ca="1" si="265"/>
        <v>127</v>
      </c>
      <c r="BR129" s="5" t="str">
        <f t="shared" ca="1" si="266"/>
        <v>VIGENTE</v>
      </c>
      <c r="BS129" s="3"/>
      <c r="BT129" s="4">
        <v>45611</v>
      </c>
      <c r="BU129" s="4">
        <f>DATE(YEAR(BT129)+2,MONTH(BT129),DAY(BT129)-1)</f>
        <v>46340</v>
      </c>
      <c r="BV129" s="8">
        <f t="shared" ca="1" si="267"/>
        <v>206</v>
      </c>
      <c r="BW129" s="5" t="str">
        <f t="shared" ca="1" si="268"/>
        <v>VIGENTE</v>
      </c>
      <c r="BX129" s="3"/>
      <c r="BY129" s="4">
        <v>45546</v>
      </c>
      <c r="BZ129" s="4">
        <f>DATE(YEAR(BY129)+2,MONTH(BY129),DAY(BY129)-1)</f>
        <v>46275</v>
      </c>
      <c r="CA129" s="8">
        <f t="shared" ca="1" si="269"/>
        <v>141</v>
      </c>
      <c r="CB129" s="5" t="str">
        <f t="shared" ca="1" si="270"/>
        <v>VIGENTE</v>
      </c>
      <c r="CC129" s="6" t="s">
        <v>73</v>
      </c>
      <c r="CD129" s="4">
        <v>45282</v>
      </c>
      <c r="CE129" s="4">
        <f t="shared" si="428"/>
        <v>46743</v>
      </c>
      <c r="CF129" s="8">
        <f t="shared" ca="1" si="429"/>
        <v>609</v>
      </c>
      <c r="CG129" s="5" t="str">
        <f t="shared" ca="1" si="430"/>
        <v>VIGENTE</v>
      </c>
      <c r="CH129" s="4"/>
      <c r="CI129" s="4">
        <v>45504</v>
      </c>
      <c r="CJ129" s="4">
        <f>DATE(YEAR(CI129)+2,MONTH(CI129),DAY(CI129)-1)</f>
        <v>46233</v>
      </c>
      <c r="CK129" s="8">
        <f t="shared" ca="1" si="274"/>
        <v>99</v>
      </c>
      <c r="CL129" s="5" t="str">
        <f t="shared" ca="1" si="275"/>
        <v>VIGENTE</v>
      </c>
      <c r="CM129" s="3"/>
      <c r="CN129" s="4">
        <v>45544</v>
      </c>
      <c r="CO129" s="4">
        <f>DATE(YEAR(CN129)+2,MONTH(CN129),DAY(CN129)-1)</f>
        <v>46273</v>
      </c>
      <c r="CP129" s="8">
        <f t="shared" ca="1" si="276"/>
        <v>139</v>
      </c>
      <c r="CQ129" s="5" t="str">
        <f t="shared" ca="1" si="277"/>
        <v>VIGENTE</v>
      </c>
      <c r="CR129" s="3"/>
      <c r="CS129" s="4">
        <v>45645</v>
      </c>
      <c r="CT129" s="4">
        <f>DATE(YEAR(CS129)+2,MONTH(CS129),DAY(CS129)-1)</f>
        <v>46374</v>
      </c>
      <c r="CU129" s="8">
        <f t="shared" ca="1" si="278"/>
        <v>240</v>
      </c>
      <c r="CV129" s="5" t="str">
        <f t="shared" ca="1" si="279"/>
        <v>VIGENTE</v>
      </c>
      <c r="CW129" s="3"/>
      <c r="CX129" s="4">
        <v>45661</v>
      </c>
      <c r="CY129" s="4">
        <f>DATE(YEAR(CX129)+2,MONTH(CX129),DAY(CX129)-1)</f>
        <v>46390</v>
      </c>
      <c r="CZ129" s="8">
        <f t="shared" ca="1" si="280"/>
        <v>256</v>
      </c>
      <c r="DA129" s="5" t="str">
        <f t="shared" ca="1" si="281"/>
        <v>VIGENTE</v>
      </c>
      <c r="DB129" s="3"/>
      <c r="DC129" s="4">
        <v>45689</v>
      </c>
      <c r="DD129" s="4">
        <f>DATE(YEAR(DC129)+2,MONTH(DC129),DAY(DC129)-1)</f>
        <v>46418</v>
      </c>
      <c r="DE129" s="8">
        <f t="shared" ca="1" si="282"/>
        <v>284</v>
      </c>
      <c r="DF129" s="5" t="str">
        <f t="shared" ca="1" si="283"/>
        <v>VIGENTE</v>
      </c>
      <c r="DG129" s="3"/>
      <c r="DH129" s="4">
        <v>45562</v>
      </c>
      <c r="DI129" s="4">
        <f>DATE(YEAR(DH129)+2,MONTH(DH129),DAY(DH129)-1)</f>
        <v>46291</v>
      </c>
      <c r="DJ129" s="8">
        <f t="shared" ca="1" si="284"/>
        <v>157</v>
      </c>
      <c r="DK129" s="5" t="str">
        <f t="shared" ca="1" si="285"/>
        <v>VIGENTE</v>
      </c>
      <c r="DL129" s="3"/>
      <c r="DM129" s="4">
        <v>45533</v>
      </c>
      <c r="DN129" s="4">
        <f>DATE(YEAR(DM129)+2,MONTH(DM129),DAY(DM129)-1)</f>
        <v>46262</v>
      </c>
      <c r="DO129" s="8">
        <f t="shared" ca="1" si="286"/>
        <v>128</v>
      </c>
      <c r="DP129" s="5" t="str">
        <f t="shared" ca="1" si="287"/>
        <v>VIGENTE</v>
      </c>
      <c r="DQ129" s="3"/>
      <c r="DR129" s="4">
        <v>45619</v>
      </c>
      <c r="DS129" s="4">
        <f>DATE(YEAR(DR129)+2,MONTH(DR129),DAY(DR129)-1)</f>
        <v>46348</v>
      </c>
      <c r="DT129" s="8">
        <f t="shared" ca="1" si="288"/>
        <v>214</v>
      </c>
      <c r="DU129" s="5" t="str">
        <f t="shared" ca="1" si="289"/>
        <v>VIGENTE</v>
      </c>
      <c r="DV129" s="3"/>
      <c r="DW129" s="4">
        <v>45709</v>
      </c>
      <c r="DX129" s="4">
        <f>DATE(YEAR(DW129)+2,MONTH(DW129),DAY(DW129)-1)</f>
        <v>46438</v>
      </c>
      <c r="DY129" s="8">
        <f t="shared" ca="1" si="290"/>
        <v>304</v>
      </c>
      <c r="DZ129" s="5" t="str">
        <f t="shared" ca="1" si="291"/>
        <v>VIGENTE</v>
      </c>
      <c r="EA129" s="3"/>
      <c r="EB129" s="4">
        <v>45674</v>
      </c>
      <c r="EC129" s="4">
        <f>DATE(YEAR(EB129)+2,MONTH(EB129),DAY(EB129)-1)</f>
        <v>46403</v>
      </c>
      <c r="ED129" s="8">
        <f t="shared" ca="1" si="292"/>
        <v>269</v>
      </c>
      <c r="EE129" s="5" t="str">
        <f t="shared" ca="1" si="293"/>
        <v>VIGENTE</v>
      </c>
      <c r="EF129" s="3"/>
      <c r="EG129" s="3">
        <v>46002</v>
      </c>
      <c r="EH129" s="4">
        <f t="shared" si="364"/>
        <v>46367</v>
      </c>
      <c r="EI129" s="8">
        <f t="shared" ca="1" si="294"/>
        <v>233</v>
      </c>
      <c r="EJ129" s="5" t="str">
        <f t="shared" ca="1" si="295"/>
        <v>VIGENTE</v>
      </c>
      <c r="EK129" s="3"/>
      <c r="EL129" s="4">
        <v>45660</v>
      </c>
      <c r="EM129" s="4">
        <f>DATE(YEAR(EL129)+2,MONTH(EL129),DAY(EL129)-1)</f>
        <v>46389</v>
      </c>
      <c r="EN129" s="8">
        <f t="shared" ca="1" si="296"/>
        <v>255</v>
      </c>
      <c r="EO129" s="5" t="str">
        <f t="shared" ca="1" si="297"/>
        <v>VIGENTE</v>
      </c>
      <c r="EP129" s="3"/>
      <c r="EQ129" s="4">
        <v>45677</v>
      </c>
      <c r="ER129" s="4">
        <f>DATE(YEAR(EQ129)+2,MONTH(EQ129),DAY(EQ129)-1)</f>
        <v>46406</v>
      </c>
      <c r="ES129" s="8">
        <f t="shared" ca="1" si="298"/>
        <v>272</v>
      </c>
      <c r="ET129" s="5" t="str">
        <f t="shared" ca="1" si="299"/>
        <v>VIGENTE</v>
      </c>
      <c r="EU129" s="3"/>
      <c r="EV129" s="4">
        <v>45610</v>
      </c>
      <c r="EW129" s="4">
        <f>DATE(YEAR(EV129)+2,MONTH(EV129),DAY(EV129)-1)</f>
        <v>46339</v>
      </c>
      <c r="EX129" s="8">
        <f t="shared" ca="1" si="300"/>
        <v>205</v>
      </c>
      <c r="EY129" s="5" t="str">
        <f t="shared" ca="1" si="301"/>
        <v>VIGENTE</v>
      </c>
      <c r="EZ129" s="3"/>
      <c r="FA129" s="4">
        <v>45666</v>
      </c>
      <c r="FB129" s="4">
        <f>DATE(YEAR(FA129)+2,MONTH(FA129),DAY(FA129)-1)</f>
        <v>46395</v>
      </c>
      <c r="FC129" s="8">
        <f t="shared" ca="1" si="302"/>
        <v>261</v>
      </c>
      <c r="FD129" s="5" t="str">
        <f t="shared" ca="1" si="303"/>
        <v>VIGENTE</v>
      </c>
      <c r="FE129" s="3"/>
      <c r="FF129" s="4">
        <v>45668</v>
      </c>
      <c r="FG129" s="4">
        <f>DATE(YEAR(FF129)+2,MONTH(FF129),DAY(FF129)-1)</f>
        <v>46397</v>
      </c>
      <c r="FH129" s="8">
        <f t="shared" ca="1" si="304"/>
        <v>263</v>
      </c>
      <c r="FI129" s="5" t="str">
        <f t="shared" ca="1" si="305"/>
        <v>VIGENTE</v>
      </c>
      <c r="FJ129" s="3"/>
      <c r="FK129" s="4">
        <v>45545</v>
      </c>
      <c r="FL129" s="4">
        <f>DATE(YEAR(FK129)+2,MONTH(FK129),DAY(FK129)-1)</f>
        <v>46274</v>
      </c>
      <c r="FM129" s="8">
        <f t="shared" ca="1" si="306"/>
        <v>140</v>
      </c>
      <c r="FN129" s="5" t="str">
        <f t="shared" ca="1" si="307"/>
        <v>VIGENTE</v>
      </c>
      <c r="FO129" s="3"/>
      <c r="FP129" s="4">
        <v>45543</v>
      </c>
      <c r="FQ129" s="4">
        <f>DATE(YEAR(FP129)+2,MONTH(FP129),DAY(FP129)-1)</f>
        <v>46272</v>
      </c>
      <c r="FR129" s="8">
        <f t="shared" ca="1" si="308"/>
        <v>138</v>
      </c>
      <c r="FS129" s="5" t="str">
        <f t="shared" ca="1" si="309"/>
        <v>VIGENTE</v>
      </c>
      <c r="FT129" s="4"/>
      <c r="FU129" s="4">
        <v>45547</v>
      </c>
      <c r="FV129" s="4">
        <f>DATE(YEAR(FU129)+2,MONTH(FU129),DAY(FU129)-1)</f>
        <v>46276</v>
      </c>
      <c r="FW129" s="8">
        <f t="shared" ca="1" si="310"/>
        <v>142</v>
      </c>
      <c r="FX129" s="5" t="str">
        <f t="shared" ca="1" si="311"/>
        <v>VIGENTE</v>
      </c>
      <c r="FY129" s="3"/>
      <c r="FZ129" s="4">
        <v>45560</v>
      </c>
      <c r="GA129" s="4">
        <f>DATE(YEAR(FZ129)+2,MONTH(FZ129),DAY(FZ129)-1)</f>
        <v>46289</v>
      </c>
      <c r="GB129" s="8">
        <f t="shared" ca="1" si="312"/>
        <v>155</v>
      </c>
      <c r="GC129" s="5" t="str">
        <f t="shared" ca="1" si="313"/>
        <v>VIGENTE</v>
      </c>
      <c r="GD129" s="3"/>
      <c r="GE129" s="4">
        <v>45570</v>
      </c>
      <c r="GF129" s="4">
        <f>DATE(YEAR(GE129)+2,MONTH(GE129),DAY(GE129)-1)</f>
        <v>46299</v>
      </c>
      <c r="GG129" s="8">
        <f t="shared" ca="1" si="314"/>
        <v>165</v>
      </c>
      <c r="GH129" s="5" t="str">
        <f t="shared" ca="1" si="315"/>
        <v>VIGENTE</v>
      </c>
      <c r="GI129" s="3"/>
      <c r="GJ129" s="4">
        <v>45557</v>
      </c>
      <c r="GK129" s="4">
        <f>DATE(YEAR(GJ129)+2,MONTH(GJ129),DAY(GJ129)-1)</f>
        <v>46286</v>
      </c>
      <c r="GL129" s="8">
        <f t="shared" ca="1" si="316"/>
        <v>152</v>
      </c>
      <c r="GM129" s="5" t="str">
        <f t="shared" ca="1" si="317"/>
        <v>VIGENTE</v>
      </c>
      <c r="GN129" s="4"/>
      <c r="GO129" s="4">
        <v>44912</v>
      </c>
      <c r="GP129" s="4">
        <f t="shared" si="318"/>
        <v>46738</v>
      </c>
      <c r="GQ129" s="8">
        <f t="shared" ca="1" si="418"/>
        <v>604</v>
      </c>
      <c r="GR129" s="5" t="str">
        <f t="shared" ca="1" si="431"/>
        <v>VIGENTE</v>
      </c>
      <c r="GS129" s="3"/>
      <c r="GT129" s="4">
        <v>45099</v>
      </c>
      <c r="GU129" s="4">
        <f t="shared" si="320"/>
        <v>46926</v>
      </c>
      <c r="GV129" s="8">
        <f t="shared" ca="1" si="321"/>
        <v>792</v>
      </c>
      <c r="GW129" s="5" t="str">
        <f t="shared" ca="1" si="438"/>
        <v>VIGENTE</v>
      </c>
      <c r="GX129" s="2"/>
      <c r="GY129" s="4">
        <v>44911</v>
      </c>
      <c r="GZ129" s="4">
        <f t="shared" si="323"/>
        <v>46737</v>
      </c>
      <c r="HA129" s="8">
        <f t="shared" ca="1" si="324"/>
        <v>603</v>
      </c>
      <c r="HB129" s="5" t="str">
        <f t="shared" ca="1" si="433"/>
        <v>VIGENTE</v>
      </c>
      <c r="HC129" s="6"/>
      <c r="HD129" s="4">
        <v>45094</v>
      </c>
      <c r="HE129" s="4">
        <f t="shared" si="440"/>
        <v>46921</v>
      </c>
      <c r="HF129" s="8">
        <f t="shared" ca="1" si="441"/>
        <v>787</v>
      </c>
      <c r="HG129" s="5" t="str">
        <f t="shared" ca="1" si="439"/>
        <v>VIGENTE</v>
      </c>
      <c r="HH129" s="2"/>
      <c r="HI129" s="6"/>
      <c r="HJ129" s="4"/>
      <c r="HK129" s="8"/>
      <c r="HL129" s="5" t="str">
        <f t="shared" si="457"/>
        <v>NO APLICA</v>
      </c>
      <c r="HM129" s="2"/>
      <c r="HN129" s="2"/>
      <c r="HO129" s="4"/>
      <c r="HP129" s="2"/>
      <c r="HQ129" s="5" t="str">
        <f t="shared" si="326"/>
        <v>NO APLICA</v>
      </c>
      <c r="HR129" s="2"/>
      <c r="HS129" s="4">
        <v>45089</v>
      </c>
      <c r="HT129" s="4">
        <f>DATE(YEAR(HS129)+5,MONTH(HS129),DAY(HS129))</f>
        <v>46916</v>
      </c>
      <c r="HU129" s="8">
        <f ca="1">HT129-TODAY()</f>
        <v>782</v>
      </c>
      <c r="HV129" s="5" t="str">
        <f t="shared" ca="1" si="327"/>
        <v>VIGENTE</v>
      </c>
      <c r="HW129" s="2"/>
      <c r="HX129" s="4">
        <v>45092</v>
      </c>
      <c r="HY129" s="4">
        <f>DATE(YEAR(HX129)+5,MONTH(HX129),DAY(HX129))</f>
        <v>46919</v>
      </c>
      <c r="HZ129" s="8">
        <f ca="1">HY129-TODAY()</f>
        <v>785</v>
      </c>
      <c r="IA129" s="5" t="str">
        <f t="shared" ca="1" si="328"/>
        <v>VIGENTE</v>
      </c>
      <c r="IB129" s="2"/>
      <c r="IC129" s="4">
        <v>45100</v>
      </c>
      <c r="ID129" s="4">
        <f>DATE(YEAR(IC129)+5,MONTH(IC129),DAY(IC129))</f>
        <v>46927</v>
      </c>
      <c r="IE129" s="8">
        <f ca="1">ID129-TODAY()</f>
        <v>793</v>
      </c>
      <c r="IF129" s="5" t="str">
        <f t="shared" ca="1" si="329"/>
        <v>VIGENTE</v>
      </c>
      <c r="IG129" s="6"/>
      <c r="IH129" s="4">
        <v>45105</v>
      </c>
      <c r="II129" s="4">
        <f>DATE(YEAR(IH129)+5,MONTH(IH129),DAY(IH129))</f>
        <v>46932</v>
      </c>
      <c r="IJ129" s="8">
        <f ca="1">II129-TODAY()</f>
        <v>798</v>
      </c>
      <c r="IK129" s="5" t="str">
        <f t="shared" ca="1" si="330"/>
        <v>VIGENTE</v>
      </c>
      <c r="IL129" s="2"/>
      <c r="IM129" s="4">
        <v>45064</v>
      </c>
      <c r="IN129" s="4">
        <f>DATE(YEAR(IM129)+5,MONTH(IM129),DAY(IM129))</f>
        <v>46891</v>
      </c>
      <c r="IO129" s="8">
        <f ca="1">IN129-TODAY()</f>
        <v>757</v>
      </c>
      <c r="IP129" s="5" t="str">
        <f t="shared" ca="1" si="331"/>
        <v>VIGENTE</v>
      </c>
      <c r="IQ129" s="2"/>
      <c r="IR129" s="4">
        <v>45104</v>
      </c>
      <c r="IS129" s="4">
        <f>DATE(YEAR(IR129)+5,MONTH(IR129),DAY(IR129))</f>
        <v>46931</v>
      </c>
      <c r="IT129" s="8">
        <f ca="1">IS129-TODAY()</f>
        <v>797</v>
      </c>
      <c r="IU129" s="5" t="str">
        <f t="shared" ca="1" si="332"/>
        <v>VIGENTE</v>
      </c>
      <c r="IV129" s="2"/>
      <c r="IW129" s="4">
        <v>45107</v>
      </c>
      <c r="IX129" s="4">
        <f>DATE(YEAR(IW129)+5,MONTH(IW129),DAY(IW129))</f>
        <v>46934</v>
      </c>
      <c r="IY129" s="8">
        <f ca="1">IX129-TODAY()</f>
        <v>800</v>
      </c>
      <c r="IZ129" s="5" t="str">
        <f t="shared" ca="1" si="333"/>
        <v>VIGENTE</v>
      </c>
      <c r="JA129" s="3"/>
      <c r="JB129" s="3"/>
      <c r="JC129" s="4"/>
      <c r="JD129" s="8"/>
      <c r="JE129" s="5" t="str">
        <f t="shared" si="334"/>
        <v>NO APLICA</v>
      </c>
      <c r="JF129" s="6"/>
      <c r="JG129" s="6"/>
      <c r="JH129" s="6"/>
      <c r="JI129" s="6"/>
      <c r="JJ129" s="5" t="str">
        <f t="shared" si="335"/>
        <v>NO APLICA</v>
      </c>
      <c r="JK129" s="6"/>
      <c r="JL129" s="6"/>
      <c r="JM129" s="6"/>
      <c r="JN129" s="6"/>
      <c r="JO129" s="5" t="str">
        <f t="shared" si="336"/>
        <v>NO APLICA</v>
      </c>
      <c r="JP129" s="6"/>
      <c r="JQ129" s="6"/>
      <c r="JR129" s="6"/>
      <c r="JS129" s="6"/>
      <c r="JT129" s="5" t="str">
        <f t="shared" si="337"/>
        <v>NO APLICA</v>
      </c>
      <c r="JU129" s="5"/>
      <c r="JV129" s="5"/>
      <c r="JW129" s="5"/>
      <c r="JX129" s="5"/>
      <c r="JY129" s="5" t="str">
        <f t="shared" si="338"/>
        <v>NO APLICA</v>
      </c>
      <c r="JZ129" s="5"/>
      <c r="KA129" s="2"/>
      <c r="KB129" s="4"/>
      <c r="KC129" s="8"/>
      <c r="KD129" s="5" t="str">
        <f t="shared" si="339"/>
        <v>NO APLICA</v>
      </c>
      <c r="KE129" s="5"/>
      <c r="KF129" s="2"/>
      <c r="KG129" s="4"/>
      <c r="KH129" s="8"/>
      <c r="KI129" s="5" t="str">
        <f t="shared" si="365"/>
        <v>NO APLICA</v>
      </c>
      <c r="KJ129" s="5"/>
      <c r="KK129" s="2"/>
      <c r="KL129" s="4"/>
      <c r="KM129" s="8"/>
      <c r="KN129" s="5" t="str">
        <f t="shared" si="340"/>
        <v>NO APLICA</v>
      </c>
      <c r="KO129" s="5"/>
      <c r="KP129" s="2"/>
      <c r="KQ129" s="4"/>
      <c r="KR129" s="8"/>
      <c r="KS129" s="5" t="str">
        <f t="shared" si="366"/>
        <v>NO APLICA</v>
      </c>
      <c r="KT129" s="2"/>
      <c r="KU129" s="6"/>
      <c r="KV129" s="4"/>
      <c r="KW129" s="8"/>
      <c r="KX129" s="5" t="str">
        <f t="shared" si="375"/>
        <v>NO APLICA</v>
      </c>
      <c r="KY129" s="5"/>
      <c r="KZ129" s="6"/>
      <c r="LA129" s="4"/>
      <c r="LB129" s="8"/>
      <c r="LC129" s="5" t="str">
        <f t="shared" si="367"/>
        <v>NO APLICA</v>
      </c>
      <c r="LD129" s="6"/>
      <c r="LE129" s="6"/>
      <c r="LF129" s="4"/>
      <c r="LG129" s="8"/>
      <c r="LH129" s="5" t="str">
        <f t="shared" si="341"/>
        <v>NO APLICA</v>
      </c>
      <c r="LI129" s="5"/>
      <c r="LJ129" s="5"/>
      <c r="LK129" s="4"/>
      <c r="LL129" s="8"/>
      <c r="LM129" s="5" t="str">
        <f t="shared" si="376"/>
        <v>NO APLICA</v>
      </c>
      <c r="LN129" s="2"/>
      <c r="LO129" s="6"/>
      <c r="LP129" s="4"/>
      <c r="LQ129" s="8"/>
      <c r="LR129" s="5" t="str">
        <f t="shared" si="368"/>
        <v>NO APLICA</v>
      </c>
      <c r="LS129" s="6"/>
      <c r="LT129" s="6"/>
      <c r="LU129" s="4"/>
      <c r="LV129" s="8"/>
      <c r="LW129" s="5" t="str">
        <f t="shared" si="369"/>
        <v>NO APLICA</v>
      </c>
      <c r="LX129" s="6"/>
      <c r="LY129" s="6"/>
      <c r="LZ129" s="4"/>
      <c r="MA129" s="8"/>
      <c r="MB129" s="5" t="str">
        <f t="shared" si="370"/>
        <v>NO APLICA</v>
      </c>
      <c r="MC129" s="2"/>
      <c r="MD129" s="2"/>
      <c r="ME129" s="4"/>
      <c r="MF129" s="8"/>
      <c r="MG129" s="5" t="str">
        <f t="shared" si="342"/>
        <v>NO APLICA</v>
      </c>
      <c r="MH129" s="2"/>
      <c r="MI129" s="2"/>
      <c r="MJ129" s="4"/>
      <c r="MK129" s="8"/>
      <c r="ML129" s="5" t="str">
        <f t="shared" si="343"/>
        <v>NO APLICA</v>
      </c>
      <c r="MM129" s="5"/>
      <c r="MN129" s="2"/>
      <c r="MO129" s="4"/>
      <c r="MP129" s="8"/>
      <c r="MQ129" s="5" t="str">
        <f t="shared" si="344"/>
        <v>NO APLICA</v>
      </c>
      <c r="MR129" s="5"/>
      <c r="MS129" s="2"/>
      <c r="MT129" s="4"/>
      <c r="MU129" s="2"/>
      <c r="MV129" s="5" t="str">
        <f t="shared" si="345"/>
        <v>NO APLICA</v>
      </c>
      <c r="MW129" s="2"/>
      <c r="MX129" s="6"/>
      <c r="MY129" s="4"/>
      <c r="MZ129" s="8"/>
      <c r="NA129" s="5" t="str">
        <f t="shared" si="346"/>
        <v>NO APLICA</v>
      </c>
      <c r="NB129" s="2"/>
      <c r="NC129" s="6"/>
      <c r="ND129" s="4"/>
      <c r="NE129" s="8"/>
      <c r="NF129" s="5" t="str">
        <f t="shared" si="347"/>
        <v>NO APLICA</v>
      </c>
      <c r="NG129" s="2"/>
      <c r="NH129" s="6"/>
      <c r="NI129" s="4"/>
      <c r="NJ129" s="8"/>
      <c r="NK129" s="5" t="str">
        <f t="shared" si="348"/>
        <v>NO APLICA</v>
      </c>
      <c r="NL129" s="2"/>
      <c r="NM129" s="2"/>
      <c r="NN129" s="4"/>
      <c r="NO129" s="8"/>
      <c r="NP129" s="5" t="str">
        <f t="shared" si="349"/>
        <v>NO APLICA</v>
      </c>
      <c r="NQ129" s="2"/>
      <c r="NR129" s="2"/>
      <c r="NS129" s="4"/>
      <c r="NT129" s="2"/>
      <c r="NU129" s="5" t="str">
        <f t="shared" si="350"/>
        <v>NO APLICA</v>
      </c>
      <c r="NV129" s="6"/>
      <c r="NW129" s="6"/>
      <c r="NX129" s="4"/>
      <c r="NY129" s="8"/>
      <c r="NZ129" s="5" t="str">
        <f t="shared" si="351"/>
        <v>NO APLICA</v>
      </c>
      <c r="OA129" s="6"/>
      <c r="OB129" s="6"/>
      <c r="OC129" s="6"/>
      <c r="OD129" s="6"/>
      <c r="OE129" s="5" t="str">
        <f t="shared" si="352"/>
        <v>NO APLICA</v>
      </c>
      <c r="OF129" s="2"/>
      <c r="OG129" s="2"/>
      <c r="OH129" s="4"/>
      <c r="OI129" s="8"/>
      <c r="OJ129" s="5" t="str">
        <f t="shared" si="353"/>
        <v>NO APLICA</v>
      </c>
      <c r="OK129" s="6"/>
      <c r="OL129" s="6"/>
      <c r="OM129" s="6"/>
      <c r="ON129" s="6"/>
      <c r="OO129" s="5" t="str">
        <f t="shared" si="354"/>
        <v>NO APLICA</v>
      </c>
      <c r="OP129" s="6"/>
      <c r="OQ129" s="6"/>
      <c r="OR129" s="6"/>
      <c r="OS129" s="6"/>
      <c r="OT129" s="5" t="str">
        <f t="shared" si="355"/>
        <v>NO APLICA</v>
      </c>
      <c r="OU129" s="6"/>
      <c r="OV129" s="6"/>
      <c r="OW129" s="6"/>
      <c r="OX129" s="6"/>
      <c r="OY129" s="5" t="str">
        <f t="shared" si="356"/>
        <v>NO APLICA</v>
      </c>
      <c r="OZ129" s="6"/>
      <c r="PA129" s="6"/>
      <c r="PB129" s="6"/>
      <c r="PC129" s="6"/>
      <c r="PD129" s="5" t="str">
        <f t="shared" si="357"/>
        <v>NO APLICA</v>
      </c>
      <c r="PE129" s="6"/>
      <c r="PF129" s="6"/>
      <c r="PG129" s="6"/>
      <c r="PH129" s="6"/>
      <c r="PI129" s="5" t="str">
        <f t="shared" si="358"/>
        <v>NO APLICA</v>
      </c>
      <c r="PJ129" s="5"/>
      <c r="PK129" s="6"/>
      <c r="PL129" s="4"/>
      <c r="PM129" s="8"/>
      <c r="PN129" s="5" t="str">
        <f t="shared" si="359"/>
        <v>NO APLICA</v>
      </c>
      <c r="PO129" s="6"/>
      <c r="PP129" s="6"/>
      <c r="PQ129" s="6"/>
      <c r="PR129" s="6"/>
      <c r="PS129" s="5" t="str">
        <f t="shared" si="360"/>
        <v>NO APLICA</v>
      </c>
      <c r="PT129" s="5"/>
      <c r="PU129" s="6"/>
      <c r="PV129" s="6"/>
      <c r="PW129" s="6"/>
      <c r="PX129" s="5" t="str">
        <f t="shared" si="361"/>
        <v>NO APLICA</v>
      </c>
    </row>
    <row r="130" spans="1:440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436</v>
      </c>
      <c r="V130" s="4">
        <v>45041</v>
      </c>
      <c r="W130" s="4">
        <f t="shared" si="421"/>
        <v>46868</v>
      </c>
      <c r="X130" s="8">
        <f t="shared" ca="1" si="422"/>
        <v>734</v>
      </c>
      <c r="Y130" s="5" t="str">
        <f t="shared" ca="1" si="423"/>
        <v>VIGENTE</v>
      </c>
      <c r="Z130" s="2" t="s">
        <v>437</v>
      </c>
      <c r="AA130" s="4">
        <v>45152</v>
      </c>
      <c r="AB130" s="4">
        <f t="shared" si="442"/>
        <v>46979</v>
      </c>
      <c r="AC130" s="8">
        <f t="shared" ca="1" si="443"/>
        <v>845</v>
      </c>
      <c r="AD130" s="5" t="str">
        <f t="shared" ca="1" si="444"/>
        <v>VIGENTE</v>
      </c>
      <c r="AE130" s="3"/>
      <c r="AF130" s="4">
        <v>45680</v>
      </c>
      <c r="AG130" s="4">
        <f>DATE(YEAR(AF130)+2,MONTH(AF130),DAY(AF130)-1)</f>
        <v>46409</v>
      </c>
      <c r="AH130" s="8">
        <f t="shared" ca="1" si="252"/>
        <v>275</v>
      </c>
      <c r="AI130" s="5" t="str">
        <f t="shared" ca="1" si="419"/>
        <v>VIGENTE</v>
      </c>
      <c r="AJ130" s="3"/>
      <c r="AK130" s="4">
        <v>45710</v>
      </c>
      <c r="AL130" s="4">
        <f>DATE(YEAR(AK130)+2,MONTH(AK130),DAY(AK130)-1)</f>
        <v>46439</v>
      </c>
      <c r="AM130" s="8">
        <f t="shared" ca="1" si="253"/>
        <v>305</v>
      </c>
      <c r="AN130" s="5" t="str">
        <f t="shared" ca="1" si="254"/>
        <v>VIGENTE</v>
      </c>
      <c r="AO130" s="3"/>
      <c r="AP130" s="4">
        <v>45703</v>
      </c>
      <c r="AQ130" s="4">
        <f>DATE(YEAR(AP130)+2,MONTH(AP130),DAY(AP130)-1)</f>
        <v>46432</v>
      </c>
      <c r="AR130" s="8">
        <f t="shared" ca="1" si="255"/>
        <v>298</v>
      </c>
      <c r="AS130" s="5" t="str">
        <f t="shared" ca="1" si="256"/>
        <v>VIGENTE</v>
      </c>
      <c r="AT130" s="3"/>
      <c r="AU130" s="4">
        <v>45765</v>
      </c>
      <c r="AV130" s="4">
        <f t="shared" ref="AV130:AV137" si="458">DATE(YEAR(AU130)+2,MONTH(AU130),DAY(AU130))</f>
        <v>46495</v>
      </c>
      <c r="AW130" s="8">
        <f t="shared" ca="1" si="257"/>
        <v>361</v>
      </c>
      <c r="AX130" s="5" t="str">
        <f t="shared" ca="1" si="258"/>
        <v>VIGENTE</v>
      </c>
      <c r="AY130" s="3"/>
      <c r="AZ130" s="4">
        <v>45708</v>
      </c>
      <c r="BA130" s="4">
        <f>DATE(YEAR(AZ130)+2,MONTH(AZ130),DAY(AZ130)-1)</f>
        <v>46437</v>
      </c>
      <c r="BB130" s="8">
        <f t="shared" ca="1" si="259"/>
        <v>303</v>
      </c>
      <c r="BC130" s="5" t="str">
        <f t="shared" ca="1" si="260"/>
        <v>VIGENTE</v>
      </c>
      <c r="BD130" s="3"/>
      <c r="BE130" s="4">
        <v>45762</v>
      </c>
      <c r="BF130" s="4">
        <f t="shared" ref="BF130:BF135" si="459">DATE(YEAR(BE130)+2,MONTH(BE130),DAY(BE130))</f>
        <v>46492</v>
      </c>
      <c r="BG130" s="8">
        <f t="shared" ca="1" si="261"/>
        <v>358</v>
      </c>
      <c r="BH130" s="5" t="str">
        <f t="shared" ca="1" si="262"/>
        <v>VIGENTE</v>
      </c>
      <c r="BI130" s="3"/>
      <c r="BJ130" s="4">
        <v>45699</v>
      </c>
      <c r="BK130" s="4">
        <f>DATE(YEAR(BJ130)+2,MONTH(BJ130),DAY(BJ130)-1)</f>
        <v>46428</v>
      </c>
      <c r="BL130" s="8">
        <f t="shared" ca="1" si="263"/>
        <v>294</v>
      </c>
      <c r="BM130" s="5" t="str">
        <f t="shared" ca="1" si="264"/>
        <v>VIGENTE</v>
      </c>
      <c r="BN130" s="3"/>
      <c r="BO130" s="4">
        <v>45701</v>
      </c>
      <c r="BP130" s="4">
        <f>DATE(YEAR(BO130)+2,MONTH(BO130),DAY(BO130)-1)</f>
        <v>46430</v>
      </c>
      <c r="BQ130" s="8">
        <f t="shared" ca="1" si="265"/>
        <v>296</v>
      </c>
      <c r="BR130" s="5" t="str">
        <f t="shared" ca="1" si="266"/>
        <v>VIGENTE</v>
      </c>
      <c r="BS130" s="3"/>
      <c r="BT130" s="4">
        <v>45695</v>
      </c>
      <c r="BU130" s="4">
        <f>DATE(YEAR(BT130)+2,MONTH(BT130),DAY(BT130)-1)</f>
        <v>46424</v>
      </c>
      <c r="BV130" s="8">
        <f t="shared" ca="1" si="267"/>
        <v>290</v>
      </c>
      <c r="BW130" s="5" t="str">
        <f t="shared" ca="1" si="268"/>
        <v>VIGENTE</v>
      </c>
      <c r="BX130" s="2"/>
      <c r="BY130" s="4">
        <v>45770</v>
      </c>
      <c r="BZ130" s="4">
        <f t="shared" ref="BZ130:BZ137" si="460">DATE(YEAR(BY130)+2,MONTH(BY130),DAY(BY130))</f>
        <v>46500</v>
      </c>
      <c r="CA130" s="8">
        <f t="shared" ca="1" si="269"/>
        <v>366</v>
      </c>
      <c r="CB130" s="5" t="str">
        <f t="shared" ca="1" si="270"/>
        <v>VIGENTE</v>
      </c>
      <c r="CC130" s="6" t="s">
        <v>73</v>
      </c>
      <c r="CD130" s="4">
        <v>45247</v>
      </c>
      <c r="CE130" s="4">
        <f t="shared" si="428"/>
        <v>46708</v>
      </c>
      <c r="CF130" s="8">
        <f t="shared" ca="1" si="429"/>
        <v>574</v>
      </c>
      <c r="CG130" s="5" t="str">
        <f t="shared" ca="1" si="430"/>
        <v>VIGENTE</v>
      </c>
      <c r="CH130" s="6"/>
      <c r="CI130" s="4">
        <v>45763</v>
      </c>
      <c r="CJ130" s="4">
        <f>DATE(YEAR(CI130)+2,MONTH(CI130),DAY(CI130))</f>
        <v>46493</v>
      </c>
      <c r="CK130" s="8">
        <f t="shared" ca="1" si="274"/>
        <v>359</v>
      </c>
      <c r="CL130" s="5" t="str">
        <f t="shared" ca="1" si="275"/>
        <v>VIGENTE</v>
      </c>
      <c r="CM130" s="3"/>
      <c r="CN130" s="4">
        <v>45684</v>
      </c>
      <c r="CO130" s="4">
        <f>DATE(YEAR(CN130)+2,MONTH(CN130),DAY(CN130)-1)</f>
        <v>46413</v>
      </c>
      <c r="CP130" s="8">
        <f t="shared" ca="1" si="276"/>
        <v>279</v>
      </c>
      <c r="CQ130" s="5" t="str">
        <f t="shared" ca="1" si="277"/>
        <v>VIGENTE</v>
      </c>
      <c r="CR130" s="3"/>
      <c r="CS130" s="4">
        <v>45805</v>
      </c>
      <c r="CT130" s="4">
        <f>DATE(YEAR(CS130)+2,MONTH(CS130),DAY(CS130))</f>
        <v>46535</v>
      </c>
      <c r="CU130" s="8">
        <f t="shared" ca="1" si="278"/>
        <v>401</v>
      </c>
      <c r="CV130" s="5" t="str">
        <f t="shared" ca="1" si="279"/>
        <v>VIGENTE</v>
      </c>
      <c r="CW130" s="3"/>
      <c r="CX130" s="4">
        <v>45681</v>
      </c>
      <c r="CY130" s="4">
        <f>DATE(YEAR(CX130)+2,MONTH(CX130),DAY(CX130)-1)</f>
        <v>46410</v>
      </c>
      <c r="CZ130" s="8">
        <f t="shared" ca="1" si="280"/>
        <v>276</v>
      </c>
      <c r="DA130" s="5" t="str">
        <f t="shared" ca="1" si="281"/>
        <v>VIGENTE</v>
      </c>
      <c r="DB130" s="3"/>
      <c r="DC130" s="4">
        <v>45761</v>
      </c>
      <c r="DD130" s="4">
        <f>DATE(YEAR(DC130)+2,MONTH(DC130),DAY(DC130))</f>
        <v>46491</v>
      </c>
      <c r="DE130" s="8">
        <f t="shared" ca="1" si="282"/>
        <v>357</v>
      </c>
      <c r="DF130" s="5" t="str">
        <f t="shared" ca="1" si="283"/>
        <v>VIGENTE</v>
      </c>
      <c r="DG130" s="3"/>
      <c r="DH130" s="4">
        <v>45696</v>
      </c>
      <c r="DI130" s="4">
        <f>DATE(YEAR(DH130)+2,MONTH(DH130),DAY(DH130)-1)</f>
        <v>46425</v>
      </c>
      <c r="DJ130" s="8">
        <f t="shared" ca="1" si="284"/>
        <v>291</v>
      </c>
      <c r="DK130" s="5" t="str">
        <f t="shared" ca="1" si="285"/>
        <v>VIGENTE</v>
      </c>
      <c r="DL130" s="3"/>
      <c r="DM130" s="4">
        <v>45731</v>
      </c>
      <c r="DN130" s="4">
        <f>DATE(YEAR(DM130)+2,MONTH(DM130),DAY(DM130)-1)</f>
        <v>46460</v>
      </c>
      <c r="DO130" s="8">
        <f t="shared" ca="1" si="286"/>
        <v>326</v>
      </c>
      <c r="DP130" s="5" t="str">
        <f t="shared" ca="1" si="287"/>
        <v>VIGENTE</v>
      </c>
      <c r="DQ130" s="3"/>
      <c r="DR130" s="4">
        <v>45685</v>
      </c>
      <c r="DS130" s="4">
        <f>DATE(YEAR(DR130)+2,MONTH(DR130),DAY(DR130)-1)</f>
        <v>46414</v>
      </c>
      <c r="DT130" s="8">
        <f t="shared" ca="1" si="288"/>
        <v>280</v>
      </c>
      <c r="DU130" s="5" t="str">
        <f t="shared" ca="1" si="289"/>
        <v>VIGENTE</v>
      </c>
      <c r="DV130" s="3"/>
      <c r="DW130" s="4">
        <v>45804</v>
      </c>
      <c r="DX130" s="4">
        <f>DATE(YEAR(DW130)+2,MONTH(DW130),DAY(DW130))</f>
        <v>46534</v>
      </c>
      <c r="DY130" s="8">
        <f t="shared" ca="1" si="290"/>
        <v>400</v>
      </c>
      <c r="DZ130" s="5" t="str">
        <f t="shared" ca="1" si="291"/>
        <v>VIGENTE</v>
      </c>
      <c r="EA130" s="3"/>
      <c r="EB130" s="4">
        <v>45674</v>
      </c>
      <c r="EC130" s="4">
        <f>DATE(YEAR(EB130)+2,MONTH(EB130),DAY(EB130)-1)</f>
        <v>46403</v>
      </c>
      <c r="ED130" s="8">
        <f t="shared" ca="1" si="292"/>
        <v>269</v>
      </c>
      <c r="EE130" s="5" t="str">
        <f t="shared" ca="1" si="293"/>
        <v>VIGENTE</v>
      </c>
      <c r="EF130" s="3"/>
      <c r="EG130" s="4">
        <v>45808</v>
      </c>
      <c r="EH130" s="4">
        <f t="shared" si="364"/>
        <v>46173</v>
      </c>
      <c r="EI130" s="8">
        <f t="shared" ca="1" si="294"/>
        <v>39</v>
      </c>
      <c r="EJ130" s="5" t="str">
        <f t="shared" ca="1" si="295"/>
        <v>POR VENCER</v>
      </c>
      <c r="EK130" s="3"/>
      <c r="EL130" s="4">
        <v>45660</v>
      </c>
      <c r="EM130" s="4">
        <f>DATE(YEAR(EL130)+2,MONTH(EL130),DAY(EL130)-1)</f>
        <v>46389</v>
      </c>
      <c r="EN130" s="8">
        <f t="shared" ca="1" si="296"/>
        <v>255</v>
      </c>
      <c r="EO130" s="5" t="str">
        <f t="shared" ca="1" si="297"/>
        <v>VIGENTE</v>
      </c>
      <c r="EP130" s="3"/>
      <c r="EQ130" s="4">
        <v>45677</v>
      </c>
      <c r="ER130" s="4">
        <f>DATE(YEAR(EQ130)+2,MONTH(EQ130),DAY(EQ130)-1)</f>
        <v>46406</v>
      </c>
      <c r="ES130" s="8">
        <f t="shared" ca="1" si="298"/>
        <v>272</v>
      </c>
      <c r="ET130" s="5" t="str">
        <f t="shared" ca="1" si="299"/>
        <v>VIGENTE</v>
      </c>
      <c r="EU130" s="3"/>
      <c r="EV130" s="4">
        <v>45719</v>
      </c>
      <c r="EW130" s="4">
        <f>DATE(YEAR(EV130)+2,MONTH(EV130),DAY(EV130)-1)</f>
        <v>46448</v>
      </c>
      <c r="EX130" s="8">
        <f t="shared" ca="1" si="300"/>
        <v>314</v>
      </c>
      <c r="EY130" s="5" t="str">
        <f t="shared" ca="1" si="301"/>
        <v>VIGENTE</v>
      </c>
      <c r="EZ130" s="3"/>
      <c r="FA130" s="4">
        <v>45729</v>
      </c>
      <c r="FB130" s="4">
        <f>DATE(YEAR(FA130)+2,MONTH(FA130),DAY(FA130)-1)</f>
        <v>46458</v>
      </c>
      <c r="FC130" s="8">
        <f t="shared" ca="1" si="302"/>
        <v>324</v>
      </c>
      <c r="FD130" s="5" t="str">
        <f t="shared" ca="1" si="303"/>
        <v>VIGENTE</v>
      </c>
      <c r="FE130" s="3"/>
      <c r="FF130" s="4">
        <v>45668</v>
      </c>
      <c r="FG130" s="4">
        <f>DATE(YEAR(FF130)+2,MONTH(FF130),DAY(FF130)-1)</f>
        <v>46397</v>
      </c>
      <c r="FH130" s="8">
        <f t="shared" ca="1" si="304"/>
        <v>263</v>
      </c>
      <c r="FI130" s="5" t="str">
        <f t="shared" ca="1" si="305"/>
        <v>VIGENTE</v>
      </c>
      <c r="FJ130" s="3"/>
      <c r="FK130" s="4">
        <v>45686</v>
      </c>
      <c r="FL130" s="4">
        <f>DATE(YEAR(FK130)+2,MONTH(FK130),DAY(FK130)-1)</f>
        <v>46415</v>
      </c>
      <c r="FM130" s="8">
        <f t="shared" ca="1" si="306"/>
        <v>281</v>
      </c>
      <c r="FN130" s="5" t="str">
        <f t="shared" ca="1" si="307"/>
        <v>VIGENTE</v>
      </c>
      <c r="FO130" s="3"/>
      <c r="FP130" s="4">
        <v>45678</v>
      </c>
      <c r="FQ130" s="4">
        <f>DATE(YEAR(FP130)+2,MONTH(FP130),DAY(FP130)-1)</f>
        <v>46407</v>
      </c>
      <c r="FR130" s="8">
        <f t="shared" ca="1" si="308"/>
        <v>273</v>
      </c>
      <c r="FS130" s="5" t="str">
        <f t="shared" ca="1" si="309"/>
        <v>VIGENTE</v>
      </c>
      <c r="FT130" s="3"/>
      <c r="FU130" s="4">
        <v>45700</v>
      </c>
      <c r="FV130" s="4">
        <f>DATE(YEAR(FU130)+2,MONTH(FU130),DAY(FU130)-1)</f>
        <v>46429</v>
      </c>
      <c r="FW130" s="8">
        <f t="shared" ca="1" si="310"/>
        <v>295</v>
      </c>
      <c r="FX130" s="5" t="str">
        <f t="shared" ca="1" si="311"/>
        <v>VIGENTE</v>
      </c>
      <c r="FY130" s="3"/>
      <c r="FZ130" s="4">
        <v>45667</v>
      </c>
      <c r="GA130" s="4">
        <f>DATE(YEAR(FZ130)+2,MONTH(FZ130),DAY(FZ130)-1)</f>
        <v>46396</v>
      </c>
      <c r="GB130" s="8">
        <f t="shared" ca="1" si="312"/>
        <v>262</v>
      </c>
      <c r="GC130" s="5" t="str">
        <f t="shared" ca="1" si="313"/>
        <v>VIGENTE</v>
      </c>
      <c r="GD130" s="3"/>
      <c r="GE130" s="4">
        <v>45752</v>
      </c>
      <c r="GF130" s="4">
        <f>DATE(YEAR(GE130)+2,MONTH(GE130),DAY(GE130)-1)</f>
        <v>46481</v>
      </c>
      <c r="GG130" s="8">
        <f t="shared" ca="1" si="314"/>
        <v>347</v>
      </c>
      <c r="GH130" s="5" t="str">
        <f t="shared" ca="1" si="315"/>
        <v>VIGENTE</v>
      </c>
      <c r="GI130" s="3"/>
      <c r="GJ130" s="4">
        <v>45687</v>
      </c>
      <c r="GK130" s="4">
        <f>DATE(YEAR(GJ130)+2,MONTH(GJ130),DAY(GJ130)-1)</f>
        <v>46416</v>
      </c>
      <c r="GL130" s="8">
        <f t="shared" ca="1" si="316"/>
        <v>282</v>
      </c>
      <c r="GM130" s="5" t="str">
        <f t="shared" ca="1" si="317"/>
        <v>VIGENTE</v>
      </c>
      <c r="GN130" s="4"/>
      <c r="GO130" s="4">
        <v>45048</v>
      </c>
      <c r="GP130" s="4">
        <f t="shared" si="318"/>
        <v>46875</v>
      </c>
      <c r="GQ130" s="8">
        <f t="shared" ca="1" si="418"/>
        <v>741</v>
      </c>
      <c r="GR130" s="5" t="str">
        <f t="shared" ca="1" si="431"/>
        <v>VIGENTE</v>
      </c>
      <c r="GS130" s="3"/>
      <c r="GT130" s="4">
        <v>45029</v>
      </c>
      <c r="GU130" s="4">
        <f t="shared" si="320"/>
        <v>46856</v>
      </c>
      <c r="GV130" s="8">
        <f t="shared" ca="1" si="321"/>
        <v>722</v>
      </c>
      <c r="GW130" s="5" t="str">
        <f t="shared" ca="1" si="438"/>
        <v>VIGENTE</v>
      </c>
      <c r="GX130" s="2"/>
      <c r="GY130" s="4">
        <v>45127</v>
      </c>
      <c r="GZ130" s="4">
        <f t="shared" si="323"/>
        <v>46954</v>
      </c>
      <c r="HA130" s="8">
        <f t="shared" ca="1" si="324"/>
        <v>820</v>
      </c>
      <c r="HB130" s="5" t="str">
        <f t="shared" ca="1" si="433"/>
        <v>VIGENTE</v>
      </c>
      <c r="HC130" s="6"/>
      <c r="HD130" s="4">
        <v>45150</v>
      </c>
      <c r="HE130" s="4">
        <f t="shared" si="440"/>
        <v>46977</v>
      </c>
      <c r="HF130" s="8">
        <f t="shared" ca="1" si="441"/>
        <v>843</v>
      </c>
      <c r="HG130" s="5" t="str">
        <f t="shared" ca="1" si="439"/>
        <v>VIGENTE</v>
      </c>
      <c r="HH130" s="2"/>
      <c r="HI130" s="6"/>
      <c r="HJ130" s="4"/>
      <c r="HK130" s="8"/>
      <c r="HL130" s="5" t="str">
        <f t="shared" si="457"/>
        <v>NO APLICA</v>
      </c>
      <c r="HM130" s="2"/>
      <c r="HN130" s="2"/>
      <c r="HO130" s="4"/>
      <c r="HP130" s="2"/>
      <c r="HQ130" s="5" t="str">
        <f t="shared" si="326"/>
        <v>NO APLICA</v>
      </c>
      <c r="HR130" s="2"/>
      <c r="HS130" s="4">
        <v>45180</v>
      </c>
      <c r="HT130" s="4">
        <f>DATE(YEAR(HS130)+5,MONTH(HS130),DAY(HS130))</f>
        <v>47007</v>
      </c>
      <c r="HU130" s="8">
        <f ca="1">HT130-TODAY()</f>
        <v>873</v>
      </c>
      <c r="HV130" s="5" t="str">
        <f t="shared" ca="1" si="327"/>
        <v>VIGENTE</v>
      </c>
      <c r="HW130" s="2"/>
      <c r="HX130" s="4">
        <v>45194</v>
      </c>
      <c r="HY130" s="4">
        <f>DATE(YEAR(HX130)+5,MONTH(HX130),DAY(HX130))</f>
        <v>47021</v>
      </c>
      <c r="HZ130" s="8">
        <f ca="1">HY130-TODAY()</f>
        <v>887</v>
      </c>
      <c r="IA130" s="5" t="str">
        <f t="shared" ca="1" si="328"/>
        <v>VIGENTE</v>
      </c>
      <c r="IB130" s="2"/>
      <c r="IC130" s="4">
        <v>45192</v>
      </c>
      <c r="ID130" s="4">
        <f>DATE(YEAR(IC130)+5,MONTH(IC130),DAY(IC130))</f>
        <v>47019</v>
      </c>
      <c r="IE130" s="8">
        <f ca="1">ID130-TODAY()</f>
        <v>885</v>
      </c>
      <c r="IF130" s="5" t="str">
        <f t="shared" ca="1" si="329"/>
        <v>VIGENTE</v>
      </c>
      <c r="IG130" s="6"/>
      <c r="IH130" s="4">
        <v>45156</v>
      </c>
      <c r="II130" s="4">
        <f>DATE(YEAR(IH130)+5,MONTH(IH130),DAY(IH130))</f>
        <v>46983</v>
      </c>
      <c r="IJ130" s="8">
        <f ca="1">II130-TODAY()</f>
        <v>849</v>
      </c>
      <c r="IK130" s="5" t="str">
        <f t="shared" ca="1" si="330"/>
        <v>VIGENTE</v>
      </c>
      <c r="IL130" s="2"/>
      <c r="IM130" s="4">
        <v>45157</v>
      </c>
      <c r="IN130" s="4">
        <f>DATE(YEAR(IM130)+5,MONTH(IM130),DAY(IM130))</f>
        <v>46984</v>
      </c>
      <c r="IO130" s="8">
        <f ca="1">IN130-TODAY()</f>
        <v>850</v>
      </c>
      <c r="IP130" s="5" t="str">
        <f t="shared" ca="1" si="331"/>
        <v>VIGENTE</v>
      </c>
      <c r="IQ130" s="2"/>
      <c r="IR130" s="4">
        <v>45191</v>
      </c>
      <c r="IS130" s="4">
        <f>DATE(YEAR(IR130)+5,MONTH(IR130),DAY(IR130))</f>
        <v>47018</v>
      </c>
      <c r="IT130" s="8">
        <f ca="1">IS130-TODAY()</f>
        <v>884</v>
      </c>
      <c r="IU130" s="5" t="str">
        <f t="shared" ca="1" si="332"/>
        <v>VIGENTE</v>
      </c>
      <c r="IV130" s="2"/>
      <c r="IW130" s="4">
        <v>45216</v>
      </c>
      <c r="IX130" s="4">
        <f>DATE(YEAR(IW130)+5,MONTH(IW130),DAY(IW130))</f>
        <v>47043</v>
      </c>
      <c r="IY130" s="8">
        <f ca="1">IX130-TODAY()</f>
        <v>909</v>
      </c>
      <c r="IZ130" s="5" t="str">
        <f t="shared" ca="1" si="333"/>
        <v>VIGENTE</v>
      </c>
      <c r="JA130" s="3"/>
      <c r="JB130" s="3"/>
      <c r="JC130" s="4"/>
      <c r="JD130" s="8"/>
      <c r="JE130" s="5" t="str">
        <f t="shared" si="334"/>
        <v>NO APLICA</v>
      </c>
      <c r="JF130" s="6"/>
      <c r="JG130" s="6"/>
      <c r="JH130" s="6"/>
      <c r="JI130" s="6"/>
      <c r="JJ130" s="5" t="str">
        <f t="shared" si="335"/>
        <v>NO APLICA</v>
      </c>
      <c r="JK130" s="6"/>
      <c r="JL130" s="6"/>
      <c r="JM130" s="6"/>
      <c r="JN130" s="6"/>
      <c r="JO130" s="5" t="str">
        <f t="shared" si="336"/>
        <v>NO APLICA</v>
      </c>
      <c r="JP130" s="6"/>
      <c r="JQ130" s="6"/>
      <c r="JR130" s="6"/>
      <c r="JS130" s="6"/>
      <c r="JT130" s="5" t="str">
        <f t="shared" si="337"/>
        <v>NO APLICA</v>
      </c>
      <c r="JU130" s="5"/>
      <c r="JV130" s="5"/>
      <c r="JW130" s="5"/>
      <c r="JX130" s="5"/>
      <c r="JY130" s="5" t="str">
        <f t="shared" si="338"/>
        <v>NO APLICA</v>
      </c>
      <c r="JZ130" s="5"/>
      <c r="KA130" s="2"/>
      <c r="KB130" s="4"/>
      <c r="KC130" s="8"/>
      <c r="KD130" s="5" t="str">
        <f t="shared" si="339"/>
        <v>NO APLICA</v>
      </c>
      <c r="KE130" s="5"/>
      <c r="KF130" s="2"/>
      <c r="KG130" s="4"/>
      <c r="KH130" s="8"/>
      <c r="KI130" s="5" t="str">
        <f t="shared" si="365"/>
        <v>NO APLICA</v>
      </c>
      <c r="KJ130" s="5"/>
      <c r="KK130" s="2"/>
      <c r="KL130" s="4"/>
      <c r="KM130" s="8"/>
      <c r="KN130" s="5" t="str">
        <f t="shared" si="340"/>
        <v>NO APLICA</v>
      </c>
      <c r="KO130" s="5"/>
      <c r="KP130" s="3">
        <v>45346</v>
      </c>
      <c r="KQ130" s="4">
        <f>DATE(YEAR(KP130)+5,MONTH(KP130),DAY(KP130))</f>
        <v>47173</v>
      </c>
      <c r="KR130" s="8">
        <f ca="1">KQ130-TODAY()</f>
        <v>1039</v>
      </c>
      <c r="KS130" s="5" t="str">
        <f t="shared" ca="1" si="366"/>
        <v>VIGENTE</v>
      </c>
      <c r="KT130" s="2"/>
      <c r="KU130" s="6"/>
      <c r="KV130" s="4"/>
      <c r="KW130" s="8"/>
      <c r="KX130" s="5" t="str">
        <f t="shared" si="375"/>
        <v>NO APLICA</v>
      </c>
      <c r="KY130" s="5"/>
      <c r="KZ130" s="6"/>
      <c r="LA130" s="4"/>
      <c r="LB130" s="8"/>
      <c r="LC130" s="5" t="str">
        <f t="shared" si="367"/>
        <v>NO APLICA</v>
      </c>
      <c r="LD130" s="6"/>
      <c r="LE130" s="4">
        <v>45611</v>
      </c>
      <c r="LF130" s="4">
        <f>DATE(YEAR(LE130)+2,MONTH(LE130),DAY(LE130))</f>
        <v>46341</v>
      </c>
      <c r="LG130" s="8">
        <f ca="1">LF130-TODAY()</f>
        <v>207</v>
      </c>
      <c r="LH130" s="5" t="str">
        <f t="shared" ca="1" si="341"/>
        <v>VIGENTE</v>
      </c>
      <c r="LI130" s="5"/>
      <c r="LJ130" s="5"/>
      <c r="LK130" s="5"/>
      <c r="LL130" s="5"/>
      <c r="LM130" s="5" t="str">
        <f t="shared" si="376"/>
        <v>NO APLICA</v>
      </c>
      <c r="LN130" s="2"/>
      <c r="LO130" s="6"/>
      <c r="LP130" s="4"/>
      <c r="LQ130" s="8"/>
      <c r="LR130" s="5" t="str">
        <f t="shared" si="368"/>
        <v>NO APLICA</v>
      </c>
      <c r="LS130" s="6"/>
      <c r="LT130" s="6"/>
      <c r="LU130" s="4"/>
      <c r="LV130" s="8"/>
      <c r="LW130" s="5" t="str">
        <f t="shared" si="369"/>
        <v>NO APLICA</v>
      </c>
      <c r="LX130" s="6"/>
      <c r="LY130" s="6"/>
      <c r="LZ130" s="4"/>
      <c r="MA130" s="8"/>
      <c r="MB130" s="5" t="str">
        <f t="shared" si="370"/>
        <v>NO APLICA</v>
      </c>
      <c r="MC130" s="2"/>
      <c r="MD130" s="2"/>
      <c r="ME130" s="4"/>
      <c r="MF130" s="8"/>
      <c r="MG130" s="5" t="str">
        <f t="shared" si="342"/>
        <v>NO APLICA</v>
      </c>
      <c r="MH130" s="2"/>
      <c r="MI130" s="2"/>
      <c r="MJ130" s="4"/>
      <c r="MK130" s="8"/>
      <c r="ML130" s="5" t="str">
        <f t="shared" si="343"/>
        <v>NO APLICA</v>
      </c>
      <c r="MM130" s="5"/>
      <c r="MN130" s="2"/>
      <c r="MO130" s="4"/>
      <c r="MP130" s="8"/>
      <c r="MQ130" s="5" t="str">
        <f t="shared" si="344"/>
        <v>NO APLICA</v>
      </c>
      <c r="MR130" s="5"/>
      <c r="MS130" s="2"/>
      <c r="MT130" s="4"/>
      <c r="MU130" s="2"/>
      <c r="MV130" s="5" t="str">
        <f t="shared" si="345"/>
        <v>NO APLICA</v>
      </c>
      <c r="MW130" s="2"/>
      <c r="MX130" s="6"/>
      <c r="MY130" s="4"/>
      <c r="MZ130" s="8"/>
      <c r="NA130" s="5" t="str">
        <f t="shared" si="346"/>
        <v>NO APLICA</v>
      </c>
      <c r="NB130" s="2"/>
      <c r="NC130" s="6"/>
      <c r="ND130" s="4"/>
      <c r="NE130" s="8"/>
      <c r="NF130" s="5" t="str">
        <f t="shared" si="347"/>
        <v>NO APLICA</v>
      </c>
      <c r="NG130" s="2"/>
      <c r="NH130" s="6"/>
      <c r="NI130" s="4"/>
      <c r="NJ130" s="8"/>
      <c r="NK130" s="5" t="str">
        <f t="shared" si="348"/>
        <v>NO APLICA</v>
      </c>
      <c r="NL130" s="2"/>
      <c r="NM130" s="2"/>
      <c r="NN130" s="4"/>
      <c r="NO130" s="2"/>
      <c r="NP130" s="5" t="str">
        <f t="shared" si="349"/>
        <v>NO APLICA</v>
      </c>
      <c r="NQ130" s="2"/>
      <c r="NR130" s="2"/>
      <c r="NS130" s="4"/>
      <c r="NT130" s="2"/>
      <c r="NU130" s="5" t="str">
        <f t="shared" si="350"/>
        <v>NO APLICA</v>
      </c>
      <c r="NV130" s="6"/>
      <c r="NW130" s="6"/>
      <c r="NX130" s="4"/>
      <c r="NY130" s="8"/>
      <c r="NZ130" s="5" t="str">
        <f t="shared" si="351"/>
        <v>NO APLICA</v>
      </c>
      <c r="OA130" s="6"/>
      <c r="OB130" s="6"/>
      <c r="OC130" s="6"/>
      <c r="OD130" s="6"/>
      <c r="OE130" s="5" t="str">
        <f t="shared" si="352"/>
        <v>NO APLICA</v>
      </c>
      <c r="OF130" s="6"/>
      <c r="OG130" s="6"/>
      <c r="OH130" s="4"/>
      <c r="OI130" s="8"/>
      <c r="OJ130" s="5" t="str">
        <f t="shared" si="353"/>
        <v>NO APLICA</v>
      </c>
      <c r="OK130" s="6"/>
      <c r="OL130" s="6"/>
      <c r="OM130" s="6"/>
      <c r="ON130" s="6"/>
      <c r="OO130" s="5" t="str">
        <f t="shared" si="354"/>
        <v>NO APLICA</v>
      </c>
      <c r="OP130" s="6"/>
      <c r="OQ130" s="6"/>
      <c r="OR130" s="6"/>
      <c r="OS130" s="6"/>
      <c r="OT130" s="5" t="str">
        <f t="shared" si="355"/>
        <v>NO APLICA</v>
      </c>
      <c r="OU130" s="6"/>
      <c r="OV130" s="6"/>
      <c r="OW130" s="6"/>
      <c r="OX130" s="6"/>
      <c r="OY130" s="5" t="str">
        <f t="shared" si="356"/>
        <v>NO APLICA</v>
      </c>
      <c r="OZ130" s="6"/>
      <c r="PA130" s="6"/>
      <c r="PB130" s="6"/>
      <c r="PC130" s="6"/>
      <c r="PD130" s="5" t="str">
        <f t="shared" si="357"/>
        <v>NO APLICA</v>
      </c>
      <c r="PE130" s="6"/>
      <c r="PF130" s="6"/>
      <c r="PG130" s="6"/>
      <c r="PH130" s="6"/>
      <c r="PI130" s="5" t="str">
        <f t="shared" si="358"/>
        <v>NO APLICA</v>
      </c>
      <c r="PJ130" s="5"/>
      <c r="PK130" s="6"/>
      <c r="PL130" s="4"/>
      <c r="PM130" s="8"/>
      <c r="PN130" s="5" t="str">
        <f t="shared" si="359"/>
        <v>NO APLICA</v>
      </c>
      <c r="PO130" s="6"/>
      <c r="PP130" s="6"/>
      <c r="PQ130" s="6"/>
      <c r="PR130" s="6"/>
      <c r="PS130" s="5" t="str">
        <f t="shared" si="360"/>
        <v>NO APLICA</v>
      </c>
      <c r="PT130" s="5"/>
      <c r="PU130" s="6"/>
      <c r="PV130" s="6"/>
      <c r="PW130" s="6"/>
      <c r="PX130" s="5" t="str">
        <f t="shared" si="361"/>
        <v>NO APLICA</v>
      </c>
    </row>
    <row r="131" spans="1:440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439</v>
      </c>
      <c r="V131" s="4">
        <v>44944</v>
      </c>
      <c r="W131" s="4">
        <f t="shared" si="421"/>
        <v>46770</v>
      </c>
      <c r="X131" s="8">
        <f t="shared" ca="1" si="422"/>
        <v>636</v>
      </c>
      <c r="Y131" s="5" t="str">
        <f t="shared" ca="1" si="423"/>
        <v>VIGENTE</v>
      </c>
      <c r="Z131" s="2"/>
      <c r="AA131" s="6"/>
      <c r="AB131" s="4"/>
      <c r="AC131" s="8"/>
      <c r="AD131" s="5" t="str">
        <f t="shared" si="444"/>
        <v>NO APLICA</v>
      </c>
      <c r="AE131" s="3"/>
      <c r="AF131" s="4">
        <v>45902</v>
      </c>
      <c r="AG131" s="4">
        <f t="shared" ref="AG131:AG137" si="461">DATE(YEAR(AF131)+2,MONTH(AF131),DAY(AF131))</f>
        <v>46632</v>
      </c>
      <c r="AH131" s="8">
        <f t="shared" ca="1" si="252"/>
        <v>498</v>
      </c>
      <c r="AI131" s="5" t="str">
        <f t="shared" ca="1" si="419"/>
        <v>VIGENTE</v>
      </c>
      <c r="AJ131" s="2"/>
      <c r="AK131" s="4">
        <v>45937</v>
      </c>
      <c r="AL131" s="4">
        <f t="shared" ref="AL131:AL137" si="462">DATE(YEAR(AK131)+2,MONTH(AK131),DAY(AK131))</f>
        <v>46667</v>
      </c>
      <c r="AM131" s="8">
        <f t="shared" ca="1" si="253"/>
        <v>533</v>
      </c>
      <c r="AN131" s="5" t="str">
        <f t="shared" ca="1" si="254"/>
        <v>VIGENTE</v>
      </c>
      <c r="AO131" s="2"/>
      <c r="AP131" s="4">
        <v>45904</v>
      </c>
      <c r="AQ131" s="4">
        <f t="shared" ref="AQ131:AQ137" si="463">DATE(YEAR(AP131)+2,MONTH(AP131),DAY(AP131))</f>
        <v>46634</v>
      </c>
      <c r="AR131" s="8">
        <f t="shared" ca="1" si="255"/>
        <v>500</v>
      </c>
      <c r="AS131" s="5" t="str">
        <f t="shared" ca="1" si="256"/>
        <v>VIGENTE</v>
      </c>
      <c r="AT131" s="2"/>
      <c r="AU131" s="4">
        <v>45927</v>
      </c>
      <c r="AV131" s="4">
        <f t="shared" si="458"/>
        <v>46657</v>
      </c>
      <c r="AW131" s="8">
        <f t="shared" ca="1" si="257"/>
        <v>523</v>
      </c>
      <c r="AX131" s="5" t="str">
        <f t="shared" ca="1" si="258"/>
        <v>VIGENTE</v>
      </c>
      <c r="AY131" s="3"/>
      <c r="AZ131" s="4">
        <v>45943</v>
      </c>
      <c r="BA131" s="4">
        <f>DATE(YEAR(AZ131)+2,MONTH(AZ131),DAY(AZ131))</f>
        <v>46673</v>
      </c>
      <c r="BB131" s="8">
        <f t="shared" ca="1" si="259"/>
        <v>539</v>
      </c>
      <c r="BC131" s="5" t="str">
        <f t="shared" ca="1" si="260"/>
        <v>VIGENTE</v>
      </c>
      <c r="BD131" s="3"/>
      <c r="BE131" s="4">
        <v>45968</v>
      </c>
      <c r="BF131" s="4">
        <f t="shared" si="459"/>
        <v>46698</v>
      </c>
      <c r="BG131" s="8">
        <f t="shared" ca="1" si="261"/>
        <v>564</v>
      </c>
      <c r="BH131" s="5" t="str">
        <f t="shared" ca="1" si="262"/>
        <v>VIGENTE</v>
      </c>
      <c r="BI131" s="3"/>
      <c r="BJ131" s="4">
        <v>45976</v>
      </c>
      <c r="BK131" s="4">
        <f>DATE(YEAR(BJ131)+2,MONTH(BJ131),DAY(BJ131))</f>
        <v>46706</v>
      </c>
      <c r="BL131" s="8">
        <f t="shared" ca="1" si="263"/>
        <v>572</v>
      </c>
      <c r="BM131" s="5" t="str">
        <f t="shared" ca="1" si="264"/>
        <v>VIGENTE</v>
      </c>
      <c r="BN131" s="3"/>
      <c r="BO131" s="4">
        <v>45981</v>
      </c>
      <c r="BP131" s="4">
        <f>DATE(YEAR(BO131)+2,MONTH(BO131),DAY(BO131))</f>
        <v>46711</v>
      </c>
      <c r="BQ131" s="8">
        <f t="shared" ca="1" si="265"/>
        <v>577</v>
      </c>
      <c r="BR131" s="5" t="str">
        <f t="shared" ca="1" si="266"/>
        <v>VIGENTE</v>
      </c>
      <c r="BS131" s="3"/>
      <c r="BT131" s="4">
        <v>45950</v>
      </c>
      <c r="BU131" s="4">
        <f>DATE(YEAR(BT131)+2,MONTH(BT131),DAY(BT131))</f>
        <v>46680</v>
      </c>
      <c r="BV131" s="8">
        <f t="shared" ca="1" si="267"/>
        <v>546</v>
      </c>
      <c r="BW131" s="5" t="str">
        <f t="shared" ca="1" si="268"/>
        <v>VIGENTE</v>
      </c>
      <c r="BX131" s="2"/>
      <c r="BY131" s="4">
        <v>45944</v>
      </c>
      <c r="BZ131" s="4">
        <f t="shared" si="460"/>
        <v>46674</v>
      </c>
      <c r="CA131" s="8">
        <f t="shared" ca="1" si="269"/>
        <v>540</v>
      </c>
      <c r="CB131" s="5" t="str">
        <f t="shared" ca="1" si="270"/>
        <v>VIGENTE</v>
      </c>
      <c r="CC131" s="6" t="s">
        <v>68</v>
      </c>
      <c r="CD131" s="4">
        <v>45828</v>
      </c>
      <c r="CE131" s="4">
        <f t="shared" si="428"/>
        <v>47289</v>
      </c>
      <c r="CF131" s="8">
        <f t="shared" ca="1" si="429"/>
        <v>1155</v>
      </c>
      <c r="CG131" s="5" t="str">
        <f t="shared" ca="1" si="430"/>
        <v>VIGENTE</v>
      </c>
      <c r="CH131" s="6"/>
      <c r="CI131" s="4">
        <v>45929</v>
      </c>
      <c r="CJ131" s="4">
        <f>DATE(YEAR(CI131)+2,MONTH(CI131),DAY(CI131))</f>
        <v>46659</v>
      </c>
      <c r="CK131" s="8">
        <f t="shared" ca="1" si="274"/>
        <v>525</v>
      </c>
      <c r="CL131" s="5" t="str">
        <f t="shared" ca="1" si="275"/>
        <v>VIGENTE</v>
      </c>
      <c r="CM131" s="3"/>
      <c r="CN131" s="4">
        <v>45882</v>
      </c>
      <c r="CO131" s="4">
        <f>DATE(YEAR(CN131)+2,MONTH(CN131),DAY(CN131))</f>
        <v>46612</v>
      </c>
      <c r="CP131" s="8">
        <f t="shared" ca="1" si="276"/>
        <v>478</v>
      </c>
      <c r="CQ131" s="5" t="str">
        <f t="shared" ca="1" si="277"/>
        <v>VIGENTE</v>
      </c>
      <c r="CR131" s="2"/>
      <c r="CS131" s="4">
        <v>45905</v>
      </c>
      <c r="CT131" s="4">
        <f>DATE(YEAR(CS131)+2,MONTH(CS131),DAY(CS131))</f>
        <v>46635</v>
      </c>
      <c r="CU131" s="8">
        <f t="shared" ca="1" si="278"/>
        <v>501</v>
      </c>
      <c r="CV131" s="5" t="str">
        <f t="shared" ca="1" si="279"/>
        <v>VIGENTE</v>
      </c>
      <c r="CW131" s="3"/>
      <c r="CX131" s="4">
        <v>45924</v>
      </c>
      <c r="CY131" s="4">
        <f>DATE(YEAR(CX131)+2,MONTH(CX131),DAY(CX131))</f>
        <v>46654</v>
      </c>
      <c r="CZ131" s="8">
        <f t="shared" ca="1" si="280"/>
        <v>520</v>
      </c>
      <c r="DA131" s="5" t="str">
        <f t="shared" ca="1" si="281"/>
        <v>VIGENTE</v>
      </c>
      <c r="DB131" s="3"/>
      <c r="DC131" s="4">
        <v>45986</v>
      </c>
      <c r="DD131" s="4">
        <f>DATE(YEAR(DC131)+2,MONTH(DC131),DAY(DC131))</f>
        <v>46716</v>
      </c>
      <c r="DE131" s="8">
        <f t="shared" ca="1" si="282"/>
        <v>582</v>
      </c>
      <c r="DF131" s="5" t="str">
        <f t="shared" ca="1" si="283"/>
        <v>VIGENTE</v>
      </c>
      <c r="DG131" s="2"/>
      <c r="DH131" s="4">
        <v>45975</v>
      </c>
      <c r="DI131" s="4">
        <f>DATE(YEAR(DH131)+2,MONTH(DH131),DAY(DH131))</f>
        <v>46705</v>
      </c>
      <c r="DJ131" s="8">
        <f t="shared" ca="1" si="284"/>
        <v>571</v>
      </c>
      <c r="DK131" s="5" t="str">
        <f t="shared" ca="1" si="285"/>
        <v>VIGENTE</v>
      </c>
      <c r="DL131" s="3"/>
      <c r="DM131" s="4">
        <v>45982</v>
      </c>
      <c r="DN131" s="4">
        <f>DATE(YEAR(DM131)+2,MONTH(DM131),DAY(DM131))</f>
        <v>46712</v>
      </c>
      <c r="DO131" s="8">
        <f t="shared" ca="1" si="286"/>
        <v>578</v>
      </c>
      <c r="DP131" s="5" t="str">
        <f t="shared" ca="1" si="287"/>
        <v>VIGENTE</v>
      </c>
      <c r="DQ131" s="3"/>
      <c r="DR131" s="4">
        <v>45885</v>
      </c>
      <c r="DS131" s="4">
        <f>DATE(YEAR(DR131)+2,MONTH(DR131),DAY(DR131))</f>
        <v>46615</v>
      </c>
      <c r="DT131" s="8">
        <f t="shared" ca="1" si="288"/>
        <v>481</v>
      </c>
      <c r="DU131" s="5" t="str">
        <f t="shared" ca="1" si="289"/>
        <v>VIGENTE</v>
      </c>
      <c r="DV131" s="3"/>
      <c r="DW131" s="4">
        <v>46020</v>
      </c>
      <c r="DX131" s="4">
        <f>DATE(YEAR(DW131)+2,MONTH(DW131),DAY(DW131))</f>
        <v>46750</v>
      </c>
      <c r="DY131" s="8">
        <f t="shared" ca="1" si="290"/>
        <v>616</v>
      </c>
      <c r="DZ131" s="5" t="str">
        <f t="shared" ca="1" si="291"/>
        <v>VIGENTE</v>
      </c>
      <c r="EA131" s="3"/>
      <c r="EB131" s="4">
        <v>45913</v>
      </c>
      <c r="EC131" s="4">
        <f>DATE(YEAR(EB131)+2,MONTH(EB131),DAY(EB131))</f>
        <v>46643</v>
      </c>
      <c r="ED131" s="8">
        <f t="shared" ca="1" si="292"/>
        <v>509</v>
      </c>
      <c r="EE131" s="5" t="str">
        <f t="shared" ca="1" si="293"/>
        <v>VIGENTE</v>
      </c>
      <c r="EF131" s="3"/>
      <c r="EG131" s="3">
        <v>46002</v>
      </c>
      <c r="EH131" s="4">
        <f t="shared" si="364"/>
        <v>46367</v>
      </c>
      <c r="EI131" s="8">
        <f t="shared" ca="1" si="294"/>
        <v>233</v>
      </c>
      <c r="EJ131" s="5" t="str">
        <f t="shared" ca="1" si="295"/>
        <v>VIGENTE</v>
      </c>
      <c r="EK131" s="3"/>
      <c r="EL131" s="4">
        <v>45940</v>
      </c>
      <c r="EM131" s="4">
        <f>DATE(YEAR(EL131)+2,MONTH(EL131),DAY(EL131))</f>
        <v>46670</v>
      </c>
      <c r="EN131" s="8">
        <f t="shared" ca="1" si="296"/>
        <v>536</v>
      </c>
      <c r="EO131" s="5" t="str">
        <f t="shared" ca="1" si="297"/>
        <v>VIGENTE</v>
      </c>
      <c r="EP131" s="2"/>
      <c r="EQ131" s="4">
        <v>45922</v>
      </c>
      <c r="ER131" s="4">
        <f>DATE(YEAR(EQ131)+2,MONTH(EQ131),DAY(EQ131))</f>
        <v>46652</v>
      </c>
      <c r="ES131" s="8">
        <f t="shared" ca="1" si="298"/>
        <v>518</v>
      </c>
      <c r="ET131" s="5" t="str">
        <f t="shared" ca="1" si="299"/>
        <v>VIGENTE</v>
      </c>
      <c r="EU131" s="2"/>
      <c r="EV131" s="4">
        <v>45917</v>
      </c>
      <c r="EW131" s="4">
        <f t="shared" ref="EW131:EW137" si="464">DATE(YEAR(EV131)+2,MONTH(EV131),DAY(EV131))</f>
        <v>46647</v>
      </c>
      <c r="EX131" s="8">
        <f t="shared" ca="1" si="300"/>
        <v>513</v>
      </c>
      <c r="EY131" s="5" t="str">
        <f t="shared" ca="1" si="301"/>
        <v>VIGENTE</v>
      </c>
      <c r="EZ131" s="2"/>
      <c r="FA131" s="4">
        <v>45931</v>
      </c>
      <c r="FB131" s="4">
        <f t="shared" ref="FB131:FB137" si="465">DATE(YEAR(FA131)+2,MONTH(FA131),DAY(FA131))</f>
        <v>46661</v>
      </c>
      <c r="FC131" s="8">
        <f t="shared" ca="1" si="302"/>
        <v>527</v>
      </c>
      <c r="FD131" s="5" t="str">
        <f t="shared" ca="1" si="303"/>
        <v>VIGENTE</v>
      </c>
      <c r="FE131" s="2"/>
      <c r="FF131" s="4">
        <v>45932</v>
      </c>
      <c r="FG131" s="4">
        <f t="shared" ref="FG131:FG137" si="466">DATE(YEAR(FF131)+2,MONTH(FF131),DAY(FF131))</f>
        <v>46662</v>
      </c>
      <c r="FH131" s="8">
        <f t="shared" ca="1" si="304"/>
        <v>528</v>
      </c>
      <c r="FI131" s="5" t="str">
        <f t="shared" ca="1" si="305"/>
        <v>VIGENTE</v>
      </c>
      <c r="FJ131" s="3"/>
      <c r="FK131" s="4">
        <v>45933</v>
      </c>
      <c r="FL131" s="4">
        <f>DATE(YEAR(FK131)+2,MONTH(FK131),DAY(FK131))</f>
        <v>46663</v>
      </c>
      <c r="FM131" s="8">
        <f t="shared" ca="1" si="306"/>
        <v>529</v>
      </c>
      <c r="FN131" s="5" t="str">
        <f t="shared" ca="1" si="307"/>
        <v>VIGENTE</v>
      </c>
      <c r="FO131" s="3"/>
      <c r="FP131" s="4">
        <v>45957</v>
      </c>
      <c r="FQ131" s="4">
        <f>DATE(YEAR(FP131)+2,MONTH(FP131),DAY(FP131))</f>
        <v>46687</v>
      </c>
      <c r="FR131" s="8">
        <f t="shared" ca="1" si="308"/>
        <v>553</v>
      </c>
      <c r="FS131" s="5" t="str">
        <f t="shared" ca="1" si="309"/>
        <v>VIGENTE</v>
      </c>
      <c r="FT131" s="3"/>
      <c r="FU131" s="4">
        <v>45993</v>
      </c>
      <c r="FV131" s="4">
        <f t="shared" ref="FV131:FV137" si="467">DATE(YEAR(FU131)+2,MONTH(FU131),DAY(FU131))</f>
        <v>46723</v>
      </c>
      <c r="FW131" s="8">
        <f t="shared" ca="1" si="310"/>
        <v>589</v>
      </c>
      <c r="FX131" s="5" t="str">
        <f t="shared" ca="1" si="311"/>
        <v>VIGENTE</v>
      </c>
      <c r="FY131" s="3"/>
      <c r="FZ131" s="4">
        <v>45833</v>
      </c>
      <c r="GA131" s="4">
        <f>DATE(YEAR(FZ131)+2,MONTH(FZ131),DAY(FZ131))</f>
        <v>46563</v>
      </c>
      <c r="GB131" s="8">
        <f t="shared" ca="1" si="312"/>
        <v>429</v>
      </c>
      <c r="GC131" s="5" t="str">
        <f t="shared" ca="1" si="313"/>
        <v>VIGENTE</v>
      </c>
      <c r="GD131" s="3"/>
      <c r="GE131" s="4">
        <v>45912</v>
      </c>
      <c r="GF131" s="4">
        <f>DATE(YEAR(GE131)+2,MONTH(GE131),DAY(GE131))</f>
        <v>46642</v>
      </c>
      <c r="GG131" s="8">
        <f t="shared" ca="1" si="314"/>
        <v>508</v>
      </c>
      <c r="GH131" s="5" t="str">
        <f t="shared" ca="1" si="315"/>
        <v>VIGENTE</v>
      </c>
      <c r="GI131" s="3"/>
      <c r="GJ131" s="4">
        <v>45945</v>
      </c>
      <c r="GK131" s="4">
        <f>DATE(YEAR(GJ131)+2,MONTH(GJ131),DAY(GJ131))</f>
        <v>46675</v>
      </c>
      <c r="GL131" s="8">
        <f t="shared" ca="1" si="316"/>
        <v>541</v>
      </c>
      <c r="GM131" s="5" t="str">
        <f t="shared" ca="1" si="317"/>
        <v>VIGENTE</v>
      </c>
      <c r="GN131" s="4"/>
      <c r="GO131" s="4">
        <v>45219</v>
      </c>
      <c r="GP131" s="4">
        <f t="shared" si="318"/>
        <v>47046</v>
      </c>
      <c r="GQ131" s="8">
        <f t="shared" ca="1" si="418"/>
        <v>912</v>
      </c>
      <c r="GR131" s="5" t="str">
        <f t="shared" ca="1" si="431"/>
        <v>VIGENTE</v>
      </c>
      <c r="GS131" s="3"/>
      <c r="GT131" s="4">
        <v>45267</v>
      </c>
      <c r="GU131" s="4">
        <f t="shared" si="320"/>
        <v>47094</v>
      </c>
      <c r="GV131" s="8">
        <f t="shared" ca="1" si="321"/>
        <v>960</v>
      </c>
      <c r="GW131" s="5" t="str">
        <f t="shared" ca="1" si="438"/>
        <v>VIGENTE</v>
      </c>
      <c r="GX131" s="2"/>
      <c r="GY131" s="4">
        <v>45268</v>
      </c>
      <c r="GZ131" s="4">
        <f t="shared" si="323"/>
        <v>47095</v>
      </c>
      <c r="HA131" s="8">
        <f t="shared" ca="1" si="324"/>
        <v>961</v>
      </c>
      <c r="HB131" s="5" t="str">
        <f t="shared" ca="1" si="433"/>
        <v>VIGENTE</v>
      </c>
      <c r="HC131" s="6"/>
      <c r="HD131" s="6"/>
      <c r="HE131" s="4"/>
      <c r="HF131" s="8"/>
      <c r="HG131" s="5" t="str">
        <f t="shared" si="439"/>
        <v>NO APLICA</v>
      </c>
      <c r="HH131" s="2"/>
      <c r="HI131" s="6"/>
      <c r="HJ131" s="4"/>
      <c r="HK131" s="8"/>
      <c r="HL131" s="5" t="str">
        <f t="shared" si="457"/>
        <v>NO APLICA</v>
      </c>
      <c r="HM131" s="2"/>
      <c r="HN131" s="2"/>
      <c r="HO131" s="4"/>
      <c r="HP131" s="2"/>
      <c r="HQ131" s="5" t="str">
        <f t="shared" si="326"/>
        <v>NO APLICA</v>
      </c>
      <c r="HR131" s="2"/>
      <c r="HS131" s="6"/>
      <c r="HT131" s="4"/>
      <c r="HU131" s="8"/>
      <c r="HV131" s="5" t="str">
        <f t="shared" si="327"/>
        <v>NO APLICA</v>
      </c>
      <c r="HW131" s="2"/>
      <c r="HX131" s="6"/>
      <c r="HY131" s="4"/>
      <c r="HZ131" s="8"/>
      <c r="IA131" s="5" t="str">
        <f t="shared" si="328"/>
        <v>NO APLICA</v>
      </c>
      <c r="IB131" s="2"/>
      <c r="IC131" s="6"/>
      <c r="ID131" s="4"/>
      <c r="IE131" s="8"/>
      <c r="IF131" s="5" t="str">
        <f t="shared" si="329"/>
        <v>NO APLICA</v>
      </c>
      <c r="IG131" s="6"/>
      <c r="IH131" s="6"/>
      <c r="II131" s="4"/>
      <c r="IJ131" s="8"/>
      <c r="IK131" s="5" t="str">
        <f t="shared" si="330"/>
        <v>NO APLICA</v>
      </c>
      <c r="IL131" s="2"/>
      <c r="IM131" s="6"/>
      <c r="IN131" s="4"/>
      <c r="IO131" s="8"/>
      <c r="IP131" s="5" t="str">
        <f t="shared" si="331"/>
        <v>NO APLICA</v>
      </c>
      <c r="IQ131" s="2"/>
      <c r="IR131" s="6"/>
      <c r="IS131" s="4"/>
      <c r="IT131" s="8"/>
      <c r="IU131" s="5" t="str">
        <f t="shared" si="332"/>
        <v>NO APLICA</v>
      </c>
      <c r="IV131" s="2"/>
      <c r="IW131" s="6"/>
      <c r="IX131" s="4"/>
      <c r="IY131" s="8"/>
      <c r="IZ131" s="5" t="str">
        <f t="shared" si="333"/>
        <v>NO APLICA</v>
      </c>
      <c r="JA131" s="3"/>
      <c r="JB131" s="3"/>
      <c r="JC131" s="4"/>
      <c r="JD131" s="8"/>
      <c r="JE131" s="5" t="str">
        <f t="shared" si="334"/>
        <v>NO APLICA</v>
      </c>
      <c r="JF131" s="6"/>
      <c r="JG131" s="6"/>
      <c r="JH131" s="6"/>
      <c r="JI131" s="6"/>
      <c r="JJ131" s="5" t="str">
        <f t="shared" si="335"/>
        <v>NO APLICA</v>
      </c>
      <c r="JK131" s="6"/>
      <c r="JL131" s="6"/>
      <c r="JM131" s="6"/>
      <c r="JN131" s="6"/>
      <c r="JO131" s="5" t="str">
        <f t="shared" si="336"/>
        <v>NO APLICA</v>
      </c>
      <c r="JP131" s="6"/>
      <c r="JQ131" s="6"/>
      <c r="JR131" s="6"/>
      <c r="JS131" s="6"/>
      <c r="JT131" s="5" t="str">
        <f t="shared" si="337"/>
        <v>NO APLICA</v>
      </c>
      <c r="JU131" s="5"/>
      <c r="JV131" s="5"/>
      <c r="JW131" s="5"/>
      <c r="JX131" s="5"/>
      <c r="JY131" s="5" t="str">
        <f t="shared" si="338"/>
        <v>NO APLICA</v>
      </c>
      <c r="JZ131" s="5"/>
      <c r="KA131" s="2"/>
      <c r="KB131" s="4"/>
      <c r="KC131" s="8"/>
      <c r="KD131" s="5" t="str">
        <f t="shared" si="339"/>
        <v>NO APLICA</v>
      </c>
      <c r="KE131" s="5"/>
      <c r="KF131" s="2"/>
      <c r="KG131" s="4"/>
      <c r="KH131" s="8"/>
      <c r="KI131" s="5" t="str">
        <f t="shared" si="365"/>
        <v>NO APLICA</v>
      </c>
      <c r="KJ131" s="5"/>
      <c r="KK131" s="2"/>
      <c r="KL131" s="4"/>
      <c r="KM131" s="8"/>
      <c r="KN131" s="5" t="str">
        <f t="shared" si="340"/>
        <v>NO APLICA</v>
      </c>
      <c r="KO131" s="5"/>
      <c r="KP131" s="2"/>
      <c r="KQ131" s="4"/>
      <c r="KR131" s="8"/>
      <c r="KS131" s="5" t="str">
        <f t="shared" si="366"/>
        <v>NO APLICA</v>
      </c>
      <c r="KT131" s="2"/>
      <c r="KU131" s="6"/>
      <c r="KV131" s="4"/>
      <c r="KW131" s="8"/>
      <c r="KX131" s="5" t="str">
        <f t="shared" si="375"/>
        <v>NO APLICA</v>
      </c>
      <c r="KY131" s="5"/>
      <c r="KZ131" s="6"/>
      <c r="LA131" s="4"/>
      <c r="LB131" s="8"/>
      <c r="LC131" s="5" t="str">
        <f t="shared" si="367"/>
        <v>NO APLICA</v>
      </c>
      <c r="LD131" s="6"/>
      <c r="LE131" s="6"/>
      <c r="LF131" s="4"/>
      <c r="LG131" s="8"/>
      <c r="LH131" s="5" t="str">
        <f t="shared" si="341"/>
        <v>NO APLICA</v>
      </c>
      <c r="LI131" s="5"/>
      <c r="LJ131" s="5"/>
      <c r="LK131" s="4"/>
      <c r="LL131" s="8"/>
      <c r="LM131" s="5" t="str">
        <f t="shared" si="376"/>
        <v>NO APLICA</v>
      </c>
      <c r="LN131" s="2"/>
      <c r="LO131" s="6"/>
      <c r="LP131" s="4"/>
      <c r="LQ131" s="8"/>
      <c r="LR131" s="5" t="str">
        <f t="shared" si="368"/>
        <v>NO APLICA</v>
      </c>
      <c r="LS131" s="6"/>
      <c r="LT131" s="6"/>
      <c r="LU131" s="4"/>
      <c r="LV131" s="8"/>
      <c r="LW131" s="5" t="str">
        <f t="shared" si="369"/>
        <v>NO APLICA</v>
      </c>
      <c r="LX131" s="6"/>
      <c r="LY131" s="6"/>
      <c r="LZ131" s="4"/>
      <c r="MA131" s="8"/>
      <c r="MB131" s="5" t="str">
        <f t="shared" si="370"/>
        <v>NO APLICA</v>
      </c>
      <c r="MC131" s="2"/>
      <c r="MD131" s="2"/>
      <c r="ME131" s="4"/>
      <c r="MF131" s="8"/>
      <c r="MG131" s="5" t="str">
        <f t="shared" si="342"/>
        <v>NO APLICA</v>
      </c>
      <c r="MH131" s="2"/>
      <c r="MI131" s="2"/>
      <c r="MJ131" s="4"/>
      <c r="MK131" s="8"/>
      <c r="ML131" s="5" t="str">
        <f t="shared" si="343"/>
        <v>NO APLICA</v>
      </c>
      <c r="MM131" s="5"/>
      <c r="MN131" s="2"/>
      <c r="MO131" s="4"/>
      <c r="MP131" s="8"/>
      <c r="MQ131" s="5" t="str">
        <f t="shared" si="344"/>
        <v>NO APLICA</v>
      </c>
      <c r="MR131" s="5"/>
      <c r="MS131" s="2"/>
      <c r="MT131" s="4"/>
      <c r="MU131" s="2"/>
      <c r="MV131" s="5" t="str">
        <f t="shared" si="345"/>
        <v>NO APLICA</v>
      </c>
      <c r="MW131" s="2"/>
      <c r="MX131" s="6"/>
      <c r="MY131" s="4"/>
      <c r="MZ131" s="8"/>
      <c r="NA131" s="5" t="str">
        <f t="shared" si="346"/>
        <v>NO APLICA</v>
      </c>
      <c r="NB131" s="2"/>
      <c r="NC131" s="6"/>
      <c r="ND131" s="4"/>
      <c r="NE131" s="8"/>
      <c r="NF131" s="5" t="str">
        <f t="shared" si="347"/>
        <v>NO APLICA</v>
      </c>
      <c r="NG131" s="2"/>
      <c r="NH131" s="6"/>
      <c r="NI131" s="4"/>
      <c r="NJ131" s="8"/>
      <c r="NK131" s="5" t="str">
        <f t="shared" si="348"/>
        <v>NO APLICA</v>
      </c>
      <c r="NL131" s="2"/>
      <c r="NM131" s="2"/>
      <c r="NN131" s="4"/>
      <c r="NO131" s="8"/>
      <c r="NP131" s="5" t="str">
        <f t="shared" si="349"/>
        <v>NO APLICA</v>
      </c>
      <c r="NQ131" s="2"/>
      <c r="NR131" s="2"/>
      <c r="NS131" s="4"/>
      <c r="NT131" s="2"/>
      <c r="NU131" s="5" t="str">
        <f t="shared" si="350"/>
        <v>NO APLICA</v>
      </c>
      <c r="NV131" s="6"/>
      <c r="NW131" s="6"/>
      <c r="NX131" s="4"/>
      <c r="NY131" s="8"/>
      <c r="NZ131" s="5" t="str">
        <f t="shared" si="351"/>
        <v>NO APLICA</v>
      </c>
      <c r="OA131" s="6"/>
      <c r="OB131" s="6"/>
      <c r="OC131" s="6"/>
      <c r="OD131" s="6"/>
      <c r="OE131" s="5" t="str">
        <f t="shared" si="352"/>
        <v>NO APLICA</v>
      </c>
      <c r="OF131" s="2"/>
      <c r="OG131" s="2"/>
      <c r="OH131" s="4"/>
      <c r="OI131" s="8"/>
      <c r="OJ131" s="5" t="str">
        <f t="shared" si="353"/>
        <v>NO APLICA</v>
      </c>
      <c r="OK131" s="6"/>
      <c r="OL131" s="6"/>
      <c r="OM131" s="6"/>
      <c r="ON131" s="6"/>
      <c r="OO131" s="5" t="str">
        <f t="shared" si="354"/>
        <v>NO APLICA</v>
      </c>
      <c r="OP131" s="6"/>
      <c r="OQ131" s="6"/>
      <c r="OR131" s="6"/>
      <c r="OS131" s="6"/>
      <c r="OT131" s="5" t="str">
        <f t="shared" si="355"/>
        <v>NO APLICA</v>
      </c>
      <c r="OU131" s="6"/>
      <c r="OV131" s="6"/>
      <c r="OW131" s="6"/>
      <c r="OX131" s="6"/>
      <c r="OY131" s="5" t="str">
        <f t="shared" si="356"/>
        <v>NO APLICA</v>
      </c>
      <c r="OZ131" s="6"/>
      <c r="PA131" s="6"/>
      <c r="PB131" s="6"/>
      <c r="PC131" s="6"/>
      <c r="PD131" s="5" t="str">
        <f t="shared" si="357"/>
        <v>NO APLICA</v>
      </c>
      <c r="PE131" s="6"/>
      <c r="PF131" s="6"/>
      <c r="PG131" s="6"/>
      <c r="PH131" s="6"/>
      <c r="PI131" s="5" t="str">
        <f t="shared" si="358"/>
        <v>NO APLICA</v>
      </c>
      <c r="PJ131" s="5"/>
      <c r="PK131" s="6"/>
      <c r="PL131" s="4"/>
      <c r="PM131" s="8"/>
      <c r="PN131" s="5" t="str">
        <f t="shared" si="359"/>
        <v>NO APLICA</v>
      </c>
      <c r="PO131" s="6"/>
      <c r="PP131" s="6"/>
      <c r="PQ131" s="6"/>
      <c r="PR131" s="6"/>
      <c r="PS131" s="5" t="str">
        <f t="shared" si="360"/>
        <v>NO APLICA</v>
      </c>
      <c r="PT131" s="5"/>
      <c r="PU131" s="6"/>
      <c r="PV131" s="6"/>
      <c r="PW131" s="6"/>
      <c r="PX131" s="5" t="str">
        <f t="shared" si="361"/>
        <v>NO APLICA</v>
      </c>
    </row>
    <row r="132" spans="1:440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441</v>
      </c>
      <c r="V132" s="4">
        <v>45107</v>
      </c>
      <c r="W132" s="4">
        <f t="shared" si="421"/>
        <v>46934</v>
      </c>
      <c r="X132" s="8">
        <f t="shared" ca="1" si="422"/>
        <v>800</v>
      </c>
      <c r="Y132" s="5" t="str">
        <f t="shared" ca="1" si="423"/>
        <v>VIGENTE</v>
      </c>
      <c r="Z132" s="6" t="s">
        <v>442</v>
      </c>
      <c r="AA132" s="4">
        <v>45149</v>
      </c>
      <c r="AB132" s="4">
        <f>DATE(YEAR(AA132)+5,MONTH(AA132),DAY(AA132))</f>
        <v>46976</v>
      </c>
      <c r="AC132" s="8">
        <f ca="1">AB132-TODAY()</f>
        <v>842</v>
      </c>
      <c r="AD132" s="5" t="str">
        <f t="shared" ca="1" si="444"/>
        <v>VIGENTE</v>
      </c>
      <c r="AE132" s="4"/>
      <c r="AF132" s="4">
        <v>45902</v>
      </c>
      <c r="AG132" s="4">
        <f t="shared" si="461"/>
        <v>46632</v>
      </c>
      <c r="AH132" s="8">
        <f t="shared" ref="AH132:AH191" ca="1" si="470">AG132-TODAY()</f>
        <v>498</v>
      </c>
      <c r="AI132" s="5" t="str">
        <f t="shared" ca="1" si="419"/>
        <v>VIGENTE</v>
      </c>
      <c r="AJ132" s="6"/>
      <c r="AK132" s="4">
        <v>45937</v>
      </c>
      <c r="AL132" s="4">
        <f t="shared" si="462"/>
        <v>46667</v>
      </c>
      <c r="AM132" s="8">
        <f t="shared" ref="AM132:AM191" ca="1" si="471">AL132-TODAY()</f>
        <v>533</v>
      </c>
      <c r="AN132" s="5" t="str">
        <f t="shared" ref="AN132:AN195" ca="1" si="472">IF(AM132&gt;=91,"VIGENTE",IF(AM132&gt;=1,"POR VENCER",IF(AM132&lt;=-1,"VENCIDA",IF(AK132=0,"NO APLICA"))))</f>
        <v>VIGENTE</v>
      </c>
      <c r="AO132" s="4"/>
      <c r="AP132" s="4">
        <v>45967</v>
      </c>
      <c r="AQ132" s="4">
        <f t="shared" si="463"/>
        <v>46697</v>
      </c>
      <c r="AR132" s="8">
        <f t="shared" ref="AR132:AR191" ca="1" si="473">AQ132-TODAY()</f>
        <v>563</v>
      </c>
      <c r="AS132" s="5" t="str">
        <f t="shared" ref="AS132:AS195" ca="1" si="474">IF(AR132&gt;=91,"VIGENTE",IF(AR132&gt;=1,"POR VENCER",IF(AR132&lt;=-1,"VENCIDA",IF(AP132=0,"NO APLICA"))))</f>
        <v>VIGENTE</v>
      </c>
      <c r="AT132" s="4"/>
      <c r="AU132" s="4">
        <v>45765</v>
      </c>
      <c r="AV132" s="4">
        <f t="shared" si="458"/>
        <v>46495</v>
      </c>
      <c r="AW132" s="8">
        <f t="shared" ref="AW132:AW191" ca="1" si="475">AV132-TODAY()</f>
        <v>361</v>
      </c>
      <c r="AX132" s="5" t="str">
        <f t="shared" ref="AX132:AX195" ca="1" si="476">IF(AW132&gt;=91,"VIGENTE",IF(AW132&gt;=1,"POR VENCER",IF(AW132&lt;=-1,"VENCIDA",IF(AU132=0,"NO APLICA"))))</f>
        <v>VIGENTE</v>
      </c>
      <c r="AY132" s="4"/>
      <c r="AZ132" s="4">
        <v>45855</v>
      </c>
      <c r="BA132" s="4">
        <f>DATE(YEAR(AZ132)+2,MONTH(AZ132),DAY(AZ132))</f>
        <v>46585</v>
      </c>
      <c r="BB132" s="8">
        <f t="shared" ref="BB132:BB191" ca="1" si="477">BA132-TODAY()</f>
        <v>451</v>
      </c>
      <c r="BC132" s="5" t="str">
        <f t="shared" ref="BC132:BC195" ca="1" si="478">IF(BB132&gt;=91,"VIGENTE",IF(BB132&gt;=1,"POR VENCER",IF(BB132&lt;=-1,"VENCIDA",IF(AZ132=0,"NO APLICA"))))</f>
        <v>VIGENTE</v>
      </c>
      <c r="BD132" s="4"/>
      <c r="BE132" s="4">
        <v>45842</v>
      </c>
      <c r="BF132" s="4">
        <f t="shared" si="459"/>
        <v>46572</v>
      </c>
      <c r="BG132" s="8">
        <f t="shared" ref="BG132:BG191" ca="1" si="479">BF132-TODAY()</f>
        <v>438</v>
      </c>
      <c r="BH132" s="5" t="str">
        <f t="shared" ref="BH132:BH195" ca="1" si="480">IF(BG132&gt;=91,"VIGENTE",IF(BG132&gt;=1,"POR VENCER",IF(BG132&lt;=-1,"VENCIDA",IF(BE132=0,"NO APLICA"))))</f>
        <v>VIGENTE</v>
      </c>
      <c r="BI132" s="3"/>
      <c r="BJ132" s="4">
        <v>45976</v>
      </c>
      <c r="BK132" s="4">
        <f>DATE(YEAR(BJ132)+2,MONTH(BJ132),DAY(BJ132))</f>
        <v>46706</v>
      </c>
      <c r="BL132" s="8">
        <f t="shared" ref="BL132:BL191" ca="1" si="481">BK132-TODAY()</f>
        <v>572</v>
      </c>
      <c r="BM132" s="5" t="str">
        <f t="shared" ref="BM132:BM195" ca="1" si="482">IF(BL132&gt;=91,"VIGENTE",IF(BL132&gt;=1,"POR VENCER",IF(BL132&lt;=-1,"VENCIDA",IF(BJ132=0,"NO APLICA"))))</f>
        <v>VIGENTE</v>
      </c>
      <c r="BN132" s="4"/>
      <c r="BO132" s="4">
        <v>45750</v>
      </c>
      <c r="BP132" s="4">
        <f>DATE(YEAR(BO132)+2,MONTH(BO132),DAY(BO132)-1)</f>
        <v>46479</v>
      </c>
      <c r="BQ132" s="8">
        <f t="shared" ref="BQ132:BQ191" ca="1" si="483">BP132-TODAY()</f>
        <v>345</v>
      </c>
      <c r="BR132" s="5" t="str">
        <f t="shared" ref="BR132:BR195" ca="1" si="484">IF(BQ132&gt;=91,"VIGENTE",IF(BQ132&gt;=1,"POR VENCER",IF(BQ132&lt;=-1,"VENCIDA",IF(BO132=0,"NO APLICA"))))</f>
        <v>VIGENTE</v>
      </c>
      <c r="BS132" s="6"/>
      <c r="BT132" s="4">
        <v>45950</v>
      </c>
      <c r="BU132" s="4">
        <f>DATE(YEAR(BT132)+2,MONTH(BT132),DAY(BT132))</f>
        <v>46680</v>
      </c>
      <c r="BV132" s="8">
        <f t="shared" ref="BV132:BV191" ca="1" si="485">BU132-TODAY()</f>
        <v>546</v>
      </c>
      <c r="BW132" s="5" t="str">
        <f t="shared" ref="BW132:BW195" ca="1" si="486">IF(BV132&gt;=91,"VIGENTE",IF(BV132&gt;=1,"POR VENCER",IF(BV132&lt;=-1,"VENCIDA",IF(BT132=0,"NO APLICA"))))</f>
        <v>VIGENTE</v>
      </c>
      <c r="BX132" s="6"/>
      <c r="BY132" s="4">
        <v>45944</v>
      </c>
      <c r="BZ132" s="4">
        <f t="shared" si="460"/>
        <v>46674</v>
      </c>
      <c r="CA132" s="8">
        <f t="shared" ref="CA132:CA191" ca="1" si="487">BZ132-TODAY()</f>
        <v>540</v>
      </c>
      <c r="CB132" s="5" t="str">
        <f t="shared" ref="CB132:CB195" ca="1" si="488">IF(CA132&gt;=91,"VIGENTE",IF(CA132&gt;=1,"POR VENCER",IF(CA132&lt;=-1,"VENCIDA",IF(BY132=0,"NO APLICA"))))</f>
        <v>VIGENTE</v>
      </c>
      <c r="CC132" s="6" t="s">
        <v>73</v>
      </c>
      <c r="CD132" s="4">
        <v>45301</v>
      </c>
      <c r="CE132" s="4">
        <f t="shared" si="428"/>
        <v>46762</v>
      </c>
      <c r="CF132" s="8">
        <f t="shared" ca="1" si="429"/>
        <v>628</v>
      </c>
      <c r="CG132" s="5" t="str">
        <f t="shared" ca="1" si="430"/>
        <v>VIGENTE</v>
      </c>
      <c r="CH132" s="4"/>
      <c r="CI132" s="4">
        <v>45801</v>
      </c>
      <c r="CJ132" s="4">
        <f>DATE(YEAR(CI132)+2,MONTH(CI132),DAY(CI132)-1)</f>
        <v>46530</v>
      </c>
      <c r="CK132" s="8">
        <f t="shared" ref="CK132:CK191" ca="1" si="489">CJ132-TODAY()</f>
        <v>396</v>
      </c>
      <c r="CL132" s="5" t="str">
        <f t="shared" ref="CL132:CL195" ca="1" si="490">IF(CK132&gt;=91,"VIGENTE",IF(CK132&gt;=1,"POR VENCER",IF(CK132&lt;=-1,"VENCIDA",IF(CI132=0,"NO APLICA"))))</f>
        <v>VIGENTE</v>
      </c>
      <c r="CM132" s="6"/>
      <c r="CN132" s="4">
        <v>45769</v>
      </c>
      <c r="CO132" s="4">
        <f>DATE(YEAR(CN132)+2,MONTH(CN132),DAY(CN132))</f>
        <v>46499</v>
      </c>
      <c r="CP132" s="8">
        <f t="shared" ref="CP132:CP191" ca="1" si="491">CO132-TODAY()</f>
        <v>365</v>
      </c>
      <c r="CQ132" s="5" t="str">
        <f t="shared" ref="CQ132:CQ195" ca="1" si="492">IF(CP132&gt;=91,"VIGENTE",IF(CP132&gt;=1,"POR VENCER",IF(CP132&lt;=-1,"VENCIDA",IF(CN132=0,"NO APLICA"))))</f>
        <v>VIGENTE</v>
      </c>
      <c r="CR132" s="6"/>
      <c r="CS132" s="4">
        <v>45939</v>
      </c>
      <c r="CT132" s="4">
        <f>DATE(YEAR(CS132)+2,MONTH(CS132),DAY(CS132))</f>
        <v>46669</v>
      </c>
      <c r="CU132" s="8">
        <f t="shared" ref="CU132:CU191" ca="1" si="493">CT132-TODAY()</f>
        <v>535</v>
      </c>
      <c r="CV132" s="5" t="str">
        <f t="shared" ref="CV132:CV195" ca="1" si="494">IF(CU132&gt;=91,"VIGENTE",IF(CU132&gt;=1,"POR VENCER",IF(CU132&lt;=-1,"VENCIDA",IF(CS132=0,"NO APLICA"))))</f>
        <v>VIGENTE</v>
      </c>
      <c r="CW132" s="4"/>
      <c r="CX132" s="4">
        <v>45843</v>
      </c>
      <c r="CY132" s="4">
        <f>DATE(YEAR(CX132)+2,MONTH(CX132),DAY(CX132))</f>
        <v>46573</v>
      </c>
      <c r="CZ132" s="8">
        <f t="shared" ref="CZ132:CZ191" ca="1" si="495">CY132-TODAY()</f>
        <v>439</v>
      </c>
      <c r="DA132" s="5" t="str">
        <f t="shared" ref="DA132:DA195" ca="1" si="496">IF(CZ132&gt;=91,"VIGENTE",IF(CZ132&gt;=1,"POR VENCER",IF(CZ132&lt;=-1,"VENCIDA",IF(CX132=0,"NO APLICA"))))</f>
        <v>VIGENTE</v>
      </c>
      <c r="DB132" s="4"/>
      <c r="DC132" s="4">
        <v>45854</v>
      </c>
      <c r="DD132" s="4">
        <f>DATE(YEAR(DC132)+2,MONTH(DC132),DAY(DC132))</f>
        <v>46584</v>
      </c>
      <c r="DE132" s="8">
        <f t="shared" ref="DE132:DE191" ca="1" si="497">DD132-TODAY()</f>
        <v>450</v>
      </c>
      <c r="DF132" s="5" t="str">
        <f t="shared" ref="DF132:DF195" ca="1" si="498">IF(DE132&gt;=91,"VIGENTE",IF(DE132&gt;=1,"POR VENCER",IF(DE132&lt;=-1,"VENCIDA",IF(DC132=0,"NO APLICA"))))</f>
        <v>VIGENTE</v>
      </c>
      <c r="DG132" s="4"/>
      <c r="DH132" s="4">
        <v>45779</v>
      </c>
      <c r="DI132" s="4">
        <f>DATE(YEAR(DH132)+2,MONTH(DH132),DAY(DH132))</f>
        <v>46509</v>
      </c>
      <c r="DJ132" s="8">
        <f t="shared" ref="DJ132:DJ191" ca="1" si="499">DI132-TODAY()</f>
        <v>375</v>
      </c>
      <c r="DK132" s="5" t="str">
        <f t="shared" ref="DK132:DK195" ca="1" si="500">IF(DJ132&gt;=91,"VIGENTE",IF(DJ132&gt;=1,"POR VENCER",IF(DJ132&lt;=-1,"VENCIDA",IF(DH132=0,"NO APLICA"))))</f>
        <v>VIGENTE</v>
      </c>
      <c r="DL132" s="4"/>
      <c r="DM132" s="4">
        <v>45857</v>
      </c>
      <c r="DN132" s="4">
        <f>DATE(YEAR(DM132)+2,MONTH(DM132),DAY(DM132))</f>
        <v>46587</v>
      </c>
      <c r="DO132" s="8">
        <f t="shared" ref="DO132:DO191" ca="1" si="501">DN132-TODAY()</f>
        <v>453</v>
      </c>
      <c r="DP132" s="5" t="str">
        <f t="shared" ref="DP132:DP195" ca="1" si="502">IF(DO132&gt;=91,"VIGENTE",IF(DO132&gt;=1,"POR VENCER",IF(DO132&lt;=-1,"VENCIDA",IF(DM132=0,"NO APLICA"))))</f>
        <v>VIGENTE</v>
      </c>
      <c r="DQ132" s="4"/>
      <c r="DR132" s="4">
        <v>45852</v>
      </c>
      <c r="DS132" s="4">
        <f>DATE(YEAR(DR132)+2,MONTH(DR132),DAY(DR132))</f>
        <v>46582</v>
      </c>
      <c r="DT132" s="8">
        <f t="shared" ref="DT132:DT191" ca="1" si="503">DS132-TODAY()</f>
        <v>448</v>
      </c>
      <c r="DU132" s="5" t="str">
        <f t="shared" ref="DU132:DU195" ca="1" si="504">IF(DT132&gt;=91,"VIGENTE",IF(DT132&gt;=1,"POR VENCER",IF(DT132&lt;=-1,"VENCIDA",IF(DR132=0,"NO APLICA"))))</f>
        <v>VIGENTE</v>
      </c>
      <c r="DV132" s="4"/>
      <c r="DW132" s="4">
        <v>45915</v>
      </c>
      <c r="DX132" s="4">
        <f>DATE(YEAR(DW132)+2,MONTH(DW132),DAY(DW132))</f>
        <v>46645</v>
      </c>
      <c r="DY132" s="8">
        <f t="shared" ref="DY132:DY191" ca="1" si="505">DX132-TODAY()</f>
        <v>511</v>
      </c>
      <c r="DZ132" s="5" t="str">
        <f t="shared" ref="DZ132:DZ195" ca="1" si="506">IF(DY132&gt;=91,"VIGENTE",IF(DY132&gt;=1,"POR VENCER",IF(DY132&lt;=-1,"VENCIDA",IF(DW132=0,"NO APLICA"))))</f>
        <v>VIGENTE</v>
      </c>
      <c r="EA132" s="4"/>
      <c r="EB132" s="4">
        <v>45913</v>
      </c>
      <c r="EC132" s="4">
        <f>DATE(YEAR(EB132)+2,MONTH(EB132),DAY(EB132))</f>
        <v>46643</v>
      </c>
      <c r="ED132" s="8">
        <f t="shared" ref="ED132:ED191" ca="1" si="507">EC132-TODAY()</f>
        <v>509</v>
      </c>
      <c r="EE132" s="5" t="str">
        <f t="shared" ref="EE132:EE195" ca="1" si="508">IF(ED132&gt;=91,"VIGENTE",IF(ED132&gt;=1,"POR VENCER",IF(ED132&lt;=-1,"VENCIDA",IF(EB132=0,"NO APLICA"))))</f>
        <v>VIGENTE</v>
      </c>
      <c r="EF132" s="3"/>
      <c r="EG132" s="4">
        <v>45948</v>
      </c>
      <c r="EH132" s="4">
        <f t="shared" si="364"/>
        <v>46313</v>
      </c>
      <c r="EI132" s="8">
        <f t="shared" ref="EI132:EI191" ca="1" si="509">EH132-TODAY()</f>
        <v>179</v>
      </c>
      <c r="EJ132" s="5" t="str">
        <f t="shared" ref="EJ132:EJ195" ca="1" si="510">IF(EI132&gt;=91,"VIGENTE",IF(EI132&gt;=1,"POR VENCER",IF(EI132&lt;=-1,"VENCIDA",IF(EG132=0,"NO APLICA"))))</f>
        <v>VIGENTE</v>
      </c>
      <c r="EK132" s="4"/>
      <c r="EL132" s="4">
        <v>45940</v>
      </c>
      <c r="EM132" s="4">
        <f>DATE(YEAR(EL132)+2,MONTH(EL132),DAY(EL132))</f>
        <v>46670</v>
      </c>
      <c r="EN132" s="8">
        <f t="shared" ref="EN132:EN191" ca="1" si="511">EM132-TODAY()</f>
        <v>536</v>
      </c>
      <c r="EO132" s="5" t="str">
        <f t="shared" ref="EO132:EO195" ca="1" si="512">IF(EN132&gt;=91,"VIGENTE",IF(EN132&gt;=1,"POR VENCER",IF(EN132&lt;=-1,"VENCIDA",IF(EL132=0,"NO APLICA"))))</f>
        <v>VIGENTE</v>
      </c>
      <c r="EP132" s="4"/>
      <c r="EQ132" s="4">
        <v>45824</v>
      </c>
      <c r="ER132" s="4">
        <f>DATE(YEAR(EQ132)+2,MONTH(EQ132),DAY(EQ132))</f>
        <v>46554</v>
      </c>
      <c r="ES132" s="8">
        <f t="shared" ref="ES132:ES191" ca="1" si="513">ER132-TODAY()</f>
        <v>420</v>
      </c>
      <c r="ET132" s="5" t="str">
        <f t="shared" ref="ET132:ET195" ca="1" si="514">IF(ES132&gt;=91,"VIGENTE",IF(ES132&gt;=1,"POR VENCER",IF(ES132&lt;=-1,"VENCIDA",IF(EQ132=0,"NO APLICA"))))</f>
        <v>VIGENTE</v>
      </c>
      <c r="EU132" s="4"/>
      <c r="EV132" s="4">
        <v>45964</v>
      </c>
      <c r="EW132" s="4">
        <f t="shared" si="464"/>
        <v>46694</v>
      </c>
      <c r="EX132" s="8">
        <f t="shared" ref="EX132:EX191" ca="1" si="515">EW132-TODAY()</f>
        <v>560</v>
      </c>
      <c r="EY132" s="5" t="str">
        <f t="shared" ref="EY132:EY195" ca="1" si="516">IF(EX132&gt;=91,"VIGENTE",IF(EX132&gt;=1,"POR VENCER",IF(EX132&lt;=-1,"VENCIDA",IF(EV132=0,"NO APLICA"))))</f>
        <v>VIGENTE</v>
      </c>
      <c r="EZ132" s="4"/>
      <c r="FA132" s="4">
        <v>45783</v>
      </c>
      <c r="FB132" s="4">
        <f t="shared" si="465"/>
        <v>46513</v>
      </c>
      <c r="FC132" s="8">
        <f t="shared" ref="FC132:FC191" ca="1" si="517">FB132-TODAY()</f>
        <v>379</v>
      </c>
      <c r="FD132" s="5" t="str">
        <f t="shared" ref="FD132:FD195" ca="1" si="518">IF(FC132&gt;=91,"VIGENTE",IF(FC132&gt;=1,"POR VENCER",IF(FC132&lt;=-1,"VENCIDA",IF(FA132=0,"NO APLICA"))))</f>
        <v>VIGENTE</v>
      </c>
      <c r="FE132" s="4"/>
      <c r="FF132" s="4">
        <v>45790</v>
      </c>
      <c r="FG132" s="4">
        <f t="shared" si="466"/>
        <v>46520</v>
      </c>
      <c r="FH132" s="8">
        <f t="shared" ref="FH132:FH191" ca="1" si="519">FG132-TODAY()</f>
        <v>386</v>
      </c>
      <c r="FI132" s="5" t="str">
        <f t="shared" ref="FI132:FI195" ca="1" si="520">IF(FH132&gt;=91,"VIGENTE",IF(FH132&gt;=1,"POR VENCER",IF(FH132&lt;=-1,"VENCIDA",IF(FF132=0,"NO APLICA"))))</f>
        <v>VIGENTE</v>
      </c>
      <c r="FJ132" s="4"/>
      <c r="FK132" s="4">
        <v>45784</v>
      </c>
      <c r="FL132" s="4">
        <f>DATE(YEAR(FK132)+2,MONTH(FK132),DAY(FK132))</f>
        <v>46514</v>
      </c>
      <c r="FM132" s="8">
        <f t="shared" ref="FM132:FM191" ca="1" si="521">FL132-TODAY()</f>
        <v>380</v>
      </c>
      <c r="FN132" s="5" t="str">
        <f t="shared" ref="FN132:FN195" ca="1" si="522">IF(FM132&gt;=91,"VIGENTE",IF(FM132&gt;=1,"POR VENCER",IF(FM132&lt;=-1,"VENCIDA",IF(FK132=0,"NO APLICA"))))</f>
        <v>VIGENTE</v>
      </c>
      <c r="FO132" s="4"/>
      <c r="FP132" s="4">
        <v>45957</v>
      </c>
      <c r="FQ132" s="4">
        <f>DATE(YEAR(FP132)+2,MONTH(FP132),DAY(FP132))</f>
        <v>46687</v>
      </c>
      <c r="FR132" s="8">
        <f t="shared" ref="FR132:FR191" ca="1" si="523">FQ132-TODAY()</f>
        <v>553</v>
      </c>
      <c r="FS132" s="5" t="str">
        <f t="shared" ref="FS132:FS195" ca="1" si="524">IF(FR132&gt;=91,"VIGENTE",IF(FR132&gt;=1,"POR VENCER",IF(FR132&lt;=-1,"VENCIDA",IF(FP132=0,"NO APLICA"))))</f>
        <v>VIGENTE</v>
      </c>
      <c r="FT132" s="4"/>
      <c r="FU132" s="4">
        <v>45822</v>
      </c>
      <c r="FV132" s="4">
        <f t="shared" si="467"/>
        <v>46552</v>
      </c>
      <c r="FW132" s="8">
        <f t="shared" ref="FW132:FW191" ca="1" si="525">FV132-TODAY()</f>
        <v>418</v>
      </c>
      <c r="FX132" s="5" t="str">
        <f t="shared" ref="FX132:FX195" ca="1" si="526">IF(FW132&gt;=91,"VIGENTE",IF(FW132&gt;=1,"POR VENCER",IF(FW132&lt;=-1,"VENCIDA",IF(FU132=0,"NO APLICA"))))</f>
        <v>VIGENTE</v>
      </c>
      <c r="FY132" s="4"/>
      <c r="FZ132" s="4">
        <v>45925</v>
      </c>
      <c r="GA132" s="4">
        <f>DATE(YEAR(FZ132)+2,MONTH(FZ132),DAY(FZ132))</f>
        <v>46655</v>
      </c>
      <c r="GB132" s="8">
        <f t="shared" ref="GB132:GB191" ca="1" si="527">GA132-TODAY()</f>
        <v>521</v>
      </c>
      <c r="GC132" s="5" t="str">
        <f t="shared" ref="GC132:GC195" ca="1" si="528">IF(GB132&gt;=91,"VIGENTE",IF(GB132&gt;=1,"POR VENCER",IF(GB132&lt;=-1,"VENCIDA",IF(FZ132=0,"NO APLICA"))))</f>
        <v>VIGENTE</v>
      </c>
      <c r="GD132" s="4"/>
      <c r="GE132" s="4">
        <v>45849</v>
      </c>
      <c r="GF132" s="4">
        <f>DATE(YEAR(GE132)+2,MONTH(GE132),DAY(GE132))</f>
        <v>46579</v>
      </c>
      <c r="GG132" s="8">
        <f t="shared" ref="GG132:GG191" ca="1" si="529">GF132-TODAY()</f>
        <v>445</v>
      </c>
      <c r="GH132" s="5" t="str">
        <f t="shared" ref="GH132:GH195" ca="1" si="530">IF(GG132&gt;=91,"VIGENTE",IF(GG132&gt;=1,"POR VENCER",IF(GG132&lt;=-1,"VENCIDA",IF(GE132=0,"NO APLICA"))))</f>
        <v>VIGENTE</v>
      </c>
      <c r="GI132" s="4"/>
      <c r="GJ132" s="4">
        <v>45945</v>
      </c>
      <c r="GK132" s="4">
        <f>DATE(YEAR(GJ132)+2,MONTH(GJ132),DAY(GJ132))</f>
        <v>46675</v>
      </c>
      <c r="GL132" s="8">
        <f t="shared" ref="GL132:GL191" ca="1" si="531">GK132-TODAY()</f>
        <v>541</v>
      </c>
      <c r="GM132" s="5" t="str">
        <f t="shared" ref="GM132:GM195" ca="1" si="532">IF(GL132&gt;=61,"VIGENTE",IF(GL132&gt;=1,"POR VENCER",IF(GL132&lt;=-1,"VENCIDA",IF(GJ132=0,"NO APLICA"))))</f>
        <v>VIGENTE</v>
      </c>
      <c r="GN132" s="4"/>
      <c r="GO132" s="4">
        <v>45164</v>
      </c>
      <c r="GP132" s="4">
        <f t="shared" ref="GP132:GP191" si="533">DATE(YEAR(GO132)+5,MONTH(GO132),DAY(GO132))</f>
        <v>46991</v>
      </c>
      <c r="GQ132" s="8">
        <f t="shared" ca="1" si="418"/>
        <v>857</v>
      </c>
      <c r="GR132" s="5" t="str">
        <f t="shared" ca="1" si="431"/>
        <v>VIGENTE</v>
      </c>
      <c r="GS132" s="4"/>
      <c r="GT132" s="4">
        <v>45200</v>
      </c>
      <c r="GU132" s="4">
        <f t="shared" ref="GU132:GU191" si="534">DATE(YEAR(GT132)+5,MONTH(GT132),DAY(GT132))</f>
        <v>47027</v>
      </c>
      <c r="GV132" s="8">
        <f t="shared" ref="GV132:GV191" ca="1" si="535">GU132-TODAY()</f>
        <v>893</v>
      </c>
      <c r="GW132" s="5" t="str">
        <f t="shared" ca="1" si="438"/>
        <v>VIGENTE</v>
      </c>
      <c r="GX132" s="6"/>
      <c r="GY132" s="4">
        <v>45163</v>
      </c>
      <c r="GZ132" s="4">
        <f t="shared" ref="GZ132:GZ191" si="536">DATE(YEAR(GY132)+5,MONTH(GY132),DAY(GY132))</f>
        <v>46990</v>
      </c>
      <c r="HA132" s="8">
        <f t="shared" ref="HA132:HA191" ca="1" si="537">GZ132-TODAY()</f>
        <v>856</v>
      </c>
      <c r="HB132" s="5" t="str">
        <f t="shared" ca="1" si="433"/>
        <v>VIGENTE</v>
      </c>
      <c r="HC132" s="6"/>
      <c r="HD132" s="4">
        <v>45150</v>
      </c>
      <c r="HE132" s="4">
        <f>DATE(YEAR(HD132)+5,MONTH(HD132),DAY(HD132))</f>
        <v>46977</v>
      </c>
      <c r="HF132" s="8">
        <f ca="1">HE132-TODAY()</f>
        <v>843</v>
      </c>
      <c r="HG132" s="5" t="str">
        <f t="shared" ca="1" si="439"/>
        <v>VIGENTE</v>
      </c>
      <c r="HH132" s="6"/>
      <c r="HI132" s="6"/>
      <c r="HJ132" s="4"/>
      <c r="HK132" s="8"/>
      <c r="HL132" s="5" t="str">
        <f t="shared" si="457"/>
        <v>NO APLICA</v>
      </c>
      <c r="HM132" s="2"/>
      <c r="HN132" s="2"/>
      <c r="HO132" s="4"/>
      <c r="HP132" s="2"/>
      <c r="HQ132" s="5" t="str">
        <f t="shared" ref="HQ132:HQ195" si="538">IF(HP132&gt;=61,"VIGENTE",IF(HP132&gt;=1,"POR VENCER",IF(HP132&lt;=-1,"VENCIDA",IF(HN132=0,"NO APLICA"))))</f>
        <v>NO APLICA</v>
      </c>
      <c r="HR132" s="6"/>
      <c r="HS132" s="6"/>
      <c r="HT132" s="4"/>
      <c r="HU132" s="8"/>
      <c r="HV132" s="5" t="str">
        <f t="shared" ref="HV132:HV195" si="539">IF(HU132&gt;=61,"VIGENTE",IF(HU132&gt;=1,"POR VENCER",IF(HU132&lt;=-1,"VENCIDA",IF(HS132=0,"NO APLICA"))))</f>
        <v>NO APLICA</v>
      </c>
      <c r="HW132" s="6"/>
      <c r="HX132" s="6"/>
      <c r="HY132" s="4"/>
      <c r="HZ132" s="8"/>
      <c r="IA132" s="5" t="str">
        <f t="shared" ref="IA132:IA195" si="540">IF(HZ132&gt;=61,"VIGENTE",IF(HZ132&gt;=1,"POR VENCER",IF(HZ132&lt;=-1,"VENCIDA",IF(HX132=0,"NO APLICA"))))</f>
        <v>NO APLICA</v>
      </c>
      <c r="IB132" s="6"/>
      <c r="IC132" s="6"/>
      <c r="ID132" s="4"/>
      <c r="IE132" s="8"/>
      <c r="IF132" s="5" t="str">
        <f t="shared" ref="IF132:IF195" si="541">IF(IE132&gt;=61,"VIGENTE",IF(IE132&gt;=1,"POR VENCER",IF(IE132&lt;=-1,"VENCIDA",IF(IC132=0,"NO APLICA"))))</f>
        <v>NO APLICA</v>
      </c>
      <c r="IG132" s="6"/>
      <c r="IH132" s="6"/>
      <c r="II132" s="4"/>
      <c r="IJ132" s="6"/>
      <c r="IK132" s="5" t="str">
        <f t="shared" ref="IK132:IK195" si="542">IF(IJ132&gt;=61,"VIGENTE",IF(IJ132&gt;=1,"POR VENCER",IF(IJ132&lt;=-1,"VENCIDA",IF(IH132=0,"NO APLICA"))))</f>
        <v>NO APLICA</v>
      </c>
      <c r="IL132" s="6"/>
      <c r="IM132" s="4">
        <v>45354</v>
      </c>
      <c r="IN132" s="4">
        <f>DATE(YEAR(IM132)+5,MONTH(IM132),DAY(IM132))</f>
        <v>47180</v>
      </c>
      <c r="IO132" s="8">
        <f ca="1">IN132-TODAY()</f>
        <v>1046</v>
      </c>
      <c r="IP132" s="5" t="str">
        <f t="shared" ref="IP132:IP195" ca="1" si="543">IF(IO132&gt;=61,"VIGENTE",IF(IO132&gt;=1,"POR VENCER",IF(IO132&lt;=-1,"VENCIDA",IF(IM132=0,"NO APLICA"))))</f>
        <v>VIGENTE</v>
      </c>
      <c r="IQ132" s="6"/>
      <c r="IR132" s="6"/>
      <c r="IS132" s="4"/>
      <c r="IT132" s="8"/>
      <c r="IU132" s="5" t="str">
        <f t="shared" ref="IU132:IU195" si="544">IF(IT132&gt;=61,"VIGENTE",IF(IT132&gt;=1,"POR VENCER",IF(IT132&lt;=-1,"VENCIDA",IF(IR132=0,"NO APLICA"))))</f>
        <v>NO APLICA</v>
      </c>
      <c r="IV132" s="6"/>
      <c r="IW132" s="6"/>
      <c r="IX132" s="4"/>
      <c r="IY132" s="8"/>
      <c r="IZ132" s="5" t="str">
        <f t="shared" ref="IZ132:IZ195" si="545">IF(IY132&gt;=61,"VIGENTE",IF(IY132&gt;=1,"POR VENCER",IF(IY132&lt;=-1,"VENCIDA",IF(IW132=0,"NO APLICA"))))</f>
        <v>NO APLICA</v>
      </c>
      <c r="JA132" s="3"/>
      <c r="JB132" s="3"/>
      <c r="JC132" s="4"/>
      <c r="JD132" s="8"/>
      <c r="JE132" s="5" t="str">
        <f t="shared" ref="JE132:JE195" si="546">IF(JD132&gt;=61,"VIGENTE",IF(JD132&gt;=1,"POR VENCER",IF(JD132&lt;=-1,"VENCIDA",IF(JB132=0,"NO APLICA"))))</f>
        <v>NO APLICA</v>
      </c>
      <c r="JF132" s="6"/>
      <c r="JG132" s="6"/>
      <c r="JH132" s="6"/>
      <c r="JI132" s="6"/>
      <c r="JJ132" s="5" t="str">
        <f t="shared" ref="JJ132:JJ195" si="547">IF(JI132&gt;=61,"VIGENTE",IF(JI132&gt;=1,"POR VENCER",IF(JI132&lt;=-1,"VENCIDA",IF(JF132=0,"NO APLICA"))))</f>
        <v>NO APLICA</v>
      </c>
      <c r="JK132" s="6"/>
      <c r="JL132" s="6"/>
      <c r="JM132" s="6"/>
      <c r="JN132" s="6"/>
      <c r="JO132" s="5" t="str">
        <f t="shared" ref="JO132:JO195" si="548">IF(JN132&gt;=61,"VIGENTE",IF(JN132&gt;=1,"POR VENCER",IF(JN132&lt;=-1,"VENCIDA",IF(JK132=0,"NO APLICA"))))</f>
        <v>NO APLICA</v>
      </c>
      <c r="JP132" s="6"/>
      <c r="JQ132" s="6"/>
      <c r="JR132" s="6"/>
      <c r="JS132" s="6"/>
      <c r="JT132" s="5" t="str">
        <f t="shared" ref="JT132:JT195" si="549">IF(JS132&gt;=61,"VIGENTE",IF(JS132&gt;=1,"POR VENCER",IF(JS132&lt;=-1,"VENCIDA",IF(JQ132=0,"NO APLICA"))))</f>
        <v>NO APLICA</v>
      </c>
      <c r="JU132" s="5"/>
      <c r="JV132" s="5"/>
      <c r="JW132" s="5"/>
      <c r="JX132" s="5"/>
      <c r="JY132" s="5" t="str">
        <f t="shared" ref="JY132:JY195" si="550">IF(JX132&gt;=61,"VIGENTE",IF(JX132&gt;=1,"POR VENCER",IF(JX132&lt;=-1,"VENCIDA",IF(JV132=0,"NO APLICA"))))</f>
        <v>NO APLICA</v>
      </c>
      <c r="JZ132" s="5"/>
      <c r="KA132" s="2"/>
      <c r="KB132" s="4"/>
      <c r="KC132" s="8"/>
      <c r="KD132" s="5" t="str">
        <f t="shared" ref="KD132:KD195" si="551">IF(KC132&gt;=61,"VIGENTE",IF(KC132&gt;=1,"POR VENCER",IF(KC132&lt;=-1,"VENCIDA",IF(KA132=0,"NO APLICA"))))</f>
        <v>NO APLICA</v>
      </c>
      <c r="KE132" s="5"/>
      <c r="KF132" s="2"/>
      <c r="KG132" s="4"/>
      <c r="KH132" s="8"/>
      <c r="KI132" s="5" t="str">
        <f t="shared" si="365"/>
        <v>NO APLICA</v>
      </c>
      <c r="KJ132" s="5"/>
      <c r="KK132" s="2"/>
      <c r="KL132" s="4"/>
      <c r="KM132" s="8"/>
      <c r="KN132" s="5" t="str">
        <f t="shared" ref="KN132:KN195" si="552">IF(KM132&gt;=61,"VIGENTE",IF(KM132&gt;=1,"POR VENCER",IF(KM132&lt;=-1,"VENCIDA",IF(KK132=0,"NO APLICA"))))</f>
        <v>NO APLICA</v>
      </c>
      <c r="KO132" s="5"/>
      <c r="KP132" s="2"/>
      <c r="KQ132" s="4"/>
      <c r="KR132" s="8"/>
      <c r="KS132" s="5" t="str">
        <f t="shared" si="366"/>
        <v>NO APLICA</v>
      </c>
      <c r="KT132" s="6"/>
      <c r="KU132" s="6"/>
      <c r="KV132" s="4"/>
      <c r="KW132" s="6"/>
      <c r="KX132" s="5" t="str">
        <f t="shared" si="375"/>
        <v>NO APLICA</v>
      </c>
      <c r="KY132" s="5"/>
      <c r="KZ132" s="6"/>
      <c r="LA132" s="4"/>
      <c r="LB132" s="6"/>
      <c r="LC132" s="5" t="str">
        <f t="shared" si="367"/>
        <v>NO APLICA</v>
      </c>
      <c r="LD132" s="6"/>
      <c r="LE132" s="6"/>
      <c r="LF132" s="6"/>
      <c r="LG132" s="6"/>
      <c r="LH132" s="5" t="str">
        <f t="shared" ref="LH132:LH133" si="553">IF(LG132&gt;=61,"VIGENTE",IF(LG132&gt;=1,"POR VENCER",IF(LG132&lt;=-1,"VENCIDA",IF(LE132=0,"NO APLICA"))))</f>
        <v>NO APLICA</v>
      </c>
      <c r="LI132" s="5"/>
      <c r="LJ132" s="5"/>
      <c r="LK132" s="4"/>
      <c r="LL132" s="8"/>
      <c r="LM132" s="5" t="str">
        <f t="shared" si="376"/>
        <v>NO APLICA</v>
      </c>
      <c r="LN132" s="6"/>
      <c r="LO132" s="6"/>
      <c r="LP132" s="4"/>
      <c r="LQ132" s="8"/>
      <c r="LR132" s="5" t="str">
        <f t="shared" si="368"/>
        <v>NO APLICA</v>
      </c>
      <c r="LS132" s="6"/>
      <c r="LT132" s="6"/>
      <c r="LU132" s="4"/>
      <c r="LV132" s="6"/>
      <c r="LW132" s="5" t="str">
        <f t="shared" si="369"/>
        <v>NO APLICA</v>
      </c>
      <c r="LX132" s="6"/>
      <c r="LY132" s="6"/>
      <c r="LZ132" s="4"/>
      <c r="MA132" s="6"/>
      <c r="MB132" s="5" t="str">
        <f t="shared" si="370"/>
        <v>NO APLICA</v>
      </c>
      <c r="MC132" s="6"/>
      <c r="MD132" s="6"/>
      <c r="ME132" s="4"/>
      <c r="MF132" s="6"/>
      <c r="MG132" s="5" t="str">
        <f t="shared" ref="MG132:MG195" si="554">IF(MF132&gt;=61,"VIGENTE",IF(MF132&gt;=1,"POR VENCER",IF(MF132&lt;=-1,"VENCIDA",IF(MD132=0,"NO APLICA"))))</f>
        <v>NO APLICA</v>
      </c>
      <c r="MH132" s="6"/>
      <c r="MI132" s="6"/>
      <c r="MJ132" s="4"/>
      <c r="MK132" s="6"/>
      <c r="ML132" s="5" t="str">
        <f t="shared" ref="ML132:ML195" si="555">IF(MK132&gt;=61,"VIGENTE",IF(MK132&gt;=1,"POR VENCER",IF(MK132&lt;=-1,"VENCIDA",IF(MI132=0,"NO APLICA"))))</f>
        <v>NO APLICA</v>
      </c>
      <c r="MM132" s="5"/>
      <c r="MN132" s="6"/>
      <c r="MO132" s="4"/>
      <c r="MP132" s="6"/>
      <c r="MQ132" s="5" t="str">
        <f t="shared" ref="MQ132:MQ195" si="556">IF(MP132&gt;=61,"VIGENTE",IF(MP132&gt;=1,"POR VENCER",IF(MP132&lt;=-1,"VENCIDA",IF(MN132=0,"NO APLICA"))))</f>
        <v>NO APLICA</v>
      </c>
      <c r="MR132" s="5"/>
      <c r="MS132" s="6"/>
      <c r="MT132" s="6"/>
      <c r="MU132" s="6"/>
      <c r="MV132" s="5" t="str">
        <f t="shared" ref="MV132:MV195" si="557">IF(MU132&gt;=61,"VIGENTE",IF(MU132&gt;=1,"POR VENCER",IF(MU132&lt;=-1,"VENCIDA",IF(MS132=0,"NO APLICA"))))</f>
        <v>NO APLICA</v>
      </c>
      <c r="MW132" s="6"/>
      <c r="MX132" s="6"/>
      <c r="MY132" s="4"/>
      <c r="MZ132" s="6"/>
      <c r="NA132" s="5" t="str">
        <f t="shared" ref="NA132:NA195" si="558">IF(MZ132&gt;=61,"VIGENTE",IF(MZ132&gt;=1,"POR VENCER",IF(MZ132&lt;=-1,"VENCIDA",IF(MX132=0,"NO APLICA"))))</f>
        <v>NO APLICA</v>
      </c>
      <c r="NB132" s="6"/>
      <c r="NC132" s="6"/>
      <c r="ND132" s="4"/>
      <c r="NE132" s="6"/>
      <c r="NF132" s="5" t="str">
        <f t="shared" ref="NF132:NF195" si="559">IF(NE132&gt;=61,"VIGENTE",IF(NE132&gt;=1,"POR VENCER",IF(NE132&lt;=-1,"VENCIDA",IF(NC132=0,"NO APLICA"))))</f>
        <v>NO APLICA</v>
      </c>
      <c r="NG132" s="6"/>
      <c r="NH132" s="6"/>
      <c r="NI132" s="4"/>
      <c r="NJ132" s="6"/>
      <c r="NK132" s="5" t="str">
        <f t="shared" ref="NK132:NK195" si="560">IF(NJ132&gt;=61,"VIGENTE",IF(NJ132&gt;=1,"POR VENCER",IF(NJ132&lt;=-1,"VENCIDA",IF(NH132=0,"NO APLICA"))))</f>
        <v>NO APLICA</v>
      </c>
      <c r="NL132" s="6"/>
      <c r="NM132" s="6"/>
      <c r="NN132" s="4"/>
      <c r="NO132" s="6"/>
      <c r="NP132" s="5" t="str">
        <f t="shared" ref="NP132:NP195" si="561">IF(NO132&gt;=61,"VIGENTE",IF(NO132&gt;=1,"POR VENCER",IF(NO132&lt;=-1,"VENCIDA",IF(NM132=0,"NO APLICA"))))</f>
        <v>NO APLICA</v>
      </c>
      <c r="NQ132" s="6"/>
      <c r="NR132" s="6"/>
      <c r="NS132" s="4"/>
      <c r="NT132" s="6"/>
      <c r="NU132" s="5" t="str">
        <f t="shared" ref="NU132:NU195" si="562">IF(NT132&gt;=61,"VIGENTE",IF(NT132&gt;=1,"POR VENCER",IF(NT132&lt;=-1,"VENCIDA",IF(NR132=0,"NO APLICA"))))</f>
        <v>NO APLICA</v>
      </c>
      <c r="NV132" s="6"/>
      <c r="NW132" s="6"/>
      <c r="NX132" s="4"/>
      <c r="NY132" s="8"/>
      <c r="NZ132" s="5" t="str">
        <f t="shared" ref="NZ132:NZ195" si="563">IF(NY132&gt;=61,"VIGENTE",IF(NY132&gt;=1,"POR VENCER",IF(NY132&lt;=-1,"VENCIDA",IF(NW132=0,"NO APLICA"))))</f>
        <v>NO APLICA</v>
      </c>
      <c r="OA132" s="6"/>
      <c r="OB132" s="6"/>
      <c r="OC132" s="6"/>
      <c r="OD132" s="6"/>
      <c r="OE132" s="5" t="str">
        <f t="shared" ref="OE132:OE195" si="564">IF(OD132&gt;=61,"VIGENTE",IF(OD132&gt;=1,"POR VENCER",IF(OD132&lt;=-1,"VENCIDA",IF(OB132=0,"NO APLICA"))))</f>
        <v>NO APLICA</v>
      </c>
      <c r="OF132" s="6"/>
      <c r="OG132" s="6"/>
      <c r="OH132" s="6"/>
      <c r="OI132" s="6"/>
      <c r="OJ132" s="5" t="str">
        <f t="shared" ref="OJ132:OJ195" si="565">IF(OI132&gt;=61,"VIGENTE",IF(OI132&gt;=1,"POR VENCER",IF(OI132&lt;=-1,"VENCIDA",IF(OG132=0,"NO APLICA"))))</f>
        <v>NO APLICA</v>
      </c>
      <c r="OK132" s="6"/>
      <c r="OL132" s="6"/>
      <c r="OM132" s="6"/>
      <c r="ON132" s="6"/>
      <c r="OO132" s="5" t="str">
        <f t="shared" ref="OO132:OO195" si="566">IF(ON132&gt;=61,"VIGENTE",IF(ON132&gt;=1,"POR VENCER",IF(ON132&lt;=-1,"VENCIDA",IF(OL132=0,"NO APLICA"))))</f>
        <v>NO APLICA</v>
      </c>
      <c r="OP132" s="6"/>
      <c r="OQ132" s="6"/>
      <c r="OR132" s="6"/>
      <c r="OS132" s="6"/>
      <c r="OT132" s="5" t="str">
        <f t="shared" ref="OT132:OT195" si="567">IF(OS132&gt;=61,"VIGENTE",IF(OS132&gt;=1,"POR VENCER",IF(OS132&lt;=-1,"VENCIDA",IF(OQ132=0,"NO APLICA"))))</f>
        <v>NO APLICA</v>
      </c>
      <c r="OU132" s="6"/>
      <c r="OV132" s="6"/>
      <c r="OW132" s="6"/>
      <c r="OX132" s="6"/>
      <c r="OY132" s="5" t="str">
        <f t="shared" ref="OY132:OY195" si="568">IF(OX132&gt;=61,"VIGENTE",IF(OX132&gt;=1,"POR VENCER",IF(OX132&lt;=-1,"VENCIDA",IF(OV132=0,"NO APLICA"))))</f>
        <v>NO APLICA</v>
      </c>
      <c r="OZ132" s="6"/>
      <c r="PA132" s="6"/>
      <c r="PB132" s="6"/>
      <c r="PC132" s="6"/>
      <c r="PD132" s="5" t="str">
        <f t="shared" ref="PD132:PD195" si="569">IF(PC132&gt;=61,"VIGENTE",IF(PC132&gt;=1,"POR VENCER",IF(PC132&lt;=-1,"VENCIDA",IF(PA132=0,"NO APLICA"))))</f>
        <v>NO APLICA</v>
      </c>
      <c r="PE132" s="6"/>
      <c r="PF132" s="6"/>
      <c r="PG132" s="6"/>
      <c r="PH132" s="6"/>
      <c r="PI132" s="5" t="str">
        <f t="shared" ref="PI132:PI195" si="570">IF(PH132&gt;=61,"VIGENTE",IF(PH132&gt;=1,"POR VENCER",IF(PH132&lt;=-1,"VENCIDA",IF(PF132=0,"NO APLICA"))))</f>
        <v>NO APLICA</v>
      </c>
      <c r="PJ132" s="5"/>
      <c r="PK132" s="6"/>
      <c r="PL132" s="6"/>
      <c r="PM132" s="6"/>
      <c r="PN132" s="5" t="str">
        <f t="shared" ref="PN132:PN195" si="571">IF(PM132&gt;=61,"VIGENTE",IF(PM132&gt;=1,"POR VENCER",IF(PM132&lt;=-1,"VENCIDA",IF(PK132=0,"NO APLICA"))))</f>
        <v>NO APLICA</v>
      </c>
      <c r="PO132" s="6"/>
      <c r="PP132" s="6"/>
      <c r="PQ132" s="6"/>
      <c r="PR132" s="6"/>
      <c r="PS132" s="5" t="str">
        <f t="shared" ref="PS132:PS195" si="572">IF(PR132&gt;=61,"VIGENTE",IF(PR132&gt;=1,"POR VENCER",IF(PR132&lt;=-1,"VENCIDA",IF(PP132=0,"NO APLICA"))))</f>
        <v>NO APLICA</v>
      </c>
      <c r="PT132" s="5"/>
      <c r="PU132" s="6"/>
      <c r="PV132" s="6"/>
      <c r="PW132" s="6"/>
      <c r="PX132" s="5" t="str">
        <f t="shared" ref="PX132:PX195" si="573">IF(PW132&gt;=61,"VIGENTE",IF(PW132&gt;=1,"POR VENCER",IF(PW132&lt;=-1,"VENCIDA",IF(PU132=0,"NO APLICA"))))</f>
        <v>NO APLICA</v>
      </c>
    </row>
    <row r="133" spans="1:440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178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444</v>
      </c>
      <c r="V133" s="4">
        <v>45309</v>
      </c>
      <c r="W133" s="4">
        <f t="shared" si="421"/>
        <v>47136</v>
      </c>
      <c r="X133" s="8">
        <f t="shared" ca="1" si="422"/>
        <v>1002</v>
      </c>
      <c r="Y133" s="5" t="str">
        <f t="shared" ca="1" si="423"/>
        <v>VIGENTE</v>
      </c>
      <c r="Z133" s="6"/>
      <c r="AA133" s="6"/>
      <c r="AB133" s="4"/>
      <c r="AC133" s="8"/>
      <c r="AD133" s="23" t="str">
        <f>IF(AC133&gt;=91,"VIGENTE",IF(AC133&gt;=1,"POR VENCER",IF(AC133&lt;=-1,"VENCIDA",IF(AA133=0,"PENDIENTE"))))</f>
        <v>PENDIENTE</v>
      </c>
      <c r="AE133" s="6"/>
      <c r="AF133" s="4">
        <v>45936</v>
      </c>
      <c r="AG133" s="4">
        <f t="shared" si="461"/>
        <v>46666</v>
      </c>
      <c r="AH133" s="8">
        <f t="shared" ca="1" si="470"/>
        <v>532</v>
      </c>
      <c r="AI133" s="5" t="str">
        <f t="shared" ca="1" si="419"/>
        <v>VIGENTE</v>
      </c>
      <c r="AJ133" s="4"/>
      <c r="AK133" s="4">
        <v>45959</v>
      </c>
      <c r="AL133" s="4">
        <f t="shared" si="462"/>
        <v>46689</v>
      </c>
      <c r="AM133" s="8">
        <f t="shared" ca="1" si="471"/>
        <v>555</v>
      </c>
      <c r="AN133" s="5" t="str">
        <f t="shared" ca="1" si="472"/>
        <v>VIGENTE</v>
      </c>
      <c r="AO133" s="4"/>
      <c r="AP133" s="4">
        <v>45989</v>
      </c>
      <c r="AQ133" s="4">
        <f t="shared" si="463"/>
        <v>46719</v>
      </c>
      <c r="AR133" s="8">
        <f t="shared" ca="1" si="473"/>
        <v>585</v>
      </c>
      <c r="AS133" s="5" t="str">
        <f t="shared" ca="1" si="474"/>
        <v>VIGENTE</v>
      </c>
      <c r="AT133" s="4"/>
      <c r="AU133" s="4">
        <v>45972</v>
      </c>
      <c r="AV133" s="4">
        <f t="shared" si="458"/>
        <v>46702</v>
      </c>
      <c r="AW133" s="8">
        <f t="shared" ca="1" si="475"/>
        <v>568</v>
      </c>
      <c r="AX133" s="5" t="str">
        <f t="shared" ca="1" si="476"/>
        <v>VIGENTE</v>
      </c>
      <c r="AY133" s="3"/>
      <c r="AZ133" s="4">
        <v>46041</v>
      </c>
      <c r="BA133" s="4">
        <f>DATE(YEAR(AZ133)+2,MONTH(AZ133),DAY(AZ133))</f>
        <v>46771</v>
      </c>
      <c r="BB133" s="8">
        <f t="shared" ca="1" si="477"/>
        <v>637</v>
      </c>
      <c r="BC133" s="5" t="str">
        <f t="shared" ca="1" si="478"/>
        <v>VIGENTE</v>
      </c>
      <c r="BD133" s="6"/>
      <c r="BE133" s="4">
        <v>45997</v>
      </c>
      <c r="BF133" s="4">
        <f t="shared" si="459"/>
        <v>46727</v>
      </c>
      <c r="BG133" s="8">
        <f t="shared" ca="1" si="479"/>
        <v>593</v>
      </c>
      <c r="BH133" s="5" t="str">
        <f t="shared" ca="1" si="480"/>
        <v>VIGENTE</v>
      </c>
      <c r="BI133" s="4"/>
      <c r="BJ133" s="4">
        <v>46017</v>
      </c>
      <c r="BK133" s="4">
        <f>DATE(YEAR(BJ133)+2,MONTH(BJ133),DAY(BJ133))</f>
        <v>46747</v>
      </c>
      <c r="BL133" s="8">
        <f t="shared" ca="1" si="481"/>
        <v>613</v>
      </c>
      <c r="BM133" s="5" t="str">
        <f t="shared" ca="1" si="482"/>
        <v>VIGENTE</v>
      </c>
      <c r="BN133" s="4"/>
      <c r="BO133" s="4">
        <v>46050</v>
      </c>
      <c r="BP133" s="4">
        <f>DATE(YEAR(BO133)+2,MONTH(BO133),DAY(BO133))</f>
        <v>46780</v>
      </c>
      <c r="BQ133" s="8">
        <f t="shared" ca="1" si="483"/>
        <v>646</v>
      </c>
      <c r="BR133" s="5" t="str">
        <f t="shared" ca="1" si="484"/>
        <v>VIGENTE</v>
      </c>
      <c r="BS133" s="3"/>
      <c r="BT133" s="4">
        <v>46031</v>
      </c>
      <c r="BU133" s="4">
        <f>DATE(YEAR(BT133)+2,MONTH(BT133),DAY(BT133))</f>
        <v>46761</v>
      </c>
      <c r="BV133" s="8">
        <f t="shared" ca="1" si="485"/>
        <v>627</v>
      </c>
      <c r="BW133" s="5" t="str">
        <f t="shared" ca="1" si="486"/>
        <v>VIGENTE</v>
      </c>
      <c r="BX133" s="6"/>
      <c r="BY133" s="4">
        <v>45986</v>
      </c>
      <c r="BZ133" s="4">
        <f t="shared" si="460"/>
        <v>46716</v>
      </c>
      <c r="CA133" s="8">
        <f t="shared" ca="1" si="487"/>
        <v>582</v>
      </c>
      <c r="CB133" s="5" t="str">
        <f t="shared" ca="1" si="488"/>
        <v>VIGENTE</v>
      </c>
      <c r="CC133" s="6" t="s">
        <v>68</v>
      </c>
      <c r="CD133" s="4">
        <v>45723</v>
      </c>
      <c r="CE133" s="4">
        <f t="shared" si="428"/>
        <v>47184</v>
      </c>
      <c r="CF133" s="8">
        <f t="shared" ca="1" si="429"/>
        <v>1050</v>
      </c>
      <c r="CG133" s="5" t="str">
        <f t="shared" ca="1" si="430"/>
        <v>VIGENTE</v>
      </c>
      <c r="CH133" s="4"/>
      <c r="CI133" s="4">
        <v>46018</v>
      </c>
      <c r="CJ133" s="4">
        <f>DATE(YEAR(CI133)+2,MONTH(CI133),DAY(CI133))</f>
        <v>46748</v>
      </c>
      <c r="CK133" s="8">
        <f t="shared" ca="1" si="489"/>
        <v>614</v>
      </c>
      <c r="CL133" s="5" t="str">
        <f t="shared" ca="1" si="490"/>
        <v>VIGENTE</v>
      </c>
      <c r="CM133" s="4"/>
      <c r="CN133" s="4">
        <v>45979</v>
      </c>
      <c r="CO133" s="4">
        <f>DATE(YEAR(CN133)+2,MONTH(CN133),DAY(CN133))</f>
        <v>46709</v>
      </c>
      <c r="CP133" s="8">
        <f t="shared" ca="1" si="491"/>
        <v>575</v>
      </c>
      <c r="CQ133" s="5" t="str">
        <f t="shared" ca="1" si="492"/>
        <v>VIGENTE</v>
      </c>
      <c r="CR133" s="4"/>
      <c r="CS133" s="4">
        <v>46043</v>
      </c>
      <c r="CT133" s="4">
        <f>DATE(YEAR(CS133)+2,MONTH(CS133),DAY(CS133))</f>
        <v>46773</v>
      </c>
      <c r="CU133" s="8">
        <f t="shared" ca="1" si="493"/>
        <v>639</v>
      </c>
      <c r="CV133" s="5" t="str">
        <f t="shared" ca="1" si="494"/>
        <v>VIGENTE</v>
      </c>
      <c r="CW133" s="4"/>
      <c r="CX133" s="4">
        <v>46000</v>
      </c>
      <c r="CY133" s="4">
        <f>DATE(YEAR(CX133)+2,MONTH(CX133),DAY(CX133))</f>
        <v>46730</v>
      </c>
      <c r="CZ133" s="8">
        <f t="shared" ca="1" si="495"/>
        <v>596</v>
      </c>
      <c r="DA133" s="5" t="str">
        <f t="shared" ca="1" si="496"/>
        <v>VIGENTE</v>
      </c>
      <c r="DB133" s="3"/>
      <c r="DC133" s="4">
        <v>45996</v>
      </c>
      <c r="DD133" s="4">
        <f>DATE(YEAR(DC133)+2,MONTH(DC133),DAY(DC133))</f>
        <v>46726</v>
      </c>
      <c r="DE133" s="8">
        <f t="shared" ca="1" si="497"/>
        <v>592</v>
      </c>
      <c r="DF133" s="5" t="str">
        <f t="shared" ca="1" si="498"/>
        <v>VIGENTE</v>
      </c>
      <c r="DG133" s="4"/>
      <c r="DH133" s="4">
        <v>45975</v>
      </c>
      <c r="DI133" s="4">
        <f>DATE(YEAR(DH133)+2,MONTH(DH133),DAY(DH133))</f>
        <v>46705</v>
      </c>
      <c r="DJ133" s="8">
        <f t="shared" ca="1" si="499"/>
        <v>571</v>
      </c>
      <c r="DK133" s="5" t="str">
        <f t="shared" ca="1" si="500"/>
        <v>VIGENTE</v>
      </c>
      <c r="DL133" s="4"/>
      <c r="DM133" s="4">
        <v>46007</v>
      </c>
      <c r="DN133" s="4">
        <f>DATE(YEAR(DM133)+2,MONTH(DM133),DAY(DM133))</f>
        <v>46737</v>
      </c>
      <c r="DO133" s="8">
        <f t="shared" ca="1" si="501"/>
        <v>603</v>
      </c>
      <c r="DP133" s="5" t="str">
        <f t="shared" ca="1" si="502"/>
        <v>VIGENTE</v>
      </c>
      <c r="DQ133" s="4"/>
      <c r="DR133" s="3">
        <v>46009</v>
      </c>
      <c r="DS133" s="4">
        <f>DATE(YEAR(DR133)+2,MONTH(DR133),DAY(DR133))</f>
        <v>46739</v>
      </c>
      <c r="DT133" s="8">
        <f t="shared" ca="1" si="503"/>
        <v>605</v>
      </c>
      <c r="DU133" s="5" t="str">
        <f t="shared" ca="1" si="504"/>
        <v>VIGENTE</v>
      </c>
      <c r="DV133" s="4"/>
      <c r="DW133" s="4">
        <v>46032</v>
      </c>
      <c r="DX133" s="4">
        <f>DATE(YEAR(DW133)+2,MONTH(DW133),DAY(DW133))</f>
        <v>46762</v>
      </c>
      <c r="DY133" s="8">
        <f t="shared" ca="1" si="505"/>
        <v>628</v>
      </c>
      <c r="DZ133" s="5" t="str">
        <f t="shared" ca="1" si="506"/>
        <v>VIGENTE</v>
      </c>
      <c r="EA133" s="4"/>
      <c r="EB133" s="4">
        <v>45994</v>
      </c>
      <c r="EC133" s="4">
        <f>DATE(YEAR(EB133)+2,MONTH(EB133),DAY(EB133))</f>
        <v>46724</v>
      </c>
      <c r="ED133" s="8">
        <f t="shared" ca="1" si="507"/>
        <v>590</v>
      </c>
      <c r="EE133" s="5" t="str">
        <f t="shared" ca="1" si="508"/>
        <v>VIGENTE</v>
      </c>
      <c r="EF133" s="3"/>
      <c r="EG133" s="3">
        <v>46015</v>
      </c>
      <c r="EH133" s="4">
        <f t="shared" ref="EH133:EH191" si="575">DATE(YEAR(EG133)+1,MONTH(EG133),DAY(EG133))</f>
        <v>46380</v>
      </c>
      <c r="EI133" s="8">
        <f t="shared" ca="1" si="509"/>
        <v>246</v>
      </c>
      <c r="EJ133" s="5" t="str">
        <f t="shared" ca="1" si="510"/>
        <v>VIGENTE</v>
      </c>
      <c r="EK133" s="3"/>
      <c r="EL133" s="4">
        <v>45983</v>
      </c>
      <c r="EM133" s="4">
        <f>DATE(YEAR(EL133)+2,MONTH(EL133),DAY(EL133))</f>
        <v>46713</v>
      </c>
      <c r="EN133" s="8">
        <f t="shared" ca="1" si="511"/>
        <v>579</v>
      </c>
      <c r="EO133" s="5" t="str">
        <f t="shared" ca="1" si="512"/>
        <v>VIGENTE</v>
      </c>
      <c r="EP133" s="6"/>
      <c r="EQ133" s="4">
        <v>45999</v>
      </c>
      <c r="ER133" s="4">
        <f>DATE(YEAR(EQ133)+2,MONTH(EQ133),DAY(EQ133))</f>
        <v>46729</v>
      </c>
      <c r="ES133" s="8">
        <f t="shared" ca="1" si="513"/>
        <v>595</v>
      </c>
      <c r="ET133" s="5" t="str">
        <f t="shared" ca="1" si="514"/>
        <v>VIGENTE</v>
      </c>
      <c r="EU133" s="4"/>
      <c r="EV133" s="4">
        <v>45964</v>
      </c>
      <c r="EW133" s="4">
        <f t="shared" si="464"/>
        <v>46694</v>
      </c>
      <c r="EX133" s="8">
        <f t="shared" ca="1" si="515"/>
        <v>560</v>
      </c>
      <c r="EY133" s="5" t="str">
        <f t="shared" ca="1" si="516"/>
        <v>VIGENTE</v>
      </c>
      <c r="EZ133" s="6"/>
      <c r="FA133" s="4">
        <v>45988</v>
      </c>
      <c r="FB133" s="4">
        <f t="shared" si="465"/>
        <v>46718</v>
      </c>
      <c r="FC133" s="8">
        <f t="shared" ca="1" si="517"/>
        <v>584</v>
      </c>
      <c r="FD133" s="5" t="str">
        <f t="shared" ca="1" si="518"/>
        <v>VIGENTE</v>
      </c>
      <c r="FE133" s="4"/>
      <c r="FF133" s="4">
        <v>45962</v>
      </c>
      <c r="FG133" s="4">
        <f t="shared" si="466"/>
        <v>46692</v>
      </c>
      <c r="FH133" s="8">
        <f t="shared" ca="1" si="519"/>
        <v>558</v>
      </c>
      <c r="FI133" s="5" t="str">
        <f t="shared" ca="1" si="520"/>
        <v>VIGENTE</v>
      </c>
      <c r="FJ133" s="4"/>
      <c r="FK133" s="4">
        <v>46039</v>
      </c>
      <c r="FL133" s="4">
        <f>DATE(YEAR(FK133)+2,MONTH(FK133),DAY(FK133))</f>
        <v>46769</v>
      </c>
      <c r="FM133" s="8">
        <f t="shared" ca="1" si="521"/>
        <v>635</v>
      </c>
      <c r="FN133" s="5" t="str">
        <f t="shared" ca="1" si="522"/>
        <v>VIGENTE</v>
      </c>
      <c r="FO133" s="4"/>
      <c r="FP133" s="4">
        <v>46034</v>
      </c>
      <c r="FQ133" s="4">
        <f>DATE(YEAR(FP133)+2,MONTH(FP133),DAY(FP133))</f>
        <v>46764</v>
      </c>
      <c r="FR133" s="8">
        <f t="shared" ca="1" si="523"/>
        <v>630</v>
      </c>
      <c r="FS133" s="5" t="str">
        <f t="shared" ca="1" si="524"/>
        <v>VIGENTE</v>
      </c>
      <c r="FT133" s="4"/>
      <c r="FU133" s="4">
        <v>46004</v>
      </c>
      <c r="FV133" s="4">
        <f t="shared" si="467"/>
        <v>46734</v>
      </c>
      <c r="FW133" s="8">
        <f t="shared" ca="1" si="525"/>
        <v>600</v>
      </c>
      <c r="FX133" s="5" t="str">
        <f t="shared" ca="1" si="526"/>
        <v>VIGENTE</v>
      </c>
      <c r="FY133" s="4"/>
      <c r="FZ133" s="4">
        <v>45925</v>
      </c>
      <c r="GA133" s="4">
        <f>DATE(YEAR(FZ133)+2,MONTH(FZ133),DAY(FZ133))</f>
        <v>46655</v>
      </c>
      <c r="GB133" s="8">
        <f t="shared" ca="1" si="527"/>
        <v>521</v>
      </c>
      <c r="GC133" s="5" t="str">
        <f t="shared" ca="1" si="528"/>
        <v>VIGENTE</v>
      </c>
      <c r="GD133" s="4"/>
      <c r="GE133" s="4">
        <v>45960</v>
      </c>
      <c r="GF133" s="4">
        <f>DATE(YEAR(GE133)+2,MONTH(GE133),DAY(GE133))</f>
        <v>46690</v>
      </c>
      <c r="GG133" s="8">
        <f t="shared" ca="1" si="529"/>
        <v>556</v>
      </c>
      <c r="GH133" s="5" t="str">
        <f t="shared" ca="1" si="530"/>
        <v>VIGENTE</v>
      </c>
      <c r="GI133" s="4"/>
      <c r="GJ133" s="4">
        <v>45499</v>
      </c>
      <c r="GK133" s="4">
        <f>DATE(YEAR(GJ133)+2,MONTH(GJ133),DAY(GJ133)-1)</f>
        <v>46228</v>
      </c>
      <c r="GL133" s="8">
        <f t="shared" ca="1" si="531"/>
        <v>94</v>
      </c>
      <c r="GM133" s="5" t="str">
        <f t="shared" ca="1" si="532"/>
        <v>VIGENTE</v>
      </c>
      <c r="GN133" s="4"/>
      <c r="GO133" s="4">
        <v>45299</v>
      </c>
      <c r="GP133" s="4">
        <f t="shared" si="533"/>
        <v>47126</v>
      </c>
      <c r="GQ133" s="8">
        <f t="shared" ca="1" si="418"/>
        <v>992</v>
      </c>
      <c r="GR133" s="5" t="str">
        <f t="shared" ca="1" si="431"/>
        <v>VIGENTE</v>
      </c>
      <c r="GS133" s="4"/>
      <c r="GT133" s="4">
        <v>45329</v>
      </c>
      <c r="GU133" s="4">
        <f t="shared" si="534"/>
        <v>47156</v>
      </c>
      <c r="GV133" s="8">
        <f t="shared" ca="1" si="535"/>
        <v>1022</v>
      </c>
      <c r="GW133" s="5" t="str">
        <f t="shared" ca="1" si="438"/>
        <v>VIGENTE</v>
      </c>
      <c r="GX133" s="6"/>
      <c r="GY133" s="4">
        <v>45343</v>
      </c>
      <c r="GZ133" s="4">
        <f t="shared" si="536"/>
        <v>47170</v>
      </c>
      <c r="HA133" s="8">
        <f t="shared" ca="1" si="537"/>
        <v>1036</v>
      </c>
      <c r="HB133" s="5" t="str">
        <f t="shared" ca="1" si="433"/>
        <v>VIGENTE</v>
      </c>
      <c r="HC133" s="6"/>
      <c r="HD133" s="4">
        <v>45317</v>
      </c>
      <c r="HE133" s="4">
        <f>DATE(YEAR(HD133)+5,MONTH(HD133),DAY(HD133))</f>
        <v>47144</v>
      </c>
      <c r="HF133" s="8">
        <f ca="1">HE133-TODAY()</f>
        <v>1010</v>
      </c>
      <c r="HG133" s="5" t="str">
        <f t="shared" ca="1" si="439"/>
        <v>VIGENTE</v>
      </c>
      <c r="HH133" s="6"/>
      <c r="HI133" s="6"/>
      <c r="HJ133" s="4"/>
      <c r="HK133" s="8"/>
      <c r="HL133" s="5" t="str">
        <f t="shared" si="457"/>
        <v>NO APLICA</v>
      </c>
      <c r="HM133" s="2"/>
      <c r="HN133" s="2"/>
      <c r="HO133" s="4"/>
      <c r="HP133" s="2"/>
      <c r="HQ133" s="5" t="str">
        <f t="shared" si="538"/>
        <v>NO APLICA</v>
      </c>
      <c r="HR133" s="6"/>
      <c r="HS133" s="6"/>
      <c r="HT133" s="4"/>
      <c r="HU133" s="8"/>
      <c r="HV133" s="5" t="str">
        <f t="shared" si="539"/>
        <v>NO APLICA</v>
      </c>
      <c r="HW133" s="6"/>
      <c r="HX133" s="6"/>
      <c r="HY133" s="4"/>
      <c r="HZ133" s="8"/>
      <c r="IA133" s="5" t="str">
        <f t="shared" si="540"/>
        <v>NO APLICA</v>
      </c>
      <c r="IB133" s="6"/>
      <c r="IC133" s="6"/>
      <c r="ID133" s="4"/>
      <c r="IE133" s="8"/>
      <c r="IF133" s="5" t="str">
        <f t="shared" si="541"/>
        <v>NO APLICA</v>
      </c>
      <c r="IG133" s="6"/>
      <c r="IH133" s="6"/>
      <c r="II133" s="4"/>
      <c r="IJ133" s="6"/>
      <c r="IK133" s="5" t="str">
        <f t="shared" si="542"/>
        <v>NO APLICA</v>
      </c>
      <c r="IL133" s="6"/>
      <c r="IM133" s="6"/>
      <c r="IN133" s="4"/>
      <c r="IO133" s="8"/>
      <c r="IP133" s="5" t="str">
        <f t="shared" si="543"/>
        <v>NO APLICA</v>
      </c>
      <c r="IQ133" s="6"/>
      <c r="IR133" s="6"/>
      <c r="IS133" s="4"/>
      <c r="IT133" s="8"/>
      <c r="IU133" s="5" t="str">
        <f t="shared" si="544"/>
        <v>NO APLICA</v>
      </c>
      <c r="IV133" s="6"/>
      <c r="IW133" s="6"/>
      <c r="IX133" s="4"/>
      <c r="IY133" s="8"/>
      <c r="IZ133" s="5" t="str">
        <f t="shared" si="545"/>
        <v>NO APLICA</v>
      </c>
      <c r="JA133" s="3"/>
      <c r="JB133" s="3"/>
      <c r="JC133" s="4"/>
      <c r="JD133" s="8"/>
      <c r="JE133" s="5" t="str">
        <f t="shared" si="546"/>
        <v>NO APLICA</v>
      </c>
      <c r="JF133" s="6"/>
      <c r="JG133" s="6"/>
      <c r="JH133" s="6"/>
      <c r="JI133" s="6"/>
      <c r="JJ133" s="5" t="str">
        <f t="shared" si="547"/>
        <v>NO APLICA</v>
      </c>
      <c r="JK133" s="6"/>
      <c r="JL133" s="6"/>
      <c r="JM133" s="6"/>
      <c r="JN133" s="6"/>
      <c r="JO133" s="5" t="str">
        <f t="shared" si="548"/>
        <v>NO APLICA</v>
      </c>
      <c r="JP133" s="6"/>
      <c r="JQ133" s="6"/>
      <c r="JR133" s="6"/>
      <c r="JS133" s="6"/>
      <c r="JT133" s="5" t="str">
        <f t="shared" si="549"/>
        <v>NO APLICA</v>
      </c>
      <c r="JU133" s="5"/>
      <c r="JV133" s="5"/>
      <c r="JW133" s="5"/>
      <c r="JX133" s="5"/>
      <c r="JY133" s="5" t="str">
        <f t="shared" si="550"/>
        <v>NO APLICA</v>
      </c>
      <c r="JZ133" s="5"/>
      <c r="KA133" s="2"/>
      <c r="KB133" s="4"/>
      <c r="KC133" s="8"/>
      <c r="KD133" s="5" t="str">
        <f t="shared" si="551"/>
        <v>NO APLICA</v>
      </c>
      <c r="KE133" s="5"/>
      <c r="KF133" s="2"/>
      <c r="KG133" s="4"/>
      <c r="KH133" s="8"/>
      <c r="KI133" s="5" t="str">
        <f t="shared" ref="KI133:KI196" si="576">IF(KH133&gt;=61,"VIGENTE",IF(KH133&gt;=1,"POR VENCER",IF(KH133&lt;=-1,"VENCIDA",IF(KF133=0,"NO APLICA"))))</f>
        <v>NO APLICA</v>
      </c>
      <c r="KJ133" s="5"/>
      <c r="KK133" s="2"/>
      <c r="KL133" s="4"/>
      <c r="KM133" s="8"/>
      <c r="KN133" s="5" t="str">
        <f t="shared" si="552"/>
        <v>NO APLICA</v>
      </c>
      <c r="KO133" s="5"/>
      <c r="KP133" s="3">
        <v>45346</v>
      </c>
      <c r="KQ133" s="4">
        <f>DATE(YEAR(KP133)+5,MONTH(KP133),DAY(KP133))</f>
        <v>47173</v>
      </c>
      <c r="KR133" s="8">
        <f ca="1">KQ133-TODAY()</f>
        <v>1039</v>
      </c>
      <c r="KS133" s="5" t="str">
        <f t="shared" ref="KS133:KS196" ca="1" si="577">IF(KR133&gt;=61,"VIGENTE",IF(KR133&gt;=1,"POR VENCER",IF(KR133&lt;=-1,"VENCIDA",IF(KP133=0,"NO APLICA"))))</f>
        <v>VIGENTE</v>
      </c>
      <c r="KT133" s="6"/>
      <c r="KU133" s="6"/>
      <c r="KV133" s="4"/>
      <c r="KW133" s="6"/>
      <c r="KX133" s="5" t="str">
        <f t="shared" si="375"/>
        <v>NO APLICA</v>
      </c>
      <c r="KY133" s="5"/>
      <c r="KZ133" s="6"/>
      <c r="LA133" s="4"/>
      <c r="LB133" s="6"/>
      <c r="LC133" s="5" t="str">
        <f t="shared" ref="LC133:LC196" si="578">IF(LB133&gt;=61,"VIGENTE",IF(LB133&gt;=1,"POR VENCER",IF(LB133&lt;=-1,"VENCIDA",IF(KZ133=0,"NO APLICA"))))</f>
        <v>NO APLICA</v>
      </c>
      <c r="LD133" s="6"/>
      <c r="LE133" s="6"/>
      <c r="LF133" s="6"/>
      <c r="LG133" s="6"/>
      <c r="LH133" s="5" t="str">
        <f t="shared" si="553"/>
        <v>NO APLICA</v>
      </c>
      <c r="LI133" s="5"/>
      <c r="LJ133" s="5"/>
      <c r="LK133" s="4"/>
      <c r="LL133" s="8"/>
      <c r="LM133" s="5" t="str">
        <f t="shared" si="376"/>
        <v>NO APLICA</v>
      </c>
      <c r="LN133" s="6"/>
      <c r="LO133" s="6"/>
      <c r="LP133" s="4"/>
      <c r="LQ133" s="8"/>
      <c r="LR133" s="5" t="str">
        <f t="shared" ref="LR133:LR196" si="579">IF(LQ133&gt;=61,"VIGENTE",IF(LQ133&gt;=1,"POR VENCER",IF(LQ133&lt;=-1,"VENCIDA",IF(LO133=0,"NO APLICA"))))</f>
        <v>NO APLICA</v>
      </c>
      <c r="LS133" s="6"/>
      <c r="LT133" s="6"/>
      <c r="LU133" s="4"/>
      <c r="LV133" s="6"/>
      <c r="LW133" s="5" t="str">
        <f t="shared" ref="LW133:LW196" si="580">IF(LV133&gt;=61,"VIGENTE",IF(LV133&gt;=1,"POR VENCER",IF(LV133&lt;=-1,"VENCIDA",IF(LT133=0,"NO APLICA"))))</f>
        <v>NO APLICA</v>
      </c>
      <c r="LX133" s="6"/>
      <c r="LY133" s="6"/>
      <c r="LZ133" s="4"/>
      <c r="MA133" s="6"/>
      <c r="MB133" s="5" t="str">
        <f t="shared" ref="MB133:MB196" si="581">IF(MA133&gt;=61,"VIGENTE",IF(MA133&gt;=1,"POR VENCER",IF(MA133&lt;=-1,"VENCIDA",IF(LY133=0,"NO APLICA"))))</f>
        <v>NO APLICA</v>
      </c>
      <c r="MC133" s="6"/>
      <c r="MD133" s="6"/>
      <c r="ME133" s="4"/>
      <c r="MF133" s="6"/>
      <c r="MG133" s="5" t="str">
        <f t="shared" si="554"/>
        <v>NO APLICA</v>
      </c>
      <c r="MH133" s="6"/>
      <c r="MI133" s="6"/>
      <c r="MJ133" s="4"/>
      <c r="MK133" s="6"/>
      <c r="ML133" s="5" t="str">
        <f t="shared" si="555"/>
        <v>NO APLICA</v>
      </c>
      <c r="MM133" s="5"/>
      <c r="MN133" s="6"/>
      <c r="MO133" s="4"/>
      <c r="MP133" s="6"/>
      <c r="MQ133" s="5" t="str">
        <f t="shared" si="556"/>
        <v>NO APLICA</v>
      </c>
      <c r="MR133" s="5"/>
      <c r="MS133" s="6"/>
      <c r="MT133" s="6"/>
      <c r="MU133" s="6"/>
      <c r="MV133" s="5" t="str">
        <f t="shared" si="557"/>
        <v>NO APLICA</v>
      </c>
      <c r="MW133" s="6"/>
      <c r="MX133" s="6"/>
      <c r="MY133" s="4"/>
      <c r="MZ133" s="6"/>
      <c r="NA133" s="5" t="str">
        <f t="shared" si="558"/>
        <v>NO APLICA</v>
      </c>
      <c r="NB133" s="6"/>
      <c r="NC133" s="6"/>
      <c r="ND133" s="4"/>
      <c r="NE133" s="6"/>
      <c r="NF133" s="5" t="str">
        <f t="shared" si="559"/>
        <v>NO APLICA</v>
      </c>
      <c r="NG133" s="6"/>
      <c r="NH133" s="6"/>
      <c r="NI133" s="4"/>
      <c r="NJ133" s="6"/>
      <c r="NK133" s="5" t="str">
        <f t="shared" si="560"/>
        <v>NO APLICA</v>
      </c>
      <c r="NL133" s="6"/>
      <c r="NM133" s="6"/>
      <c r="NN133" s="4"/>
      <c r="NO133" s="6"/>
      <c r="NP133" s="5" t="str">
        <f t="shared" si="561"/>
        <v>NO APLICA</v>
      </c>
      <c r="NQ133" s="6"/>
      <c r="NR133" s="6"/>
      <c r="NS133" s="4"/>
      <c r="NT133" s="6"/>
      <c r="NU133" s="5" t="str">
        <f t="shared" si="562"/>
        <v>NO APLICA</v>
      </c>
      <c r="NV133" s="6"/>
      <c r="NW133" s="6"/>
      <c r="NX133" s="4"/>
      <c r="NY133" s="8"/>
      <c r="NZ133" s="5" t="str">
        <f t="shared" si="563"/>
        <v>NO APLICA</v>
      </c>
      <c r="OA133" s="6"/>
      <c r="OB133" s="6"/>
      <c r="OC133" s="6"/>
      <c r="OD133" s="6"/>
      <c r="OE133" s="5" t="str">
        <f t="shared" si="564"/>
        <v>NO APLICA</v>
      </c>
      <c r="OF133" s="6"/>
      <c r="OG133" s="6"/>
      <c r="OH133" s="6"/>
      <c r="OI133" s="6"/>
      <c r="OJ133" s="5" t="str">
        <f t="shared" si="565"/>
        <v>NO APLICA</v>
      </c>
      <c r="OK133" s="6"/>
      <c r="OL133" s="6"/>
      <c r="OM133" s="6"/>
      <c r="ON133" s="6"/>
      <c r="OO133" s="5" t="str">
        <f t="shared" si="566"/>
        <v>NO APLICA</v>
      </c>
      <c r="OP133" s="6"/>
      <c r="OQ133" s="6"/>
      <c r="OR133" s="6"/>
      <c r="OS133" s="6"/>
      <c r="OT133" s="5" t="str">
        <f t="shared" si="567"/>
        <v>NO APLICA</v>
      </c>
      <c r="OU133" s="6"/>
      <c r="OV133" s="6"/>
      <c r="OW133" s="6"/>
      <c r="OX133" s="6"/>
      <c r="OY133" s="5" t="str">
        <f t="shared" si="568"/>
        <v>NO APLICA</v>
      </c>
      <c r="OZ133" s="6"/>
      <c r="PA133" s="6"/>
      <c r="PB133" s="6"/>
      <c r="PC133" s="6"/>
      <c r="PD133" s="5" t="str">
        <f t="shared" si="569"/>
        <v>NO APLICA</v>
      </c>
      <c r="PE133" s="6"/>
      <c r="PF133" s="6"/>
      <c r="PG133" s="6"/>
      <c r="PH133" s="6"/>
      <c r="PI133" s="5" t="str">
        <f t="shared" si="570"/>
        <v>NO APLICA</v>
      </c>
      <c r="PJ133" s="5"/>
      <c r="PK133" s="6"/>
      <c r="PL133" s="6"/>
      <c r="PM133" s="6"/>
      <c r="PN133" s="5" t="str">
        <f t="shared" si="571"/>
        <v>NO APLICA</v>
      </c>
      <c r="PO133" s="6"/>
      <c r="PP133" s="6"/>
      <c r="PQ133" s="6"/>
      <c r="PR133" s="6"/>
      <c r="PS133" s="5" t="str">
        <f t="shared" si="572"/>
        <v>NO APLICA</v>
      </c>
      <c r="PT133" s="5"/>
      <c r="PU133" s="6"/>
      <c r="PV133" s="6"/>
      <c r="PW133" s="6"/>
      <c r="PX133" s="5" t="str">
        <f t="shared" si="573"/>
        <v>NO APLICA</v>
      </c>
    </row>
    <row r="134" spans="1:440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446</v>
      </c>
      <c r="V134" s="4">
        <v>44786</v>
      </c>
      <c r="W134" s="4">
        <f t="shared" si="421"/>
        <v>46612</v>
      </c>
      <c r="X134" s="8">
        <f t="shared" ca="1" si="422"/>
        <v>478</v>
      </c>
      <c r="Y134" s="5" t="str">
        <f t="shared" ca="1" si="423"/>
        <v>VIGENTE</v>
      </c>
      <c r="Z134" s="2" t="s">
        <v>447</v>
      </c>
      <c r="AA134" s="4">
        <v>44824</v>
      </c>
      <c r="AB134" s="4">
        <f>DATE(YEAR(AA134)+5,MONTH(AA134),DAY(AA134))</f>
        <v>46650</v>
      </c>
      <c r="AC134" s="8">
        <f ca="1">AB134-TODAY()</f>
        <v>516</v>
      </c>
      <c r="AD134" s="5" t="str">
        <f t="shared" ref="AD134:AD154" ca="1" si="582">IF(AC134&gt;=91,"VIGENTE",IF(AC134&gt;=1,"POR VENCER",IF(AC134&lt;=-1,"VENCIDA",IF(AA134=0,"NO APLICA"))))</f>
        <v>VIGENTE</v>
      </c>
      <c r="AE134" s="3"/>
      <c r="AF134" s="4">
        <v>46006</v>
      </c>
      <c r="AG134" s="4">
        <f t="shared" si="461"/>
        <v>46736</v>
      </c>
      <c r="AH134" s="8">
        <f t="shared" ca="1" si="470"/>
        <v>602</v>
      </c>
      <c r="AI134" s="5" t="str">
        <f t="shared" ca="1" si="419"/>
        <v>VIGENTE</v>
      </c>
      <c r="AJ134" s="3"/>
      <c r="AK134" s="4">
        <v>45926</v>
      </c>
      <c r="AL134" s="4">
        <f t="shared" si="462"/>
        <v>46656</v>
      </c>
      <c r="AM134" s="8">
        <f t="shared" ca="1" si="471"/>
        <v>522</v>
      </c>
      <c r="AN134" s="5" t="str">
        <f t="shared" ca="1" si="472"/>
        <v>VIGENTE</v>
      </c>
      <c r="AO134" s="3"/>
      <c r="AP134" s="4">
        <v>45971</v>
      </c>
      <c r="AQ134" s="4">
        <f t="shared" si="463"/>
        <v>46701</v>
      </c>
      <c r="AR134" s="8">
        <f t="shared" ca="1" si="473"/>
        <v>567</v>
      </c>
      <c r="AS134" s="5" t="str">
        <f t="shared" ca="1" si="474"/>
        <v>VIGENTE</v>
      </c>
      <c r="AT134" s="3"/>
      <c r="AU134" s="4">
        <v>45972</v>
      </c>
      <c r="AV134" s="4">
        <f t="shared" si="458"/>
        <v>46702</v>
      </c>
      <c r="AW134" s="8">
        <f t="shared" ca="1" si="475"/>
        <v>568</v>
      </c>
      <c r="AX134" s="5" t="str">
        <f t="shared" ca="1" si="476"/>
        <v>VIGENTE</v>
      </c>
      <c r="AY134" s="3"/>
      <c r="AZ134" s="4">
        <v>46041</v>
      </c>
      <c r="BA134" s="4">
        <f>DATE(YEAR(AZ134)+2,MONTH(AZ134),DAY(AZ134))</f>
        <v>46771</v>
      </c>
      <c r="BB134" s="8">
        <f t="shared" ca="1" si="477"/>
        <v>637</v>
      </c>
      <c r="BC134" s="5" t="str">
        <f t="shared" ca="1" si="478"/>
        <v>VIGENTE</v>
      </c>
      <c r="BD134" s="3"/>
      <c r="BE134" s="4">
        <v>46027</v>
      </c>
      <c r="BF134" s="4">
        <f t="shared" si="459"/>
        <v>46757</v>
      </c>
      <c r="BG134" s="8">
        <f t="shared" ca="1" si="479"/>
        <v>623</v>
      </c>
      <c r="BH134" s="5" t="str">
        <f t="shared" ca="1" si="480"/>
        <v>VIGENTE</v>
      </c>
      <c r="BI134" s="3"/>
      <c r="BJ134" s="4">
        <v>46035</v>
      </c>
      <c r="BK134" s="4">
        <f>DATE(YEAR(BJ134)+2,MONTH(BJ134),DAY(BJ134))</f>
        <v>46765</v>
      </c>
      <c r="BL134" s="8">
        <f t="shared" ca="1" si="481"/>
        <v>631</v>
      </c>
      <c r="BM134" s="5" t="str">
        <f t="shared" ca="1" si="482"/>
        <v>VIGENTE</v>
      </c>
      <c r="BN134" s="3"/>
      <c r="BO134" s="4">
        <v>46069</v>
      </c>
      <c r="BP134" s="4">
        <f>DATE(YEAR(BO134)+2,MONTH(BO134),DAY(BO134))</f>
        <v>46799</v>
      </c>
      <c r="BQ134" s="8">
        <f t="shared" ca="1" si="483"/>
        <v>665</v>
      </c>
      <c r="BR134" s="5" t="str">
        <f t="shared" ca="1" si="484"/>
        <v>VIGENTE</v>
      </c>
      <c r="BS134" s="3"/>
      <c r="BT134" s="4">
        <v>45449</v>
      </c>
      <c r="BU134" s="4">
        <f>DATE(YEAR(BT134)+2,MONTH(BT134),DAY(BT134)-1)</f>
        <v>46178</v>
      </c>
      <c r="BV134" s="8">
        <f t="shared" ca="1" si="485"/>
        <v>44</v>
      </c>
      <c r="BW134" s="5" t="str">
        <f t="shared" ca="1" si="486"/>
        <v>POR VENCER</v>
      </c>
      <c r="BX134" s="3"/>
      <c r="BY134" s="4">
        <v>45944</v>
      </c>
      <c r="BZ134" s="4">
        <f t="shared" si="460"/>
        <v>46674</v>
      </c>
      <c r="CA134" s="8">
        <f t="shared" ca="1" si="487"/>
        <v>540</v>
      </c>
      <c r="CB134" s="5" t="str">
        <f t="shared" ca="1" si="488"/>
        <v>VIGENTE</v>
      </c>
      <c r="CC134" s="6" t="s">
        <v>73</v>
      </c>
      <c r="CD134" s="4">
        <v>45211</v>
      </c>
      <c r="CE134" s="4">
        <f t="shared" si="428"/>
        <v>46672</v>
      </c>
      <c r="CF134" s="8">
        <f t="shared" ca="1" si="429"/>
        <v>538</v>
      </c>
      <c r="CG134" s="5" t="str">
        <f t="shared" ca="1" si="430"/>
        <v>VIGENTE</v>
      </c>
      <c r="CH134" s="4"/>
      <c r="CI134" s="4">
        <v>45723</v>
      </c>
      <c r="CJ134" s="4">
        <f>DATE(YEAR(CI134)+2,MONTH(CI134),DAY(CI134)-1)</f>
        <v>46452</v>
      </c>
      <c r="CK134" s="8">
        <f t="shared" ca="1" si="489"/>
        <v>318</v>
      </c>
      <c r="CL134" s="5" t="str">
        <f t="shared" ca="1" si="490"/>
        <v>VIGENTE</v>
      </c>
      <c r="CM134" s="3"/>
      <c r="CN134" s="4">
        <v>45684</v>
      </c>
      <c r="CO134" s="4">
        <f>DATE(YEAR(CN134)+2,MONTH(CN134),DAY(CN134)-1)</f>
        <v>46413</v>
      </c>
      <c r="CP134" s="8">
        <f t="shared" ca="1" si="491"/>
        <v>279</v>
      </c>
      <c r="CQ134" s="5" t="str">
        <f t="shared" ca="1" si="492"/>
        <v>VIGENTE</v>
      </c>
      <c r="CR134" s="3"/>
      <c r="CS134" s="4">
        <v>45631</v>
      </c>
      <c r="CT134" s="4">
        <f>DATE(YEAR(CS134)+2,MONTH(CS134),DAY(CS134)-1)</f>
        <v>46360</v>
      </c>
      <c r="CU134" s="8">
        <f t="shared" ca="1" si="493"/>
        <v>226</v>
      </c>
      <c r="CV134" s="5" t="str">
        <f t="shared" ca="1" si="494"/>
        <v>VIGENTE</v>
      </c>
      <c r="CW134" s="3"/>
      <c r="CX134" s="4">
        <v>45665</v>
      </c>
      <c r="CY134" s="4">
        <f>DATE(YEAR(CX134)+2,MONTH(CX134),DAY(CX134)-1)</f>
        <v>46394</v>
      </c>
      <c r="CZ134" s="8">
        <f t="shared" ca="1" si="495"/>
        <v>260</v>
      </c>
      <c r="DA134" s="5" t="str">
        <f t="shared" ca="1" si="496"/>
        <v>VIGENTE</v>
      </c>
      <c r="DB134" s="3"/>
      <c r="DC134" s="4">
        <v>45689</v>
      </c>
      <c r="DD134" s="4">
        <f>DATE(YEAR(DC134)+2,MONTH(DC134),DAY(DC134)-1)</f>
        <v>46418</v>
      </c>
      <c r="DE134" s="8">
        <f t="shared" ca="1" si="497"/>
        <v>284</v>
      </c>
      <c r="DF134" s="5" t="str">
        <f t="shared" ca="1" si="498"/>
        <v>VIGENTE</v>
      </c>
      <c r="DG134" s="3"/>
      <c r="DH134" s="4">
        <v>45734</v>
      </c>
      <c r="DI134" s="4">
        <f>DATE(YEAR(DH134)+2,MONTH(DH134),DAY(DH134)-1)</f>
        <v>46463</v>
      </c>
      <c r="DJ134" s="8">
        <f t="shared" ca="1" si="499"/>
        <v>329</v>
      </c>
      <c r="DK134" s="5" t="str">
        <f t="shared" ca="1" si="500"/>
        <v>VIGENTE</v>
      </c>
      <c r="DL134" s="3"/>
      <c r="DM134" s="4">
        <v>45982</v>
      </c>
      <c r="DN134" s="4">
        <f>DATE(YEAR(DM134)+2,MONTH(DM134),DAY(DM134))</f>
        <v>46712</v>
      </c>
      <c r="DO134" s="8">
        <f t="shared" ca="1" si="501"/>
        <v>578</v>
      </c>
      <c r="DP134" s="5" t="str">
        <f t="shared" ca="1" si="502"/>
        <v>VIGENTE</v>
      </c>
      <c r="DQ134" s="3"/>
      <c r="DR134" s="4">
        <v>46053</v>
      </c>
      <c r="DS134" s="4">
        <f>DATE(YEAR(DR134)+2,MONTH(DR134),DAY(DR134))</f>
        <v>46783</v>
      </c>
      <c r="DT134" s="8">
        <f t="shared" ca="1" si="503"/>
        <v>649</v>
      </c>
      <c r="DU134" s="5" t="str">
        <f t="shared" ca="1" si="504"/>
        <v>VIGENTE</v>
      </c>
      <c r="DV134" s="3"/>
      <c r="DW134" s="4">
        <v>45682</v>
      </c>
      <c r="DX134" s="4">
        <f>DATE(YEAR(DW134)+2,MONTH(DW134),DAY(DW134)-1)</f>
        <v>46411</v>
      </c>
      <c r="DY134" s="8">
        <f t="shared" ca="1" si="505"/>
        <v>277</v>
      </c>
      <c r="DZ134" s="5" t="str">
        <f t="shared" ca="1" si="506"/>
        <v>VIGENTE</v>
      </c>
      <c r="EA134" s="3"/>
      <c r="EB134" s="4">
        <v>45768</v>
      </c>
      <c r="EC134" s="4">
        <f>DATE(YEAR(EB134)+2,MONTH(EB134),DAY(EB134))</f>
        <v>46498</v>
      </c>
      <c r="ED134" s="8">
        <f t="shared" ca="1" si="507"/>
        <v>364</v>
      </c>
      <c r="EE134" s="5" t="str">
        <f t="shared" ca="1" si="508"/>
        <v>VIGENTE</v>
      </c>
      <c r="EF134" s="3"/>
      <c r="EG134" s="3">
        <v>46085</v>
      </c>
      <c r="EH134" s="4">
        <f t="shared" si="575"/>
        <v>46450</v>
      </c>
      <c r="EI134" s="8">
        <f t="shared" ca="1" si="509"/>
        <v>316</v>
      </c>
      <c r="EJ134" s="5" t="str">
        <f t="shared" ca="1" si="510"/>
        <v>VIGENTE</v>
      </c>
      <c r="EK134" s="3"/>
      <c r="EL134" s="4">
        <v>45737</v>
      </c>
      <c r="EM134" s="4">
        <f>DATE(YEAR(EL134)+2,MONTH(EL134),DAY(EL134)-1)</f>
        <v>46466</v>
      </c>
      <c r="EN134" s="8">
        <f t="shared" ca="1" si="511"/>
        <v>332</v>
      </c>
      <c r="EO134" s="5" t="str">
        <f t="shared" ca="1" si="512"/>
        <v>VIGENTE</v>
      </c>
      <c r="EP134" s="3"/>
      <c r="EQ134" s="4">
        <v>45999</v>
      </c>
      <c r="ER134" s="4">
        <f>DATE(YEAR(EQ134)+2,MONTH(EQ134),DAY(EQ134))</f>
        <v>46729</v>
      </c>
      <c r="ES134" s="8">
        <f t="shared" ca="1" si="513"/>
        <v>595</v>
      </c>
      <c r="ET134" s="5" t="str">
        <f t="shared" ca="1" si="514"/>
        <v>VIGENTE</v>
      </c>
      <c r="EU134" s="3"/>
      <c r="EV134" s="4">
        <v>45953</v>
      </c>
      <c r="EW134" s="4">
        <f t="shared" si="464"/>
        <v>46683</v>
      </c>
      <c r="EX134" s="8">
        <f t="shared" ca="1" si="515"/>
        <v>549</v>
      </c>
      <c r="EY134" s="5" t="str">
        <f t="shared" ca="1" si="516"/>
        <v>VIGENTE</v>
      </c>
      <c r="EZ134" s="3"/>
      <c r="FA134" s="4">
        <v>45988</v>
      </c>
      <c r="FB134" s="4">
        <f t="shared" si="465"/>
        <v>46718</v>
      </c>
      <c r="FC134" s="8">
        <f t="shared" ca="1" si="517"/>
        <v>584</v>
      </c>
      <c r="FD134" s="5" t="str">
        <f t="shared" ca="1" si="518"/>
        <v>VIGENTE</v>
      </c>
      <c r="FE134" s="3"/>
      <c r="FF134" s="4">
        <v>45992</v>
      </c>
      <c r="FG134" s="4">
        <f t="shared" si="466"/>
        <v>46722</v>
      </c>
      <c r="FH134" s="8">
        <f t="shared" ca="1" si="519"/>
        <v>588</v>
      </c>
      <c r="FI134" s="5" t="str">
        <f t="shared" ca="1" si="520"/>
        <v>VIGENTE</v>
      </c>
      <c r="FJ134" s="3"/>
      <c r="FK134" s="4">
        <v>45738</v>
      </c>
      <c r="FL134" s="4">
        <f>DATE(YEAR(FK134)+2,MONTH(FK134),DAY(FK134)-1)</f>
        <v>46467</v>
      </c>
      <c r="FM134" s="8">
        <f t="shared" ca="1" si="521"/>
        <v>333</v>
      </c>
      <c r="FN134" s="5" t="str">
        <f t="shared" ca="1" si="522"/>
        <v>VIGENTE</v>
      </c>
      <c r="FO134" s="3"/>
      <c r="FP134" s="4">
        <v>45678</v>
      </c>
      <c r="FQ134" s="4">
        <f>DATE(YEAR(FP134)+2,MONTH(FP134),DAY(FP134)-1)</f>
        <v>46407</v>
      </c>
      <c r="FR134" s="8">
        <f t="shared" ca="1" si="523"/>
        <v>273</v>
      </c>
      <c r="FS134" s="5" t="str">
        <f t="shared" ca="1" si="524"/>
        <v>VIGENTE</v>
      </c>
      <c r="FT134" s="3"/>
      <c r="FU134" s="4">
        <v>46014</v>
      </c>
      <c r="FV134" s="4">
        <f t="shared" si="467"/>
        <v>46744</v>
      </c>
      <c r="FW134" s="8">
        <f t="shared" ca="1" si="525"/>
        <v>610</v>
      </c>
      <c r="FX134" s="5" t="str">
        <f t="shared" ca="1" si="526"/>
        <v>VIGENTE</v>
      </c>
      <c r="FY134" s="3"/>
      <c r="FZ134" s="4">
        <v>46030</v>
      </c>
      <c r="GA134" s="4">
        <f>DATE(YEAR(FZ134)+2,MONTH(FZ134),DAY(FZ134))</f>
        <v>46760</v>
      </c>
      <c r="GB134" s="8">
        <f t="shared" ca="1" si="527"/>
        <v>626</v>
      </c>
      <c r="GC134" s="5" t="str">
        <f t="shared" ca="1" si="528"/>
        <v>VIGENTE</v>
      </c>
      <c r="GD134" s="3"/>
      <c r="GE134" s="4">
        <v>45712</v>
      </c>
      <c r="GF134" s="4">
        <f>DATE(YEAR(GE134)+2,MONTH(GE134),DAY(GE134)-1)</f>
        <v>46441</v>
      </c>
      <c r="GG134" s="8">
        <f t="shared" ca="1" si="529"/>
        <v>307</v>
      </c>
      <c r="GH134" s="5" t="str">
        <f t="shared" ca="1" si="530"/>
        <v>VIGENTE</v>
      </c>
      <c r="GI134" s="3"/>
      <c r="GJ134" s="4">
        <v>45923</v>
      </c>
      <c r="GK134" s="4">
        <f>DATE(YEAR(GJ134)+2,MONTH(GJ134),DAY(GJ134))</f>
        <v>46653</v>
      </c>
      <c r="GL134" s="8">
        <f t="shared" ca="1" si="531"/>
        <v>519</v>
      </c>
      <c r="GM134" s="5" t="str">
        <f t="shared" ca="1" si="532"/>
        <v>VIGENTE</v>
      </c>
      <c r="GN134" s="4"/>
      <c r="GO134" s="4">
        <v>45283</v>
      </c>
      <c r="GP134" s="4">
        <f t="shared" si="533"/>
        <v>47110</v>
      </c>
      <c r="GQ134" s="8">
        <f t="shared" ca="1" si="418"/>
        <v>976</v>
      </c>
      <c r="GR134" s="5" t="str">
        <f t="shared" ca="1" si="431"/>
        <v>VIGENTE</v>
      </c>
      <c r="GS134" s="3"/>
      <c r="GT134" s="4">
        <v>45245</v>
      </c>
      <c r="GU134" s="4">
        <f t="shared" si="534"/>
        <v>47072</v>
      </c>
      <c r="GV134" s="8">
        <f t="shared" ca="1" si="535"/>
        <v>938</v>
      </c>
      <c r="GW134" s="5" t="str">
        <f t="shared" ca="1" si="438"/>
        <v>VIGENTE</v>
      </c>
      <c r="GX134" s="3"/>
      <c r="GY134" s="4">
        <v>45182</v>
      </c>
      <c r="GZ134" s="4">
        <f t="shared" si="536"/>
        <v>47009</v>
      </c>
      <c r="HA134" s="8">
        <f t="shared" ca="1" si="537"/>
        <v>875</v>
      </c>
      <c r="HB134" s="5" t="str">
        <f t="shared" ca="1" si="433"/>
        <v>VIGENTE</v>
      </c>
      <c r="HC134" s="6"/>
      <c r="HD134" s="4">
        <v>44865</v>
      </c>
      <c r="HE134" s="4">
        <f>DATE(YEAR(HD134)+5,MONTH(HD134),DAY(HD134))</f>
        <v>46691</v>
      </c>
      <c r="HF134" s="8">
        <f ca="1">HE134-TODAY()</f>
        <v>557</v>
      </c>
      <c r="HG134" s="5" t="str">
        <f t="shared" ca="1" si="439"/>
        <v>VIGENTE</v>
      </c>
      <c r="HH134" s="3"/>
      <c r="HI134" s="4">
        <v>45368</v>
      </c>
      <c r="HJ134" s="4">
        <f>DATE(YEAR(HI134)+5,MONTH(HI134),DAY(HI134))</f>
        <v>47194</v>
      </c>
      <c r="HK134" s="8">
        <f ca="1">HJ134-TODAY()</f>
        <v>1060</v>
      </c>
      <c r="HL134" s="5" t="str">
        <f t="shared" ca="1" si="457"/>
        <v>VIGENTE</v>
      </c>
      <c r="HM134" s="2"/>
      <c r="HN134" s="3">
        <v>45377</v>
      </c>
      <c r="HO134" s="4">
        <f>DATE(YEAR(HN134)+5,MONTH(HN134),DAY(HN134))</f>
        <v>47203</v>
      </c>
      <c r="HP134" s="8">
        <f ca="1">HO134-TODAY()</f>
        <v>1069</v>
      </c>
      <c r="HQ134" s="5" t="str">
        <f t="shared" ca="1" si="538"/>
        <v>VIGENTE</v>
      </c>
      <c r="HR134" s="3"/>
      <c r="HS134" s="4">
        <v>45306</v>
      </c>
      <c r="HT134" s="4">
        <f>DATE(YEAR(HS134)+5,MONTH(HS134),DAY(HS134))</f>
        <v>47133</v>
      </c>
      <c r="HU134" s="8">
        <f ca="1">HT134-TODAY()</f>
        <v>999</v>
      </c>
      <c r="HV134" s="5" t="str">
        <f t="shared" ca="1" si="539"/>
        <v>VIGENTE</v>
      </c>
      <c r="HW134" s="3"/>
      <c r="HX134" s="4">
        <v>45205</v>
      </c>
      <c r="HY134" s="4">
        <f>DATE(YEAR(HX134)+5,MONTH(HX134),DAY(HX134))</f>
        <v>47032</v>
      </c>
      <c r="HZ134" s="8">
        <f ca="1">HY134-TODAY()</f>
        <v>898</v>
      </c>
      <c r="IA134" s="5" t="str">
        <f t="shared" ca="1" si="540"/>
        <v>VIGENTE</v>
      </c>
      <c r="IB134" s="3"/>
      <c r="IC134" s="4">
        <v>45230</v>
      </c>
      <c r="ID134" s="4">
        <f>DATE(YEAR(IC134)+5,MONTH(IC134),DAY(IC134))</f>
        <v>47057</v>
      </c>
      <c r="IE134" s="8">
        <f ca="1">ID134-TODAY()</f>
        <v>923</v>
      </c>
      <c r="IF134" s="5" t="str">
        <f t="shared" ca="1" si="541"/>
        <v>VIGENTE</v>
      </c>
      <c r="IG134" s="4"/>
      <c r="IH134" s="4">
        <v>45238</v>
      </c>
      <c r="II134" s="4">
        <f>DATE(YEAR(IH134)+5,MONTH(IH134),DAY(IH134))</f>
        <v>47065</v>
      </c>
      <c r="IJ134" s="8">
        <f ca="1">II134-TODAY()</f>
        <v>931</v>
      </c>
      <c r="IK134" s="5" t="str">
        <f t="shared" ca="1" si="542"/>
        <v>VIGENTE</v>
      </c>
      <c r="IL134" s="3"/>
      <c r="IM134" s="4">
        <v>45304</v>
      </c>
      <c r="IN134" s="4">
        <f>DATE(YEAR(IM134)+5,MONTH(IM134),DAY(IM134))</f>
        <v>47131</v>
      </c>
      <c r="IO134" s="8">
        <f ca="1">IN134-TODAY()</f>
        <v>997</v>
      </c>
      <c r="IP134" s="5" t="str">
        <f t="shared" ca="1" si="543"/>
        <v>VIGENTE</v>
      </c>
      <c r="IQ134" s="3"/>
      <c r="IR134" s="4">
        <v>45233</v>
      </c>
      <c r="IS134" s="4">
        <f>DATE(YEAR(IR134)+5,MONTH(IR134),DAY(IR134))</f>
        <v>47060</v>
      </c>
      <c r="IT134" s="8">
        <f ca="1">IS134-TODAY()</f>
        <v>926</v>
      </c>
      <c r="IU134" s="5" t="str">
        <f t="shared" ca="1" si="544"/>
        <v>VIGENTE</v>
      </c>
      <c r="IV134" s="3"/>
      <c r="IW134" s="4">
        <v>45189</v>
      </c>
      <c r="IX134" s="4">
        <f>DATE(YEAR(IW134)+5,MONTH(IW134),DAY(IW134))</f>
        <v>47016</v>
      </c>
      <c r="IY134" s="8">
        <f ca="1">IX134-TODAY()</f>
        <v>882</v>
      </c>
      <c r="IZ134" s="5" t="str">
        <f t="shared" ca="1" si="545"/>
        <v>VIGENTE</v>
      </c>
      <c r="JA134" s="3"/>
      <c r="JB134" s="3"/>
      <c r="JC134" s="4"/>
      <c r="JD134" s="8"/>
      <c r="JE134" s="5" t="str">
        <f t="shared" si="546"/>
        <v>NO APLICA</v>
      </c>
      <c r="JF134" s="6"/>
      <c r="JG134" s="6"/>
      <c r="JH134" s="6"/>
      <c r="JI134" s="6"/>
      <c r="JJ134" s="5" t="str">
        <f t="shared" si="547"/>
        <v>NO APLICA</v>
      </c>
      <c r="JK134" s="6"/>
      <c r="JL134" s="6"/>
      <c r="JM134" s="6"/>
      <c r="JN134" s="6"/>
      <c r="JO134" s="5" t="str">
        <f t="shared" si="548"/>
        <v>NO APLICA</v>
      </c>
      <c r="JP134" s="6"/>
      <c r="JQ134" s="6"/>
      <c r="JR134" s="6"/>
      <c r="JS134" s="6"/>
      <c r="JT134" s="5" t="str">
        <f t="shared" si="549"/>
        <v>NO APLICA</v>
      </c>
      <c r="JU134" s="5"/>
      <c r="JV134" s="5"/>
      <c r="JW134" s="5"/>
      <c r="JX134" s="5"/>
      <c r="JY134" s="5" t="str">
        <f t="shared" si="550"/>
        <v>NO APLICA</v>
      </c>
      <c r="JZ134" s="5"/>
      <c r="KA134" s="2"/>
      <c r="KB134" s="4"/>
      <c r="KC134" s="8"/>
      <c r="KD134" s="5" t="str">
        <f t="shared" si="551"/>
        <v>NO APLICA</v>
      </c>
      <c r="KE134" s="5"/>
      <c r="KF134" s="3">
        <v>45328</v>
      </c>
      <c r="KG134" s="4">
        <f>DATE(YEAR(KF134)+5,MONTH(KF134),DAY(KF134)-1)</f>
        <v>47154</v>
      </c>
      <c r="KH134" s="8">
        <f ca="1">KG134-TODAY()</f>
        <v>1020</v>
      </c>
      <c r="KI134" s="5" t="str">
        <f t="shared" ca="1" si="576"/>
        <v>VIGENTE</v>
      </c>
      <c r="KJ134" s="5"/>
      <c r="KK134" s="2"/>
      <c r="KL134" s="4"/>
      <c r="KM134" s="8"/>
      <c r="KN134" s="5" t="str">
        <f t="shared" si="552"/>
        <v>NO APLICA</v>
      </c>
      <c r="KO134" s="5"/>
      <c r="KP134" s="2"/>
      <c r="KQ134" s="4"/>
      <c r="KR134" s="8"/>
      <c r="KS134" s="5" t="str">
        <f t="shared" si="577"/>
        <v>NO APLICA</v>
      </c>
      <c r="KT134" s="3"/>
      <c r="KU134" s="4">
        <v>44658</v>
      </c>
      <c r="KV134" s="4">
        <f>DATE(YEAR(KU134)+5,MONTH(KU134),DAY(KU134))</f>
        <v>46484</v>
      </c>
      <c r="KW134" s="8">
        <f ca="1">KV134-TODAY()</f>
        <v>350</v>
      </c>
      <c r="KX134" s="5" t="str">
        <f t="shared" ref="KX134:KX197" ca="1" si="583">IF(KW134&gt;=61,"VIGENTE",IF(KW134&gt;=1,"POR VENCER",IF(KW134&lt;=-1,"VENCIDA",IF(KU134=0,"NO APLICA"))))</f>
        <v>VIGENTE</v>
      </c>
      <c r="KY134" s="5"/>
      <c r="KZ134" s="4">
        <v>44613</v>
      </c>
      <c r="LA134" s="4">
        <f>DATE(YEAR(KZ134)+5,MONTH(KZ134),DAY(KZ134))</f>
        <v>46439</v>
      </c>
      <c r="LB134" s="8">
        <f ca="1">LA134-TODAY()</f>
        <v>305</v>
      </c>
      <c r="LC134" s="5" t="str">
        <f t="shared" ca="1" si="578"/>
        <v>VIGENTE</v>
      </c>
      <c r="LD134" s="4"/>
      <c r="LE134" s="4"/>
      <c r="LF134" s="4"/>
      <c r="LG134" s="8"/>
      <c r="LH134" s="5" t="str">
        <f>IF(LG134&gt;=61,"VIGENTE",IF(LG134&gt;=1,"POR VENCER",IF(LG134&lt;=-1,"VENCIDA",IF(LG134=0,"NO APLICA"))))</f>
        <v>NO APLICA</v>
      </c>
      <c r="LI134" s="5"/>
      <c r="LJ134" s="5"/>
      <c r="LK134" s="5"/>
      <c r="LL134" s="5"/>
      <c r="LM134" s="5" t="str">
        <f t="shared" ref="LM134:LM196" si="584">IF(LL134&gt;=61,"VIGENTE",IF(LL134&gt;=1,"POR VENCER",IF(LL134&lt;=-1,"VENCIDA",IF(LJ134=0,"NO APLICA"))))</f>
        <v>NO APLICA</v>
      </c>
      <c r="LN134" s="2"/>
      <c r="LO134" s="6"/>
      <c r="LP134" s="4"/>
      <c r="LQ134" s="8"/>
      <c r="LR134" s="5" t="str">
        <f t="shared" si="579"/>
        <v>NO APLICA</v>
      </c>
      <c r="LS134" s="6"/>
      <c r="LT134" s="6"/>
      <c r="LU134" s="4"/>
      <c r="LV134" s="8"/>
      <c r="LW134" s="5" t="str">
        <f t="shared" si="580"/>
        <v>NO APLICA</v>
      </c>
      <c r="LX134" s="6"/>
      <c r="LY134" s="6"/>
      <c r="LZ134" s="4"/>
      <c r="MA134" s="8"/>
      <c r="MB134" s="5" t="str">
        <f t="shared" si="581"/>
        <v>NO APLICA</v>
      </c>
      <c r="MC134" s="2"/>
      <c r="MD134" s="2"/>
      <c r="ME134" s="4"/>
      <c r="MF134" s="8"/>
      <c r="MG134" s="5" t="str">
        <f t="shared" si="554"/>
        <v>NO APLICA</v>
      </c>
      <c r="MH134" s="2"/>
      <c r="MI134" s="2"/>
      <c r="MJ134" s="4"/>
      <c r="MK134" s="8"/>
      <c r="ML134" s="5" t="str">
        <f t="shared" si="555"/>
        <v>NO APLICA</v>
      </c>
      <c r="MM134" s="5"/>
      <c r="MN134" s="2"/>
      <c r="MO134" s="4"/>
      <c r="MP134" s="8"/>
      <c r="MQ134" s="5" t="str">
        <f t="shared" si="556"/>
        <v>NO APLICA</v>
      </c>
      <c r="MR134" s="5"/>
      <c r="MS134" s="2"/>
      <c r="MT134" s="4"/>
      <c r="MU134" s="2"/>
      <c r="MV134" s="5" t="str">
        <f t="shared" si="557"/>
        <v>NO APLICA</v>
      </c>
      <c r="MW134" s="2"/>
      <c r="MX134" s="6"/>
      <c r="MY134" s="4"/>
      <c r="MZ134" s="8"/>
      <c r="NA134" s="5" t="str">
        <f t="shared" si="558"/>
        <v>NO APLICA</v>
      </c>
      <c r="NB134" s="2"/>
      <c r="NC134" s="6"/>
      <c r="ND134" s="4"/>
      <c r="NE134" s="8"/>
      <c r="NF134" s="5" t="str">
        <f t="shared" si="559"/>
        <v>NO APLICA</v>
      </c>
      <c r="NG134" s="2"/>
      <c r="NH134" s="6"/>
      <c r="NI134" s="4"/>
      <c r="NJ134" s="8"/>
      <c r="NK134" s="5" t="str">
        <f t="shared" si="560"/>
        <v>NO APLICA</v>
      </c>
      <c r="NL134" s="2"/>
      <c r="NM134" s="2"/>
      <c r="NN134" s="4"/>
      <c r="NO134" s="2"/>
      <c r="NP134" s="5" t="str">
        <f t="shared" si="561"/>
        <v>NO APLICA</v>
      </c>
      <c r="NQ134" s="2"/>
      <c r="NR134" s="2"/>
      <c r="NS134" s="2"/>
      <c r="NT134" s="2"/>
      <c r="NU134" s="5" t="str">
        <f t="shared" si="562"/>
        <v>NO APLICA</v>
      </c>
      <c r="NV134" s="6"/>
      <c r="NW134" s="6"/>
      <c r="NX134" s="4"/>
      <c r="NY134" s="8"/>
      <c r="NZ134" s="5" t="str">
        <f t="shared" si="563"/>
        <v>NO APLICA</v>
      </c>
      <c r="OA134" s="6"/>
      <c r="OB134" s="6"/>
      <c r="OC134" s="6"/>
      <c r="OD134" s="6"/>
      <c r="OE134" s="5" t="str">
        <f t="shared" si="564"/>
        <v>NO APLICA</v>
      </c>
      <c r="OF134" s="6"/>
      <c r="OG134" s="6"/>
      <c r="OH134" s="4"/>
      <c r="OI134" s="8"/>
      <c r="OJ134" s="5" t="str">
        <f t="shared" si="565"/>
        <v>NO APLICA</v>
      </c>
      <c r="OK134" s="6"/>
      <c r="OL134" s="6"/>
      <c r="OM134" s="6"/>
      <c r="ON134" s="6"/>
      <c r="OO134" s="5" t="str">
        <f t="shared" si="566"/>
        <v>NO APLICA</v>
      </c>
      <c r="OP134" s="6"/>
      <c r="OQ134" s="6"/>
      <c r="OR134" s="6"/>
      <c r="OS134" s="6"/>
      <c r="OT134" s="5" t="str">
        <f t="shared" si="567"/>
        <v>NO APLICA</v>
      </c>
      <c r="OU134" s="6"/>
      <c r="OV134" s="6"/>
      <c r="OW134" s="6"/>
      <c r="OX134" s="6"/>
      <c r="OY134" s="5" t="str">
        <f t="shared" si="568"/>
        <v>NO APLICA</v>
      </c>
      <c r="OZ134" s="6"/>
      <c r="PA134" s="6"/>
      <c r="PB134" s="6"/>
      <c r="PC134" s="6"/>
      <c r="PD134" s="5" t="str">
        <f t="shared" si="569"/>
        <v>NO APLICA</v>
      </c>
      <c r="PE134" s="6"/>
      <c r="PF134" s="6"/>
      <c r="PG134" s="6"/>
      <c r="PH134" s="6"/>
      <c r="PI134" s="5" t="str">
        <f t="shared" si="570"/>
        <v>NO APLICA</v>
      </c>
      <c r="PJ134" s="5"/>
      <c r="PK134" s="6"/>
      <c r="PL134" s="4"/>
      <c r="PM134" s="8"/>
      <c r="PN134" s="5" t="str">
        <f t="shared" si="571"/>
        <v>NO APLICA</v>
      </c>
      <c r="PO134" s="6"/>
      <c r="PP134" s="6"/>
      <c r="PQ134" s="6"/>
      <c r="PR134" s="6"/>
      <c r="PS134" s="5" t="str">
        <f t="shared" si="572"/>
        <v>NO APLICA</v>
      </c>
      <c r="PT134" s="5"/>
      <c r="PU134" s="6"/>
      <c r="PV134" s="6"/>
      <c r="PW134" s="6"/>
      <c r="PX134" s="5" t="str">
        <f t="shared" si="573"/>
        <v>NO APLICA</v>
      </c>
    </row>
    <row r="135" spans="1:440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449</v>
      </c>
      <c r="V135" s="4">
        <v>44944</v>
      </c>
      <c r="W135" s="4">
        <f t="shared" si="421"/>
        <v>46770</v>
      </c>
      <c r="X135" s="8">
        <f t="shared" ca="1" si="422"/>
        <v>636</v>
      </c>
      <c r="Y135" s="5" t="str">
        <f t="shared" ca="1" si="423"/>
        <v>VIGENTE</v>
      </c>
      <c r="Z135" s="2"/>
      <c r="AA135" s="6"/>
      <c r="AB135" s="4"/>
      <c r="AC135" s="8"/>
      <c r="AD135" s="5" t="str">
        <f t="shared" si="582"/>
        <v>NO APLICA</v>
      </c>
      <c r="AE135" s="2"/>
      <c r="AF135" s="4">
        <v>45936</v>
      </c>
      <c r="AG135" s="4">
        <f t="shared" si="461"/>
        <v>46666</v>
      </c>
      <c r="AH135" s="8">
        <f t="shared" ca="1" si="470"/>
        <v>532</v>
      </c>
      <c r="AI135" s="5" t="str">
        <f t="shared" ca="1" si="419"/>
        <v>VIGENTE</v>
      </c>
      <c r="AJ135" s="2"/>
      <c r="AK135" s="4">
        <v>45926</v>
      </c>
      <c r="AL135" s="4">
        <f t="shared" si="462"/>
        <v>46656</v>
      </c>
      <c r="AM135" s="8">
        <f t="shared" ca="1" si="471"/>
        <v>522</v>
      </c>
      <c r="AN135" s="5" t="str">
        <f t="shared" ca="1" si="472"/>
        <v>VIGENTE</v>
      </c>
      <c r="AO135" s="3"/>
      <c r="AP135" s="4">
        <v>45904</v>
      </c>
      <c r="AQ135" s="4">
        <f t="shared" si="463"/>
        <v>46634</v>
      </c>
      <c r="AR135" s="8">
        <f t="shared" ca="1" si="473"/>
        <v>500</v>
      </c>
      <c r="AS135" s="5" t="str">
        <f t="shared" ca="1" si="474"/>
        <v>VIGENTE</v>
      </c>
      <c r="AT135" s="2"/>
      <c r="AU135" s="4">
        <v>45927</v>
      </c>
      <c r="AV135" s="4">
        <f t="shared" si="458"/>
        <v>46657</v>
      </c>
      <c r="AW135" s="8">
        <f t="shared" ca="1" si="475"/>
        <v>523</v>
      </c>
      <c r="AX135" s="5" t="str">
        <f t="shared" ca="1" si="476"/>
        <v>VIGENTE</v>
      </c>
      <c r="AY135" s="3"/>
      <c r="AZ135" s="4">
        <v>45943</v>
      </c>
      <c r="BA135" s="4">
        <f>DATE(YEAR(AZ135)+2,MONTH(AZ135),DAY(AZ135))</f>
        <v>46673</v>
      </c>
      <c r="BB135" s="8">
        <f t="shared" ca="1" si="477"/>
        <v>539</v>
      </c>
      <c r="BC135" s="5" t="str">
        <f t="shared" ca="1" si="478"/>
        <v>VIGENTE</v>
      </c>
      <c r="BD135" s="3"/>
      <c r="BE135" s="4">
        <v>45880</v>
      </c>
      <c r="BF135" s="4">
        <f t="shared" si="459"/>
        <v>46610</v>
      </c>
      <c r="BG135" s="8">
        <f t="shared" ca="1" si="479"/>
        <v>476</v>
      </c>
      <c r="BH135" s="5" t="str">
        <f t="shared" ca="1" si="480"/>
        <v>VIGENTE</v>
      </c>
      <c r="BI135" s="3"/>
      <c r="BJ135" s="4">
        <v>45976</v>
      </c>
      <c r="BK135" s="4">
        <f>DATE(YEAR(BJ135)+2,MONTH(BJ135),DAY(BJ135))</f>
        <v>46706</v>
      </c>
      <c r="BL135" s="8">
        <f t="shared" ca="1" si="481"/>
        <v>572</v>
      </c>
      <c r="BM135" s="5" t="str">
        <f t="shared" ca="1" si="482"/>
        <v>VIGENTE</v>
      </c>
      <c r="BN135" s="3"/>
      <c r="BO135" s="4">
        <v>45981</v>
      </c>
      <c r="BP135" s="4">
        <f>DATE(YEAR(BO135)+2,MONTH(BO135),DAY(BO135))</f>
        <v>46711</v>
      </c>
      <c r="BQ135" s="8">
        <f t="shared" ca="1" si="483"/>
        <v>577</v>
      </c>
      <c r="BR135" s="5" t="str">
        <f t="shared" ca="1" si="484"/>
        <v>VIGENTE</v>
      </c>
      <c r="BS135" s="3"/>
      <c r="BT135" s="4">
        <v>45871</v>
      </c>
      <c r="BU135" s="4">
        <f>DATE(YEAR(BT135)+2,MONTH(BT135),DAY(BT135))</f>
        <v>46601</v>
      </c>
      <c r="BV135" s="8">
        <f t="shared" ca="1" si="485"/>
        <v>467</v>
      </c>
      <c r="BW135" s="5" t="str">
        <f t="shared" ca="1" si="486"/>
        <v>VIGENTE</v>
      </c>
      <c r="BX135" s="2"/>
      <c r="BY135" s="4">
        <v>45911</v>
      </c>
      <c r="BZ135" s="4">
        <f t="shared" si="460"/>
        <v>46641</v>
      </c>
      <c r="CA135" s="8">
        <f t="shared" ca="1" si="487"/>
        <v>507</v>
      </c>
      <c r="CB135" s="5" t="str">
        <f t="shared" ca="1" si="488"/>
        <v>VIGENTE</v>
      </c>
      <c r="CC135" s="6" t="s">
        <v>68</v>
      </c>
      <c r="CD135" s="4">
        <v>45832</v>
      </c>
      <c r="CE135" s="4">
        <f t="shared" si="428"/>
        <v>47293</v>
      </c>
      <c r="CF135" s="8">
        <f t="shared" ca="1" si="429"/>
        <v>1159</v>
      </c>
      <c r="CG135" s="5" t="str">
        <f t="shared" ca="1" si="430"/>
        <v>VIGENTE</v>
      </c>
      <c r="CH135" s="6"/>
      <c r="CI135" s="4">
        <v>45929</v>
      </c>
      <c r="CJ135" s="4">
        <f>DATE(YEAR(CI135)+2,MONTH(CI135),DAY(CI135))</f>
        <v>46659</v>
      </c>
      <c r="CK135" s="8">
        <f t="shared" ca="1" si="489"/>
        <v>525</v>
      </c>
      <c r="CL135" s="5" t="str">
        <f t="shared" ca="1" si="490"/>
        <v>VIGENTE</v>
      </c>
      <c r="CM135" s="3"/>
      <c r="CN135" s="4">
        <v>45882</v>
      </c>
      <c r="CO135" s="4">
        <f>DATE(YEAR(CN135)+2,MONTH(CN135),DAY(CN135))</f>
        <v>46612</v>
      </c>
      <c r="CP135" s="8">
        <f t="shared" ca="1" si="491"/>
        <v>478</v>
      </c>
      <c r="CQ135" s="5" t="str">
        <f t="shared" ca="1" si="492"/>
        <v>VIGENTE</v>
      </c>
      <c r="CR135" s="3"/>
      <c r="CS135" s="4">
        <v>45813</v>
      </c>
      <c r="CT135" s="4">
        <f>DATE(YEAR(CS135)+2,MONTH(CS135),DAY(CS135))</f>
        <v>46543</v>
      </c>
      <c r="CU135" s="8">
        <f t="shared" ca="1" si="493"/>
        <v>409</v>
      </c>
      <c r="CV135" s="5" t="str">
        <f t="shared" ca="1" si="494"/>
        <v>VIGENTE</v>
      </c>
      <c r="CW135" s="3"/>
      <c r="CX135" s="4">
        <v>45989</v>
      </c>
      <c r="CY135" s="4">
        <f>DATE(YEAR(CX135)+2,MONTH(CX135),DAY(CX135))</f>
        <v>46719</v>
      </c>
      <c r="CZ135" s="8">
        <f t="shared" ca="1" si="495"/>
        <v>585</v>
      </c>
      <c r="DA135" s="5" t="str">
        <f t="shared" ca="1" si="496"/>
        <v>VIGENTE</v>
      </c>
      <c r="DB135" s="3"/>
      <c r="DC135" s="4">
        <v>45996</v>
      </c>
      <c r="DD135" s="4">
        <f>DATE(YEAR(DC135)+2,MONTH(DC135),DAY(DC135))</f>
        <v>46726</v>
      </c>
      <c r="DE135" s="8">
        <f t="shared" ca="1" si="497"/>
        <v>592</v>
      </c>
      <c r="DF135" s="5" t="str">
        <f t="shared" ca="1" si="498"/>
        <v>VIGENTE</v>
      </c>
      <c r="DG135" s="3"/>
      <c r="DH135" s="4">
        <v>45899</v>
      </c>
      <c r="DI135" s="4">
        <f>DATE(YEAR(DH135)+2,MONTH(DH135),DAY(DH135))</f>
        <v>46629</v>
      </c>
      <c r="DJ135" s="8">
        <f t="shared" ca="1" si="499"/>
        <v>495</v>
      </c>
      <c r="DK135" s="5" t="str">
        <f t="shared" ca="1" si="500"/>
        <v>VIGENTE</v>
      </c>
      <c r="DL135" s="3"/>
      <c r="DM135" s="4">
        <v>45731</v>
      </c>
      <c r="DN135" s="4">
        <f>DATE(YEAR(DM135)+2,MONTH(DM135),DAY(DM135)-1)</f>
        <v>46460</v>
      </c>
      <c r="DO135" s="8">
        <f t="shared" ca="1" si="501"/>
        <v>326</v>
      </c>
      <c r="DP135" s="5" t="str">
        <f t="shared" ca="1" si="502"/>
        <v>VIGENTE</v>
      </c>
      <c r="DQ135" s="4"/>
      <c r="DR135" s="4">
        <v>46018</v>
      </c>
      <c r="DS135" s="4">
        <f>DATE(YEAR(DR135)+2,MONTH(DR135),DAY(DR135))</f>
        <v>46748</v>
      </c>
      <c r="DT135" s="8">
        <f t="shared" ca="1" si="503"/>
        <v>614</v>
      </c>
      <c r="DU135" s="5" t="str">
        <f t="shared" ca="1" si="504"/>
        <v>VIGENTE</v>
      </c>
      <c r="DV135" s="3"/>
      <c r="DW135" s="4">
        <v>46020</v>
      </c>
      <c r="DX135" s="4">
        <f>DATE(YEAR(DW135)+2,MONTH(DW135),DAY(DW135))</f>
        <v>46750</v>
      </c>
      <c r="DY135" s="8">
        <f t="shared" ca="1" si="505"/>
        <v>616</v>
      </c>
      <c r="DZ135" s="5" t="str">
        <f t="shared" ca="1" si="506"/>
        <v>VIGENTE</v>
      </c>
      <c r="EA135" s="3"/>
      <c r="EB135" s="4">
        <v>45913</v>
      </c>
      <c r="EC135" s="4">
        <f>DATE(YEAR(EB135)+2,MONTH(EB135),DAY(EB135))</f>
        <v>46643</v>
      </c>
      <c r="ED135" s="8">
        <f t="shared" ca="1" si="507"/>
        <v>509</v>
      </c>
      <c r="EE135" s="5" t="str">
        <f t="shared" ca="1" si="508"/>
        <v>VIGENTE</v>
      </c>
      <c r="EF135" s="3"/>
      <c r="EG135" s="3">
        <v>46002</v>
      </c>
      <c r="EH135" s="4">
        <f t="shared" si="575"/>
        <v>46367</v>
      </c>
      <c r="EI135" s="8">
        <f t="shared" ca="1" si="509"/>
        <v>233</v>
      </c>
      <c r="EJ135" s="5" t="str">
        <f t="shared" ca="1" si="510"/>
        <v>VIGENTE</v>
      </c>
      <c r="EK135" s="3"/>
      <c r="EL135" s="4">
        <v>45940</v>
      </c>
      <c r="EM135" s="4">
        <f>DATE(YEAR(EL135)+2,MONTH(EL135),DAY(EL135))</f>
        <v>46670</v>
      </c>
      <c r="EN135" s="8">
        <f t="shared" ca="1" si="511"/>
        <v>536</v>
      </c>
      <c r="EO135" s="5" t="str">
        <f t="shared" ca="1" si="512"/>
        <v>VIGENTE</v>
      </c>
      <c r="EP135" s="2"/>
      <c r="EQ135" s="4">
        <v>45999</v>
      </c>
      <c r="ER135" s="4">
        <f>DATE(YEAR(EQ135)+2,MONTH(EQ135),DAY(EQ135))</f>
        <v>46729</v>
      </c>
      <c r="ES135" s="8">
        <f t="shared" ca="1" si="513"/>
        <v>595</v>
      </c>
      <c r="ET135" s="5" t="str">
        <f t="shared" ca="1" si="514"/>
        <v>VIGENTE</v>
      </c>
      <c r="EU135" s="2"/>
      <c r="EV135" s="4">
        <v>45917</v>
      </c>
      <c r="EW135" s="4">
        <f t="shared" si="464"/>
        <v>46647</v>
      </c>
      <c r="EX135" s="8">
        <f t="shared" ca="1" si="515"/>
        <v>513</v>
      </c>
      <c r="EY135" s="5" t="str">
        <f t="shared" ca="1" si="516"/>
        <v>VIGENTE</v>
      </c>
      <c r="EZ135" s="2"/>
      <c r="FA135" s="4">
        <v>45931</v>
      </c>
      <c r="FB135" s="4">
        <f t="shared" si="465"/>
        <v>46661</v>
      </c>
      <c r="FC135" s="8">
        <f t="shared" ca="1" si="517"/>
        <v>527</v>
      </c>
      <c r="FD135" s="5" t="str">
        <f t="shared" ca="1" si="518"/>
        <v>VIGENTE</v>
      </c>
      <c r="FE135" s="2"/>
      <c r="FF135" s="4">
        <v>45932</v>
      </c>
      <c r="FG135" s="4">
        <f t="shared" si="466"/>
        <v>46662</v>
      </c>
      <c r="FH135" s="8">
        <f t="shared" ca="1" si="519"/>
        <v>528</v>
      </c>
      <c r="FI135" s="5" t="str">
        <f t="shared" ca="1" si="520"/>
        <v>VIGENTE</v>
      </c>
      <c r="FJ135" s="3"/>
      <c r="FK135" s="4">
        <v>45933</v>
      </c>
      <c r="FL135" s="4">
        <f>DATE(YEAR(FK135)+2,MONTH(FK135),DAY(FK135))</f>
        <v>46663</v>
      </c>
      <c r="FM135" s="8">
        <f t="shared" ca="1" si="521"/>
        <v>529</v>
      </c>
      <c r="FN135" s="5" t="str">
        <f t="shared" ca="1" si="522"/>
        <v>VIGENTE</v>
      </c>
      <c r="FO135" s="3"/>
      <c r="FP135" s="4">
        <v>45957</v>
      </c>
      <c r="FQ135" s="4">
        <f>DATE(YEAR(FP135)+2,MONTH(FP135),DAY(FP135))</f>
        <v>46687</v>
      </c>
      <c r="FR135" s="8">
        <f t="shared" ca="1" si="523"/>
        <v>553</v>
      </c>
      <c r="FS135" s="5" t="str">
        <f t="shared" ca="1" si="524"/>
        <v>VIGENTE</v>
      </c>
      <c r="FT135" s="3"/>
      <c r="FU135" s="4">
        <v>45941</v>
      </c>
      <c r="FV135" s="4">
        <f t="shared" si="467"/>
        <v>46671</v>
      </c>
      <c r="FW135" s="8">
        <f t="shared" ca="1" si="525"/>
        <v>537</v>
      </c>
      <c r="FX135" s="5" t="str">
        <f t="shared" ca="1" si="526"/>
        <v>VIGENTE</v>
      </c>
      <c r="FY135" s="3"/>
      <c r="FZ135" s="4">
        <v>45833</v>
      </c>
      <c r="GA135" s="4">
        <f>DATE(YEAR(FZ135)+2,MONTH(FZ135),DAY(FZ135))</f>
        <v>46563</v>
      </c>
      <c r="GB135" s="8">
        <f t="shared" ca="1" si="527"/>
        <v>429</v>
      </c>
      <c r="GC135" s="5" t="str">
        <f t="shared" ca="1" si="528"/>
        <v>VIGENTE</v>
      </c>
      <c r="GD135" s="3"/>
      <c r="GE135" s="4">
        <v>45960</v>
      </c>
      <c r="GF135" s="4">
        <f>DATE(YEAR(GE135)+2,MONTH(GE135),DAY(GE135))</f>
        <v>46690</v>
      </c>
      <c r="GG135" s="8">
        <f t="shared" ca="1" si="529"/>
        <v>556</v>
      </c>
      <c r="GH135" s="5" t="str">
        <f t="shared" ca="1" si="530"/>
        <v>VIGENTE</v>
      </c>
      <c r="GI135" s="3"/>
      <c r="GJ135" s="4">
        <v>45945</v>
      </c>
      <c r="GK135" s="4">
        <f>DATE(YEAR(GJ135)+2,MONTH(GJ135),DAY(GJ135))</f>
        <v>46675</v>
      </c>
      <c r="GL135" s="8">
        <f t="shared" ca="1" si="531"/>
        <v>541</v>
      </c>
      <c r="GM135" s="5" t="str">
        <f t="shared" ca="1" si="532"/>
        <v>VIGENTE</v>
      </c>
      <c r="GN135" s="4"/>
      <c r="GO135" s="4">
        <v>45244</v>
      </c>
      <c r="GP135" s="4">
        <f t="shared" si="533"/>
        <v>47071</v>
      </c>
      <c r="GQ135" s="8">
        <f t="shared" ca="1" si="418"/>
        <v>937</v>
      </c>
      <c r="GR135" s="5" t="str">
        <f t="shared" ca="1" si="431"/>
        <v>VIGENTE</v>
      </c>
      <c r="GS135" s="3"/>
      <c r="GT135" s="4">
        <v>45267</v>
      </c>
      <c r="GU135" s="4">
        <f t="shared" si="534"/>
        <v>47094</v>
      </c>
      <c r="GV135" s="8">
        <f t="shared" ca="1" si="535"/>
        <v>960</v>
      </c>
      <c r="GW135" s="5" t="str">
        <f t="shared" ca="1" si="438"/>
        <v>VIGENTE</v>
      </c>
      <c r="GX135" s="2"/>
      <c r="GY135" s="4">
        <v>45268</v>
      </c>
      <c r="GZ135" s="4">
        <f t="shared" si="536"/>
        <v>47095</v>
      </c>
      <c r="HA135" s="8">
        <f t="shared" ca="1" si="537"/>
        <v>961</v>
      </c>
      <c r="HB135" s="5" t="str">
        <f t="shared" ca="1" si="433"/>
        <v>VIGENTE</v>
      </c>
      <c r="HC135" s="6"/>
      <c r="HD135" s="6"/>
      <c r="HE135" s="4"/>
      <c r="HF135" s="8"/>
      <c r="HG135" s="5" t="str">
        <f t="shared" si="439"/>
        <v>NO APLICA</v>
      </c>
      <c r="HH135" s="2"/>
      <c r="HI135" s="6"/>
      <c r="HJ135" s="4"/>
      <c r="HK135" s="8"/>
      <c r="HL135" s="5" t="str">
        <f t="shared" si="457"/>
        <v>NO APLICA</v>
      </c>
      <c r="HM135" s="2"/>
      <c r="HN135" s="2"/>
      <c r="HO135" s="4"/>
      <c r="HP135" s="2"/>
      <c r="HQ135" s="5" t="str">
        <f t="shared" si="538"/>
        <v>NO APLICA</v>
      </c>
      <c r="HR135" s="2"/>
      <c r="HS135" s="6"/>
      <c r="HT135" s="4"/>
      <c r="HU135" s="8"/>
      <c r="HV135" s="5" t="str">
        <f t="shared" si="539"/>
        <v>NO APLICA</v>
      </c>
      <c r="HW135" s="2"/>
      <c r="HX135" s="6"/>
      <c r="HY135" s="4"/>
      <c r="HZ135" s="8"/>
      <c r="IA135" s="5" t="str">
        <f t="shared" si="540"/>
        <v>NO APLICA</v>
      </c>
      <c r="IB135" s="2"/>
      <c r="IC135" s="6"/>
      <c r="ID135" s="4"/>
      <c r="IE135" s="8"/>
      <c r="IF135" s="5" t="str">
        <f t="shared" si="541"/>
        <v>NO APLICA</v>
      </c>
      <c r="IG135" s="6"/>
      <c r="IH135" s="6"/>
      <c r="II135" s="4"/>
      <c r="IJ135" s="8"/>
      <c r="IK135" s="5" t="str">
        <f t="shared" si="542"/>
        <v>NO APLICA</v>
      </c>
      <c r="IL135" s="2"/>
      <c r="IM135" s="6"/>
      <c r="IN135" s="4"/>
      <c r="IO135" s="8"/>
      <c r="IP135" s="5" t="str">
        <f t="shared" si="543"/>
        <v>NO APLICA</v>
      </c>
      <c r="IQ135" s="2"/>
      <c r="IR135" s="6"/>
      <c r="IS135" s="4"/>
      <c r="IT135" s="8"/>
      <c r="IU135" s="5" t="str">
        <f t="shared" si="544"/>
        <v>NO APLICA</v>
      </c>
      <c r="IV135" s="2"/>
      <c r="IW135" s="6"/>
      <c r="IX135" s="4"/>
      <c r="IY135" s="8"/>
      <c r="IZ135" s="5" t="str">
        <f t="shared" si="545"/>
        <v>NO APLICA</v>
      </c>
      <c r="JA135" s="3"/>
      <c r="JB135" s="3"/>
      <c r="JC135" s="4"/>
      <c r="JD135" s="8"/>
      <c r="JE135" s="5" t="str">
        <f t="shared" si="546"/>
        <v>NO APLICA</v>
      </c>
      <c r="JF135" s="6"/>
      <c r="JG135" s="6"/>
      <c r="JH135" s="6"/>
      <c r="JI135" s="6"/>
      <c r="JJ135" s="5" t="str">
        <f t="shared" si="547"/>
        <v>NO APLICA</v>
      </c>
      <c r="JK135" s="6"/>
      <c r="JL135" s="6"/>
      <c r="JM135" s="6"/>
      <c r="JN135" s="6"/>
      <c r="JO135" s="5" t="str">
        <f t="shared" si="548"/>
        <v>NO APLICA</v>
      </c>
      <c r="JP135" s="6"/>
      <c r="JQ135" s="6"/>
      <c r="JR135" s="6"/>
      <c r="JS135" s="6"/>
      <c r="JT135" s="5" t="str">
        <f t="shared" si="549"/>
        <v>NO APLICA</v>
      </c>
      <c r="JU135" s="5"/>
      <c r="JV135" s="5"/>
      <c r="JW135" s="5"/>
      <c r="JX135" s="5"/>
      <c r="JY135" s="5" t="str">
        <f t="shared" si="550"/>
        <v>NO APLICA</v>
      </c>
      <c r="JZ135" s="5"/>
      <c r="KA135" s="2"/>
      <c r="KB135" s="4"/>
      <c r="KC135" s="8"/>
      <c r="KD135" s="5" t="str">
        <f t="shared" si="551"/>
        <v>NO APLICA</v>
      </c>
      <c r="KE135" s="5"/>
      <c r="KF135" s="2"/>
      <c r="KG135" s="4"/>
      <c r="KH135" s="8"/>
      <c r="KI135" s="5" t="str">
        <f t="shared" si="576"/>
        <v>NO APLICA</v>
      </c>
      <c r="KJ135" s="5"/>
      <c r="KK135" s="2"/>
      <c r="KL135" s="4"/>
      <c r="KM135" s="8"/>
      <c r="KN135" s="5" t="str">
        <f t="shared" si="552"/>
        <v>NO APLICA</v>
      </c>
      <c r="KO135" s="5"/>
      <c r="KP135" s="2"/>
      <c r="KQ135" s="4"/>
      <c r="KR135" s="8"/>
      <c r="KS135" s="5" t="str">
        <f t="shared" si="577"/>
        <v>NO APLICA</v>
      </c>
      <c r="KT135" s="2"/>
      <c r="KU135" s="6"/>
      <c r="KV135" s="4"/>
      <c r="KW135" s="8"/>
      <c r="KX135" s="5" t="str">
        <f t="shared" si="583"/>
        <v>NO APLICA</v>
      </c>
      <c r="KY135" s="5"/>
      <c r="KZ135" s="6"/>
      <c r="LA135" s="4"/>
      <c r="LB135" s="8"/>
      <c r="LC135" s="5" t="str">
        <f t="shared" si="578"/>
        <v>NO APLICA</v>
      </c>
      <c r="LD135" s="6"/>
      <c r="LE135" s="6"/>
      <c r="LF135" s="4"/>
      <c r="LG135" s="8"/>
      <c r="LH135" s="5" t="str">
        <f t="shared" ref="LH135:LH166" si="585">IF(LG135&gt;=61,"VIGENTE",IF(LG135&gt;=1,"POR VENCER",IF(LG135&lt;=-1,"VENCIDA",IF(LE135=0,"NO APLICA"))))</f>
        <v>NO APLICA</v>
      </c>
      <c r="LI135" s="5"/>
      <c r="LJ135" s="5"/>
      <c r="LK135" s="4"/>
      <c r="LL135" s="8"/>
      <c r="LM135" s="5" t="str">
        <f t="shared" si="584"/>
        <v>NO APLICA</v>
      </c>
      <c r="LN135" s="2"/>
      <c r="LO135" s="6"/>
      <c r="LP135" s="4"/>
      <c r="LQ135" s="8"/>
      <c r="LR135" s="5" t="str">
        <f t="shared" si="579"/>
        <v>NO APLICA</v>
      </c>
      <c r="LS135" s="6"/>
      <c r="LT135" s="6"/>
      <c r="LU135" s="4"/>
      <c r="LV135" s="8"/>
      <c r="LW135" s="5" t="str">
        <f t="shared" si="580"/>
        <v>NO APLICA</v>
      </c>
      <c r="LX135" s="6"/>
      <c r="LY135" s="6"/>
      <c r="LZ135" s="4"/>
      <c r="MA135" s="8"/>
      <c r="MB135" s="5" t="str">
        <f t="shared" si="581"/>
        <v>NO APLICA</v>
      </c>
      <c r="MC135" s="2"/>
      <c r="MD135" s="2"/>
      <c r="ME135" s="4"/>
      <c r="MF135" s="8"/>
      <c r="MG135" s="5" t="str">
        <f t="shared" si="554"/>
        <v>NO APLICA</v>
      </c>
      <c r="MH135" s="2"/>
      <c r="MI135" s="2"/>
      <c r="MJ135" s="4"/>
      <c r="MK135" s="8"/>
      <c r="ML135" s="5" t="str">
        <f t="shared" si="555"/>
        <v>NO APLICA</v>
      </c>
      <c r="MM135" s="5"/>
      <c r="MN135" s="2"/>
      <c r="MO135" s="4"/>
      <c r="MP135" s="8"/>
      <c r="MQ135" s="5" t="str">
        <f t="shared" si="556"/>
        <v>NO APLICA</v>
      </c>
      <c r="MR135" s="5"/>
      <c r="MS135" s="2"/>
      <c r="MT135" s="4"/>
      <c r="MU135" s="2"/>
      <c r="MV135" s="5" t="str">
        <f t="shared" si="557"/>
        <v>NO APLICA</v>
      </c>
      <c r="MW135" s="2"/>
      <c r="MX135" s="6"/>
      <c r="MY135" s="4"/>
      <c r="MZ135" s="8"/>
      <c r="NA135" s="5" t="str">
        <f t="shared" si="558"/>
        <v>NO APLICA</v>
      </c>
      <c r="NB135" s="2"/>
      <c r="NC135" s="6"/>
      <c r="ND135" s="4"/>
      <c r="NE135" s="8"/>
      <c r="NF135" s="5" t="str">
        <f t="shared" si="559"/>
        <v>NO APLICA</v>
      </c>
      <c r="NG135" s="2"/>
      <c r="NH135" s="6"/>
      <c r="NI135" s="4"/>
      <c r="NJ135" s="8"/>
      <c r="NK135" s="5" t="str">
        <f t="shared" si="560"/>
        <v>NO APLICA</v>
      </c>
      <c r="NL135" s="2"/>
      <c r="NM135" s="2"/>
      <c r="NN135" s="4"/>
      <c r="NO135" s="8"/>
      <c r="NP135" s="5" t="str">
        <f t="shared" si="561"/>
        <v>NO APLICA</v>
      </c>
      <c r="NQ135" s="2"/>
      <c r="NR135" s="2"/>
      <c r="NS135" s="4"/>
      <c r="NT135" s="2"/>
      <c r="NU135" s="5" t="str">
        <f t="shared" si="562"/>
        <v>NO APLICA</v>
      </c>
      <c r="NV135" s="6"/>
      <c r="NW135" s="6"/>
      <c r="NX135" s="4"/>
      <c r="NY135" s="8"/>
      <c r="NZ135" s="5" t="str">
        <f t="shared" si="563"/>
        <v>NO APLICA</v>
      </c>
      <c r="OA135" s="6"/>
      <c r="OB135" s="6"/>
      <c r="OC135" s="6"/>
      <c r="OD135" s="6"/>
      <c r="OE135" s="5" t="str">
        <f t="shared" si="564"/>
        <v>NO APLICA</v>
      </c>
      <c r="OF135" s="2"/>
      <c r="OG135" s="2"/>
      <c r="OH135" s="4"/>
      <c r="OI135" s="8"/>
      <c r="OJ135" s="5" t="str">
        <f t="shared" si="565"/>
        <v>NO APLICA</v>
      </c>
      <c r="OK135" s="6"/>
      <c r="OL135" s="6"/>
      <c r="OM135" s="6"/>
      <c r="ON135" s="6"/>
      <c r="OO135" s="5" t="str">
        <f t="shared" si="566"/>
        <v>NO APLICA</v>
      </c>
      <c r="OP135" s="6"/>
      <c r="OQ135" s="6"/>
      <c r="OR135" s="6"/>
      <c r="OS135" s="6"/>
      <c r="OT135" s="5" t="str">
        <f t="shared" si="567"/>
        <v>NO APLICA</v>
      </c>
      <c r="OU135" s="6"/>
      <c r="OV135" s="6"/>
      <c r="OW135" s="6"/>
      <c r="OX135" s="6"/>
      <c r="OY135" s="5" t="str">
        <f t="shared" si="568"/>
        <v>NO APLICA</v>
      </c>
      <c r="OZ135" s="6"/>
      <c r="PA135" s="6"/>
      <c r="PB135" s="6"/>
      <c r="PC135" s="6"/>
      <c r="PD135" s="5" t="str">
        <f t="shared" si="569"/>
        <v>NO APLICA</v>
      </c>
      <c r="PE135" s="6"/>
      <c r="PF135" s="6"/>
      <c r="PG135" s="6"/>
      <c r="PH135" s="6"/>
      <c r="PI135" s="5" t="str">
        <f t="shared" si="570"/>
        <v>NO APLICA</v>
      </c>
      <c r="PJ135" s="5"/>
      <c r="PK135" s="6"/>
      <c r="PL135" s="4"/>
      <c r="PM135" s="8"/>
      <c r="PN135" s="5" t="str">
        <f t="shared" si="571"/>
        <v>NO APLICA</v>
      </c>
      <c r="PO135" s="6"/>
      <c r="PP135" s="6"/>
      <c r="PQ135" s="6"/>
      <c r="PR135" s="6"/>
      <c r="PS135" s="5" t="str">
        <f t="shared" si="572"/>
        <v>NO APLICA</v>
      </c>
      <c r="PT135" s="5"/>
      <c r="PU135" s="6"/>
      <c r="PV135" s="6"/>
      <c r="PW135" s="6"/>
      <c r="PX135" s="5" t="str">
        <f t="shared" si="573"/>
        <v>NO APLICA</v>
      </c>
    </row>
    <row r="136" spans="1:440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654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451</v>
      </c>
      <c r="V136" s="4">
        <v>45735</v>
      </c>
      <c r="W136" s="4">
        <f t="shared" si="421"/>
        <v>47561</v>
      </c>
      <c r="X136" s="8">
        <f t="shared" ca="1" si="422"/>
        <v>1427</v>
      </c>
      <c r="Y136" s="5" t="str">
        <f t="shared" ca="1" si="423"/>
        <v>VIGENTE</v>
      </c>
      <c r="Z136" s="2"/>
      <c r="AA136" s="6"/>
      <c r="AB136" s="4"/>
      <c r="AC136" s="8"/>
      <c r="AD136" s="5" t="str">
        <f t="shared" si="582"/>
        <v>NO APLICA</v>
      </c>
      <c r="AE136" s="3"/>
      <c r="AF136" s="4">
        <v>45902</v>
      </c>
      <c r="AG136" s="4">
        <f t="shared" si="461"/>
        <v>46632</v>
      </c>
      <c r="AH136" s="8">
        <f t="shared" ca="1" si="470"/>
        <v>498</v>
      </c>
      <c r="AI136" s="5" t="str">
        <f t="shared" ca="1" si="419"/>
        <v>VIGENTE</v>
      </c>
      <c r="AJ136" s="3"/>
      <c r="AK136" s="4">
        <v>45926</v>
      </c>
      <c r="AL136" s="4">
        <f t="shared" si="462"/>
        <v>46656</v>
      </c>
      <c r="AM136" s="8">
        <f t="shared" ca="1" si="471"/>
        <v>522</v>
      </c>
      <c r="AN136" s="5" t="str">
        <f t="shared" ca="1" si="472"/>
        <v>VIGENTE</v>
      </c>
      <c r="AO136" s="3"/>
      <c r="AP136" s="4">
        <v>45967</v>
      </c>
      <c r="AQ136" s="4">
        <f t="shared" si="463"/>
        <v>46697</v>
      </c>
      <c r="AR136" s="8">
        <f t="shared" ca="1" si="473"/>
        <v>563</v>
      </c>
      <c r="AS136" s="5" t="str">
        <f t="shared" ca="1" si="474"/>
        <v>VIGENTE</v>
      </c>
      <c r="AT136" s="3"/>
      <c r="AU136" s="4">
        <v>45927</v>
      </c>
      <c r="AV136" s="4">
        <f t="shared" si="458"/>
        <v>46657</v>
      </c>
      <c r="AW136" s="8">
        <f t="shared" ca="1" si="475"/>
        <v>523</v>
      </c>
      <c r="AX136" s="5" t="str">
        <f t="shared" ca="1" si="476"/>
        <v>VIGENTE</v>
      </c>
      <c r="AY136" s="3"/>
      <c r="AZ136" s="4">
        <v>45622</v>
      </c>
      <c r="BA136" s="4">
        <f>DATE(YEAR(AZ136)+2,MONTH(AZ136),DAY(AZ136)-1)</f>
        <v>46351</v>
      </c>
      <c r="BB136" s="8">
        <f t="shared" ca="1" si="477"/>
        <v>217</v>
      </c>
      <c r="BC136" s="5" t="str">
        <f t="shared" ca="1" si="478"/>
        <v>VIGENTE</v>
      </c>
      <c r="BD136" s="3"/>
      <c r="BE136" s="4">
        <v>45698</v>
      </c>
      <c r="BF136" s="4">
        <f>DATE(YEAR(BE136)+2,MONTH(BE136),DAY(BE136)-1)</f>
        <v>46427</v>
      </c>
      <c r="BG136" s="8">
        <f t="shared" ca="1" si="479"/>
        <v>293</v>
      </c>
      <c r="BH136" s="5" t="str">
        <f t="shared" ca="1" si="480"/>
        <v>VIGENTE</v>
      </c>
      <c r="BI136" s="3"/>
      <c r="BJ136" s="4">
        <v>45600</v>
      </c>
      <c r="BK136" s="4">
        <f>DATE(YEAR(BJ136)+2,MONTH(BJ136),DAY(BJ136)-1)</f>
        <v>46329</v>
      </c>
      <c r="BL136" s="8">
        <f t="shared" ca="1" si="481"/>
        <v>195</v>
      </c>
      <c r="BM136" s="5" t="str">
        <f t="shared" ca="1" si="482"/>
        <v>VIGENTE</v>
      </c>
      <c r="BN136" s="3"/>
      <c r="BO136" s="4">
        <v>45621</v>
      </c>
      <c r="BP136" s="4">
        <f>DATE(YEAR(BO136)+2,MONTH(BO136),DAY(BO136)-1)</f>
        <v>46350</v>
      </c>
      <c r="BQ136" s="8">
        <f t="shared" ca="1" si="483"/>
        <v>216</v>
      </c>
      <c r="BR136" s="5" t="str">
        <f t="shared" ca="1" si="484"/>
        <v>VIGENTE</v>
      </c>
      <c r="BS136" s="3"/>
      <c r="BT136" s="4">
        <v>45568</v>
      </c>
      <c r="BU136" s="4">
        <f>DATE(YEAR(BT136)+2,MONTH(BT136),DAY(BT136)-1)</f>
        <v>46297</v>
      </c>
      <c r="BV136" s="8">
        <f t="shared" ca="1" si="485"/>
        <v>163</v>
      </c>
      <c r="BW136" s="5" t="str">
        <f t="shared" ca="1" si="486"/>
        <v>VIGENTE</v>
      </c>
      <c r="BX136" s="3"/>
      <c r="BY136" s="4">
        <v>45944</v>
      </c>
      <c r="BZ136" s="4">
        <f t="shared" si="460"/>
        <v>46674</v>
      </c>
      <c r="CA136" s="8">
        <f t="shared" ca="1" si="487"/>
        <v>540</v>
      </c>
      <c r="CB136" s="5" t="str">
        <f t="shared" ca="1" si="488"/>
        <v>VIGENTE</v>
      </c>
      <c r="CC136" s="6" t="s">
        <v>73</v>
      </c>
      <c r="CD136" s="4">
        <v>45529</v>
      </c>
      <c r="CE136" s="4">
        <f t="shared" si="428"/>
        <v>46990</v>
      </c>
      <c r="CF136" s="8">
        <f t="shared" ca="1" si="429"/>
        <v>856</v>
      </c>
      <c r="CG136" s="5" t="str">
        <f t="shared" ca="1" si="430"/>
        <v>VIGENTE</v>
      </c>
      <c r="CH136" s="4"/>
      <c r="CI136" s="4">
        <v>45777</v>
      </c>
      <c r="CJ136" s="4">
        <f>DATE(YEAR(CI136)+2,MONTH(CI136),DAY(CI136))</f>
        <v>46507</v>
      </c>
      <c r="CK136" s="8">
        <f t="shared" ca="1" si="489"/>
        <v>373</v>
      </c>
      <c r="CL136" s="5" t="str">
        <f t="shared" ca="1" si="490"/>
        <v>VIGENTE</v>
      </c>
      <c r="CM136" s="3"/>
      <c r="CN136" s="4">
        <v>45769</v>
      </c>
      <c r="CO136" s="4">
        <f>DATE(YEAR(CN136)+2,MONTH(CN136),DAY(CN136))</f>
        <v>46499</v>
      </c>
      <c r="CP136" s="8">
        <f t="shared" ca="1" si="491"/>
        <v>365</v>
      </c>
      <c r="CQ136" s="5" t="str">
        <f t="shared" ca="1" si="492"/>
        <v>VIGENTE</v>
      </c>
      <c r="CR136" s="3"/>
      <c r="CS136" s="4">
        <v>45905</v>
      </c>
      <c r="CT136" s="4">
        <f>DATE(YEAR(CS136)+2,MONTH(CS136),DAY(CS136))</f>
        <v>46635</v>
      </c>
      <c r="CU136" s="8">
        <f t="shared" ca="1" si="493"/>
        <v>501</v>
      </c>
      <c r="CV136" s="5" t="str">
        <f t="shared" ca="1" si="494"/>
        <v>VIGENTE</v>
      </c>
      <c r="CW136" s="3"/>
      <c r="CX136" s="4">
        <v>45835</v>
      </c>
      <c r="CY136" s="4">
        <f>DATE(YEAR(CX136)+2,MONTH(CX136),DAY(CX136))</f>
        <v>46565</v>
      </c>
      <c r="CZ136" s="8">
        <f t="shared" ca="1" si="495"/>
        <v>431</v>
      </c>
      <c r="DA136" s="5" t="str">
        <f t="shared" ca="1" si="496"/>
        <v>VIGENTE</v>
      </c>
      <c r="DB136" s="3"/>
      <c r="DC136" s="4">
        <v>45723</v>
      </c>
      <c r="DD136" s="4">
        <f>DATE(YEAR(DC136)+2,MONTH(DC136),DAY(DC136)-1)</f>
        <v>46452</v>
      </c>
      <c r="DE136" s="8">
        <f t="shared" ca="1" si="497"/>
        <v>318</v>
      </c>
      <c r="DF136" s="5" t="str">
        <f t="shared" ca="1" si="498"/>
        <v>VIGENTE</v>
      </c>
      <c r="DG136" s="3"/>
      <c r="DH136" s="4">
        <v>45899</v>
      </c>
      <c r="DI136" s="4">
        <f>DATE(YEAR(DH136)+2,MONTH(DH136),DAY(DH136))</f>
        <v>46629</v>
      </c>
      <c r="DJ136" s="8">
        <f t="shared" ca="1" si="499"/>
        <v>495</v>
      </c>
      <c r="DK136" s="5" t="str">
        <f t="shared" ca="1" si="500"/>
        <v>VIGENTE</v>
      </c>
      <c r="DL136" s="3"/>
      <c r="DM136" s="4">
        <v>46007</v>
      </c>
      <c r="DN136" s="4">
        <f>DATE(YEAR(DM136)+2,MONTH(DM136),DAY(DM136))</f>
        <v>46737</v>
      </c>
      <c r="DO136" s="8">
        <f t="shared" ca="1" si="501"/>
        <v>603</v>
      </c>
      <c r="DP136" s="5" t="str">
        <f t="shared" ca="1" si="502"/>
        <v>VIGENTE</v>
      </c>
      <c r="DQ136" s="2"/>
      <c r="DR136" s="4">
        <v>45743</v>
      </c>
      <c r="DS136" s="4">
        <f>DATE(YEAR(DR136)+2,MONTH(DR136),DAY(DR136)-1)</f>
        <v>46472</v>
      </c>
      <c r="DT136" s="8">
        <f t="shared" ca="1" si="503"/>
        <v>338</v>
      </c>
      <c r="DU136" s="5" t="str">
        <f t="shared" ca="1" si="504"/>
        <v>VIGENTE</v>
      </c>
      <c r="DV136" s="3"/>
      <c r="DW136" s="4">
        <v>45751</v>
      </c>
      <c r="DX136" s="4">
        <f>DATE(YEAR(DW136)+2,MONTH(DW136),DAY(DW136)-1)</f>
        <v>46480</v>
      </c>
      <c r="DY136" s="8">
        <f t="shared" ca="1" si="505"/>
        <v>346</v>
      </c>
      <c r="DZ136" s="5" t="str">
        <f t="shared" ca="1" si="506"/>
        <v>VIGENTE</v>
      </c>
      <c r="EA136" s="3"/>
      <c r="EB136" s="4">
        <v>45730</v>
      </c>
      <c r="EC136" s="4">
        <f>DATE(YEAR(EB136)+2,MONTH(EB136),DAY(EB136)-1)</f>
        <v>46459</v>
      </c>
      <c r="ED136" s="8">
        <f t="shared" ca="1" si="507"/>
        <v>325</v>
      </c>
      <c r="EE136" s="5" t="str">
        <f t="shared" ca="1" si="508"/>
        <v>VIGENTE</v>
      </c>
      <c r="EF136" s="3"/>
      <c r="EG136" s="3">
        <v>46060</v>
      </c>
      <c r="EH136" s="4">
        <f t="shared" si="575"/>
        <v>46425</v>
      </c>
      <c r="EI136" s="8">
        <f t="shared" ca="1" si="509"/>
        <v>291</v>
      </c>
      <c r="EJ136" s="5" t="str">
        <f t="shared" ca="1" si="510"/>
        <v>VIGENTE</v>
      </c>
      <c r="EK136" s="3"/>
      <c r="EL136" s="4">
        <v>45705</v>
      </c>
      <c r="EM136" s="4">
        <f>DATE(YEAR(EL136)+2,MONTH(EL136),DAY(EL136)-1)</f>
        <v>46434</v>
      </c>
      <c r="EN136" s="8">
        <f t="shared" ca="1" si="511"/>
        <v>300</v>
      </c>
      <c r="EO136" s="5" t="str">
        <f t="shared" ca="1" si="512"/>
        <v>VIGENTE</v>
      </c>
      <c r="EP136" s="3"/>
      <c r="EQ136" s="4">
        <v>45677</v>
      </c>
      <c r="ER136" s="4">
        <f>DATE(YEAR(EQ136)+2,MONTH(EQ136),DAY(EQ136)-1)</f>
        <v>46406</v>
      </c>
      <c r="ES136" s="8">
        <f t="shared" ca="1" si="513"/>
        <v>272</v>
      </c>
      <c r="ET136" s="5" t="str">
        <f t="shared" ca="1" si="514"/>
        <v>VIGENTE</v>
      </c>
      <c r="EU136" s="3"/>
      <c r="EV136" s="4">
        <v>45917</v>
      </c>
      <c r="EW136" s="4">
        <f t="shared" si="464"/>
        <v>46647</v>
      </c>
      <c r="EX136" s="8">
        <f t="shared" ca="1" si="515"/>
        <v>513</v>
      </c>
      <c r="EY136" s="5" t="str">
        <f t="shared" ca="1" si="516"/>
        <v>VIGENTE</v>
      </c>
      <c r="EZ136" s="3"/>
      <c r="FA136" s="4">
        <v>45988</v>
      </c>
      <c r="FB136" s="4">
        <f t="shared" si="465"/>
        <v>46718</v>
      </c>
      <c r="FC136" s="8">
        <f t="shared" ca="1" si="517"/>
        <v>584</v>
      </c>
      <c r="FD136" s="5" t="str">
        <f t="shared" ca="1" si="518"/>
        <v>VIGENTE</v>
      </c>
      <c r="FE136" s="3"/>
      <c r="FF136" s="4">
        <v>45832</v>
      </c>
      <c r="FG136" s="4">
        <f t="shared" si="466"/>
        <v>46562</v>
      </c>
      <c r="FH136" s="8">
        <f t="shared" ca="1" si="519"/>
        <v>428</v>
      </c>
      <c r="FI136" s="5" t="str">
        <f t="shared" ca="1" si="520"/>
        <v>VIGENTE</v>
      </c>
      <c r="FJ136" s="3"/>
      <c r="FK136" s="4">
        <v>45670</v>
      </c>
      <c r="FL136" s="4">
        <f>DATE(YEAR(FK136)+2,MONTH(FK136),DAY(FK136)-1)</f>
        <v>46399</v>
      </c>
      <c r="FM136" s="8">
        <f t="shared" ca="1" si="521"/>
        <v>265</v>
      </c>
      <c r="FN136" s="5" t="str">
        <f t="shared" ca="1" si="522"/>
        <v>VIGENTE</v>
      </c>
      <c r="FO136" s="3"/>
      <c r="FP136" s="4">
        <v>45605</v>
      </c>
      <c r="FQ136" s="4">
        <f>DATE(YEAR(FP136)+2,MONTH(FP136),DAY(FP136)-1)</f>
        <v>46334</v>
      </c>
      <c r="FR136" s="8">
        <f t="shared" ca="1" si="523"/>
        <v>200</v>
      </c>
      <c r="FS136" s="5" t="str">
        <f t="shared" ca="1" si="524"/>
        <v>VIGENTE</v>
      </c>
      <c r="FT136" s="3"/>
      <c r="FU136" s="4">
        <v>45993</v>
      </c>
      <c r="FV136" s="4">
        <f t="shared" si="467"/>
        <v>46723</v>
      </c>
      <c r="FW136" s="8">
        <f t="shared" ca="1" si="525"/>
        <v>589</v>
      </c>
      <c r="FX136" s="5" t="str">
        <f t="shared" ca="1" si="526"/>
        <v>VIGENTE</v>
      </c>
      <c r="FY136" s="3"/>
      <c r="FZ136" s="4">
        <v>45757</v>
      </c>
      <c r="GA136" s="4">
        <f>DATE(YEAR(FZ136)+2,MONTH(FZ136),DAY(FZ136)-1)</f>
        <v>46486</v>
      </c>
      <c r="GB136" s="8">
        <f t="shared" ca="1" si="527"/>
        <v>352</v>
      </c>
      <c r="GC136" s="5" t="str">
        <f t="shared" ca="1" si="528"/>
        <v>VIGENTE</v>
      </c>
      <c r="GD136" s="3"/>
      <c r="GE136" s="4">
        <v>45731</v>
      </c>
      <c r="GF136" s="4">
        <f>DATE(YEAR(GE136)+2,MONTH(GE136),DAY(GE136)-1)</f>
        <v>46460</v>
      </c>
      <c r="GG136" s="8">
        <f t="shared" ca="1" si="529"/>
        <v>326</v>
      </c>
      <c r="GH136" s="5" t="str">
        <f t="shared" ca="1" si="530"/>
        <v>VIGENTE</v>
      </c>
      <c r="GI136" s="3"/>
      <c r="GJ136" s="4">
        <v>45687</v>
      </c>
      <c r="GK136" s="4">
        <f>DATE(YEAR(GJ136)+2,MONTH(GJ136),DAY(GJ136)-1)</f>
        <v>46416</v>
      </c>
      <c r="GL136" s="8">
        <f t="shared" ca="1" si="531"/>
        <v>282</v>
      </c>
      <c r="GM136" s="5" t="str">
        <f t="shared" ca="1" si="532"/>
        <v>VIGENTE</v>
      </c>
      <c r="GN136" s="4"/>
      <c r="GO136" s="4">
        <v>45072</v>
      </c>
      <c r="GP136" s="4">
        <f t="shared" si="533"/>
        <v>46899</v>
      </c>
      <c r="GQ136" s="8">
        <f t="shared" ca="1" si="418"/>
        <v>765</v>
      </c>
      <c r="GR136" s="5" t="str">
        <f t="shared" ca="1" si="431"/>
        <v>VIGENTE</v>
      </c>
      <c r="GS136" s="3"/>
      <c r="GT136" s="4">
        <v>44952</v>
      </c>
      <c r="GU136" s="4">
        <f t="shared" si="534"/>
        <v>46778</v>
      </c>
      <c r="GV136" s="8">
        <f t="shared" ca="1" si="535"/>
        <v>644</v>
      </c>
      <c r="GW136" s="5" t="str">
        <f t="shared" ca="1" si="438"/>
        <v>VIGENTE</v>
      </c>
      <c r="GX136" s="2"/>
      <c r="GY136" s="4">
        <v>45016</v>
      </c>
      <c r="GZ136" s="4">
        <f t="shared" si="536"/>
        <v>46843</v>
      </c>
      <c r="HA136" s="8">
        <f t="shared" ca="1" si="537"/>
        <v>709</v>
      </c>
      <c r="HB136" s="5" t="str">
        <f t="shared" ca="1" si="433"/>
        <v>VIGENTE</v>
      </c>
      <c r="HC136" s="6"/>
      <c r="HD136" s="6"/>
      <c r="HE136" s="4"/>
      <c r="HF136" s="8"/>
      <c r="HG136" s="5" t="str">
        <f t="shared" si="439"/>
        <v>NO APLICA</v>
      </c>
      <c r="HH136" s="2"/>
      <c r="HI136" s="6"/>
      <c r="HJ136" s="4"/>
      <c r="HK136" s="8"/>
      <c r="HL136" s="5" t="str">
        <f t="shared" si="457"/>
        <v>NO APLICA</v>
      </c>
      <c r="HM136" s="2"/>
      <c r="HN136" s="2"/>
      <c r="HO136" s="4"/>
      <c r="HP136" s="2"/>
      <c r="HQ136" s="5" t="str">
        <f t="shared" si="538"/>
        <v>NO APLICA</v>
      </c>
      <c r="HR136" s="2"/>
      <c r="HS136" s="6"/>
      <c r="HT136" s="4"/>
      <c r="HU136" s="8"/>
      <c r="HV136" s="5" t="str">
        <f t="shared" si="539"/>
        <v>NO APLICA</v>
      </c>
      <c r="HW136" s="2"/>
      <c r="HX136" s="6"/>
      <c r="HY136" s="4"/>
      <c r="HZ136" s="8"/>
      <c r="IA136" s="5" t="str">
        <f t="shared" si="540"/>
        <v>NO APLICA</v>
      </c>
      <c r="IB136" s="2"/>
      <c r="IC136" s="6"/>
      <c r="ID136" s="4"/>
      <c r="IE136" s="8"/>
      <c r="IF136" s="5" t="str">
        <f t="shared" si="541"/>
        <v>NO APLICA</v>
      </c>
      <c r="IG136" s="6"/>
      <c r="IH136" s="6"/>
      <c r="II136" s="4"/>
      <c r="IJ136" s="8"/>
      <c r="IK136" s="5" t="str">
        <f t="shared" si="542"/>
        <v>NO APLICA</v>
      </c>
      <c r="IL136" s="2"/>
      <c r="IM136" s="6"/>
      <c r="IN136" s="4"/>
      <c r="IO136" s="8"/>
      <c r="IP136" s="5" t="str">
        <f t="shared" si="543"/>
        <v>NO APLICA</v>
      </c>
      <c r="IQ136" s="2"/>
      <c r="IR136" s="6"/>
      <c r="IS136" s="4"/>
      <c r="IT136" s="8"/>
      <c r="IU136" s="5" t="str">
        <f t="shared" si="544"/>
        <v>NO APLICA</v>
      </c>
      <c r="IV136" s="2"/>
      <c r="IW136" s="6"/>
      <c r="IX136" s="4"/>
      <c r="IY136" s="8"/>
      <c r="IZ136" s="5" t="str">
        <f t="shared" si="545"/>
        <v>NO APLICA</v>
      </c>
      <c r="JA136" s="3"/>
      <c r="JB136" s="3"/>
      <c r="JC136" s="4"/>
      <c r="JD136" s="8"/>
      <c r="JE136" s="5" t="str">
        <f t="shared" si="546"/>
        <v>NO APLICA</v>
      </c>
      <c r="JF136" s="6"/>
      <c r="JG136" s="6"/>
      <c r="JH136" s="6"/>
      <c r="JI136" s="6"/>
      <c r="JJ136" s="5" t="str">
        <f t="shared" si="547"/>
        <v>NO APLICA</v>
      </c>
      <c r="JK136" s="6"/>
      <c r="JL136" s="6"/>
      <c r="JM136" s="6"/>
      <c r="JN136" s="6"/>
      <c r="JO136" s="5" t="str">
        <f t="shared" si="548"/>
        <v>NO APLICA</v>
      </c>
      <c r="JP136" s="6"/>
      <c r="JQ136" s="6"/>
      <c r="JR136" s="6"/>
      <c r="JS136" s="6"/>
      <c r="JT136" s="5" t="str">
        <f t="shared" si="549"/>
        <v>NO APLICA</v>
      </c>
      <c r="JU136" s="5"/>
      <c r="JV136" s="5"/>
      <c r="JW136" s="5"/>
      <c r="JX136" s="5"/>
      <c r="JY136" s="5" t="str">
        <f t="shared" si="550"/>
        <v>NO APLICA</v>
      </c>
      <c r="JZ136" s="5"/>
      <c r="KA136" s="2"/>
      <c r="KB136" s="4"/>
      <c r="KC136" s="8"/>
      <c r="KD136" s="5" t="str">
        <f t="shared" si="551"/>
        <v>NO APLICA</v>
      </c>
      <c r="KE136" s="5"/>
      <c r="KF136" s="2"/>
      <c r="KG136" s="4"/>
      <c r="KH136" s="8"/>
      <c r="KI136" s="5" t="str">
        <f t="shared" si="576"/>
        <v>NO APLICA</v>
      </c>
      <c r="KJ136" s="5"/>
      <c r="KK136" s="2"/>
      <c r="KL136" s="4"/>
      <c r="KM136" s="8"/>
      <c r="KN136" s="5" t="str">
        <f t="shared" si="552"/>
        <v>NO APLICA</v>
      </c>
      <c r="KO136" s="5"/>
      <c r="KP136" s="2"/>
      <c r="KQ136" s="4"/>
      <c r="KR136" s="8"/>
      <c r="KS136" s="5" t="str">
        <f t="shared" si="577"/>
        <v>NO APLICA</v>
      </c>
      <c r="KT136" s="2"/>
      <c r="KU136" s="6"/>
      <c r="KV136" s="4"/>
      <c r="KW136" s="8"/>
      <c r="KX136" s="5" t="str">
        <f t="shared" si="583"/>
        <v>NO APLICA</v>
      </c>
      <c r="KY136" s="5"/>
      <c r="KZ136" s="6"/>
      <c r="LA136" s="4"/>
      <c r="LB136" s="8"/>
      <c r="LC136" s="5" t="str">
        <f t="shared" si="578"/>
        <v>NO APLICA</v>
      </c>
      <c r="LD136" s="6"/>
      <c r="LE136" s="6"/>
      <c r="LF136" s="4"/>
      <c r="LG136" s="8"/>
      <c r="LH136" s="5" t="str">
        <f t="shared" si="585"/>
        <v>NO APLICA</v>
      </c>
      <c r="LI136" s="5"/>
      <c r="LJ136" s="5"/>
      <c r="LK136" s="4"/>
      <c r="LL136" s="8"/>
      <c r="LM136" s="5" t="str">
        <f t="shared" si="584"/>
        <v>NO APLICA</v>
      </c>
      <c r="LN136" s="2"/>
      <c r="LO136" s="6"/>
      <c r="LP136" s="4"/>
      <c r="LQ136" s="8"/>
      <c r="LR136" s="5" t="str">
        <f t="shared" si="579"/>
        <v>NO APLICA</v>
      </c>
      <c r="LS136" s="6"/>
      <c r="LT136" s="6"/>
      <c r="LU136" s="4"/>
      <c r="LV136" s="8"/>
      <c r="LW136" s="5" t="str">
        <f t="shared" si="580"/>
        <v>NO APLICA</v>
      </c>
      <c r="LX136" s="6"/>
      <c r="LY136" s="6"/>
      <c r="LZ136" s="4"/>
      <c r="MA136" s="8"/>
      <c r="MB136" s="5" t="str">
        <f t="shared" si="581"/>
        <v>NO APLICA</v>
      </c>
      <c r="MC136" s="2"/>
      <c r="MD136" s="2"/>
      <c r="ME136" s="4"/>
      <c r="MF136" s="8"/>
      <c r="MG136" s="5" t="str">
        <f t="shared" si="554"/>
        <v>NO APLICA</v>
      </c>
      <c r="MH136" s="2"/>
      <c r="MI136" s="2"/>
      <c r="MJ136" s="4"/>
      <c r="MK136" s="8"/>
      <c r="ML136" s="5" t="str">
        <f t="shared" si="555"/>
        <v>NO APLICA</v>
      </c>
      <c r="MM136" s="5"/>
      <c r="MN136" s="2"/>
      <c r="MO136" s="4"/>
      <c r="MP136" s="8"/>
      <c r="MQ136" s="5" t="str">
        <f t="shared" si="556"/>
        <v>NO APLICA</v>
      </c>
      <c r="MR136" s="5"/>
      <c r="MS136" s="2"/>
      <c r="MT136" s="4"/>
      <c r="MU136" s="2"/>
      <c r="MV136" s="5" t="str">
        <f t="shared" si="557"/>
        <v>NO APLICA</v>
      </c>
      <c r="MW136" s="2"/>
      <c r="MX136" s="6"/>
      <c r="MY136" s="4"/>
      <c r="MZ136" s="8"/>
      <c r="NA136" s="5" t="str">
        <f t="shared" si="558"/>
        <v>NO APLICA</v>
      </c>
      <c r="NB136" s="2"/>
      <c r="NC136" s="6"/>
      <c r="ND136" s="4"/>
      <c r="NE136" s="8"/>
      <c r="NF136" s="5" t="str">
        <f t="shared" si="559"/>
        <v>NO APLICA</v>
      </c>
      <c r="NG136" s="2"/>
      <c r="NH136" s="6"/>
      <c r="NI136" s="4"/>
      <c r="NJ136" s="8"/>
      <c r="NK136" s="5" t="str">
        <f t="shared" si="560"/>
        <v>NO APLICA</v>
      </c>
      <c r="NL136" s="2"/>
      <c r="NM136" s="2"/>
      <c r="NN136" s="4"/>
      <c r="NO136" s="8"/>
      <c r="NP136" s="5" t="str">
        <f t="shared" si="561"/>
        <v>NO APLICA</v>
      </c>
      <c r="NQ136" s="2"/>
      <c r="NR136" s="2"/>
      <c r="NS136" s="4"/>
      <c r="NT136" s="2"/>
      <c r="NU136" s="5" t="str">
        <f t="shared" si="562"/>
        <v>NO APLICA</v>
      </c>
      <c r="NV136" s="6"/>
      <c r="NW136" s="6"/>
      <c r="NX136" s="4"/>
      <c r="NY136" s="8"/>
      <c r="NZ136" s="5" t="str">
        <f t="shared" si="563"/>
        <v>NO APLICA</v>
      </c>
      <c r="OA136" s="6"/>
      <c r="OB136" s="6"/>
      <c r="OC136" s="6"/>
      <c r="OD136" s="6"/>
      <c r="OE136" s="5" t="str">
        <f t="shared" si="564"/>
        <v>NO APLICA</v>
      </c>
      <c r="OF136" s="2"/>
      <c r="OG136" s="2"/>
      <c r="OH136" s="4"/>
      <c r="OI136" s="8"/>
      <c r="OJ136" s="5" t="str">
        <f t="shared" si="565"/>
        <v>NO APLICA</v>
      </c>
      <c r="OK136" s="6"/>
      <c r="OL136" s="6"/>
      <c r="OM136" s="6"/>
      <c r="ON136" s="6"/>
      <c r="OO136" s="5" t="str">
        <f t="shared" si="566"/>
        <v>NO APLICA</v>
      </c>
      <c r="OP136" s="6"/>
      <c r="OQ136" s="6"/>
      <c r="OR136" s="6"/>
      <c r="OS136" s="6"/>
      <c r="OT136" s="5" t="str">
        <f t="shared" si="567"/>
        <v>NO APLICA</v>
      </c>
      <c r="OU136" s="6"/>
      <c r="OV136" s="6"/>
      <c r="OW136" s="6"/>
      <c r="OX136" s="6"/>
      <c r="OY136" s="5" t="str">
        <f t="shared" si="568"/>
        <v>NO APLICA</v>
      </c>
      <c r="OZ136" s="6"/>
      <c r="PA136" s="6"/>
      <c r="PB136" s="6"/>
      <c r="PC136" s="6"/>
      <c r="PD136" s="5" t="str">
        <f t="shared" si="569"/>
        <v>NO APLICA</v>
      </c>
      <c r="PE136" s="6"/>
      <c r="PF136" s="6"/>
      <c r="PG136" s="6"/>
      <c r="PH136" s="6"/>
      <c r="PI136" s="5" t="str">
        <f t="shared" si="570"/>
        <v>NO APLICA</v>
      </c>
      <c r="PJ136" s="5"/>
      <c r="PK136" s="6"/>
      <c r="PL136" s="4"/>
      <c r="PM136" s="8"/>
      <c r="PN136" s="5" t="str">
        <f t="shared" si="571"/>
        <v>NO APLICA</v>
      </c>
      <c r="PO136" s="6"/>
      <c r="PP136" s="6"/>
      <c r="PQ136" s="6"/>
      <c r="PR136" s="6"/>
      <c r="PS136" s="5" t="str">
        <f t="shared" si="572"/>
        <v>NO APLICA</v>
      </c>
      <c r="PT136" s="5"/>
      <c r="PU136" s="6"/>
      <c r="PV136" s="6"/>
      <c r="PW136" s="6"/>
      <c r="PX136" s="5" t="str">
        <f t="shared" si="573"/>
        <v>NO APLICA</v>
      </c>
    </row>
    <row r="137" spans="1:440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453</v>
      </c>
      <c r="V137" s="4">
        <v>45156</v>
      </c>
      <c r="W137" s="4">
        <f t="shared" si="421"/>
        <v>46983</v>
      </c>
      <c r="X137" s="8">
        <f t="shared" ca="1" si="422"/>
        <v>849</v>
      </c>
      <c r="Y137" s="5" t="str">
        <f t="shared" ca="1" si="423"/>
        <v>VIGENTE</v>
      </c>
      <c r="Z137" s="2" t="s">
        <v>454</v>
      </c>
      <c r="AA137" s="4">
        <v>45162</v>
      </c>
      <c r="AB137" s="4">
        <f>DATE(YEAR(AA137)+5,MONTH(AA137),DAY(AA137))</f>
        <v>46989</v>
      </c>
      <c r="AC137" s="8">
        <f ca="1">AB137-TODAY()</f>
        <v>855</v>
      </c>
      <c r="AD137" s="5" t="str">
        <f t="shared" ca="1" si="582"/>
        <v>VIGENTE</v>
      </c>
      <c r="AE137" s="3"/>
      <c r="AF137" s="4">
        <v>45936</v>
      </c>
      <c r="AG137" s="4">
        <f t="shared" si="461"/>
        <v>46666</v>
      </c>
      <c r="AH137" s="8">
        <f t="shared" ca="1" si="470"/>
        <v>532</v>
      </c>
      <c r="AI137" s="5" t="str">
        <f t="shared" ca="1" si="419"/>
        <v>VIGENTE</v>
      </c>
      <c r="AJ137" s="3"/>
      <c r="AK137" s="4">
        <v>45959</v>
      </c>
      <c r="AL137" s="4">
        <f t="shared" si="462"/>
        <v>46689</v>
      </c>
      <c r="AM137" s="8">
        <f t="shared" ca="1" si="471"/>
        <v>555</v>
      </c>
      <c r="AN137" s="5" t="str">
        <f t="shared" ca="1" si="472"/>
        <v>VIGENTE</v>
      </c>
      <c r="AO137" s="3"/>
      <c r="AP137" s="4">
        <v>45967</v>
      </c>
      <c r="AQ137" s="4">
        <f t="shared" si="463"/>
        <v>46697</v>
      </c>
      <c r="AR137" s="8">
        <f t="shared" ca="1" si="473"/>
        <v>563</v>
      </c>
      <c r="AS137" s="5" t="str">
        <f t="shared" ca="1" si="474"/>
        <v>VIGENTE</v>
      </c>
      <c r="AT137" s="3"/>
      <c r="AU137" s="4">
        <v>45906</v>
      </c>
      <c r="AV137" s="4">
        <f t="shared" si="458"/>
        <v>46636</v>
      </c>
      <c r="AW137" s="8">
        <f t="shared" ca="1" si="475"/>
        <v>502</v>
      </c>
      <c r="AX137" s="5" t="str">
        <f t="shared" ca="1" si="476"/>
        <v>VIGENTE</v>
      </c>
      <c r="AY137" s="3"/>
      <c r="AZ137" s="4">
        <v>45930</v>
      </c>
      <c r="BA137" s="4">
        <f>DATE(YEAR(AZ137)+2,MONTH(AZ137),DAY(AZ137))</f>
        <v>46660</v>
      </c>
      <c r="BB137" s="8">
        <f t="shared" ca="1" si="477"/>
        <v>526</v>
      </c>
      <c r="BC137" s="5" t="str">
        <f t="shared" ca="1" si="478"/>
        <v>VIGENTE</v>
      </c>
      <c r="BD137" s="2"/>
      <c r="BE137" s="4">
        <v>45987</v>
      </c>
      <c r="BF137" s="4">
        <f>DATE(YEAR(BE137)+2,MONTH(BE137),DAY(BE137))</f>
        <v>46717</v>
      </c>
      <c r="BG137" s="8">
        <f t="shared" ca="1" si="479"/>
        <v>583</v>
      </c>
      <c r="BH137" s="5" t="str">
        <f t="shared" ca="1" si="480"/>
        <v>VIGENTE</v>
      </c>
      <c r="BI137" s="3"/>
      <c r="BJ137" s="4">
        <v>45976</v>
      </c>
      <c r="BK137" s="4">
        <f>DATE(YEAR(BJ137)+2,MONTH(BJ137),DAY(BJ137))</f>
        <v>46706</v>
      </c>
      <c r="BL137" s="8">
        <f t="shared" ca="1" si="481"/>
        <v>572</v>
      </c>
      <c r="BM137" s="5" t="str">
        <f t="shared" ca="1" si="482"/>
        <v>VIGENTE</v>
      </c>
      <c r="BN137" s="4"/>
      <c r="BO137" s="4">
        <v>45981</v>
      </c>
      <c r="BP137" s="4">
        <f>DATE(YEAR(BO137)+2,MONTH(BO137),DAY(BO137))</f>
        <v>46711</v>
      </c>
      <c r="BQ137" s="8">
        <f t="shared" ca="1" si="483"/>
        <v>577</v>
      </c>
      <c r="BR137" s="5" t="str">
        <f t="shared" ca="1" si="484"/>
        <v>VIGENTE</v>
      </c>
      <c r="BS137" s="3"/>
      <c r="BT137" s="4">
        <v>46031</v>
      </c>
      <c r="BU137" s="4">
        <f>DATE(YEAR(BT137)+2,MONTH(BT137),DAY(BT137))</f>
        <v>46761</v>
      </c>
      <c r="BV137" s="8">
        <f t="shared" ca="1" si="485"/>
        <v>627</v>
      </c>
      <c r="BW137" s="5" t="str">
        <f t="shared" ca="1" si="486"/>
        <v>VIGENTE</v>
      </c>
      <c r="BX137" s="3"/>
      <c r="BY137" s="4">
        <v>45954</v>
      </c>
      <c r="BZ137" s="4">
        <f t="shared" si="460"/>
        <v>46684</v>
      </c>
      <c r="CA137" s="8">
        <f t="shared" ca="1" si="487"/>
        <v>550</v>
      </c>
      <c r="CB137" s="5" t="str">
        <f t="shared" ca="1" si="488"/>
        <v>VIGENTE</v>
      </c>
      <c r="CC137" s="6" t="s">
        <v>73</v>
      </c>
      <c r="CD137" s="4">
        <v>45164</v>
      </c>
      <c r="CE137" s="4">
        <f t="shared" si="428"/>
        <v>46625</v>
      </c>
      <c r="CF137" s="8">
        <f t="shared" ca="1" si="429"/>
        <v>491</v>
      </c>
      <c r="CG137" s="5" t="str">
        <f t="shared" ca="1" si="430"/>
        <v>VIGENTE</v>
      </c>
      <c r="CH137" s="4"/>
      <c r="CI137" s="4">
        <v>45929</v>
      </c>
      <c r="CJ137" s="4">
        <f>DATE(YEAR(CI137)+2,MONTH(CI137),DAY(CI137))</f>
        <v>46659</v>
      </c>
      <c r="CK137" s="8">
        <f t="shared" ca="1" si="489"/>
        <v>525</v>
      </c>
      <c r="CL137" s="5" t="str">
        <f t="shared" ca="1" si="490"/>
        <v>VIGENTE</v>
      </c>
      <c r="CM137" s="4"/>
      <c r="CN137" s="4">
        <v>45979</v>
      </c>
      <c r="CO137" s="4">
        <f>DATE(YEAR(CN137)+2,MONTH(CN137),DAY(CN137))</f>
        <v>46709</v>
      </c>
      <c r="CP137" s="8">
        <f t="shared" ca="1" si="491"/>
        <v>575</v>
      </c>
      <c r="CQ137" s="5" t="str">
        <f t="shared" ca="1" si="492"/>
        <v>VIGENTE</v>
      </c>
      <c r="CR137" s="2"/>
      <c r="CS137" s="4">
        <v>45939</v>
      </c>
      <c r="CT137" s="4">
        <f>DATE(YEAR(CS137)+2,MONTH(CS137),DAY(CS137))</f>
        <v>46669</v>
      </c>
      <c r="CU137" s="8">
        <f t="shared" ca="1" si="493"/>
        <v>535</v>
      </c>
      <c r="CV137" s="5" t="str">
        <f t="shared" ca="1" si="494"/>
        <v>VIGENTE</v>
      </c>
      <c r="CW137" s="3"/>
      <c r="CX137" s="4">
        <v>45843</v>
      </c>
      <c r="CY137" s="4">
        <f>DATE(YEAR(CX137)+2,MONTH(CX137),DAY(CX137))</f>
        <v>46573</v>
      </c>
      <c r="CZ137" s="8">
        <f t="shared" ca="1" si="495"/>
        <v>439</v>
      </c>
      <c r="DA137" s="5" t="str">
        <f t="shared" ca="1" si="496"/>
        <v>VIGENTE</v>
      </c>
      <c r="DB137" s="4"/>
      <c r="DC137" s="4">
        <v>46045</v>
      </c>
      <c r="DD137" s="4">
        <f>DATE(YEAR(DC137)+2,MONTH(DC137),DAY(DC137))</f>
        <v>46775</v>
      </c>
      <c r="DE137" s="8">
        <f t="shared" ca="1" si="497"/>
        <v>641</v>
      </c>
      <c r="DF137" s="5" t="str">
        <f t="shared" ca="1" si="498"/>
        <v>VIGENTE</v>
      </c>
      <c r="DG137" s="3"/>
      <c r="DH137" s="4">
        <v>45779</v>
      </c>
      <c r="DI137" s="4">
        <f>DATE(YEAR(DH137)+2,MONTH(DH137),DAY(DH137))</f>
        <v>46509</v>
      </c>
      <c r="DJ137" s="8">
        <f t="shared" ca="1" si="499"/>
        <v>375</v>
      </c>
      <c r="DK137" s="5" t="str">
        <f t="shared" ca="1" si="500"/>
        <v>VIGENTE</v>
      </c>
      <c r="DL137" s="3"/>
      <c r="DM137" s="4">
        <v>46088</v>
      </c>
      <c r="DN137" s="4">
        <f>DATE(YEAR(DM137)+2,MONTH(DM137),DAY(DM137))</f>
        <v>46819</v>
      </c>
      <c r="DO137" s="8">
        <f t="shared" ca="1" si="501"/>
        <v>685</v>
      </c>
      <c r="DP137" s="5" t="str">
        <f t="shared" ca="1" si="502"/>
        <v>VIGENTE</v>
      </c>
      <c r="DQ137" s="3"/>
      <c r="DR137" s="4">
        <v>45918</v>
      </c>
      <c r="DS137" s="4">
        <f>DATE(YEAR(DR137)+2,MONTH(DR137),DAY(DR137))</f>
        <v>46648</v>
      </c>
      <c r="DT137" s="8">
        <f t="shared" ca="1" si="503"/>
        <v>514</v>
      </c>
      <c r="DU137" s="5" t="str">
        <f t="shared" ca="1" si="504"/>
        <v>VIGENTE</v>
      </c>
      <c r="DV137" s="3"/>
      <c r="DW137" s="4">
        <v>45915</v>
      </c>
      <c r="DX137" s="4">
        <f>DATE(YEAR(DW137)+2,MONTH(DW137),DAY(DW137))</f>
        <v>46645</v>
      </c>
      <c r="DY137" s="8">
        <f t="shared" ca="1" si="505"/>
        <v>511</v>
      </c>
      <c r="DZ137" s="5" t="str">
        <f t="shared" ca="1" si="506"/>
        <v>VIGENTE</v>
      </c>
      <c r="EA137" s="4"/>
      <c r="EB137" s="4">
        <v>45994</v>
      </c>
      <c r="EC137" s="4">
        <f>DATE(YEAR(EB137)+2,MONTH(EB137),DAY(EB137))</f>
        <v>46724</v>
      </c>
      <c r="ED137" s="8">
        <f t="shared" ca="1" si="507"/>
        <v>590</v>
      </c>
      <c r="EE137" s="5" t="str">
        <f t="shared" ca="1" si="508"/>
        <v>VIGENTE</v>
      </c>
      <c r="EF137" s="3"/>
      <c r="EG137" s="3">
        <v>46085</v>
      </c>
      <c r="EH137" s="4">
        <f t="shared" si="575"/>
        <v>46450</v>
      </c>
      <c r="EI137" s="8">
        <f t="shared" ca="1" si="509"/>
        <v>316</v>
      </c>
      <c r="EJ137" s="5" t="str">
        <f t="shared" ca="1" si="510"/>
        <v>VIGENTE</v>
      </c>
      <c r="EK137" s="3"/>
      <c r="EL137" s="4">
        <v>45995</v>
      </c>
      <c r="EM137" s="4">
        <f>DATE(YEAR(EL137)+2,MONTH(EL137),DAY(EL137))</f>
        <v>46725</v>
      </c>
      <c r="EN137" s="8">
        <f t="shared" ca="1" si="511"/>
        <v>591</v>
      </c>
      <c r="EO137" s="5" t="str">
        <f t="shared" ca="1" si="512"/>
        <v>VIGENTE</v>
      </c>
      <c r="EP137" s="3"/>
      <c r="EQ137" s="4">
        <v>45796</v>
      </c>
      <c r="ER137" s="4">
        <f>DATE(YEAR(EQ137)+2,MONTH(EQ137),DAY(EQ137))</f>
        <v>46526</v>
      </c>
      <c r="ES137" s="8">
        <f t="shared" ca="1" si="513"/>
        <v>392</v>
      </c>
      <c r="ET137" s="5" t="str">
        <f t="shared" ca="1" si="514"/>
        <v>VIGENTE</v>
      </c>
      <c r="EU137" s="2"/>
      <c r="EV137" s="4">
        <v>45953</v>
      </c>
      <c r="EW137" s="4">
        <f t="shared" si="464"/>
        <v>46683</v>
      </c>
      <c r="EX137" s="8">
        <f t="shared" ca="1" si="515"/>
        <v>549</v>
      </c>
      <c r="EY137" s="5" t="str">
        <f t="shared" ca="1" si="516"/>
        <v>VIGENTE</v>
      </c>
      <c r="EZ137" s="2"/>
      <c r="FA137" s="4">
        <v>45988</v>
      </c>
      <c r="FB137" s="4">
        <f t="shared" si="465"/>
        <v>46718</v>
      </c>
      <c r="FC137" s="8">
        <f t="shared" ca="1" si="517"/>
        <v>584</v>
      </c>
      <c r="FD137" s="5" t="str">
        <f t="shared" ca="1" si="518"/>
        <v>VIGENTE</v>
      </c>
      <c r="FE137" s="4"/>
      <c r="FF137" s="4">
        <v>45962</v>
      </c>
      <c r="FG137" s="4">
        <f t="shared" si="466"/>
        <v>46692</v>
      </c>
      <c r="FH137" s="8">
        <f t="shared" ca="1" si="519"/>
        <v>558</v>
      </c>
      <c r="FI137" s="5" t="str">
        <f t="shared" ca="1" si="520"/>
        <v>VIGENTE</v>
      </c>
      <c r="FJ137" s="4"/>
      <c r="FK137" s="4">
        <v>46039</v>
      </c>
      <c r="FL137" s="4">
        <f>DATE(YEAR(FK137)+2,MONTH(FK137),DAY(FK137))</f>
        <v>46769</v>
      </c>
      <c r="FM137" s="8">
        <f t="shared" ca="1" si="521"/>
        <v>635</v>
      </c>
      <c r="FN137" s="5" t="str">
        <f t="shared" ca="1" si="522"/>
        <v>VIGENTE</v>
      </c>
      <c r="FO137" s="3"/>
      <c r="FP137" s="4">
        <v>45957</v>
      </c>
      <c r="FQ137" s="4">
        <f>DATE(YEAR(FP137)+2,MONTH(FP137),DAY(FP137))</f>
        <v>46687</v>
      </c>
      <c r="FR137" s="8">
        <f t="shared" ca="1" si="523"/>
        <v>553</v>
      </c>
      <c r="FS137" s="5" t="str">
        <f t="shared" ca="1" si="524"/>
        <v>VIGENTE</v>
      </c>
      <c r="FT137" s="3"/>
      <c r="FU137" s="4">
        <v>45908</v>
      </c>
      <c r="FV137" s="4">
        <f t="shared" si="467"/>
        <v>46638</v>
      </c>
      <c r="FW137" s="8">
        <f t="shared" ca="1" si="525"/>
        <v>504</v>
      </c>
      <c r="FX137" s="5" t="str">
        <f t="shared" ca="1" si="526"/>
        <v>VIGENTE</v>
      </c>
      <c r="FY137" s="3"/>
      <c r="FZ137" s="4">
        <v>45925</v>
      </c>
      <c r="GA137" s="4">
        <f>DATE(YEAR(FZ137)+2,MONTH(FZ137),DAY(FZ137))</f>
        <v>46655</v>
      </c>
      <c r="GB137" s="8">
        <f t="shared" ca="1" si="527"/>
        <v>521</v>
      </c>
      <c r="GC137" s="5" t="str">
        <f t="shared" ca="1" si="528"/>
        <v>VIGENTE</v>
      </c>
      <c r="GD137" s="3"/>
      <c r="GE137" s="4">
        <v>46079</v>
      </c>
      <c r="GF137" s="4">
        <f>DATE(YEAR(GE137)+2,MONTH(GE137),DAY(GE137))</f>
        <v>46809</v>
      </c>
      <c r="GG137" s="8">
        <f t="shared" ca="1" si="529"/>
        <v>675</v>
      </c>
      <c r="GH137" s="5" t="str">
        <f t="shared" ca="1" si="530"/>
        <v>VIGENTE</v>
      </c>
      <c r="GI137" s="3"/>
      <c r="GJ137" s="4">
        <v>45945</v>
      </c>
      <c r="GK137" s="4">
        <f>DATE(YEAR(GJ137)+2,MONTH(GJ137),DAY(GJ137))</f>
        <v>46675</v>
      </c>
      <c r="GL137" s="8">
        <f t="shared" ca="1" si="531"/>
        <v>541</v>
      </c>
      <c r="GM137" s="5" t="str">
        <f t="shared" ca="1" si="532"/>
        <v>VIGENTE</v>
      </c>
      <c r="GN137" s="4"/>
      <c r="GO137" s="4">
        <v>45224</v>
      </c>
      <c r="GP137" s="4">
        <f t="shared" si="533"/>
        <v>47051</v>
      </c>
      <c r="GQ137" s="8">
        <f t="shared" ca="1" si="418"/>
        <v>917</v>
      </c>
      <c r="GR137" s="5" t="str">
        <f t="shared" ca="1" si="431"/>
        <v>VIGENTE</v>
      </c>
      <c r="GS137" s="3"/>
      <c r="GT137" s="4">
        <v>45389</v>
      </c>
      <c r="GU137" s="4">
        <f t="shared" si="534"/>
        <v>47215</v>
      </c>
      <c r="GV137" s="8">
        <f t="shared" ca="1" si="535"/>
        <v>1081</v>
      </c>
      <c r="GW137" s="5" t="str">
        <f t="shared" ca="1" si="438"/>
        <v>VIGENTE</v>
      </c>
      <c r="GX137" s="2"/>
      <c r="GY137" s="4">
        <v>45258</v>
      </c>
      <c r="GZ137" s="4">
        <f t="shared" si="536"/>
        <v>47085</v>
      </c>
      <c r="HA137" s="8">
        <f t="shared" ca="1" si="537"/>
        <v>951</v>
      </c>
      <c r="HB137" s="5" t="str">
        <f t="shared" ca="1" si="433"/>
        <v>VIGENTE</v>
      </c>
      <c r="HC137" s="6"/>
      <c r="HD137" s="4">
        <v>45227</v>
      </c>
      <c r="HE137" s="4">
        <f>DATE(YEAR(HD137)+5,MONTH(HD137),DAY(HD137))</f>
        <v>47054</v>
      </c>
      <c r="HF137" s="8">
        <f ca="1">HE137-TODAY()</f>
        <v>920</v>
      </c>
      <c r="HG137" s="5" t="str">
        <f t="shared" ca="1" si="439"/>
        <v>VIGENTE</v>
      </c>
      <c r="HH137" s="2"/>
      <c r="HI137" s="6"/>
      <c r="HJ137" s="4"/>
      <c r="HK137" s="8"/>
      <c r="HL137" s="5" t="str">
        <f t="shared" si="457"/>
        <v>NO APLICA</v>
      </c>
      <c r="HM137" s="2"/>
      <c r="HN137" s="2"/>
      <c r="HO137" s="4"/>
      <c r="HP137" s="2"/>
      <c r="HQ137" s="5" t="str">
        <f t="shared" si="538"/>
        <v>NO APLICA</v>
      </c>
      <c r="HR137" s="2"/>
      <c r="HS137" s="6"/>
      <c r="HT137" s="4"/>
      <c r="HU137" s="8"/>
      <c r="HV137" s="5" t="str">
        <f t="shared" si="539"/>
        <v>NO APLICA</v>
      </c>
      <c r="HW137" s="2"/>
      <c r="HX137" s="6"/>
      <c r="HY137" s="4"/>
      <c r="HZ137" s="8"/>
      <c r="IA137" s="5" t="str">
        <f t="shared" si="540"/>
        <v>NO APLICA</v>
      </c>
      <c r="IB137" s="2"/>
      <c r="IC137" s="4">
        <v>45355</v>
      </c>
      <c r="ID137" s="4">
        <f>DATE(YEAR(IC137)+5,MONTH(IC137),DAY(IC137))</f>
        <v>47181</v>
      </c>
      <c r="IE137" s="8">
        <f ca="1">ID137-TODAY()</f>
        <v>1047</v>
      </c>
      <c r="IF137" s="5" t="str">
        <f t="shared" ca="1" si="541"/>
        <v>VIGENTE</v>
      </c>
      <c r="IG137" s="6"/>
      <c r="IH137" s="6"/>
      <c r="II137" s="4"/>
      <c r="IJ137" s="8"/>
      <c r="IK137" s="5" t="str">
        <f t="shared" si="542"/>
        <v>NO APLICA</v>
      </c>
      <c r="IL137" s="2"/>
      <c r="IM137" s="4"/>
      <c r="IN137" s="4"/>
      <c r="IO137" s="8"/>
      <c r="IP137" s="5" t="str">
        <f t="shared" si="543"/>
        <v>NO APLICA</v>
      </c>
      <c r="IQ137" s="2"/>
      <c r="IR137" s="4">
        <v>45350</v>
      </c>
      <c r="IS137" s="4">
        <f>DATE(YEAR(IR137)+5,MONTH(IR137),DAY(IR137))</f>
        <v>47177</v>
      </c>
      <c r="IT137" s="8">
        <f ca="1">IS137-TODAY()</f>
        <v>1043</v>
      </c>
      <c r="IU137" s="5" t="str">
        <f t="shared" ca="1" si="544"/>
        <v>VIGENTE</v>
      </c>
      <c r="IV137" s="2"/>
      <c r="IW137" s="4">
        <v>45339</v>
      </c>
      <c r="IX137" s="4">
        <f>DATE(YEAR(IW137)+5,MONTH(IW137),DAY(IW137))</f>
        <v>47166</v>
      </c>
      <c r="IY137" s="8">
        <f ca="1">IX137-TODAY()</f>
        <v>1032</v>
      </c>
      <c r="IZ137" s="5" t="str">
        <f t="shared" ca="1" si="545"/>
        <v>VIGENTE</v>
      </c>
      <c r="JA137" s="3"/>
      <c r="JB137" s="3"/>
      <c r="JC137" s="4"/>
      <c r="JD137" s="8"/>
      <c r="JE137" s="5" t="str">
        <f t="shared" si="546"/>
        <v>NO APLICA</v>
      </c>
      <c r="JF137" s="6"/>
      <c r="JG137" s="6"/>
      <c r="JH137" s="6"/>
      <c r="JI137" s="6"/>
      <c r="JJ137" s="5" t="str">
        <f t="shared" si="547"/>
        <v>NO APLICA</v>
      </c>
      <c r="JK137" s="6"/>
      <c r="JL137" s="6"/>
      <c r="JM137" s="6"/>
      <c r="JN137" s="6"/>
      <c r="JO137" s="5" t="str">
        <f t="shared" si="548"/>
        <v>NO APLICA</v>
      </c>
      <c r="JP137" s="6"/>
      <c r="JQ137" s="6"/>
      <c r="JR137" s="6"/>
      <c r="JS137" s="6"/>
      <c r="JT137" s="5" t="str">
        <f t="shared" si="549"/>
        <v>NO APLICA</v>
      </c>
      <c r="JU137" s="5"/>
      <c r="JV137" s="5"/>
      <c r="JW137" s="5"/>
      <c r="JX137" s="5"/>
      <c r="JY137" s="5" t="str">
        <f t="shared" si="550"/>
        <v>NO APLICA</v>
      </c>
      <c r="JZ137" s="5"/>
      <c r="KA137" s="2"/>
      <c r="KB137" s="4"/>
      <c r="KC137" s="8"/>
      <c r="KD137" s="5" t="str">
        <f t="shared" si="551"/>
        <v>NO APLICA</v>
      </c>
      <c r="KE137" s="5"/>
      <c r="KF137" s="2"/>
      <c r="KG137" s="4"/>
      <c r="KH137" s="8"/>
      <c r="KI137" s="5" t="str">
        <f t="shared" si="576"/>
        <v>NO APLICA</v>
      </c>
      <c r="KJ137" s="5"/>
      <c r="KK137" s="2"/>
      <c r="KL137" s="4"/>
      <c r="KM137" s="8"/>
      <c r="KN137" s="5" t="str">
        <f t="shared" si="552"/>
        <v>NO APLICA</v>
      </c>
      <c r="KO137" s="5"/>
      <c r="KP137" s="2"/>
      <c r="KQ137" s="4"/>
      <c r="KR137" s="8"/>
      <c r="KS137" s="5" t="str">
        <f t="shared" si="577"/>
        <v>NO APLICA</v>
      </c>
      <c r="KT137" s="2"/>
      <c r="KU137" s="6"/>
      <c r="KV137" s="4"/>
      <c r="KW137" s="8"/>
      <c r="KX137" s="5" t="str">
        <f t="shared" si="583"/>
        <v>NO APLICA</v>
      </c>
      <c r="KY137" s="5"/>
      <c r="KZ137" s="6"/>
      <c r="LA137" s="4"/>
      <c r="LB137" s="8"/>
      <c r="LC137" s="5" t="str">
        <f t="shared" si="578"/>
        <v>NO APLICA</v>
      </c>
      <c r="LD137" s="6"/>
      <c r="LE137" s="4"/>
      <c r="LF137" s="4"/>
      <c r="LG137" s="8"/>
      <c r="LH137" s="5" t="str">
        <f t="shared" si="585"/>
        <v>NO APLICA</v>
      </c>
      <c r="LI137" s="5"/>
      <c r="LJ137" s="5"/>
      <c r="LK137" s="4"/>
      <c r="LL137" s="8"/>
      <c r="LM137" s="5" t="str">
        <f t="shared" si="584"/>
        <v>NO APLICA</v>
      </c>
      <c r="LN137" s="2"/>
      <c r="LO137" s="6"/>
      <c r="LP137" s="4"/>
      <c r="LQ137" s="8"/>
      <c r="LR137" s="5" t="str">
        <f t="shared" si="579"/>
        <v>NO APLICA</v>
      </c>
      <c r="LS137" s="6"/>
      <c r="LT137" s="6"/>
      <c r="LU137" s="4"/>
      <c r="LV137" s="8"/>
      <c r="LW137" s="5" t="str">
        <f t="shared" si="580"/>
        <v>NO APLICA</v>
      </c>
      <c r="LX137" s="6"/>
      <c r="LY137" s="6"/>
      <c r="LZ137" s="4"/>
      <c r="MA137" s="8"/>
      <c r="MB137" s="5" t="str">
        <f t="shared" si="581"/>
        <v>NO APLICA</v>
      </c>
      <c r="MC137" s="2"/>
      <c r="MD137" s="2"/>
      <c r="ME137" s="4"/>
      <c r="MF137" s="8"/>
      <c r="MG137" s="5" t="str">
        <f t="shared" si="554"/>
        <v>NO APLICA</v>
      </c>
      <c r="MH137" s="2"/>
      <c r="MI137" s="2"/>
      <c r="MJ137" s="4"/>
      <c r="MK137" s="8"/>
      <c r="ML137" s="5" t="str">
        <f t="shared" si="555"/>
        <v>NO APLICA</v>
      </c>
      <c r="MM137" s="5"/>
      <c r="MN137" s="2"/>
      <c r="MO137" s="4"/>
      <c r="MP137" s="8"/>
      <c r="MQ137" s="5" t="str">
        <f t="shared" si="556"/>
        <v>NO APLICA</v>
      </c>
      <c r="MR137" s="5"/>
      <c r="MS137" s="2"/>
      <c r="MT137" s="4"/>
      <c r="MU137" s="2"/>
      <c r="MV137" s="5" t="str">
        <f t="shared" si="557"/>
        <v>NO APLICA</v>
      </c>
      <c r="MW137" s="2"/>
      <c r="MX137" s="6"/>
      <c r="MY137" s="4"/>
      <c r="MZ137" s="8"/>
      <c r="NA137" s="5" t="str">
        <f t="shared" si="558"/>
        <v>NO APLICA</v>
      </c>
      <c r="NB137" s="2"/>
      <c r="NC137" s="6"/>
      <c r="ND137" s="4"/>
      <c r="NE137" s="8"/>
      <c r="NF137" s="5" t="str">
        <f t="shared" si="559"/>
        <v>NO APLICA</v>
      </c>
      <c r="NG137" s="2"/>
      <c r="NH137" s="6"/>
      <c r="NI137" s="4"/>
      <c r="NJ137" s="8"/>
      <c r="NK137" s="5" t="str">
        <f t="shared" si="560"/>
        <v>NO APLICA</v>
      </c>
      <c r="NL137" s="2"/>
      <c r="NM137" s="2"/>
      <c r="NN137" s="4"/>
      <c r="NO137" s="8"/>
      <c r="NP137" s="5" t="str">
        <f t="shared" si="561"/>
        <v>NO APLICA</v>
      </c>
      <c r="NQ137" s="2"/>
      <c r="NR137" s="2"/>
      <c r="NS137" s="4"/>
      <c r="NT137" s="2"/>
      <c r="NU137" s="5" t="str">
        <f t="shared" si="562"/>
        <v>NO APLICA</v>
      </c>
      <c r="NV137" s="6"/>
      <c r="NW137" s="6"/>
      <c r="NX137" s="4"/>
      <c r="NY137" s="8"/>
      <c r="NZ137" s="5" t="str">
        <f t="shared" si="563"/>
        <v>NO APLICA</v>
      </c>
      <c r="OA137" s="6"/>
      <c r="OB137" s="6"/>
      <c r="OC137" s="6"/>
      <c r="OD137" s="6"/>
      <c r="OE137" s="5" t="str">
        <f t="shared" si="564"/>
        <v>NO APLICA</v>
      </c>
      <c r="OF137" s="6"/>
      <c r="OG137" s="6"/>
      <c r="OH137" s="4"/>
      <c r="OI137" s="8"/>
      <c r="OJ137" s="5" t="str">
        <f t="shared" si="565"/>
        <v>NO APLICA</v>
      </c>
      <c r="OK137" s="6"/>
      <c r="OL137" s="6"/>
      <c r="OM137" s="6"/>
      <c r="ON137" s="6"/>
      <c r="OO137" s="5" t="str">
        <f t="shared" si="566"/>
        <v>NO APLICA</v>
      </c>
      <c r="OP137" s="6"/>
      <c r="OQ137" s="6"/>
      <c r="OR137" s="6"/>
      <c r="OS137" s="6"/>
      <c r="OT137" s="5" t="str">
        <f t="shared" si="567"/>
        <v>NO APLICA</v>
      </c>
      <c r="OU137" s="6"/>
      <c r="OV137" s="6"/>
      <c r="OW137" s="6"/>
      <c r="OX137" s="6"/>
      <c r="OY137" s="5" t="str">
        <f t="shared" si="568"/>
        <v>NO APLICA</v>
      </c>
      <c r="OZ137" s="6"/>
      <c r="PA137" s="6"/>
      <c r="PB137" s="6"/>
      <c r="PC137" s="6"/>
      <c r="PD137" s="5" t="str">
        <f t="shared" si="569"/>
        <v>NO APLICA</v>
      </c>
      <c r="PE137" s="6"/>
      <c r="PF137" s="6"/>
      <c r="PG137" s="6"/>
      <c r="PH137" s="6"/>
      <c r="PI137" s="5" t="str">
        <f t="shared" si="570"/>
        <v>NO APLICA</v>
      </c>
      <c r="PJ137" s="5"/>
      <c r="PK137" s="6"/>
      <c r="PL137" s="4"/>
      <c r="PM137" s="8"/>
      <c r="PN137" s="5" t="str">
        <f t="shared" si="571"/>
        <v>NO APLICA</v>
      </c>
      <c r="PO137" s="6"/>
      <c r="PP137" s="6"/>
      <c r="PQ137" s="6"/>
      <c r="PR137" s="6"/>
      <c r="PS137" s="5" t="str">
        <f t="shared" si="572"/>
        <v>NO APLICA</v>
      </c>
      <c r="PT137" s="5"/>
      <c r="PU137" s="6"/>
      <c r="PV137" s="6"/>
      <c r="PW137" s="6"/>
      <c r="PX137" s="5" t="str">
        <f t="shared" si="573"/>
        <v>NO APLICA</v>
      </c>
    </row>
    <row r="138" spans="1:440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457</v>
      </c>
      <c r="V138" s="4">
        <v>45401</v>
      </c>
      <c r="W138" s="4">
        <f t="shared" si="421"/>
        <v>47227</v>
      </c>
      <c r="X138" s="8">
        <f t="shared" ca="1" si="422"/>
        <v>1093</v>
      </c>
      <c r="Y138" s="5" t="str">
        <f t="shared" ca="1" si="423"/>
        <v>VIGENTE</v>
      </c>
      <c r="Z138" s="2" t="s">
        <v>458</v>
      </c>
      <c r="AA138" s="3">
        <v>44391</v>
      </c>
      <c r="AB138" s="4">
        <f>DATE(YEAR(AA138)+5,MONTH(AA138),DAY(AA138))</f>
        <v>46217</v>
      </c>
      <c r="AC138" s="8">
        <f ca="1">AB138-TODAY()</f>
        <v>83</v>
      </c>
      <c r="AD138" s="5" t="str">
        <f t="shared" ca="1" si="582"/>
        <v>POR VENCER</v>
      </c>
      <c r="AE138" s="3"/>
      <c r="AF138" s="4">
        <v>45589</v>
      </c>
      <c r="AG138" s="4">
        <f>DATE(YEAR(AF138)+2,MONTH(AF138),DAY(AF138)-1)</f>
        <v>46318</v>
      </c>
      <c r="AH138" s="8">
        <f t="shared" ca="1" si="470"/>
        <v>184</v>
      </c>
      <c r="AI138" s="5" t="str">
        <f t="shared" ca="1" si="419"/>
        <v>VIGENTE</v>
      </c>
      <c r="AJ138" s="3"/>
      <c r="AK138" s="4">
        <v>45518</v>
      </c>
      <c r="AL138" s="4">
        <f>DATE(YEAR(AK138)+2,MONTH(AK138),DAY(AK138)-1)</f>
        <v>46247</v>
      </c>
      <c r="AM138" s="8">
        <f t="shared" ca="1" si="471"/>
        <v>113</v>
      </c>
      <c r="AN138" s="5" t="str">
        <f t="shared" ca="1" si="472"/>
        <v>VIGENTE</v>
      </c>
      <c r="AO138" s="3"/>
      <c r="AP138" s="4">
        <v>45505</v>
      </c>
      <c r="AQ138" s="4">
        <f>DATE(YEAR(AP138)+2,MONTH(AP138),DAY(AP138)-1)</f>
        <v>46234</v>
      </c>
      <c r="AR138" s="8">
        <f t="shared" ca="1" si="473"/>
        <v>100</v>
      </c>
      <c r="AS138" s="5" t="str">
        <f t="shared" ca="1" si="474"/>
        <v>VIGENTE</v>
      </c>
      <c r="AT138" s="3"/>
      <c r="AU138" s="4">
        <v>45514</v>
      </c>
      <c r="AV138" s="4">
        <f>DATE(YEAR(AU138)+2,MONTH(AU138),DAY(AU138)-1)</f>
        <v>46243</v>
      </c>
      <c r="AW138" s="8">
        <f t="shared" ca="1" si="475"/>
        <v>109</v>
      </c>
      <c r="AX138" s="5" t="str">
        <f t="shared" ca="1" si="476"/>
        <v>VIGENTE</v>
      </c>
      <c r="AY138" s="3"/>
      <c r="AZ138" s="4">
        <v>45515</v>
      </c>
      <c r="BA138" s="4">
        <f>DATE(YEAR(AZ138)+2,MONTH(AZ138),DAY(AZ138)-1)</f>
        <v>46244</v>
      </c>
      <c r="BB138" s="8">
        <f t="shared" ca="1" si="477"/>
        <v>110</v>
      </c>
      <c r="BC138" s="5" t="str">
        <f t="shared" ca="1" si="478"/>
        <v>VIGENTE</v>
      </c>
      <c r="BD138" s="3"/>
      <c r="BE138" s="4">
        <v>45605</v>
      </c>
      <c r="BF138" s="4">
        <f>DATE(YEAR(BE138)+2,MONTH(BE138),DAY(BE138)-1)</f>
        <v>46334</v>
      </c>
      <c r="BG138" s="8">
        <f t="shared" ca="1" si="479"/>
        <v>200</v>
      </c>
      <c r="BH138" s="5" t="str">
        <f t="shared" ca="1" si="480"/>
        <v>VIGENTE</v>
      </c>
      <c r="BI138" s="3"/>
      <c r="BJ138" s="4">
        <v>45699</v>
      </c>
      <c r="BK138" s="4">
        <f>DATE(YEAR(BJ138)+2,MONTH(BJ138),DAY(BJ138)-1)</f>
        <v>46428</v>
      </c>
      <c r="BL138" s="8">
        <f t="shared" ca="1" si="481"/>
        <v>294</v>
      </c>
      <c r="BM138" s="5" t="str">
        <f t="shared" ca="1" si="482"/>
        <v>VIGENTE</v>
      </c>
      <c r="BN138" s="3"/>
      <c r="BO138" s="4">
        <v>45604</v>
      </c>
      <c r="BP138" s="4">
        <f>DATE(YEAR(BO138)+2,MONTH(BO138),DAY(BO138)-1)</f>
        <v>46333</v>
      </c>
      <c r="BQ138" s="8">
        <f t="shared" ca="1" si="483"/>
        <v>199</v>
      </c>
      <c r="BR138" s="5" t="str">
        <f t="shared" ca="1" si="484"/>
        <v>VIGENTE</v>
      </c>
      <c r="BS138" s="3"/>
      <c r="BT138" s="4">
        <v>45572</v>
      </c>
      <c r="BU138" s="4">
        <f>DATE(YEAR(BT138)+2,MONTH(BT138),DAY(BT138)-1)</f>
        <v>46301</v>
      </c>
      <c r="BV138" s="8">
        <f t="shared" ca="1" si="485"/>
        <v>167</v>
      </c>
      <c r="BW138" s="5" t="str">
        <f t="shared" ca="1" si="486"/>
        <v>VIGENTE</v>
      </c>
      <c r="BX138" s="3"/>
      <c r="BY138" s="4">
        <v>45730</v>
      </c>
      <c r="BZ138" s="4">
        <f>DATE(YEAR(BY138)+2,MONTH(BY138),DAY(BY138)-1)</f>
        <v>46459</v>
      </c>
      <c r="CA138" s="8">
        <f t="shared" ca="1" si="487"/>
        <v>325</v>
      </c>
      <c r="CB138" s="5" t="str">
        <f t="shared" ca="1" si="488"/>
        <v>VIGENTE</v>
      </c>
      <c r="CC138" s="6" t="s">
        <v>73</v>
      </c>
      <c r="CD138" s="4">
        <v>45393</v>
      </c>
      <c r="CE138" s="4">
        <f t="shared" si="428"/>
        <v>46854</v>
      </c>
      <c r="CF138" s="8">
        <f t="shared" ca="1" si="429"/>
        <v>720</v>
      </c>
      <c r="CG138" s="5" t="str">
        <f t="shared" ca="1" si="430"/>
        <v>VIGENTE</v>
      </c>
      <c r="CH138" s="4"/>
      <c r="CI138" s="4">
        <v>45504</v>
      </c>
      <c r="CJ138" s="4">
        <f>DATE(YEAR(CI138)+2,MONTH(CI138),DAY(CI138)-1)</f>
        <v>46233</v>
      </c>
      <c r="CK138" s="8">
        <f t="shared" ca="1" si="489"/>
        <v>99</v>
      </c>
      <c r="CL138" s="5" t="str">
        <f t="shared" ca="1" si="490"/>
        <v>VIGENTE</v>
      </c>
      <c r="CM138" s="3"/>
      <c r="CN138" s="4">
        <v>45684</v>
      </c>
      <c r="CO138" s="4">
        <f>DATE(YEAR(CN138)+2,MONTH(CN138),DAY(CN138)-1)</f>
        <v>46413</v>
      </c>
      <c r="CP138" s="8">
        <f t="shared" ca="1" si="491"/>
        <v>279</v>
      </c>
      <c r="CQ138" s="5" t="str">
        <f t="shared" ca="1" si="492"/>
        <v>VIGENTE</v>
      </c>
      <c r="CR138" s="3"/>
      <c r="CS138" s="4">
        <v>45639</v>
      </c>
      <c r="CT138" s="4">
        <f>DATE(YEAR(CS138)+2,MONTH(CS138),DAY(CS138)-1)</f>
        <v>46368</v>
      </c>
      <c r="CU138" s="8">
        <f t="shared" ca="1" si="493"/>
        <v>234</v>
      </c>
      <c r="CV138" s="5" t="str">
        <f t="shared" ca="1" si="494"/>
        <v>VIGENTE</v>
      </c>
      <c r="CW138" s="3"/>
      <c r="CX138" s="4">
        <v>45665</v>
      </c>
      <c r="CY138" s="4">
        <f>DATE(YEAR(CX138)+2,MONTH(CX138),DAY(CX138)-1)</f>
        <v>46394</v>
      </c>
      <c r="CZ138" s="8">
        <f t="shared" ca="1" si="495"/>
        <v>260</v>
      </c>
      <c r="DA138" s="5" t="str">
        <f t="shared" ca="1" si="496"/>
        <v>VIGENTE</v>
      </c>
      <c r="DB138" s="3"/>
      <c r="DC138" s="4">
        <v>45596</v>
      </c>
      <c r="DD138" s="4">
        <f>DATE(YEAR(DC138)+2,MONTH(DC138),DAY(DC138)-1)</f>
        <v>46325</v>
      </c>
      <c r="DE138" s="8">
        <f t="shared" ca="1" si="497"/>
        <v>191</v>
      </c>
      <c r="DF138" s="5" t="str">
        <f t="shared" ca="1" si="498"/>
        <v>VIGENTE</v>
      </c>
      <c r="DG138" s="3"/>
      <c r="DH138" s="4">
        <v>45580</v>
      </c>
      <c r="DI138" s="4">
        <f>DATE(YEAR(DH138)+2,MONTH(DH138),DAY(DH138)-1)</f>
        <v>46309</v>
      </c>
      <c r="DJ138" s="8">
        <f t="shared" ca="1" si="499"/>
        <v>175</v>
      </c>
      <c r="DK138" s="5" t="str">
        <f t="shared" ca="1" si="500"/>
        <v>VIGENTE</v>
      </c>
      <c r="DL138" s="3"/>
      <c r="DM138" s="4">
        <v>45577</v>
      </c>
      <c r="DN138" s="4">
        <f>DATE(YEAR(DM138)+2,MONTH(DM138),DAY(DM138)-1)</f>
        <v>46306</v>
      </c>
      <c r="DO138" s="8">
        <f t="shared" ca="1" si="501"/>
        <v>172</v>
      </c>
      <c r="DP138" s="5" t="str">
        <f t="shared" ca="1" si="502"/>
        <v>VIGENTE</v>
      </c>
      <c r="DQ138" s="3"/>
      <c r="DR138" s="4">
        <v>45619</v>
      </c>
      <c r="DS138" s="4">
        <f>DATE(YEAR(DR138)+2,MONTH(DR138),DAY(DR138)-1)</f>
        <v>46348</v>
      </c>
      <c r="DT138" s="8">
        <f t="shared" ca="1" si="503"/>
        <v>214</v>
      </c>
      <c r="DU138" s="5" t="str">
        <f t="shared" ca="1" si="504"/>
        <v>VIGENTE</v>
      </c>
      <c r="DV138" s="3"/>
      <c r="DW138" s="4">
        <v>45663</v>
      </c>
      <c r="DX138" s="4">
        <f>DATE(YEAR(DW138)+2,MONTH(DW138),DAY(DW138)-1)</f>
        <v>46392</v>
      </c>
      <c r="DY138" s="8">
        <f t="shared" ca="1" si="505"/>
        <v>258</v>
      </c>
      <c r="DZ138" s="5" t="str">
        <f t="shared" ca="1" si="506"/>
        <v>VIGENTE</v>
      </c>
      <c r="EA138" s="3"/>
      <c r="EB138" s="4">
        <v>45674</v>
      </c>
      <c r="EC138" s="4">
        <f>DATE(YEAR(EB138)+2,MONTH(EB138),DAY(EB138)-1)</f>
        <v>46403</v>
      </c>
      <c r="ED138" s="8">
        <f t="shared" ca="1" si="507"/>
        <v>269</v>
      </c>
      <c r="EE138" s="5" t="str">
        <f t="shared" ca="1" si="508"/>
        <v>VIGENTE</v>
      </c>
      <c r="EF138" s="3"/>
      <c r="EG138" s="3">
        <v>46085</v>
      </c>
      <c r="EH138" s="4">
        <f t="shared" si="575"/>
        <v>46450</v>
      </c>
      <c r="EI138" s="8">
        <f t="shared" ca="1" si="509"/>
        <v>316</v>
      </c>
      <c r="EJ138" s="5" t="str">
        <f t="shared" ca="1" si="510"/>
        <v>VIGENTE</v>
      </c>
      <c r="EK138" s="3"/>
      <c r="EL138" s="4">
        <v>45612</v>
      </c>
      <c r="EM138" s="4">
        <f>DATE(YEAR(EL138)+2,MONTH(EL138),DAY(EL138)-1)</f>
        <v>46341</v>
      </c>
      <c r="EN138" s="8">
        <f t="shared" ca="1" si="511"/>
        <v>207</v>
      </c>
      <c r="EO138" s="5" t="str">
        <f t="shared" ca="1" si="512"/>
        <v>VIGENTE</v>
      </c>
      <c r="EP138" s="3"/>
      <c r="EQ138" s="4">
        <v>45575</v>
      </c>
      <c r="ER138" s="4">
        <f>DATE(YEAR(EQ138)+2,MONTH(EQ138),DAY(EQ138)-1)</f>
        <v>46304</v>
      </c>
      <c r="ES138" s="8">
        <f t="shared" ca="1" si="513"/>
        <v>170</v>
      </c>
      <c r="ET138" s="5" t="str">
        <f t="shared" ca="1" si="514"/>
        <v>VIGENTE</v>
      </c>
      <c r="EU138" s="3"/>
      <c r="EV138" s="4">
        <v>45610</v>
      </c>
      <c r="EW138" s="4">
        <f>DATE(YEAR(EV138)+2,MONTH(EV138),DAY(EV138)-1)</f>
        <v>46339</v>
      </c>
      <c r="EX138" s="8">
        <f t="shared" ca="1" si="515"/>
        <v>205</v>
      </c>
      <c r="EY138" s="5" t="str">
        <f t="shared" ca="1" si="516"/>
        <v>VIGENTE</v>
      </c>
      <c r="EZ138" s="3"/>
      <c r="FA138" s="4">
        <v>45666</v>
      </c>
      <c r="FB138" s="4">
        <f>DATE(YEAR(FA138)+2,MONTH(FA138),DAY(FA138)-1)</f>
        <v>46395</v>
      </c>
      <c r="FC138" s="8">
        <f t="shared" ca="1" si="517"/>
        <v>261</v>
      </c>
      <c r="FD138" s="5" t="str">
        <f t="shared" ca="1" si="518"/>
        <v>VIGENTE</v>
      </c>
      <c r="FE138" s="3"/>
      <c r="FF138" s="4">
        <v>45668</v>
      </c>
      <c r="FG138" s="4">
        <f>DATE(YEAR(FF138)+2,MONTH(FF138),DAY(FF138)-1)</f>
        <v>46397</v>
      </c>
      <c r="FH138" s="8">
        <f t="shared" ca="1" si="519"/>
        <v>263</v>
      </c>
      <c r="FI138" s="5" t="str">
        <f t="shared" ca="1" si="520"/>
        <v>VIGENTE</v>
      </c>
      <c r="FJ138" s="3"/>
      <c r="FK138" s="4">
        <v>45670</v>
      </c>
      <c r="FL138" s="4">
        <f>DATE(YEAR(FK138)+2,MONTH(FK138),DAY(FK138)-1)</f>
        <v>46399</v>
      </c>
      <c r="FM138" s="8">
        <f t="shared" ca="1" si="521"/>
        <v>265</v>
      </c>
      <c r="FN138" s="5" t="str">
        <f t="shared" ca="1" si="522"/>
        <v>VIGENTE</v>
      </c>
      <c r="FO138" s="3"/>
      <c r="FP138" s="4">
        <v>45586</v>
      </c>
      <c r="FQ138" s="4">
        <f>DATE(YEAR(FP138)+2,MONTH(FP138),DAY(FP138)-1)</f>
        <v>46315</v>
      </c>
      <c r="FR138" s="8">
        <f t="shared" ca="1" si="523"/>
        <v>181</v>
      </c>
      <c r="FS138" s="5" t="str">
        <f t="shared" ca="1" si="524"/>
        <v>VIGENTE</v>
      </c>
      <c r="FT138" s="3"/>
      <c r="FU138" s="4">
        <v>45574</v>
      </c>
      <c r="FV138" s="4">
        <f>DATE(YEAR(FU138)+2,MONTH(FU138),DAY(FU138)-1)</f>
        <v>46303</v>
      </c>
      <c r="FW138" s="8">
        <f t="shared" ca="1" si="525"/>
        <v>169</v>
      </c>
      <c r="FX138" s="5" t="str">
        <f t="shared" ca="1" si="526"/>
        <v>VIGENTE</v>
      </c>
      <c r="FY138" s="3"/>
      <c r="FZ138" s="4">
        <v>45667</v>
      </c>
      <c r="GA138" s="4">
        <f>DATE(YEAR(FZ138)+2,MONTH(FZ138),DAY(FZ138)-1)</f>
        <v>46396</v>
      </c>
      <c r="GB138" s="8">
        <f t="shared" ca="1" si="527"/>
        <v>262</v>
      </c>
      <c r="GC138" s="5" t="str">
        <f t="shared" ca="1" si="528"/>
        <v>VIGENTE</v>
      </c>
      <c r="GD138" s="3"/>
      <c r="GE138" s="4">
        <v>45579</v>
      </c>
      <c r="GF138" s="4">
        <f>DATE(YEAR(GE138)+2,MONTH(GE138),DAY(GE138)-1)</f>
        <v>46308</v>
      </c>
      <c r="GG138" s="8">
        <f t="shared" ca="1" si="529"/>
        <v>174</v>
      </c>
      <c r="GH138" s="5" t="str">
        <f t="shared" ca="1" si="530"/>
        <v>VIGENTE</v>
      </c>
      <c r="GI138" s="3"/>
      <c r="GJ138" s="4">
        <v>45557</v>
      </c>
      <c r="GK138" s="4">
        <f>DATE(YEAR(GJ138)+2,MONTH(GJ138),DAY(GJ138)-1)</f>
        <v>46286</v>
      </c>
      <c r="GL138" s="8">
        <f t="shared" ca="1" si="531"/>
        <v>152</v>
      </c>
      <c r="GM138" s="5" t="str">
        <f t="shared" ca="1" si="532"/>
        <v>VIGENTE</v>
      </c>
      <c r="GN138" s="4"/>
      <c r="GO138" s="4">
        <v>44952</v>
      </c>
      <c r="GP138" s="4">
        <f t="shared" si="533"/>
        <v>46778</v>
      </c>
      <c r="GQ138" s="8">
        <f t="shared" ca="1" si="418"/>
        <v>644</v>
      </c>
      <c r="GR138" s="5" t="str">
        <f t="shared" ca="1" si="431"/>
        <v>VIGENTE</v>
      </c>
      <c r="GS138" s="3"/>
      <c r="GT138" s="4">
        <v>45010</v>
      </c>
      <c r="GU138" s="4">
        <f t="shared" si="534"/>
        <v>46837</v>
      </c>
      <c r="GV138" s="8">
        <f t="shared" ca="1" si="535"/>
        <v>703</v>
      </c>
      <c r="GW138" s="5" t="str">
        <f t="shared" ca="1" si="438"/>
        <v>VIGENTE</v>
      </c>
      <c r="GX138" s="3"/>
      <c r="GY138" s="4">
        <v>45499</v>
      </c>
      <c r="GZ138" s="4">
        <f t="shared" si="536"/>
        <v>47325</v>
      </c>
      <c r="HA138" s="8">
        <f t="shared" ca="1" si="537"/>
        <v>1191</v>
      </c>
      <c r="HB138" s="5" t="str">
        <f t="shared" ca="1" si="433"/>
        <v>VIGENTE</v>
      </c>
      <c r="HC138" s="6"/>
      <c r="HD138" s="4">
        <v>44862</v>
      </c>
      <c r="HE138" s="4">
        <f>DATE(YEAR(HD138)+5,MONTH(HD138),DAY(HD138))</f>
        <v>46688</v>
      </c>
      <c r="HF138" s="8">
        <f ca="1">HE138-TODAY()</f>
        <v>554</v>
      </c>
      <c r="HG138" s="5" t="str">
        <f t="shared" ca="1" si="439"/>
        <v>VIGENTE</v>
      </c>
      <c r="HH138" s="2"/>
      <c r="HI138" s="6"/>
      <c r="HJ138" s="4"/>
      <c r="HK138" s="8"/>
      <c r="HL138" s="5" t="str">
        <f t="shared" si="457"/>
        <v>NO APLICA</v>
      </c>
      <c r="HM138" s="2"/>
      <c r="HN138" s="2"/>
      <c r="HO138" s="4"/>
      <c r="HP138" s="2"/>
      <c r="HQ138" s="5" t="str">
        <f t="shared" si="538"/>
        <v>NO APLICA</v>
      </c>
      <c r="HR138" s="3"/>
      <c r="HS138" s="4">
        <v>45420</v>
      </c>
      <c r="HT138" s="4">
        <f>DATE(YEAR(HS138)+5,MONTH(HS138),DAY(HS138))</f>
        <v>47246</v>
      </c>
      <c r="HU138" s="8">
        <f ca="1">HT138-TODAY()</f>
        <v>1112</v>
      </c>
      <c r="HV138" s="5" t="str">
        <f t="shared" ca="1" si="539"/>
        <v>VIGENTE</v>
      </c>
      <c r="HW138" s="3"/>
      <c r="HX138" s="4">
        <v>45447</v>
      </c>
      <c r="HY138" s="4">
        <f>DATE(YEAR(HX138)+5,MONTH(HX138),DAY(HX138))</f>
        <v>47273</v>
      </c>
      <c r="HZ138" s="8">
        <f ca="1">HY138-TODAY()</f>
        <v>1139</v>
      </c>
      <c r="IA138" s="5" t="str">
        <f t="shared" ca="1" si="540"/>
        <v>VIGENTE</v>
      </c>
      <c r="IB138" s="3"/>
      <c r="IC138" s="4">
        <v>45470</v>
      </c>
      <c r="ID138" s="4">
        <f>DATE(YEAR(IC138)+5,MONTH(IC138),DAY(IC138))</f>
        <v>47296</v>
      </c>
      <c r="IE138" s="8">
        <f ca="1">ID138-TODAY()</f>
        <v>1162</v>
      </c>
      <c r="IF138" s="5" t="str">
        <f t="shared" ca="1" si="541"/>
        <v>VIGENTE</v>
      </c>
      <c r="IG138" s="4"/>
      <c r="IH138" s="4">
        <v>45449</v>
      </c>
      <c r="II138" s="4">
        <f>DATE(YEAR(IH138)+5,MONTH(IH138),DAY(IH138))</f>
        <v>47275</v>
      </c>
      <c r="IJ138" s="8">
        <f ca="1">II138-TODAY()</f>
        <v>1141</v>
      </c>
      <c r="IK138" s="5" t="str">
        <f t="shared" ca="1" si="542"/>
        <v>VIGENTE</v>
      </c>
      <c r="IL138" s="3"/>
      <c r="IM138" s="4">
        <v>45460</v>
      </c>
      <c r="IN138" s="4">
        <f>DATE(YEAR(IM138)+5,MONTH(IM138),DAY(IM138))</f>
        <v>47286</v>
      </c>
      <c r="IO138" s="8">
        <f ca="1">IN138-TODAY()</f>
        <v>1152</v>
      </c>
      <c r="IP138" s="5" t="str">
        <f t="shared" ca="1" si="543"/>
        <v>VIGENTE</v>
      </c>
      <c r="IQ138" s="3"/>
      <c r="IR138" s="4">
        <v>45435</v>
      </c>
      <c r="IS138" s="4">
        <f>DATE(YEAR(IR138)+5,MONTH(IR138),DAY(IR138))</f>
        <v>47261</v>
      </c>
      <c r="IT138" s="8">
        <f ca="1">IS138-TODAY()</f>
        <v>1127</v>
      </c>
      <c r="IU138" s="5" t="str">
        <f t="shared" ca="1" si="544"/>
        <v>VIGENTE</v>
      </c>
      <c r="IV138" s="3"/>
      <c r="IW138" s="4">
        <v>45477</v>
      </c>
      <c r="IX138" s="4">
        <f>DATE(YEAR(IW138)+5,MONTH(IW138),DAY(IW138))</f>
        <v>47303</v>
      </c>
      <c r="IY138" s="8">
        <f ca="1">IX138-TODAY()</f>
        <v>1169</v>
      </c>
      <c r="IZ138" s="5" t="str">
        <f t="shared" ca="1" si="545"/>
        <v>VIGENTE</v>
      </c>
      <c r="JA138" s="3"/>
      <c r="JB138" s="3"/>
      <c r="JC138" s="4"/>
      <c r="JD138" s="8"/>
      <c r="JE138" s="5" t="str">
        <f t="shared" si="546"/>
        <v>NO APLICA</v>
      </c>
      <c r="JF138" s="6"/>
      <c r="JG138" s="6"/>
      <c r="JH138" s="6"/>
      <c r="JI138" s="6"/>
      <c r="JJ138" s="5" t="str">
        <f t="shared" si="547"/>
        <v>NO APLICA</v>
      </c>
      <c r="JK138" s="6"/>
      <c r="JL138" s="6"/>
      <c r="JM138" s="6"/>
      <c r="JN138" s="6"/>
      <c r="JO138" s="5" t="str">
        <f t="shared" si="548"/>
        <v>NO APLICA</v>
      </c>
      <c r="JP138" s="6"/>
      <c r="JQ138" s="6"/>
      <c r="JR138" s="6"/>
      <c r="JS138" s="6"/>
      <c r="JT138" s="5" t="str">
        <f t="shared" si="549"/>
        <v>NO APLICA</v>
      </c>
      <c r="JU138" s="5"/>
      <c r="JV138" s="5"/>
      <c r="JW138" s="5"/>
      <c r="JX138" s="5"/>
      <c r="JY138" s="5" t="str">
        <f t="shared" si="550"/>
        <v>NO APLICA</v>
      </c>
      <c r="JZ138" s="5"/>
      <c r="KA138" s="2"/>
      <c r="KB138" s="4"/>
      <c r="KC138" s="8"/>
      <c r="KD138" s="5" t="str">
        <f t="shared" si="551"/>
        <v>NO APLICA</v>
      </c>
      <c r="KE138" s="5"/>
      <c r="KF138" s="2"/>
      <c r="KG138" s="4"/>
      <c r="KH138" s="8"/>
      <c r="KI138" s="5" t="str">
        <f t="shared" si="576"/>
        <v>NO APLICA</v>
      </c>
      <c r="KJ138" s="5"/>
      <c r="KK138" s="2"/>
      <c r="KL138" s="4"/>
      <c r="KM138" s="8"/>
      <c r="KN138" s="5" t="str">
        <f t="shared" si="552"/>
        <v>NO APLICA</v>
      </c>
      <c r="KO138" s="5"/>
      <c r="KP138" s="2"/>
      <c r="KQ138" s="4"/>
      <c r="KR138" s="8"/>
      <c r="KS138" s="5" t="str">
        <f t="shared" si="577"/>
        <v>NO APLICA</v>
      </c>
      <c r="KT138" s="2"/>
      <c r="KU138" s="6"/>
      <c r="KV138" s="4"/>
      <c r="KW138" s="8"/>
      <c r="KX138" s="5" t="str">
        <f t="shared" si="583"/>
        <v>NO APLICA</v>
      </c>
      <c r="KY138" s="5"/>
      <c r="KZ138" s="4">
        <v>44545</v>
      </c>
      <c r="LA138" s="4">
        <f>DATE(YEAR(KZ138)+5,MONTH(KZ138),DAY(KZ138))</f>
        <v>46371</v>
      </c>
      <c r="LB138" s="8">
        <f ca="1">LA138-TODAY()</f>
        <v>237</v>
      </c>
      <c r="LC138" s="5" t="str">
        <f t="shared" ca="1" si="578"/>
        <v>VIGENTE</v>
      </c>
      <c r="LD138" s="6"/>
      <c r="LE138" s="6"/>
      <c r="LF138" s="4"/>
      <c r="LG138" s="8"/>
      <c r="LH138" s="5" t="str">
        <f t="shared" si="585"/>
        <v>NO APLICA</v>
      </c>
      <c r="LI138" s="5"/>
      <c r="LJ138" s="5"/>
      <c r="LK138" s="4"/>
      <c r="LL138" s="8"/>
      <c r="LM138" s="5" t="str">
        <f t="shared" si="584"/>
        <v>NO APLICA</v>
      </c>
      <c r="LN138" s="2"/>
      <c r="LO138" s="6"/>
      <c r="LP138" s="4"/>
      <c r="LQ138" s="8"/>
      <c r="LR138" s="5" t="str">
        <f t="shared" si="579"/>
        <v>NO APLICA</v>
      </c>
      <c r="LS138" s="4"/>
      <c r="LT138" s="4">
        <v>44986</v>
      </c>
      <c r="LU138" s="4">
        <f>DATE(YEAR(LT138)+5,MONTH(LT138),DAY(LT138))</f>
        <v>46813</v>
      </c>
      <c r="LV138" s="8">
        <f ca="1">LU138-TODAY()</f>
        <v>679</v>
      </c>
      <c r="LW138" s="5" t="str">
        <f t="shared" ca="1" si="580"/>
        <v>VIGENTE</v>
      </c>
      <c r="LX138" s="4"/>
      <c r="LY138" s="4">
        <v>44988</v>
      </c>
      <c r="LZ138" s="4">
        <f>DATE(YEAR(LY138)+5,MONTH(LY138),DAY(LY138))</f>
        <v>46815</v>
      </c>
      <c r="MA138" s="8">
        <f ca="1">LZ138-TODAY()</f>
        <v>681</v>
      </c>
      <c r="MB138" s="5" t="str">
        <f t="shared" ca="1" si="581"/>
        <v>VIGENTE</v>
      </c>
      <c r="MC138" s="2"/>
      <c r="MD138" s="2"/>
      <c r="ME138" s="4"/>
      <c r="MF138" s="8"/>
      <c r="MG138" s="5" t="str">
        <f t="shared" si="554"/>
        <v>NO APLICA</v>
      </c>
      <c r="MH138" s="2"/>
      <c r="MI138" s="2"/>
      <c r="MJ138" s="4"/>
      <c r="MK138" s="8"/>
      <c r="ML138" s="5" t="str">
        <f t="shared" si="555"/>
        <v>NO APLICA</v>
      </c>
      <c r="MM138" s="5"/>
      <c r="MN138" s="2"/>
      <c r="MO138" s="4"/>
      <c r="MP138" s="8"/>
      <c r="MQ138" s="5" t="str">
        <f t="shared" si="556"/>
        <v>NO APLICA</v>
      </c>
      <c r="MR138" s="5"/>
      <c r="MS138" s="2"/>
      <c r="MT138" s="4"/>
      <c r="MU138" s="2"/>
      <c r="MV138" s="5" t="str">
        <f t="shared" si="557"/>
        <v>NO APLICA</v>
      </c>
      <c r="MW138" s="2"/>
      <c r="MX138" s="6"/>
      <c r="MY138" s="4"/>
      <c r="MZ138" s="8"/>
      <c r="NA138" s="5" t="str">
        <f t="shared" si="558"/>
        <v>NO APLICA</v>
      </c>
      <c r="NB138" s="2"/>
      <c r="NC138" s="6"/>
      <c r="ND138" s="4"/>
      <c r="NE138" s="8"/>
      <c r="NF138" s="5" t="str">
        <f t="shared" si="559"/>
        <v>NO APLICA</v>
      </c>
      <c r="NG138" s="2"/>
      <c r="NH138" s="6"/>
      <c r="NI138" s="4"/>
      <c r="NJ138" s="8"/>
      <c r="NK138" s="5" t="str">
        <f t="shared" si="560"/>
        <v>NO APLICA</v>
      </c>
      <c r="NL138" s="2"/>
      <c r="NM138" s="2"/>
      <c r="NN138" s="4"/>
      <c r="NO138" s="2"/>
      <c r="NP138" s="5" t="str">
        <f t="shared" si="561"/>
        <v>NO APLICA</v>
      </c>
      <c r="NQ138" s="2"/>
      <c r="NR138" s="2"/>
      <c r="NS138" s="2"/>
      <c r="NT138" s="2"/>
      <c r="NU138" s="5" t="str">
        <f t="shared" si="562"/>
        <v>NO APLICA</v>
      </c>
      <c r="NV138" s="6"/>
      <c r="NW138" s="6"/>
      <c r="NX138" s="4"/>
      <c r="NY138" s="8"/>
      <c r="NZ138" s="5" t="str">
        <f t="shared" si="563"/>
        <v>NO APLICA</v>
      </c>
      <c r="OA138" s="6"/>
      <c r="OB138" s="6"/>
      <c r="OC138" s="6"/>
      <c r="OD138" s="6"/>
      <c r="OE138" s="5" t="str">
        <f t="shared" si="564"/>
        <v>NO APLICA</v>
      </c>
      <c r="OF138" s="6"/>
      <c r="OG138" s="6"/>
      <c r="OH138" s="4"/>
      <c r="OI138" s="8"/>
      <c r="OJ138" s="5" t="str">
        <f t="shared" si="565"/>
        <v>NO APLICA</v>
      </c>
      <c r="OK138" s="6"/>
      <c r="OL138" s="6"/>
      <c r="OM138" s="6"/>
      <c r="ON138" s="6"/>
      <c r="OO138" s="5" t="str">
        <f t="shared" si="566"/>
        <v>NO APLICA</v>
      </c>
      <c r="OP138" s="6"/>
      <c r="OQ138" s="6"/>
      <c r="OR138" s="6"/>
      <c r="OS138" s="6"/>
      <c r="OT138" s="5" t="str">
        <f t="shared" si="567"/>
        <v>NO APLICA</v>
      </c>
      <c r="OU138" s="4"/>
      <c r="OV138" s="4">
        <v>44770</v>
      </c>
      <c r="OW138" s="4">
        <f>DATE(YEAR(OV138)+5,MONTH(OV138),DAY(OV138))</f>
        <v>46596</v>
      </c>
      <c r="OX138" s="8">
        <f ca="1">OW138-TODAY()</f>
        <v>462</v>
      </c>
      <c r="OY138" s="5" t="str">
        <f t="shared" ca="1" si="568"/>
        <v>VIGENTE</v>
      </c>
      <c r="OZ138" s="6"/>
      <c r="PA138" s="6"/>
      <c r="PB138" s="6"/>
      <c r="PC138" s="6"/>
      <c r="PD138" s="5" t="str">
        <f t="shared" si="569"/>
        <v>NO APLICA</v>
      </c>
      <c r="PE138" s="6"/>
      <c r="PF138" s="6"/>
      <c r="PG138" s="6"/>
      <c r="PH138" s="6"/>
      <c r="PI138" s="5" t="str">
        <f t="shared" si="570"/>
        <v>NO APLICA</v>
      </c>
      <c r="PJ138" s="5"/>
      <c r="PK138" s="4">
        <v>44627</v>
      </c>
      <c r="PL138" s="4">
        <f>DATE(YEAR(PK138)+5,MONTH(PK138),DAY(PK138))</f>
        <v>46453</v>
      </c>
      <c r="PM138" s="8">
        <f ca="1">PL138-TODAY()</f>
        <v>319</v>
      </c>
      <c r="PN138" s="5" t="str">
        <f t="shared" ca="1" si="571"/>
        <v>VIGENTE</v>
      </c>
      <c r="PO138" s="6"/>
      <c r="PP138" s="6"/>
      <c r="PQ138" s="6"/>
      <c r="PR138" s="6"/>
      <c r="PS138" s="5" t="str">
        <f t="shared" si="572"/>
        <v>NO APLICA</v>
      </c>
      <c r="PT138" s="5"/>
      <c r="PU138" s="6"/>
      <c r="PV138" s="6"/>
      <c r="PW138" s="6"/>
      <c r="PX138" s="5" t="str">
        <f t="shared" si="573"/>
        <v>NO APLICA</v>
      </c>
    </row>
    <row r="139" spans="1:440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460</v>
      </c>
      <c r="V139" s="4">
        <v>44944</v>
      </c>
      <c r="W139" s="4">
        <f t="shared" si="421"/>
        <v>46770</v>
      </c>
      <c r="X139" s="8">
        <f t="shared" ca="1" si="422"/>
        <v>636</v>
      </c>
      <c r="Y139" s="5" t="str">
        <f t="shared" ca="1" si="423"/>
        <v>VIGENTE</v>
      </c>
      <c r="Z139" s="2"/>
      <c r="AA139" s="6"/>
      <c r="AB139" s="4"/>
      <c r="AC139" s="8"/>
      <c r="AD139" s="5" t="str">
        <f t="shared" si="582"/>
        <v>NO APLICA</v>
      </c>
      <c r="AE139" s="3"/>
      <c r="AF139" s="4">
        <v>45902</v>
      </c>
      <c r="AG139" s="4">
        <f>DATE(YEAR(AF139)+2,MONTH(AF139),DAY(AF139))</f>
        <v>46632</v>
      </c>
      <c r="AH139" s="8">
        <f t="shared" ca="1" si="470"/>
        <v>498</v>
      </c>
      <c r="AI139" s="5" t="str">
        <f t="shared" ca="1" si="419"/>
        <v>VIGENTE</v>
      </c>
      <c r="AJ139" s="2"/>
      <c r="AK139" s="4">
        <v>45926</v>
      </c>
      <c r="AL139" s="4">
        <f>DATE(YEAR(AK139)+2,MONTH(AK139),DAY(AK139))</f>
        <v>46656</v>
      </c>
      <c r="AM139" s="8">
        <f t="shared" ca="1" si="471"/>
        <v>522</v>
      </c>
      <c r="AN139" s="5" t="str">
        <f t="shared" ca="1" si="472"/>
        <v>VIGENTE</v>
      </c>
      <c r="AO139" s="2"/>
      <c r="AP139" s="4">
        <v>45904</v>
      </c>
      <c r="AQ139" s="4">
        <f>DATE(YEAR(AP139)+2,MONTH(AP139),DAY(AP139))</f>
        <v>46634</v>
      </c>
      <c r="AR139" s="8">
        <f t="shared" ca="1" si="473"/>
        <v>500</v>
      </c>
      <c r="AS139" s="5" t="str">
        <f t="shared" ca="1" si="474"/>
        <v>VIGENTE</v>
      </c>
      <c r="AT139" s="2"/>
      <c r="AU139" s="4">
        <v>45927</v>
      </c>
      <c r="AV139" s="4">
        <f>DATE(YEAR(AU139)+2,MONTH(AU139),DAY(AU139))</f>
        <v>46657</v>
      </c>
      <c r="AW139" s="8">
        <f t="shared" ca="1" si="475"/>
        <v>523</v>
      </c>
      <c r="AX139" s="5" t="str">
        <f t="shared" ca="1" si="476"/>
        <v>VIGENTE</v>
      </c>
      <c r="AY139" s="3"/>
      <c r="AZ139" s="4">
        <v>45901</v>
      </c>
      <c r="BA139" s="4">
        <f>DATE(YEAR(AZ139)+2,MONTH(AZ139),DAY(AZ139))</f>
        <v>46631</v>
      </c>
      <c r="BB139" s="8">
        <f t="shared" ca="1" si="477"/>
        <v>497</v>
      </c>
      <c r="BC139" s="5" t="str">
        <f t="shared" ca="1" si="478"/>
        <v>VIGENTE</v>
      </c>
      <c r="BD139" s="3"/>
      <c r="BE139" s="4">
        <v>45968</v>
      </c>
      <c r="BF139" s="4">
        <f>DATE(YEAR(BE139)+2,MONTH(BE139),DAY(BE139))</f>
        <v>46698</v>
      </c>
      <c r="BG139" s="8">
        <f t="shared" ca="1" si="479"/>
        <v>564</v>
      </c>
      <c r="BH139" s="5" t="str">
        <f t="shared" ca="1" si="480"/>
        <v>VIGENTE</v>
      </c>
      <c r="BI139" s="3"/>
      <c r="BJ139" s="4">
        <v>45976</v>
      </c>
      <c r="BK139" s="4">
        <f>DATE(YEAR(BJ139)+2,MONTH(BJ139),DAY(BJ139))</f>
        <v>46706</v>
      </c>
      <c r="BL139" s="8">
        <f t="shared" ca="1" si="481"/>
        <v>572</v>
      </c>
      <c r="BM139" s="5" t="str">
        <f t="shared" ca="1" si="482"/>
        <v>VIGENTE</v>
      </c>
      <c r="BN139" s="3"/>
      <c r="BO139" s="4">
        <v>45988</v>
      </c>
      <c r="BP139" s="4">
        <f>DATE(YEAR(BO139)+2,MONTH(BO139),DAY(BO139))</f>
        <v>46718</v>
      </c>
      <c r="BQ139" s="8">
        <f t="shared" ca="1" si="483"/>
        <v>584</v>
      </c>
      <c r="BR139" s="5" t="str">
        <f t="shared" ca="1" si="484"/>
        <v>VIGENTE</v>
      </c>
      <c r="BS139" s="3"/>
      <c r="BT139" s="4">
        <v>45950</v>
      </c>
      <c r="BU139" s="4">
        <f>DATE(YEAR(BT139)+2,MONTH(BT139),DAY(BT139))</f>
        <v>46680</v>
      </c>
      <c r="BV139" s="8">
        <f t="shared" ca="1" si="485"/>
        <v>546</v>
      </c>
      <c r="BW139" s="5" t="str">
        <f t="shared" ca="1" si="486"/>
        <v>VIGENTE</v>
      </c>
      <c r="BX139" s="2"/>
      <c r="BY139" s="4">
        <v>45944</v>
      </c>
      <c r="BZ139" s="4">
        <f>DATE(YEAR(BY139)+2,MONTH(BY139),DAY(BY139))</f>
        <v>46674</v>
      </c>
      <c r="CA139" s="8">
        <f t="shared" ca="1" si="487"/>
        <v>540</v>
      </c>
      <c r="CB139" s="5" t="str">
        <f t="shared" ca="1" si="488"/>
        <v>VIGENTE</v>
      </c>
      <c r="CC139" s="6" t="s">
        <v>68</v>
      </c>
      <c r="CD139" s="4">
        <v>45832</v>
      </c>
      <c r="CE139" s="4">
        <f t="shared" si="428"/>
        <v>47293</v>
      </c>
      <c r="CF139" s="8">
        <f t="shared" ca="1" si="429"/>
        <v>1159</v>
      </c>
      <c r="CG139" s="5" t="str">
        <f t="shared" ca="1" si="430"/>
        <v>VIGENTE</v>
      </c>
      <c r="CH139" s="6"/>
      <c r="CI139" s="4">
        <v>45929</v>
      </c>
      <c r="CJ139" s="4">
        <f>DATE(YEAR(CI139)+2,MONTH(CI139),DAY(CI139))</f>
        <v>46659</v>
      </c>
      <c r="CK139" s="8">
        <f t="shared" ca="1" si="489"/>
        <v>525</v>
      </c>
      <c r="CL139" s="5" t="str">
        <f t="shared" ca="1" si="490"/>
        <v>VIGENTE</v>
      </c>
      <c r="CM139" s="3"/>
      <c r="CN139" s="4">
        <v>45882</v>
      </c>
      <c r="CO139" s="4">
        <f>DATE(YEAR(CN139)+2,MONTH(CN139),DAY(CN139))</f>
        <v>46612</v>
      </c>
      <c r="CP139" s="8">
        <f t="shared" ca="1" si="491"/>
        <v>478</v>
      </c>
      <c r="CQ139" s="5" t="str">
        <f t="shared" ca="1" si="492"/>
        <v>VIGENTE</v>
      </c>
      <c r="CR139" s="3"/>
      <c r="CS139" s="4">
        <v>45965</v>
      </c>
      <c r="CT139" s="4">
        <f>DATE(YEAR(CS139)+2,MONTH(CS139),DAY(CS139))</f>
        <v>46695</v>
      </c>
      <c r="CU139" s="8">
        <f t="shared" ca="1" si="493"/>
        <v>561</v>
      </c>
      <c r="CV139" s="5" t="str">
        <f t="shared" ca="1" si="494"/>
        <v>VIGENTE</v>
      </c>
      <c r="CW139" s="3"/>
      <c r="CX139" s="4">
        <v>45843</v>
      </c>
      <c r="CY139" s="4">
        <f>DATE(YEAR(CX139)+2,MONTH(CX139),DAY(CX139))</f>
        <v>46573</v>
      </c>
      <c r="CZ139" s="8">
        <f t="shared" ca="1" si="495"/>
        <v>439</v>
      </c>
      <c r="DA139" s="5" t="str">
        <f t="shared" ca="1" si="496"/>
        <v>VIGENTE</v>
      </c>
      <c r="DB139" s="3"/>
      <c r="DC139" s="4">
        <v>45896</v>
      </c>
      <c r="DD139" s="4">
        <f>DATE(YEAR(DC139)+2,MONTH(DC139),DAY(DC139))</f>
        <v>46626</v>
      </c>
      <c r="DE139" s="8">
        <f t="shared" ca="1" si="497"/>
        <v>492</v>
      </c>
      <c r="DF139" s="5" t="str">
        <f t="shared" ca="1" si="498"/>
        <v>VIGENTE</v>
      </c>
      <c r="DG139" s="2"/>
      <c r="DH139" s="4">
        <v>45975</v>
      </c>
      <c r="DI139" s="4">
        <f>DATE(YEAR(DH139)+2,MONTH(DH139),DAY(DH139))</f>
        <v>46705</v>
      </c>
      <c r="DJ139" s="8">
        <f t="shared" ca="1" si="499"/>
        <v>571</v>
      </c>
      <c r="DK139" s="5" t="str">
        <f t="shared" ca="1" si="500"/>
        <v>VIGENTE</v>
      </c>
      <c r="DL139" s="4"/>
      <c r="DM139" s="4">
        <v>45873</v>
      </c>
      <c r="DN139" s="4">
        <f>DATE(YEAR(DM139)+2,MONTH(DM139),DAY(DM139))</f>
        <v>46603</v>
      </c>
      <c r="DO139" s="8">
        <f t="shared" ca="1" si="501"/>
        <v>469</v>
      </c>
      <c r="DP139" s="5" t="str">
        <f t="shared" ca="1" si="502"/>
        <v>VIGENTE</v>
      </c>
      <c r="DQ139" s="4"/>
      <c r="DR139" s="4">
        <v>46018</v>
      </c>
      <c r="DS139" s="4">
        <f>DATE(YEAR(DR139)+2,MONTH(DR139),DAY(DR139))</f>
        <v>46748</v>
      </c>
      <c r="DT139" s="8">
        <f t="shared" ca="1" si="503"/>
        <v>614</v>
      </c>
      <c r="DU139" s="5" t="str">
        <f t="shared" ca="1" si="504"/>
        <v>VIGENTE</v>
      </c>
      <c r="DV139" s="3"/>
      <c r="DW139" s="4">
        <v>45915</v>
      </c>
      <c r="DX139" s="4">
        <f>DATE(YEAR(DW139)+2,MONTH(DW139),DAY(DW139))</f>
        <v>46645</v>
      </c>
      <c r="DY139" s="8">
        <f t="shared" ca="1" si="505"/>
        <v>511</v>
      </c>
      <c r="DZ139" s="5" t="str">
        <f t="shared" ca="1" si="506"/>
        <v>VIGENTE</v>
      </c>
      <c r="EA139" s="3"/>
      <c r="EB139" s="4">
        <v>45938</v>
      </c>
      <c r="EC139" s="4">
        <f>DATE(YEAR(EB139)+2,MONTH(EB139),DAY(EB139))</f>
        <v>46668</v>
      </c>
      <c r="ED139" s="8">
        <f t="shared" ca="1" si="507"/>
        <v>534</v>
      </c>
      <c r="EE139" s="5" t="str">
        <f t="shared" ca="1" si="508"/>
        <v>VIGENTE</v>
      </c>
      <c r="EF139" s="3"/>
      <c r="EG139" s="3">
        <v>46002</v>
      </c>
      <c r="EH139" s="4">
        <f t="shared" si="575"/>
        <v>46367</v>
      </c>
      <c r="EI139" s="8">
        <f t="shared" ca="1" si="509"/>
        <v>233</v>
      </c>
      <c r="EJ139" s="5" t="str">
        <f t="shared" ca="1" si="510"/>
        <v>VIGENTE</v>
      </c>
      <c r="EK139" s="3"/>
      <c r="EL139" s="4">
        <v>45940</v>
      </c>
      <c r="EM139" s="4">
        <f>DATE(YEAR(EL139)+2,MONTH(EL139),DAY(EL139))</f>
        <v>46670</v>
      </c>
      <c r="EN139" s="8">
        <f t="shared" ca="1" si="511"/>
        <v>536</v>
      </c>
      <c r="EO139" s="5" t="str">
        <f t="shared" ca="1" si="512"/>
        <v>VIGENTE</v>
      </c>
      <c r="EP139" s="3"/>
      <c r="EQ139" s="4">
        <v>45993</v>
      </c>
      <c r="ER139" s="4">
        <f>DATE(YEAR(EQ139)+2,MONTH(EQ139),DAY(EQ139))</f>
        <v>46723</v>
      </c>
      <c r="ES139" s="8">
        <f t="shared" ca="1" si="513"/>
        <v>589</v>
      </c>
      <c r="ET139" s="5" t="str">
        <f t="shared" ca="1" si="514"/>
        <v>VIGENTE</v>
      </c>
      <c r="EU139" s="2"/>
      <c r="EV139" s="4">
        <v>45917</v>
      </c>
      <c r="EW139" s="4">
        <f>DATE(YEAR(EV139)+2,MONTH(EV139),DAY(EV139))</f>
        <v>46647</v>
      </c>
      <c r="EX139" s="8">
        <f t="shared" ca="1" si="515"/>
        <v>513</v>
      </c>
      <c r="EY139" s="5" t="str">
        <f t="shared" ca="1" si="516"/>
        <v>VIGENTE</v>
      </c>
      <c r="EZ139" s="2"/>
      <c r="FA139" s="4">
        <v>45931</v>
      </c>
      <c r="FB139" s="4">
        <f>DATE(YEAR(FA139)+2,MONTH(FA139),DAY(FA139))</f>
        <v>46661</v>
      </c>
      <c r="FC139" s="8">
        <f t="shared" ca="1" si="517"/>
        <v>527</v>
      </c>
      <c r="FD139" s="5" t="str">
        <f t="shared" ca="1" si="518"/>
        <v>VIGENTE</v>
      </c>
      <c r="FE139" s="2"/>
      <c r="FF139" s="4">
        <v>45932</v>
      </c>
      <c r="FG139" s="4">
        <f>DATE(YEAR(FF139)+2,MONTH(FF139),DAY(FF139))</f>
        <v>46662</v>
      </c>
      <c r="FH139" s="8">
        <f t="shared" ca="1" si="519"/>
        <v>528</v>
      </c>
      <c r="FI139" s="5" t="str">
        <f t="shared" ca="1" si="520"/>
        <v>VIGENTE</v>
      </c>
      <c r="FJ139" s="3"/>
      <c r="FK139" s="4">
        <v>45933</v>
      </c>
      <c r="FL139" s="4">
        <f>DATE(YEAR(FK139)+2,MONTH(FK139),DAY(FK139))</f>
        <v>46663</v>
      </c>
      <c r="FM139" s="8">
        <f t="shared" ca="1" si="521"/>
        <v>529</v>
      </c>
      <c r="FN139" s="5" t="str">
        <f t="shared" ca="1" si="522"/>
        <v>VIGENTE</v>
      </c>
      <c r="FO139" s="3"/>
      <c r="FP139" s="4">
        <v>45957</v>
      </c>
      <c r="FQ139" s="4">
        <f>DATE(YEAR(FP139)+2,MONTH(FP139),DAY(FP139))</f>
        <v>46687</v>
      </c>
      <c r="FR139" s="8">
        <f t="shared" ca="1" si="523"/>
        <v>553</v>
      </c>
      <c r="FS139" s="5" t="str">
        <f t="shared" ca="1" si="524"/>
        <v>VIGENTE</v>
      </c>
      <c r="FT139" s="3"/>
      <c r="FU139" s="4">
        <v>45941</v>
      </c>
      <c r="FV139" s="4">
        <f>DATE(YEAR(FU139)+2,MONTH(FU139),DAY(FU139))</f>
        <v>46671</v>
      </c>
      <c r="FW139" s="8">
        <f t="shared" ca="1" si="525"/>
        <v>537</v>
      </c>
      <c r="FX139" s="5" t="str">
        <f t="shared" ca="1" si="526"/>
        <v>VIGENTE</v>
      </c>
      <c r="FY139" s="3"/>
      <c r="FZ139" s="4">
        <v>45833</v>
      </c>
      <c r="GA139" s="4">
        <f>DATE(YEAR(FZ139)+2,MONTH(FZ139),DAY(FZ139))</f>
        <v>46563</v>
      </c>
      <c r="GB139" s="8">
        <f t="shared" ca="1" si="527"/>
        <v>429</v>
      </c>
      <c r="GC139" s="5" t="str">
        <f t="shared" ca="1" si="528"/>
        <v>VIGENTE</v>
      </c>
      <c r="GD139" s="3"/>
      <c r="GE139" s="4">
        <v>45960</v>
      </c>
      <c r="GF139" s="4">
        <f>DATE(YEAR(GE139)+2,MONTH(GE139),DAY(GE139))</f>
        <v>46690</v>
      </c>
      <c r="GG139" s="8">
        <f t="shared" ca="1" si="529"/>
        <v>556</v>
      </c>
      <c r="GH139" s="5" t="str">
        <f t="shared" ca="1" si="530"/>
        <v>VIGENTE</v>
      </c>
      <c r="GI139" s="3"/>
      <c r="GJ139" s="4">
        <v>45945</v>
      </c>
      <c r="GK139" s="4">
        <f>DATE(YEAR(GJ139)+2,MONTH(GJ139),DAY(GJ139))</f>
        <v>46675</v>
      </c>
      <c r="GL139" s="8">
        <f t="shared" ca="1" si="531"/>
        <v>541</v>
      </c>
      <c r="GM139" s="5" t="str">
        <f t="shared" ca="1" si="532"/>
        <v>VIGENTE</v>
      </c>
      <c r="GN139" s="4"/>
      <c r="GO139" s="4">
        <v>45181</v>
      </c>
      <c r="GP139" s="4">
        <f t="shared" si="533"/>
        <v>47008</v>
      </c>
      <c r="GQ139" s="8">
        <f t="shared" ca="1" si="418"/>
        <v>874</v>
      </c>
      <c r="GR139" s="5" t="str">
        <f t="shared" ca="1" si="431"/>
        <v>VIGENTE</v>
      </c>
      <c r="GS139" s="3"/>
      <c r="GT139" s="4">
        <v>45267</v>
      </c>
      <c r="GU139" s="4">
        <f t="shared" si="534"/>
        <v>47094</v>
      </c>
      <c r="GV139" s="8">
        <f t="shared" ca="1" si="535"/>
        <v>960</v>
      </c>
      <c r="GW139" s="5" t="str">
        <f t="shared" ca="1" si="438"/>
        <v>VIGENTE</v>
      </c>
      <c r="GX139" s="2"/>
      <c r="GY139" s="4">
        <v>45251</v>
      </c>
      <c r="GZ139" s="4">
        <f t="shared" si="536"/>
        <v>47078</v>
      </c>
      <c r="HA139" s="8">
        <f t="shared" ca="1" si="537"/>
        <v>944</v>
      </c>
      <c r="HB139" s="5" t="str">
        <f t="shared" ca="1" si="433"/>
        <v>VIGENTE</v>
      </c>
      <c r="HC139" s="6"/>
      <c r="HD139" s="6"/>
      <c r="HE139" s="4"/>
      <c r="HF139" s="8"/>
      <c r="HG139" s="5" t="str">
        <f t="shared" si="439"/>
        <v>NO APLICA</v>
      </c>
      <c r="HH139" s="2"/>
      <c r="HI139" s="6"/>
      <c r="HJ139" s="4"/>
      <c r="HK139" s="8"/>
      <c r="HL139" s="5" t="str">
        <f t="shared" si="457"/>
        <v>NO APLICA</v>
      </c>
      <c r="HM139" s="2"/>
      <c r="HN139" s="2"/>
      <c r="HO139" s="4"/>
      <c r="HP139" s="2"/>
      <c r="HQ139" s="5" t="str">
        <f t="shared" si="538"/>
        <v>NO APLICA</v>
      </c>
      <c r="HR139" s="2"/>
      <c r="HS139" s="6"/>
      <c r="HT139" s="4"/>
      <c r="HU139" s="8"/>
      <c r="HV139" s="5" t="str">
        <f t="shared" si="539"/>
        <v>NO APLICA</v>
      </c>
      <c r="HW139" s="2"/>
      <c r="HX139" s="6"/>
      <c r="HY139" s="4"/>
      <c r="HZ139" s="8"/>
      <c r="IA139" s="5" t="str">
        <f t="shared" si="540"/>
        <v>NO APLICA</v>
      </c>
      <c r="IB139" s="2"/>
      <c r="IC139" s="6"/>
      <c r="ID139" s="4"/>
      <c r="IE139" s="8"/>
      <c r="IF139" s="5" t="str">
        <f t="shared" si="541"/>
        <v>NO APLICA</v>
      </c>
      <c r="IG139" s="6"/>
      <c r="IH139" s="6"/>
      <c r="II139" s="4"/>
      <c r="IJ139" s="8"/>
      <c r="IK139" s="5" t="str">
        <f t="shared" si="542"/>
        <v>NO APLICA</v>
      </c>
      <c r="IL139" s="2"/>
      <c r="IM139" s="6"/>
      <c r="IN139" s="4"/>
      <c r="IO139" s="8"/>
      <c r="IP139" s="5" t="str">
        <f t="shared" si="543"/>
        <v>NO APLICA</v>
      </c>
      <c r="IQ139" s="2"/>
      <c r="IR139" s="6"/>
      <c r="IS139" s="4"/>
      <c r="IT139" s="8"/>
      <c r="IU139" s="5" t="str">
        <f t="shared" si="544"/>
        <v>NO APLICA</v>
      </c>
      <c r="IV139" s="2"/>
      <c r="IW139" s="6"/>
      <c r="IX139" s="4"/>
      <c r="IY139" s="8"/>
      <c r="IZ139" s="5" t="str">
        <f t="shared" si="545"/>
        <v>NO APLICA</v>
      </c>
      <c r="JA139" s="3"/>
      <c r="JB139" s="3"/>
      <c r="JC139" s="4"/>
      <c r="JD139" s="8"/>
      <c r="JE139" s="5" t="str">
        <f t="shared" si="546"/>
        <v>NO APLICA</v>
      </c>
      <c r="JF139" s="6"/>
      <c r="JG139" s="6"/>
      <c r="JH139" s="6"/>
      <c r="JI139" s="6"/>
      <c r="JJ139" s="5" t="str">
        <f t="shared" si="547"/>
        <v>NO APLICA</v>
      </c>
      <c r="JK139" s="6"/>
      <c r="JL139" s="6"/>
      <c r="JM139" s="6"/>
      <c r="JN139" s="6"/>
      <c r="JO139" s="5" t="str">
        <f t="shared" si="548"/>
        <v>NO APLICA</v>
      </c>
      <c r="JP139" s="6"/>
      <c r="JQ139" s="6"/>
      <c r="JR139" s="6"/>
      <c r="JS139" s="6"/>
      <c r="JT139" s="5" t="str">
        <f t="shared" si="549"/>
        <v>NO APLICA</v>
      </c>
      <c r="JU139" s="5"/>
      <c r="JV139" s="5"/>
      <c r="JW139" s="5"/>
      <c r="JX139" s="5"/>
      <c r="JY139" s="5" t="str">
        <f t="shared" si="550"/>
        <v>NO APLICA</v>
      </c>
      <c r="JZ139" s="5"/>
      <c r="KA139" s="2"/>
      <c r="KB139" s="4"/>
      <c r="KC139" s="8"/>
      <c r="KD139" s="5" t="str">
        <f t="shared" si="551"/>
        <v>NO APLICA</v>
      </c>
      <c r="KE139" s="5"/>
      <c r="KF139" s="2"/>
      <c r="KG139" s="4"/>
      <c r="KH139" s="8"/>
      <c r="KI139" s="5" t="str">
        <f t="shared" si="576"/>
        <v>NO APLICA</v>
      </c>
      <c r="KJ139" s="5"/>
      <c r="KK139" s="2"/>
      <c r="KL139" s="4"/>
      <c r="KM139" s="8"/>
      <c r="KN139" s="5" t="str">
        <f t="shared" si="552"/>
        <v>NO APLICA</v>
      </c>
      <c r="KO139" s="5"/>
      <c r="KP139" s="2"/>
      <c r="KQ139" s="4"/>
      <c r="KR139" s="8"/>
      <c r="KS139" s="5" t="str">
        <f t="shared" si="577"/>
        <v>NO APLICA</v>
      </c>
      <c r="KT139" s="2"/>
      <c r="KU139" s="6"/>
      <c r="KV139" s="4"/>
      <c r="KW139" s="8"/>
      <c r="KX139" s="5" t="str">
        <f t="shared" si="583"/>
        <v>NO APLICA</v>
      </c>
      <c r="KY139" s="5"/>
      <c r="KZ139" s="6"/>
      <c r="LA139" s="4"/>
      <c r="LB139" s="8"/>
      <c r="LC139" s="5" t="str">
        <f t="shared" si="578"/>
        <v>NO APLICA</v>
      </c>
      <c r="LD139" s="6"/>
      <c r="LE139" s="6"/>
      <c r="LF139" s="4"/>
      <c r="LG139" s="8"/>
      <c r="LH139" s="5" t="str">
        <f t="shared" si="585"/>
        <v>NO APLICA</v>
      </c>
      <c r="LI139" s="5"/>
      <c r="LJ139" s="5"/>
      <c r="LK139" s="4"/>
      <c r="LL139" s="8"/>
      <c r="LM139" s="5" t="str">
        <f t="shared" si="584"/>
        <v>NO APLICA</v>
      </c>
      <c r="LN139" s="2"/>
      <c r="LO139" s="6"/>
      <c r="LP139" s="4"/>
      <c r="LQ139" s="8"/>
      <c r="LR139" s="5" t="str">
        <f t="shared" si="579"/>
        <v>NO APLICA</v>
      </c>
      <c r="LS139" s="6"/>
      <c r="LT139" s="6"/>
      <c r="LU139" s="4"/>
      <c r="LV139" s="8"/>
      <c r="LW139" s="5" t="str">
        <f t="shared" si="580"/>
        <v>NO APLICA</v>
      </c>
      <c r="LX139" s="6"/>
      <c r="LY139" s="6"/>
      <c r="LZ139" s="4"/>
      <c r="MA139" s="8"/>
      <c r="MB139" s="5" t="str">
        <f t="shared" si="581"/>
        <v>NO APLICA</v>
      </c>
      <c r="MC139" s="2"/>
      <c r="MD139" s="2"/>
      <c r="ME139" s="4"/>
      <c r="MF139" s="8"/>
      <c r="MG139" s="5" t="str">
        <f t="shared" si="554"/>
        <v>NO APLICA</v>
      </c>
      <c r="MH139" s="2"/>
      <c r="MI139" s="2"/>
      <c r="MJ139" s="4"/>
      <c r="MK139" s="8"/>
      <c r="ML139" s="5" t="str">
        <f t="shared" si="555"/>
        <v>NO APLICA</v>
      </c>
      <c r="MM139" s="5"/>
      <c r="MN139" s="2"/>
      <c r="MO139" s="4"/>
      <c r="MP139" s="8"/>
      <c r="MQ139" s="5" t="str">
        <f t="shared" si="556"/>
        <v>NO APLICA</v>
      </c>
      <c r="MR139" s="5"/>
      <c r="MS139" s="2"/>
      <c r="MT139" s="4"/>
      <c r="MU139" s="2"/>
      <c r="MV139" s="5" t="str">
        <f t="shared" si="557"/>
        <v>NO APLICA</v>
      </c>
      <c r="MW139" s="2"/>
      <c r="MX139" s="6"/>
      <c r="MY139" s="4"/>
      <c r="MZ139" s="8"/>
      <c r="NA139" s="5" t="str">
        <f t="shared" si="558"/>
        <v>NO APLICA</v>
      </c>
      <c r="NB139" s="2"/>
      <c r="NC139" s="6"/>
      <c r="ND139" s="4"/>
      <c r="NE139" s="8"/>
      <c r="NF139" s="5" t="str">
        <f t="shared" si="559"/>
        <v>NO APLICA</v>
      </c>
      <c r="NG139" s="2"/>
      <c r="NH139" s="6"/>
      <c r="NI139" s="4"/>
      <c r="NJ139" s="8"/>
      <c r="NK139" s="5" t="str">
        <f t="shared" si="560"/>
        <v>NO APLICA</v>
      </c>
      <c r="NL139" s="2"/>
      <c r="NM139" s="2"/>
      <c r="NN139" s="4"/>
      <c r="NO139" s="8"/>
      <c r="NP139" s="5" t="str">
        <f t="shared" si="561"/>
        <v>NO APLICA</v>
      </c>
      <c r="NQ139" s="2"/>
      <c r="NR139" s="2"/>
      <c r="NS139" s="4"/>
      <c r="NT139" s="2"/>
      <c r="NU139" s="5" t="str">
        <f t="shared" si="562"/>
        <v>NO APLICA</v>
      </c>
      <c r="NV139" s="6"/>
      <c r="NW139" s="6"/>
      <c r="NX139" s="4"/>
      <c r="NY139" s="8"/>
      <c r="NZ139" s="5" t="str">
        <f t="shared" si="563"/>
        <v>NO APLICA</v>
      </c>
      <c r="OA139" s="6"/>
      <c r="OB139" s="6"/>
      <c r="OC139" s="6"/>
      <c r="OD139" s="6"/>
      <c r="OE139" s="5" t="str">
        <f t="shared" si="564"/>
        <v>NO APLICA</v>
      </c>
      <c r="OF139" s="2"/>
      <c r="OG139" s="2"/>
      <c r="OH139" s="4"/>
      <c r="OI139" s="8"/>
      <c r="OJ139" s="5" t="str">
        <f t="shared" si="565"/>
        <v>NO APLICA</v>
      </c>
      <c r="OK139" s="6"/>
      <c r="OL139" s="6"/>
      <c r="OM139" s="6"/>
      <c r="ON139" s="6"/>
      <c r="OO139" s="5" t="str">
        <f t="shared" si="566"/>
        <v>NO APLICA</v>
      </c>
      <c r="OP139" s="6"/>
      <c r="OQ139" s="6"/>
      <c r="OR139" s="6"/>
      <c r="OS139" s="6"/>
      <c r="OT139" s="5" t="str">
        <f t="shared" si="567"/>
        <v>NO APLICA</v>
      </c>
      <c r="OU139" s="6"/>
      <c r="OV139" s="6"/>
      <c r="OW139" s="6"/>
      <c r="OX139" s="6"/>
      <c r="OY139" s="5" t="str">
        <f t="shared" si="568"/>
        <v>NO APLICA</v>
      </c>
      <c r="OZ139" s="6"/>
      <c r="PA139" s="6"/>
      <c r="PB139" s="6"/>
      <c r="PC139" s="6"/>
      <c r="PD139" s="5" t="str">
        <f t="shared" si="569"/>
        <v>NO APLICA</v>
      </c>
      <c r="PE139" s="6"/>
      <c r="PF139" s="6"/>
      <c r="PG139" s="6"/>
      <c r="PH139" s="6"/>
      <c r="PI139" s="5" t="str">
        <f t="shared" si="570"/>
        <v>NO APLICA</v>
      </c>
      <c r="PJ139" s="5"/>
      <c r="PK139" s="6"/>
      <c r="PL139" s="4"/>
      <c r="PM139" s="8"/>
      <c r="PN139" s="5" t="str">
        <f t="shared" si="571"/>
        <v>NO APLICA</v>
      </c>
      <c r="PO139" s="6"/>
      <c r="PP139" s="6"/>
      <c r="PQ139" s="6"/>
      <c r="PR139" s="6"/>
      <c r="PS139" s="5" t="str">
        <f t="shared" si="572"/>
        <v>NO APLICA</v>
      </c>
      <c r="PT139" s="5"/>
      <c r="PU139" s="6"/>
      <c r="PV139" s="6"/>
      <c r="PW139" s="6"/>
      <c r="PX139" s="5" t="str">
        <f t="shared" si="573"/>
        <v>NO APLICA</v>
      </c>
    </row>
    <row r="140" spans="1:440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462</v>
      </c>
      <c r="V140" s="4">
        <v>45958</v>
      </c>
      <c r="W140" s="4">
        <f t="shared" si="421"/>
        <v>47784</v>
      </c>
      <c r="X140" s="8">
        <f t="shared" ca="1" si="422"/>
        <v>1650</v>
      </c>
      <c r="Y140" s="5" t="str">
        <f t="shared" ca="1" si="423"/>
        <v>VIGENTE</v>
      </c>
      <c r="Z140" s="2" t="s">
        <v>463</v>
      </c>
      <c r="AA140" s="4">
        <v>44391</v>
      </c>
      <c r="AB140" s="4">
        <f>DATE(YEAR(AA140)+5,MONTH(AA140),DAY(AA140))</f>
        <v>46217</v>
      </c>
      <c r="AC140" s="8">
        <f ca="1">AB140-TODAY()</f>
        <v>83</v>
      </c>
      <c r="AD140" s="5" t="str">
        <f t="shared" ca="1" si="582"/>
        <v>POR VENCER</v>
      </c>
      <c r="AE140" s="3"/>
      <c r="AF140" s="4">
        <v>45680</v>
      </c>
      <c r="AG140" s="4">
        <f>DATE(YEAR(AF140)+2,MONTH(AF140),DAY(AF140)-1)</f>
        <v>46409</v>
      </c>
      <c r="AH140" s="8">
        <f t="shared" ca="1" si="470"/>
        <v>275</v>
      </c>
      <c r="AI140" s="5" t="str">
        <f t="shared" ca="1" si="419"/>
        <v>VIGENTE</v>
      </c>
      <c r="AJ140" s="3"/>
      <c r="AK140" s="4">
        <v>45710</v>
      </c>
      <c r="AL140" s="4">
        <f>DATE(YEAR(AK140)+2,MONTH(AK140),DAY(AK140)-1)</f>
        <v>46439</v>
      </c>
      <c r="AM140" s="8">
        <f t="shared" ca="1" si="471"/>
        <v>305</v>
      </c>
      <c r="AN140" s="5" t="str">
        <f t="shared" ca="1" si="472"/>
        <v>VIGENTE</v>
      </c>
      <c r="AO140" s="3"/>
      <c r="AP140" s="4">
        <v>45703</v>
      </c>
      <c r="AQ140" s="4">
        <f>DATE(YEAR(AP140)+2,MONTH(AP140),DAY(AP140)-1)</f>
        <v>46432</v>
      </c>
      <c r="AR140" s="8">
        <f t="shared" ca="1" si="473"/>
        <v>298</v>
      </c>
      <c r="AS140" s="5" t="str">
        <f t="shared" ca="1" si="474"/>
        <v>VIGENTE</v>
      </c>
      <c r="AT140" s="3"/>
      <c r="AU140" s="4">
        <v>45702</v>
      </c>
      <c r="AV140" s="4">
        <f>DATE(YEAR(AU140)+2,MONTH(AU140),DAY(AU140)-1)</f>
        <v>46431</v>
      </c>
      <c r="AW140" s="8">
        <f t="shared" ca="1" si="475"/>
        <v>297</v>
      </c>
      <c r="AX140" s="5" t="str">
        <f t="shared" ca="1" si="476"/>
        <v>VIGENTE</v>
      </c>
      <c r="AY140" s="3"/>
      <c r="AZ140" s="4">
        <v>45717</v>
      </c>
      <c r="BA140" s="4">
        <f>DATE(YEAR(AZ140)+2,MONTH(AZ140),DAY(AZ140)-1)</f>
        <v>46446</v>
      </c>
      <c r="BB140" s="8">
        <f t="shared" ca="1" si="477"/>
        <v>312</v>
      </c>
      <c r="BC140" s="5" t="str">
        <f t="shared" ca="1" si="478"/>
        <v>VIGENTE</v>
      </c>
      <c r="BD140" s="3"/>
      <c r="BE140" s="4">
        <v>45698</v>
      </c>
      <c r="BF140" s="4">
        <f>DATE(YEAR(BE140)+2,MONTH(BE140),DAY(BE140)-1)</f>
        <v>46427</v>
      </c>
      <c r="BG140" s="8">
        <f t="shared" ca="1" si="479"/>
        <v>293</v>
      </c>
      <c r="BH140" s="5" t="str">
        <f t="shared" ca="1" si="480"/>
        <v>VIGENTE</v>
      </c>
      <c r="BI140" s="3"/>
      <c r="BJ140" s="4">
        <v>45570</v>
      </c>
      <c r="BK140" s="4">
        <f>DATE(YEAR(BJ140)+2,MONTH(BJ140),DAY(BJ140)-1)</f>
        <v>46299</v>
      </c>
      <c r="BL140" s="8">
        <f t="shared" ca="1" si="481"/>
        <v>165</v>
      </c>
      <c r="BM140" s="5" t="str">
        <f t="shared" ca="1" si="482"/>
        <v>VIGENTE</v>
      </c>
      <c r="BN140" s="3"/>
      <c r="BO140" s="4">
        <v>45701</v>
      </c>
      <c r="BP140" s="4">
        <f>DATE(YEAR(BO140)+2,MONTH(BO140),DAY(BO140)-1)</f>
        <v>46430</v>
      </c>
      <c r="BQ140" s="8">
        <f t="shared" ca="1" si="483"/>
        <v>296</v>
      </c>
      <c r="BR140" s="5" t="str">
        <f t="shared" ca="1" si="484"/>
        <v>VIGENTE</v>
      </c>
      <c r="BS140" s="3"/>
      <c r="BT140" s="4">
        <v>45568</v>
      </c>
      <c r="BU140" s="4">
        <f>DATE(YEAR(BT140)+2,MONTH(BT140),DAY(BT140)-1)</f>
        <v>46297</v>
      </c>
      <c r="BV140" s="8">
        <f t="shared" ca="1" si="485"/>
        <v>163</v>
      </c>
      <c r="BW140" s="5" t="str">
        <f t="shared" ca="1" si="486"/>
        <v>VIGENTE</v>
      </c>
      <c r="BX140" s="3"/>
      <c r="BY140" s="4">
        <v>45730</v>
      </c>
      <c r="BZ140" s="4">
        <f>DATE(YEAR(BY140)+2,MONTH(BY140),DAY(BY140)-1)</f>
        <v>46459</v>
      </c>
      <c r="CA140" s="8">
        <f t="shared" ca="1" si="487"/>
        <v>325</v>
      </c>
      <c r="CB140" s="5" t="str">
        <f t="shared" ca="1" si="488"/>
        <v>VIGENTE</v>
      </c>
      <c r="CC140" s="6" t="s">
        <v>73</v>
      </c>
      <c r="CD140" s="4">
        <v>45533</v>
      </c>
      <c r="CE140" s="4">
        <f t="shared" si="428"/>
        <v>46994</v>
      </c>
      <c r="CF140" s="8">
        <f t="shared" ca="1" si="429"/>
        <v>860</v>
      </c>
      <c r="CG140" s="5" t="str">
        <f t="shared" ca="1" si="430"/>
        <v>VIGENTE</v>
      </c>
      <c r="CH140" s="4"/>
      <c r="CI140" s="4">
        <v>45601</v>
      </c>
      <c r="CJ140" s="4">
        <f>DATE(YEAR(CI140)+2,MONTH(CI140),DAY(CI140)-1)</f>
        <v>46330</v>
      </c>
      <c r="CK140" s="8">
        <f t="shared" ca="1" si="489"/>
        <v>196</v>
      </c>
      <c r="CL140" s="5" t="str">
        <f t="shared" ca="1" si="490"/>
        <v>VIGENTE</v>
      </c>
      <c r="CM140" s="3"/>
      <c r="CN140" s="4">
        <v>45684</v>
      </c>
      <c r="CO140" s="4">
        <f>DATE(YEAR(CN140)+2,MONTH(CN140),DAY(CN140)-1)</f>
        <v>46413</v>
      </c>
      <c r="CP140" s="8">
        <f t="shared" ca="1" si="491"/>
        <v>279</v>
      </c>
      <c r="CQ140" s="5" t="str">
        <f t="shared" ca="1" si="492"/>
        <v>VIGENTE</v>
      </c>
      <c r="CR140" s="3"/>
      <c r="CS140" s="4">
        <v>45727</v>
      </c>
      <c r="CT140" s="4">
        <f>DATE(YEAR(CS140)+2,MONTH(CS140),DAY(CS140)-1)</f>
        <v>46456</v>
      </c>
      <c r="CU140" s="8">
        <f t="shared" ca="1" si="493"/>
        <v>322</v>
      </c>
      <c r="CV140" s="5" t="str">
        <f t="shared" ca="1" si="494"/>
        <v>VIGENTE</v>
      </c>
      <c r="CW140" s="3"/>
      <c r="CX140" s="4">
        <v>45681</v>
      </c>
      <c r="CY140" s="4">
        <f>DATE(YEAR(CX140)+2,MONTH(CX140),DAY(CX140)-1)</f>
        <v>46410</v>
      </c>
      <c r="CZ140" s="8">
        <f t="shared" ca="1" si="495"/>
        <v>276</v>
      </c>
      <c r="DA140" s="5" t="str">
        <f t="shared" ca="1" si="496"/>
        <v>VIGENTE</v>
      </c>
      <c r="DB140" s="3"/>
      <c r="DC140" s="4">
        <v>45596</v>
      </c>
      <c r="DD140" s="4">
        <f>DATE(YEAR(DC140)+2,MONTH(DC140),DAY(DC140)-1)</f>
        <v>46325</v>
      </c>
      <c r="DE140" s="8">
        <f t="shared" ca="1" si="497"/>
        <v>191</v>
      </c>
      <c r="DF140" s="5" t="str">
        <f t="shared" ca="1" si="498"/>
        <v>VIGENTE</v>
      </c>
      <c r="DG140" s="3"/>
      <c r="DH140" s="4">
        <v>45696</v>
      </c>
      <c r="DI140" s="4">
        <f>DATE(YEAR(DH140)+2,MONTH(DH140),DAY(DH140)-1)</f>
        <v>46425</v>
      </c>
      <c r="DJ140" s="8">
        <f t="shared" ca="1" si="499"/>
        <v>291</v>
      </c>
      <c r="DK140" s="5" t="str">
        <f t="shared" ca="1" si="500"/>
        <v>VIGENTE</v>
      </c>
      <c r="DL140" s="3"/>
      <c r="DM140" s="4">
        <v>45577</v>
      </c>
      <c r="DN140" s="4">
        <f>DATE(YEAR(DM140)+2,MONTH(DM140),DAY(DM140)-1)</f>
        <v>46306</v>
      </c>
      <c r="DO140" s="8">
        <f t="shared" ca="1" si="501"/>
        <v>172</v>
      </c>
      <c r="DP140" s="5" t="str">
        <f t="shared" ca="1" si="502"/>
        <v>VIGENTE</v>
      </c>
      <c r="DQ140" s="3"/>
      <c r="DR140" s="4">
        <v>45685</v>
      </c>
      <c r="DS140" s="4">
        <f>DATE(YEAR(DR140)+2,MONTH(DR140),DAY(DR140)-1)</f>
        <v>46414</v>
      </c>
      <c r="DT140" s="8">
        <f t="shared" ca="1" si="503"/>
        <v>280</v>
      </c>
      <c r="DU140" s="5" t="str">
        <f t="shared" ca="1" si="504"/>
        <v>VIGENTE</v>
      </c>
      <c r="DV140" s="3"/>
      <c r="DW140" s="4">
        <v>45663</v>
      </c>
      <c r="DX140" s="4">
        <f>DATE(YEAR(DW140)+2,MONTH(DW140),DAY(DW140)-1)</f>
        <v>46392</v>
      </c>
      <c r="DY140" s="8">
        <f t="shared" ca="1" si="505"/>
        <v>258</v>
      </c>
      <c r="DZ140" s="5" t="str">
        <f t="shared" ca="1" si="506"/>
        <v>VIGENTE</v>
      </c>
      <c r="EA140" s="3"/>
      <c r="EB140" s="4">
        <v>45674</v>
      </c>
      <c r="EC140" s="4">
        <f>DATE(YEAR(EB140)+2,MONTH(EB140),DAY(EB140)-1)</f>
        <v>46403</v>
      </c>
      <c r="ED140" s="8">
        <f t="shared" ca="1" si="507"/>
        <v>269</v>
      </c>
      <c r="EE140" s="5" t="str">
        <f t="shared" ca="1" si="508"/>
        <v>VIGENTE</v>
      </c>
      <c r="EF140" s="3"/>
      <c r="EG140" s="4">
        <v>45812</v>
      </c>
      <c r="EH140" s="4">
        <f t="shared" si="575"/>
        <v>46177</v>
      </c>
      <c r="EI140" s="8">
        <f t="shared" ca="1" si="509"/>
        <v>43</v>
      </c>
      <c r="EJ140" s="5" t="str">
        <f t="shared" ca="1" si="510"/>
        <v>POR VENCER</v>
      </c>
      <c r="EK140" s="3"/>
      <c r="EL140" s="4">
        <v>45636</v>
      </c>
      <c r="EM140" s="4">
        <f>DATE(YEAR(EL140)+2,MONTH(EL140),DAY(EL140)-1)</f>
        <v>46365</v>
      </c>
      <c r="EN140" s="8">
        <f t="shared" ca="1" si="511"/>
        <v>231</v>
      </c>
      <c r="EO140" s="5" t="str">
        <f t="shared" ca="1" si="512"/>
        <v>VIGENTE</v>
      </c>
      <c r="EP140" s="3"/>
      <c r="EQ140" s="4">
        <v>45623</v>
      </c>
      <c r="ER140" s="4">
        <f>DATE(YEAR(EQ140)+2,MONTH(EQ140),DAY(EQ140)-1)</f>
        <v>46352</v>
      </c>
      <c r="ES140" s="8">
        <f t="shared" ca="1" si="513"/>
        <v>218</v>
      </c>
      <c r="ET140" s="5" t="str">
        <f t="shared" ca="1" si="514"/>
        <v>VIGENTE</v>
      </c>
      <c r="EU140" s="3"/>
      <c r="EV140" s="4">
        <v>45610</v>
      </c>
      <c r="EW140" s="4">
        <f>DATE(YEAR(EV140)+2,MONTH(EV140),DAY(EV140)-1)</f>
        <v>46339</v>
      </c>
      <c r="EX140" s="8">
        <f t="shared" ca="1" si="515"/>
        <v>205</v>
      </c>
      <c r="EY140" s="5" t="str">
        <f t="shared" ca="1" si="516"/>
        <v>VIGENTE</v>
      </c>
      <c r="EZ140" s="3"/>
      <c r="FA140" s="4">
        <v>45611</v>
      </c>
      <c r="FB140" s="4">
        <f>DATE(YEAR(FA140)+2,MONTH(FA140),DAY(FA140)-1)</f>
        <v>46340</v>
      </c>
      <c r="FC140" s="8">
        <f t="shared" ca="1" si="517"/>
        <v>206</v>
      </c>
      <c r="FD140" s="5" t="str">
        <f t="shared" ca="1" si="518"/>
        <v>VIGENTE</v>
      </c>
      <c r="FE140" s="3"/>
      <c r="FF140" s="4">
        <v>45668</v>
      </c>
      <c r="FG140" s="4">
        <f>DATE(YEAR(FF140)+2,MONTH(FF140),DAY(FF140)-1)</f>
        <v>46397</v>
      </c>
      <c r="FH140" s="8">
        <f t="shared" ca="1" si="519"/>
        <v>263</v>
      </c>
      <c r="FI140" s="5" t="str">
        <f t="shared" ca="1" si="520"/>
        <v>VIGENTE</v>
      </c>
      <c r="FJ140" s="3"/>
      <c r="FK140" s="4">
        <v>45588</v>
      </c>
      <c r="FL140" s="4">
        <f>DATE(YEAR(FK140)+2,MONTH(FK140),DAY(FK140)-1)</f>
        <v>46317</v>
      </c>
      <c r="FM140" s="8">
        <f t="shared" ca="1" si="521"/>
        <v>183</v>
      </c>
      <c r="FN140" s="5" t="str">
        <f t="shared" ca="1" si="522"/>
        <v>VIGENTE</v>
      </c>
      <c r="FO140" s="3"/>
      <c r="FP140" s="4">
        <v>45664</v>
      </c>
      <c r="FQ140" s="4">
        <f>DATE(YEAR(FP140)+2,MONTH(FP140),DAY(FP140)-1)</f>
        <v>46393</v>
      </c>
      <c r="FR140" s="8">
        <f t="shared" ca="1" si="523"/>
        <v>259</v>
      </c>
      <c r="FS140" s="5" t="str">
        <f t="shared" ca="1" si="524"/>
        <v>VIGENTE</v>
      </c>
      <c r="FT140" s="3"/>
      <c r="FU140" s="4">
        <v>45700</v>
      </c>
      <c r="FV140" s="4">
        <f>DATE(YEAR(FU140)+2,MONTH(FU140),DAY(FU140)-1)</f>
        <v>46429</v>
      </c>
      <c r="FW140" s="8">
        <f t="shared" ca="1" si="525"/>
        <v>295</v>
      </c>
      <c r="FX140" s="5" t="str">
        <f t="shared" ca="1" si="526"/>
        <v>VIGENTE</v>
      </c>
      <c r="FY140" s="3"/>
      <c r="FZ140" s="4">
        <v>45667</v>
      </c>
      <c r="GA140" s="4">
        <f>DATE(YEAR(FZ140)+2,MONTH(FZ140),DAY(FZ140)-1)</f>
        <v>46396</v>
      </c>
      <c r="GB140" s="8">
        <f t="shared" ca="1" si="527"/>
        <v>262</v>
      </c>
      <c r="GC140" s="5" t="str">
        <f t="shared" ca="1" si="528"/>
        <v>VIGENTE</v>
      </c>
      <c r="GD140" s="3"/>
      <c r="GE140" s="4">
        <v>45672</v>
      </c>
      <c r="GF140" s="4">
        <f>DATE(YEAR(GE140)+2,MONTH(GE140),DAY(GE140)-1)</f>
        <v>46401</v>
      </c>
      <c r="GG140" s="8">
        <f t="shared" ca="1" si="529"/>
        <v>267</v>
      </c>
      <c r="GH140" s="5" t="str">
        <f t="shared" ca="1" si="530"/>
        <v>VIGENTE</v>
      </c>
      <c r="GI140" s="3"/>
      <c r="GJ140" s="4">
        <v>45608</v>
      </c>
      <c r="GK140" s="4">
        <f>DATE(YEAR(GJ140)+2,MONTH(GJ140),DAY(GJ140)-1)</f>
        <v>46337</v>
      </c>
      <c r="GL140" s="8">
        <f t="shared" ca="1" si="531"/>
        <v>203</v>
      </c>
      <c r="GM140" s="5" t="str">
        <f t="shared" ca="1" si="532"/>
        <v>VIGENTE</v>
      </c>
      <c r="GN140" s="4"/>
      <c r="GO140" s="4">
        <v>44966</v>
      </c>
      <c r="GP140" s="4">
        <f t="shared" si="533"/>
        <v>46792</v>
      </c>
      <c r="GQ140" s="8">
        <f t="shared" ca="1" si="418"/>
        <v>658</v>
      </c>
      <c r="GR140" s="5" t="str">
        <f t="shared" ca="1" si="431"/>
        <v>VIGENTE</v>
      </c>
      <c r="GS140" s="3"/>
      <c r="GT140" s="4">
        <v>44952</v>
      </c>
      <c r="GU140" s="4">
        <f t="shared" si="534"/>
        <v>46778</v>
      </c>
      <c r="GV140" s="8">
        <f t="shared" ca="1" si="535"/>
        <v>644</v>
      </c>
      <c r="GW140" s="5" t="str">
        <f t="shared" ca="1" si="438"/>
        <v>VIGENTE</v>
      </c>
      <c r="GX140" s="2"/>
      <c r="GY140" s="4">
        <v>44980</v>
      </c>
      <c r="GZ140" s="4">
        <f t="shared" si="536"/>
        <v>46806</v>
      </c>
      <c r="HA140" s="8">
        <f t="shared" ca="1" si="537"/>
        <v>672</v>
      </c>
      <c r="HB140" s="5" t="str">
        <f t="shared" ca="1" si="433"/>
        <v>VIGENTE</v>
      </c>
      <c r="HC140" s="6"/>
      <c r="HD140" s="4">
        <v>44956</v>
      </c>
      <c r="HE140" s="4">
        <f>DATE(YEAR(HD140)+5,MONTH(HD140),DAY(HD140))</f>
        <v>46782</v>
      </c>
      <c r="HF140" s="8">
        <f ca="1">HE140-TODAY()</f>
        <v>648</v>
      </c>
      <c r="HG140" s="5" t="str">
        <f t="shared" ca="1" si="439"/>
        <v>VIGENTE</v>
      </c>
      <c r="HH140" s="2"/>
      <c r="HI140" s="6"/>
      <c r="HJ140" s="4"/>
      <c r="HK140" s="8"/>
      <c r="HL140" s="5" t="str">
        <f t="shared" si="457"/>
        <v>NO APLICA</v>
      </c>
      <c r="HM140" s="2"/>
      <c r="HN140" s="5"/>
      <c r="HO140" s="4"/>
      <c r="HP140" s="5"/>
      <c r="HQ140" s="5" t="str">
        <f t="shared" si="538"/>
        <v>NO APLICA</v>
      </c>
      <c r="HR140" s="2"/>
      <c r="HS140" s="4">
        <v>44953</v>
      </c>
      <c r="HT140" s="4">
        <f>DATE(YEAR(HS140)+5,MONTH(HS140),DAY(HS140))</f>
        <v>46779</v>
      </c>
      <c r="HU140" s="8">
        <f ca="1">HT140-TODAY()</f>
        <v>645</v>
      </c>
      <c r="HV140" s="5" t="str">
        <f t="shared" ca="1" si="539"/>
        <v>VIGENTE</v>
      </c>
      <c r="HW140" s="2"/>
      <c r="HX140" s="4">
        <v>44988</v>
      </c>
      <c r="HY140" s="4">
        <f>DATE(YEAR(HX140)+5,MONTH(HX140),DAY(HX140))</f>
        <v>46815</v>
      </c>
      <c r="HZ140" s="8">
        <f ca="1">HY140-TODAY()</f>
        <v>681</v>
      </c>
      <c r="IA140" s="5" t="str">
        <f t="shared" ca="1" si="540"/>
        <v>VIGENTE</v>
      </c>
      <c r="IB140" s="2"/>
      <c r="IC140" s="4">
        <v>44971</v>
      </c>
      <c r="ID140" s="4">
        <f>DATE(YEAR(IC140)+5,MONTH(IC140),DAY(IC140))</f>
        <v>46797</v>
      </c>
      <c r="IE140" s="8">
        <f ca="1">ID140-TODAY()</f>
        <v>663</v>
      </c>
      <c r="IF140" s="5" t="str">
        <f t="shared" ca="1" si="541"/>
        <v>VIGENTE</v>
      </c>
      <c r="IG140" s="6"/>
      <c r="IH140" s="4">
        <v>44965</v>
      </c>
      <c r="II140" s="4">
        <f>DATE(YEAR(IH140)+5,MONTH(IH140),DAY(IH140))</f>
        <v>46791</v>
      </c>
      <c r="IJ140" s="8">
        <f ca="1">II140-TODAY()</f>
        <v>657</v>
      </c>
      <c r="IK140" s="5" t="str">
        <f t="shared" ca="1" si="542"/>
        <v>VIGENTE</v>
      </c>
      <c r="IL140" s="2"/>
      <c r="IM140" s="4">
        <v>44977</v>
      </c>
      <c r="IN140" s="4">
        <f>DATE(YEAR(IM140)+5,MONTH(IM140),DAY(IM140))</f>
        <v>46803</v>
      </c>
      <c r="IO140" s="8">
        <f ca="1">IN140-TODAY()</f>
        <v>669</v>
      </c>
      <c r="IP140" s="5" t="str">
        <f t="shared" ca="1" si="543"/>
        <v>VIGENTE</v>
      </c>
      <c r="IQ140" s="2"/>
      <c r="IR140" s="4">
        <v>44970</v>
      </c>
      <c r="IS140" s="4">
        <f>DATE(YEAR(IR140)+5,MONTH(IR140),DAY(IR140))</f>
        <v>46796</v>
      </c>
      <c r="IT140" s="8">
        <f ca="1">IS140-TODAY()</f>
        <v>662</v>
      </c>
      <c r="IU140" s="5" t="str">
        <f t="shared" ca="1" si="544"/>
        <v>VIGENTE</v>
      </c>
      <c r="IV140" s="2"/>
      <c r="IW140" s="4">
        <v>44973</v>
      </c>
      <c r="IX140" s="4">
        <f>DATE(YEAR(IW140)+5,MONTH(IW140),DAY(IW140))</f>
        <v>46799</v>
      </c>
      <c r="IY140" s="8">
        <f ca="1">IX140-TODAY()</f>
        <v>665</v>
      </c>
      <c r="IZ140" s="5" t="str">
        <f t="shared" ca="1" si="545"/>
        <v>VIGENTE</v>
      </c>
      <c r="JA140" s="3"/>
      <c r="JB140" s="3"/>
      <c r="JC140" s="4"/>
      <c r="JD140" s="8"/>
      <c r="JE140" s="5" t="str">
        <f t="shared" si="546"/>
        <v>NO APLICA</v>
      </c>
      <c r="JF140" s="6"/>
      <c r="JG140" s="6"/>
      <c r="JH140" s="6"/>
      <c r="JI140" s="6"/>
      <c r="JJ140" s="5" t="str">
        <f t="shared" si="547"/>
        <v>NO APLICA</v>
      </c>
      <c r="JK140" s="6"/>
      <c r="JL140" s="6"/>
      <c r="JM140" s="6"/>
      <c r="JN140" s="6"/>
      <c r="JO140" s="5" t="str">
        <f t="shared" si="548"/>
        <v>NO APLICA</v>
      </c>
      <c r="JP140" s="6"/>
      <c r="JQ140" s="6"/>
      <c r="JR140" s="6"/>
      <c r="JS140" s="6"/>
      <c r="JT140" s="5" t="str">
        <f t="shared" si="549"/>
        <v>NO APLICA</v>
      </c>
      <c r="JU140" s="5"/>
      <c r="JV140" s="5"/>
      <c r="JW140" s="5"/>
      <c r="JX140" s="5"/>
      <c r="JY140" s="5" t="str">
        <f t="shared" si="550"/>
        <v>NO APLICA</v>
      </c>
      <c r="JZ140" s="5"/>
      <c r="KA140" s="5"/>
      <c r="KB140" s="4"/>
      <c r="KC140" s="8"/>
      <c r="KD140" s="5" t="str">
        <f t="shared" si="551"/>
        <v>NO APLICA</v>
      </c>
      <c r="KE140" s="5"/>
      <c r="KF140" s="5"/>
      <c r="KG140" s="4"/>
      <c r="KH140" s="8"/>
      <c r="KI140" s="5" t="str">
        <f t="shared" si="576"/>
        <v>NO APLICA</v>
      </c>
      <c r="KJ140" s="5"/>
      <c r="KK140" s="5"/>
      <c r="KL140" s="4"/>
      <c r="KM140" s="8"/>
      <c r="KN140" s="5" t="str">
        <f t="shared" si="552"/>
        <v>NO APLICA</v>
      </c>
      <c r="KO140" s="5"/>
      <c r="KP140" s="2"/>
      <c r="KQ140" s="4"/>
      <c r="KR140" s="8"/>
      <c r="KS140" s="5" t="str">
        <f t="shared" si="577"/>
        <v>NO APLICA</v>
      </c>
      <c r="KT140" s="2"/>
      <c r="KU140" s="6"/>
      <c r="KV140" s="4"/>
      <c r="KW140" s="8"/>
      <c r="KX140" s="5" t="str">
        <f t="shared" si="583"/>
        <v>NO APLICA</v>
      </c>
      <c r="KY140" s="5"/>
      <c r="KZ140" s="4">
        <v>44615</v>
      </c>
      <c r="LA140" s="4">
        <f>DATE(YEAR(KZ140)+5,MONTH(KZ140),DAY(KZ140))</f>
        <v>46441</v>
      </c>
      <c r="LB140" s="8">
        <f ca="1">LA140-TODAY()</f>
        <v>307</v>
      </c>
      <c r="LC140" s="5" t="str">
        <f t="shared" ca="1" si="578"/>
        <v>VIGENTE</v>
      </c>
      <c r="LD140" s="6"/>
      <c r="LE140" s="6"/>
      <c r="LF140" s="4"/>
      <c r="LG140" s="8"/>
      <c r="LH140" s="5" t="str">
        <f t="shared" si="585"/>
        <v>NO APLICA</v>
      </c>
      <c r="LI140" s="5"/>
      <c r="LJ140" s="5"/>
      <c r="LK140" s="4"/>
      <c r="LL140" s="8"/>
      <c r="LM140" s="5" t="str">
        <f t="shared" si="584"/>
        <v>NO APLICA</v>
      </c>
      <c r="LN140" s="5"/>
      <c r="LO140" s="6"/>
      <c r="LP140" s="4"/>
      <c r="LQ140" s="8"/>
      <c r="LR140" s="5" t="str">
        <f t="shared" si="579"/>
        <v>NO APLICA</v>
      </c>
      <c r="LS140" s="6"/>
      <c r="LT140" s="6"/>
      <c r="LU140" s="4"/>
      <c r="LV140" s="8"/>
      <c r="LW140" s="5" t="str">
        <f t="shared" si="580"/>
        <v>NO APLICA</v>
      </c>
      <c r="LX140" s="6"/>
      <c r="LY140" s="6"/>
      <c r="LZ140" s="4"/>
      <c r="MA140" s="8"/>
      <c r="MB140" s="5" t="str">
        <f t="shared" si="581"/>
        <v>NO APLICA</v>
      </c>
      <c r="MC140" s="5"/>
      <c r="MD140" s="5"/>
      <c r="ME140" s="4"/>
      <c r="MF140" s="8"/>
      <c r="MG140" s="5" t="str">
        <f t="shared" si="554"/>
        <v>NO APLICA</v>
      </c>
      <c r="MH140" s="5"/>
      <c r="MI140" s="5"/>
      <c r="MJ140" s="4"/>
      <c r="MK140" s="8"/>
      <c r="ML140" s="5" t="str">
        <f t="shared" si="555"/>
        <v>NO APLICA</v>
      </c>
      <c r="MM140" s="5"/>
      <c r="MN140" s="5"/>
      <c r="MO140" s="4"/>
      <c r="MP140" s="8"/>
      <c r="MQ140" s="5" t="str">
        <f t="shared" si="556"/>
        <v>NO APLICA</v>
      </c>
      <c r="MR140" s="5"/>
      <c r="MS140" s="5"/>
      <c r="MT140" s="4"/>
      <c r="MU140" s="5"/>
      <c r="MV140" s="5" t="str">
        <f t="shared" si="557"/>
        <v>NO APLICA</v>
      </c>
      <c r="MW140" s="5"/>
      <c r="MX140" s="6"/>
      <c r="MY140" s="4"/>
      <c r="MZ140" s="8"/>
      <c r="NA140" s="5" t="str">
        <f t="shared" si="558"/>
        <v>NO APLICA</v>
      </c>
      <c r="NB140" s="5"/>
      <c r="NC140" s="6"/>
      <c r="ND140" s="4"/>
      <c r="NE140" s="8"/>
      <c r="NF140" s="5" t="str">
        <f t="shared" si="559"/>
        <v>NO APLICA</v>
      </c>
      <c r="NG140" s="5"/>
      <c r="NH140" s="6"/>
      <c r="NI140" s="4"/>
      <c r="NJ140" s="8"/>
      <c r="NK140" s="5" t="str">
        <f t="shared" si="560"/>
        <v>NO APLICA</v>
      </c>
      <c r="NL140" s="5"/>
      <c r="NM140" s="5"/>
      <c r="NN140" s="4"/>
      <c r="NO140" s="8"/>
      <c r="NP140" s="5" t="str">
        <f t="shared" si="561"/>
        <v>NO APLICA</v>
      </c>
      <c r="NQ140" s="5"/>
      <c r="NR140" s="5"/>
      <c r="NS140" s="5"/>
      <c r="NT140" s="5"/>
      <c r="NU140" s="5" t="str">
        <f t="shared" si="562"/>
        <v>NO APLICA</v>
      </c>
      <c r="NV140" s="6"/>
      <c r="NW140" s="6"/>
      <c r="NX140" s="4"/>
      <c r="NY140" s="8"/>
      <c r="NZ140" s="5" t="str">
        <f t="shared" si="563"/>
        <v>NO APLICA</v>
      </c>
      <c r="OA140" s="6"/>
      <c r="OB140" s="6"/>
      <c r="OC140" s="6"/>
      <c r="OD140" s="6"/>
      <c r="OE140" s="5" t="str">
        <f t="shared" si="564"/>
        <v>NO APLICA</v>
      </c>
      <c r="OF140" s="5"/>
      <c r="OG140" s="5"/>
      <c r="OH140" s="4"/>
      <c r="OI140" s="8"/>
      <c r="OJ140" s="5" t="str">
        <f t="shared" si="565"/>
        <v>NO APLICA</v>
      </c>
      <c r="OK140" s="6"/>
      <c r="OL140" s="6"/>
      <c r="OM140" s="6"/>
      <c r="ON140" s="6"/>
      <c r="OO140" s="5" t="str">
        <f t="shared" si="566"/>
        <v>NO APLICA</v>
      </c>
      <c r="OP140" s="6"/>
      <c r="OQ140" s="6"/>
      <c r="OR140" s="6"/>
      <c r="OS140" s="6"/>
      <c r="OT140" s="5" t="str">
        <f t="shared" si="567"/>
        <v>NO APLICA</v>
      </c>
      <c r="OU140" s="6"/>
      <c r="OV140" s="6"/>
      <c r="OW140" s="6"/>
      <c r="OX140" s="6"/>
      <c r="OY140" s="5" t="str">
        <f t="shared" si="568"/>
        <v>NO APLICA</v>
      </c>
      <c r="OZ140" s="6"/>
      <c r="PA140" s="6"/>
      <c r="PB140" s="6"/>
      <c r="PC140" s="6"/>
      <c r="PD140" s="5" t="str">
        <f t="shared" si="569"/>
        <v>NO APLICA</v>
      </c>
      <c r="PE140" s="6"/>
      <c r="PF140" s="6"/>
      <c r="PG140" s="6"/>
      <c r="PH140" s="6"/>
      <c r="PI140" s="5" t="str">
        <f t="shared" si="570"/>
        <v>NO APLICA</v>
      </c>
      <c r="PJ140" s="5"/>
      <c r="PK140" s="6"/>
      <c r="PL140" s="4"/>
      <c r="PM140" s="8"/>
      <c r="PN140" s="5" t="str">
        <f t="shared" si="571"/>
        <v>NO APLICA</v>
      </c>
      <c r="PO140" s="6"/>
      <c r="PP140" s="6"/>
      <c r="PQ140" s="6"/>
      <c r="PR140" s="6"/>
      <c r="PS140" s="5" t="str">
        <f t="shared" si="572"/>
        <v>NO APLICA</v>
      </c>
      <c r="PT140" s="5"/>
      <c r="PU140" s="6"/>
      <c r="PV140" s="6"/>
      <c r="PW140" s="6"/>
      <c r="PX140" s="5" t="str">
        <f t="shared" si="573"/>
        <v>NO APLICA</v>
      </c>
    </row>
    <row r="141" spans="1:440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656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465</v>
      </c>
      <c r="V141" s="4">
        <v>46069</v>
      </c>
      <c r="W141" s="4">
        <f t="shared" si="421"/>
        <v>47895</v>
      </c>
      <c r="X141" s="8">
        <f t="shared" ca="1" si="422"/>
        <v>1761</v>
      </c>
      <c r="Y141" s="5" t="str">
        <f t="shared" ca="1" si="423"/>
        <v>VIGENTE</v>
      </c>
      <c r="Z141" s="2"/>
      <c r="AA141" s="6"/>
      <c r="AB141" s="4"/>
      <c r="AC141" s="8"/>
      <c r="AD141" s="5" t="str">
        <f t="shared" si="582"/>
        <v>NO APLICA</v>
      </c>
      <c r="AE141" s="3"/>
      <c r="AF141" s="4">
        <v>45902</v>
      </c>
      <c r="AG141" s="4">
        <f>DATE(YEAR(AF141)+2,MONTH(AF141),DAY(AF141))</f>
        <v>46632</v>
      </c>
      <c r="AH141" s="8">
        <f t="shared" ca="1" si="470"/>
        <v>498</v>
      </c>
      <c r="AI141" s="5" t="str">
        <f t="shared" ca="1" si="419"/>
        <v>VIGENTE</v>
      </c>
      <c r="AJ141" s="3"/>
      <c r="AK141" s="4">
        <v>45903</v>
      </c>
      <c r="AL141" s="4">
        <f>DATE(YEAR(AK141)+2,MONTH(AK141),DAY(AK141))</f>
        <v>46633</v>
      </c>
      <c r="AM141" s="8">
        <f t="shared" ca="1" si="471"/>
        <v>499</v>
      </c>
      <c r="AN141" s="5" t="str">
        <f t="shared" ca="1" si="472"/>
        <v>VIGENTE</v>
      </c>
      <c r="AO141" s="3"/>
      <c r="AP141" s="4">
        <v>45904</v>
      </c>
      <c r="AQ141" s="4">
        <f t="shared" ref="AQ141:AQ152" si="586">DATE(YEAR(AP141)+2,MONTH(AP141),DAY(AP141))</f>
        <v>46634</v>
      </c>
      <c r="AR141" s="8">
        <f t="shared" ca="1" si="473"/>
        <v>500</v>
      </c>
      <c r="AS141" s="5" t="str">
        <f t="shared" ca="1" si="474"/>
        <v>VIGENTE</v>
      </c>
      <c r="AT141" s="3"/>
      <c r="AU141" s="4">
        <v>45906</v>
      </c>
      <c r="AV141" s="4">
        <f t="shared" ref="AV141:AV152" si="587">DATE(YEAR(AU141)+2,MONTH(AU141),DAY(AU141))</f>
        <v>46636</v>
      </c>
      <c r="AW141" s="8">
        <f t="shared" ca="1" si="475"/>
        <v>502</v>
      </c>
      <c r="AX141" s="5" t="str">
        <f t="shared" ca="1" si="476"/>
        <v>VIGENTE</v>
      </c>
      <c r="AY141" s="3"/>
      <c r="AZ141" s="4">
        <v>45901</v>
      </c>
      <c r="BA141" s="4">
        <f>DATE(YEAR(AZ141)+2,MONTH(AZ141),DAY(AZ141))</f>
        <v>46631</v>
      </c>
      <c r="BB141" s="8">
        <f t="shared" ca="1" si="477"/>
        <v>497</v>
      </c>
      <c r="BC141" s="5" t="str">
        <f t="shared" ca="1" si="478"/>
        <v>VIGENTE</v>
      </c>
      <c r="BD141" s="3"/>
      <c r="BE141" s="4">
        <v>45880</v>
      </c>
      <c r="BF141" s="4">
        <f>DATE(YEAR(BE141)+2,MONTH(BE141),DAY(BE141))</f>
        <v>46610</v>
      </c>
      <c r="BG141" s="8">
        <f t="shared" ca="1" si="479"/>
        <v>476</v>
      </c>
      <c r="BH141" s="5" t="str">
        <f t="shared" ca="1" si="480"/>
        <v>VIGENTE</v>
      </c>
      <c r="BI141" s="3"/>
      <c r="BJ141" s="4">
        <v>45797</v>
      </c>
      <c r="BK141" s="4">
        <f>DATE(YEAR(BJ141)+2,MONTH(BJ141),DAY(BJ141))</f>
        <v>46527</v>
      </c>
      <c r="BL141" s="8">
        <f t="shared" ca="1" si="481"/>
        <v>393</v>
      </c>
      <c r="BM141" s="5" t="str">
        <f t="shared" ca="1" si="482"/>
        <v>VIGENTE</v>
      </c>
      <c r="BN141" s="3"/>
      <c r="BO141" s="4">
        <v>45841</v>
      </c>
      <c r="BP141" s="4">
        <f t="shared" ref="BP141:BP150" si="588">DATE(YEAR(BO141)+2,MONTH(BO141),DAY(BO141))</f>
        <v>46571</v>
      </c>
      <c r="BQ141" s="8">
        <f t="shared" ca="1" si="483"/>
        <v>437</v>
      </c>
      <c r="BR141" s="5" t="str">
        <f t="shared" ca="1" si="484"/>
        <v>VIGENTE</v>
      </c>
      <c r="BS141" s="3"/>
      <c r="BT141" s="4">
        <v>45853</v>
      </c>
      <c r="BU141" s="4">
        <f>DATE(YEAR(BT141)+2,MONTH(BT141),DAY(BT141))</f>
        <v>46583</v>
      </c>
      <c r="BV141" s="8">
        <f t="shared" ca="1" si="485"/>
        <v>449</v>
      </c>
      <c r="BW141" s="5" t="str">
        <f t="shared" ca="1" si="486"/>
        <v>VIGENTE</v>
      </c>
      <c r="BX141" s="3"/>
      <c r="BY141" s="4">
        <v>45931</v>
      </c>
      <c r="BZ141" s="4">
        <f>DATE(YEAR(BY141)+2,MONTH(BY141),DAY(BY141))</f>
        <v>46661</v>
      </c>
      <c r="CA141" s="8">
        <f t="shared" ca="1" si="487"/>
        <v>527</v>
      </c>
      <c r="CB141" s="5" t="str">
        <f t="shared" ca="1" si="488"/>
        <v>VIGENTE</v>
      </c>
      <c r="CC141" s="6" t="s">
        <v>68</v>
      </c>
      <c r="CD141" s="4">
        <v>45723</v>
      </c>
      <c r="CE141" s="4">
        <f t="shared" si="428"/>
        <v>47184</v>
      </c>
      <c r="CF141" s="8">
        <f t="shared" ca="1" si="429"/>
        <v>1050</v>
      </c>
      <c r="CG141" s="5" t="str">
        <f t="shared" ca="1" si="430"/>
        <v>VIGENTE</v>
      </c>
      <c r="CH141" s="4"/>
      <c r="CI141" s="4">
        <v>45801</v>
      </c>
      <c r="CJ141" s="4">
        <f>DATE(YEAR(CI141)+2,MONTH(CI141),DAY(CI141)-1)</f>
        <v>46530</v>
      </c>
      <c r="CK141" s="8">
        <f t="shared" ca="1" si="489"/>
        <v>396</v>
      </c>
      <c r="CL141" s="5" t="str">
        <f t="shared" ca="1" si="490"/>
        <v>VIGENTE</v>
      </c>
      <c r="CM141" s="3"/>
      <c r="CN141" s="4">
        <v>45888</v>
      </c>
      <c r="CO141" s="4">
        <f>DATE(YEAR(CN141)+2,MONTH(CN141),DAY(CN141))</f>
        <v>46618</v>
      </c>
      <c r="CP141" s="8">
        <f t="shared" ca="1" si="491"/>
        <v>484</v>
      </c>
      <c r="CQ141" s="5" t="str">
        <f t="shared" ca="1" si="492"/>
        <v>VIGENTE</v>
      </c>
      <c r="CR141" s="3"/>
      <c r="CS141" s="4">
        <v>45813</v>
      </c>
      <c r="CT141" s="4">
        <f>DATE(YEAR(CS141)+2,MONTH(CS141),DAY(CS141))</f>
        <v>46543</v>
      </c>
      <c r="CU141" s="8">
        <f t="shared" ca="1" si="493"/>
        <v>409</v>
      </c>
      <c r="CV141" s="5" t="str">
        <f t="shared" ca="1" si="494"/>
        <v>VIGENTE</v>
      </c>
      <c r="CW141" s="3"/>
      <c r="CX141" s="4">
        <v>45843</v>
      </c>
      <c r="CY141" s="4">
        <f>DATE(YEAR(CX141)+2,MONTH(CX141),DAY(CX141))</f>
        <v>46573</v>
      </c>
      <c r="CZ141" s="8">
        <f t="shared" ca="1" si="495"/>
        <v>439</v>
      </c>
      <c r="DA141" s="5" t="str">
        <f t="shared" ca="1" si="496"/>
        <v>VIGENTE</v>
      </c>
      <c r="DB141" s="3"/>
      <c r="DC141" s="4">
        <v>45761</v>
      </c>
      <c r="DD141" s="4">
        <f>DATE(YEAR(DC141)+2,MONTH(DC141),DAY(DC141))</f>
        <v>46491</v>
      </c>
      <c r="DE141" s="8">
        <f t="shared" ca="1" si="497"/>
        <v>357</v>
      </c>
      <c r="DF141" s="5" t="str">
        <f t="shared" ca="1" si="498"/>
        <v>VIGENTE</v>
      </c>
      <c r="DG141" s="3"/>
      <c r="DH141" s="4">
        <v>45899</v>
      </c>
      <c r="DI141" s="4">
        <f>DATE(YEAR(DH141)+2,MONTH(DH141),DAY(DH141))</f>
        <v>46629</v>
      </c>
      <c r="DJ141" s="8">
        <f t="shared" ca="1" si="499"/>
        <v>495</v>
      </c>
      <c r="DK141" s="5" t="str">
        <f t="shared" ca="1" si="500"/>
        <v>VIGENTE</v>
      </c>
      <c r="DL141" s="4"/>
      <c r="DM141" s="4">
        <v>45873</v>
      </c>
      <c r="DN141" s="4">
        <f>DATE(YEAR(DM141)+2,MONTH(DM141),DAY(DM141))</f>
        <v>46603</v>
      </c>
      <c r="DO141" s="8">
        <f t="shared" ca="1" si="501"/>
        <v>469</v>
      </c>
      <c r="DP141" s="5" t="str">
        <f t="shared" ca="1" si="502"/>
        <v>VIGENTE</v>
      </c>
      <c r="DQ141" s="3"/>
      <c r="DR141" s="4">
        <v>45852</v>
      </c>
      <c r="DS141" s="4">
        <f>DATE(YEAR(DR141)+2,MONTH(DR141),DAY(DR141))</f>
        <v>46582</v>
      </c>
      <c r="DT141" s="8">
        <f t="shared" ca="1" si="503"/>
        <v>448</v>
      </c>
      <c r="DU141" s="5" t="str">
        <f t="shared" ca="1" si="504"/>
        <v>VIGENTE</v>
      </c>
      <c r="DV141" s="3"/>
      <c r="DW141" s="4">
        <v>45847</v>
      </c>
      <c r="DX141" s="4">
        <f>DATE(YEAR(DW141)+2,MONTH(DW141),DAY(DW141))</f>
        <v>46577</v>
      </c>
      <c r="DY141" s="8">
        <f t="shared" ca="1" si="505"/>
        <v>443</v>
      </c>
      <c r="DZ141" s="5" t="str">
        <f t="shared" ca="1" si="506"/>
        <v>VIGENTE</v>
      </c>
      <c r="EA141" s="3"/>
      <c r="EB141" s="4">
        <v>45938</v>
      </c>
      <c r="EC141" s="4">
        <f>DATE(YEAR(EB141)+2,MONTH(EB141),DAY(EB141))</f>
        <v>46668</v>
      </c>
      <c r="ED141" s="8">
        <f t="shared" ca="1" si="507"/>
        <v>534</v>
      </c>
      <c r="EE141" s="5" t="str">
        <f t="shared" ca="1" si="508"/>
        <v>VIGENTE</v>
      </c>
      <c r="EF141" s="3"/>
      <c r="EG141" s="3">
        <v>45911</v>
      </c>
      <c r="EH141" s="4">
        <f t="shared" si="575"/>
        <v>46276</v>
      </c>
      <c r="EI141" s="8">
        <f t="shared" ca="1" si="509"/>
        <v>142</v>
      </c>
      <c r="EJ141" s="5" t="str">
        <f t="shared" ca="1" si="510"/>
        <v>VIGENTE</v>
      </c>
      <c r="EK141" s="3"/>
      <c r="EL141" s="4">
        <v>45840</v>
      </c>
      <c r="EM141" s="4">
        <f>DATE(YEAR(EL141)+2,MONTH(EL141),DAY(EL141))</f>
        <v>46570</v>
      </c>
      <c r="EN141" s="8">
        <f t="shared" ca="1" si="511"/>
        <v>436</v>
      </c>
      <c r="EO141" s="5" t="str">
        <f t="shared" ca="1" si="512"/>
        <v>VIGENTE</v>
      </c>
      <c r="EP141" s="2"/>
      <c r="EQ141" s="4">
        <v>45735</v>
      </c>
      <c r="ER141" s="4">
        <f>DATE(YEAR(EQ141)+2,MONTH(EQ141),DAY(EQ141)-1)</f>
        <v>46464</v>
      </c>
      <c r="ES141" s="8">
        <f t="shared" ca="1" si="513"/>
        <v>330</v>
      </c>
      <c r="ET141" s="5" t="str">
        <f t="shared" ca="1" si="514"/>
        <v>VIGENTE</v>
      </c>
      <c r="EU141" s="3"/>
      <c r="EV141" s="4">
        <v>45917</v>
      </c>
      <c r="EW141" s="4">
        <f>DATE(YEAR(EV141)+2,MONTH(EV141),DAY(EV141))</f>
        <v>46647</v>
      </c>
      <c r="EX141" s="8">
        <f t="shared" ca="1" si="515"/>
        <v>513</v>
      </c>
      <c r="EY141" s="5" t="str">
        <f t="shared" ca="1" si="516"/>
        <v>VIGENTE</v>
      </c>
      <c r="EZ141" s="3"/>
      <c r="FA141" s="4">
        <v>45803</v>
      </c>
      <c r="FB141" s="4">
        <f>DATE(YEAR(FA141)+2,MONTH(FA141),DAY(FA141))</f>
        <v>46533</v>
      </c>
      <c r="FC141" s="8">
        <f t="shared" ca="1" si="517"/>
        <v>399</v>
      </c>
      <c r="FD141" s="5" t="str">
        <f t="shared" ca="1" si="518"/>
        <v>VIGENTE</v>
      </c>
      <c r="FE141" s="2"/>
      <c r="FF141" s="4">
        <v>45932</v>
      </c>
      <c r="FG141" s="4">
        <f>DATE(YEAR(FF141)+2,MONTH(FF141),DAY(FF141))</f>
        <v>46662</v>
      </c>
      <c r="FH141" s="8">
        <f t="shared" ca="1" si="519"/>
        <v>528</v>
      </c>
      <c r="FI141" s="5" t="str">
        <f t="shared" ca="1" si="520"/>
        <v>VIGENTE</v>
      </c>
      <c r="FJ141" s="3"/>
      <c r="FK141" s="4">
        <v>45850</v>
      </c>
      <c r="FL141" s="4">
        <f>DATE(YEAR(FK141)+2,MONTH(FK141),DAY(FK141))</f>
        <v>46580</v>
      </c>
      <c r="FM141" s="8">
        <f t="shared" ca="1" si="521"/>
        <v>446</v>
      </c>
      <c r="FN141" s="5" t="str">
        <f t="shared" ca="1" si="522"/>
        <v>VIGENTE</v>
      </c>
      <c r="FO141" s="3"/>
      <c r="FP141" s="4">
        <v>45846</v>
      </c>
      <c r="FQ141" s="4">
        <f>DATE(YEAR(FP141)+2,MONTH(FP141),DAY(FP141))</f>
        <v>46576</v>
      </c>
      <c r="FR141" s="8">
        <f t="shared" ca="1" si="523"/>
        <v>442</v>
      </c>
      <c r="FS141" s="5" t="str">
        <f t="shared" ca="1" si="524"/>
        <v>VIGENTE</v>
      </c>
      <c r="FT141" s="3"/>
      <c r="FU141" s="4">
        <v>45875</v>
      </c>
      <c r="FV141" s="4">
        <f>DATE(YEAR(FU141)+2,MONTH(FU141),DAY(FU141))</f>
        <v>46605</v>
      </c>
      <c r="FW141" s="8">
        <f t="shared" ca="1" si="525"/>
        <v>471</v>
      </c>
      <c r="FX141" s="5" t="str">
        <f t="shared" ca="1" si="526"/>
        <v>VIGENTE</v>
      </c>
      <c r="FY141" s="3"/>
      <c r="FZ141" s="4">
        <v>45741</v>
      </c>
      <c r="GA141" s="4">
        <f>DATE(YEAR(FZ141)+2,MONTH(FZ141),DAY(FZ141)-1)</f>
        <v>46470</v>
      </c>
      <c r="GB141" s="8">
        <f t="shared" ca="1" si="527"/>
        <v>336</v>
      </c>
      <c r="GC141" s="5" t="str">
        <f t="shared" ca="1" si="528"/>
        <v>VIGENTE</v>
      </c>
      <c r="GD141" s="3"/>
      <c r="GE141" s="4">
        <v>45912</v>
      </c>
      <c r="GF141" s="4">
        <f>DATE(YEAR(GE141)+2,MONTH(GE141),DAY(GE141))</f>
        <v>46642</v>
      </c>
      <c r="GG141" s="8">
        <f t="shared" ca="1" si="529"/>
        <v>508</v>
      </c>
      <c r="GH141" s="5" t="str">
        <f t="shared" ca="1" si="530"/>
        <v>VIGENTE</v>
      </c>
      <c r="GI141" s="3"/>
      <c r="GJ141" s="4">
        <v>45945</v>
      </c>
      <c r="GK141" s="4">
        <f t="shared" ref="GK141:GK150" si="589">DATE(YEAR(GJ141)+2,MONTH(GJ141),DAY(GJ141))</f>
        <v>46675</v>
      </c>
      <c r="GL141" s="8">
        <f t="shared" ca="1" si="531"/>
        <v>541</v>
      </c>
      <c r="GM141" s="5" t="str">
        <f t="shared" ca="1" si="532"/>
        <v>VIGENTE</v>
      </c>
      <c r="GN141" s="4"/>
      <c r="GO141" s="4">
        <v>45169</v>
      </c>
      <c r="GP141" s="4">
        <f t="shared" si="533"/>
        <v>46996</v>
      </c>
      <c r="GQ141" s="8">
        <f t="shared" ca="1" si="418"/>
        <v>862</v>
      </c>
      <c r="GR141" s="5" t="str">
        <f t="shared" ca="1" si="431"/>
        <v>VIGENTE</v>
      </c>
      <c r="GS141" s="3"/>
      <c r="GT141" s="4">
        <v>45245</v>
      </c>
      <c r="GU141" s="4">
        <f t="shared" si="534"/>
        <v>47072</v>
      </c>
      <c r="GV141" s="8">
        <f t="shared" ca="1" si="535"/>
        <v>938</v>
      </c>
      <c r="GW141" s="5" t="str">
        <f t="shared" ca="1" si="438"/>
        <v>VIGENTE</v>
      </c>
      <c r="GX141" s="2"/>
      <c r="GY141" s="4">
        <v>45182</v>
      </c>
      <c r="GZ141" s="4">
        <f t="shared" si="536"/>
        <v>47009</v>
      </c>
      <c r="HA141" s="8">
        <f t="shared" ca="1" si="537"/>
        <v>875</v>
      </c>
      <c r="HB141" s="5" t="str">
        <f t="shared" ca="1" si="433"/>
        <v>VIGENTE</v>
      </c>
      <c r="HC141" s="6"/>
      <c r="HD141" s="6"/>
      <c r="HE141" s="4"/>
      <c r="HF141" s="8"/>
      <c r="HG141" s="5" t="str">
        <f t="shared" si="439"/>
        <v>NO APLICA</v>
      </c>
      <c r="HH141" s="2"/>
      <c r="HI141" s="6"/>
      <c r="HJ141" s="4"/>
      <c r="HK141" s="8"/>
      <c r="HL141" s="5" t="str">
        <f t="shared" si="457"/>
        <v>NO APLICA</v>
      </c>
      <c r="HM141" s="2"/>
      <c r="HN141" s="2"/>
      <c r="HO141" s="4"/>
      <c r="HP141" s="2"/>
      <c r="HQ141" s="5" t="str">
        <f t="shared" si="538"/>
        <v>NO APLICA</v>
      </c>
      <c r="HR141" s="2"/>
      <c r="HS141" s="6"/>
      <c r="HT141" s="4"/>
      <c r="HU141" s="8"/>
      <c r="HV141" s="5" t="str">
        <f t="shared" si="539"/>
        <v>NO APLICA</v>
      </c>
      <c r="HW141" s="2"/>
      <c r="HX141" s="6"/>
      <c r="HY141" s="4"/>
      <c r="HZ141" s="8"/>
      <c r="IA141" s="5" t="str">
        <f t="shared" si="540"/>
        <v>NO APLICA</v>
      </c>
      <c r="IB141" s="2"/>
      <c r="IC141" s="6"/>
      <c r="ID141" s="4"/>
      <c r="IE141" s="8"/>
      <c r="IF141" s="5" t="str">
        <f t="shared" si="541"/>
        <v>NO APLICA</v>
      </c>
      <c r="IG141" s="6"/>
      <c r="IH141" s="6"/>
      <c r="II141" s="4"/>
      <c r="IJ141" s="8"/>
      <c r="IK141" s="5" t="str">
        <f t="shared" si="542"/>
        <v>NO APLICA</v>
      </c>
      <c r="IL141" s="2"/>
      <c r="IM141" s="6"/>
      <c r="IN141" s="4"/>
      <c r="IO141" s="8"/>
      <c r="IP141" s="5" t="str">
        <f t="shared" si="543"/>
        <v>NO APLICA</v>
      </c>
      <c r="IQ141" s="2"/>
      <c r="IR141" s="6"/>
      <c r="IS141" s="4"/>
      <c r="IT141" s="8"/>
      <c r="IU141" s="5" t="str">
        <f t="shared" si="544"/>
        <v>NO APLICA</v>
      </c>
      <c r="IV141" s="2"/>
      <c r="IW141" s="6"/>
      <c r="IX141" s="4"/>
      <c r="IY141" s="8"/>
      <c r="IZ141" s="5" t="str">
        <f t="shared" si="545"/>
        <v>NO APLICA</v>
      </c>
      <c r="JA141" s="3"/>
      <c r="JB141" s="3"/>
      <c r="JC141" s="4"/>
      <c r="JD141" s="8"/>
      <c r="JE141" s="5" t="str">
        <f t="shared" si="546"/>
        <v>NO APLICA</v>
      </c>
      <c r="JF141" s="6"/>
      <c r="JG141" s="6"/>
      <c r="JH141" s="6"/>
      <c r="JI141" s="6"/>
      <c r="JJ141" s="5" t="str">
        <f t="shared" si="547"/>
        <v>NO APLICA</v>
      </c>
      <c r="JK141" s="6"/>
      <c r="JL141" s="6"/>
      <c r="JM141" s="6"/>
      <c r="JN141" s="6"/>
      <c r="JO141" s="5" t="str">
        <f t="shared" si="548"/>
        <v>NO APLICA</v>
      </c>
      <c r="JP141" s="6"/>
      <c r="JQ141" s="6"/>
      <c r="JR141" s="6"/>
      <c r="JS141" s="6"/>
      <c r="JT141" s="5" t="str">
        <f t="shared" si="549"/>
        <v>NO APLICA</v>
      </c>
      <c r="JU141" s="5"/>
      <c r="JV141" s="3"/>
      <c r="JW141" s="4"/>
      <c r="JX141" s="8"/>
      <c r="JY141" s="5" t="str">
        <f t="shared" si="550"/>
        <v>NO APLICA</v>
      </c>
      <c r="JZ141" s="5"/>
      <c r="KA141" s="2"/>
      <c r="KB141" s="4"/>
      <c r="KC141" s="8"/>
      <c r="KD141" s="5" t="str">
        <f t="shared" si="551"/>
        <v>NO APLICA</v>
      </c>
      <c r="KE141" s="5"/>
      <c r="KF141" s="2"/>
      <c r="KG141" s="4"/>
      <c r="KH141" s="8"/>
      <c r="KI141" s="5" t="str">
        <f t="shared" si="576"/>
        <v>NO APLICA</v>
      </c>
      <c r="KJ141" s="5"/>
      <c r="KK141" s="2"/>
      <c r="KL141" s="4"/>
      <c r="KM141" s="8"/>
      <c r="KN141" s="5" t="str">
        <f t="shared" si="552"/>
        <v>NO APLICA</v>
      </c>
      <c r="KO141" s="5"/>
      <c r="KP141" s="2"/>
      <c r="KQ141" s="4"/>
      <c r="KR141" s="8"/>
      <c r="KS141" s="5" t="str">
        <f t="shared" si="577"/>
        <v>NO APLICA</v>
      </c>
      <c r="KT141" s="2"/>
      <c r="KU141" s="6"/>
      <c r="KV141" s="4"/>
      <c r="KW141" s="8"/>
      <c r="KX141" s="5" t="str">
        <f t="shared" si="583"/>
        <v>NO APLICA</v>
      </c>
      <c r="KY141" s="5"/>
      <c r="KZ141" s="6"/>
      <c r="LA141" s="4"/>
      <c r="LB141" s="8"/>
      <c r="LC141" s="5" t="str">
        <f t="shared" si="578"/>
        <v>NO APLICA</v>
      </c>
      <c r="LD141" s="6"/>
      <c r="LE141" s="6"/>
      <c r="LF141" s="4"/>
      <c r="LG141" s="8"/>
      <c r="LH141" s="5" t="str">
        <f t="shared" si="585"/>
        <v>NO APLICA</v>
      </c>
      <c r="LI141" s="5"/>
      <c r="LJ141" s="5"/>
      <c r="LK141" s="4"/>
      <c r="LL141" s="8"/>
      <c r="LM141" s="5" t="str">
        <f t="shared" si="584"/>
        <v>NO APLICA</v>
      </c>
      <c r="LN141" s="2"/>
      <c r="LO141" s="6"/>
      <c r="LP141" s="4"/>
      <c r="LQ141" s="8"/>
      <c r="LR141" s="5" t="str">
        <f t="shared" si="579"/>
        <v>NO APLICA</v>
      </c>
      <c r="LS141" s="6"/>
      <c r="LT141" s="6"/>
      <c r="LU141" s="4"/>
      <c r="LV141" s="8"/>
      <c r="LW141" s="5" t="str">
        <f t="shared" si="580"/>
        <v>NO APLICA</v>
      </c>
      <c r="LX141" s="6"/>
      <c r="LY141" s="6"/>
      <c r="LZ141" s="4"/>
      <c r="MA141" s="8"/>
      <c r="MB141" s="5" t="str">
        <f t="shared" si="581"/>
        <v>NO APLICA</v>
      </c>
      <c r="MC141" s="2"/>
      <c r="MD141" s="2"/>
      <c r="ME141" s="4"/>
      <c r="MF141" s="8"/>
      <c r="MG141" s="5" t="str">
        <f t="shared" si="554"/>
        <v>NO APLICA</v>
      </c>
      <c r="MH141" s="2"/>
      <c r="MI141" s="2"/>
      <c r="MJ141" s="4"/>
      <c r="MK141" s="8"/>
      <c r="ML141" s="5" t="str">
        <f t="shared" si="555"/>
        <v>NO APLICA</v>
      </c>
      <c r="MM141" s="5"/>
      <c r="MN141" s="2"/>
      <c r="MO141" s="4"/>
      <c r="MP141" s="8"/>
      <c r="MQ141" s="5" t="str">
        <f t="shared" si="556"/>
        <v>NO APLICA</v>
      </c>
      <c r="MR141" s="5"/>
      <c r="MS141" s="2"/>
      <c r="MT141" s="4"/>
      <c r="MU141" s="2"/>
      <c r="MV141" s="5" t="str">
        <f t="shared" si="557"/>
        <v>NO APLICA</v>
      </c>
      <c r="MW141" s="2"/>
      <c r="MX141" s="6"/>
      <c r="MY141" s="4"/>
      <c r="MZ141" s="8"/>
      <c r="NA141" s="5" t="str">
        <f t="shared" si="558"/>
        <v>NO APLICA</v>
      </c>
      <c r="NB141" s="2"/>
      <c r="NC141" s="6"/>
      <c r="ND141" s="4"/>
      <c r="NE141" s="8"/>
      <c r="NF141" s="5" t="str">
        <f t="shared" si="559"/>
        <v>NO APLICA</v>
      </c>
      <c r="NG141" s="2"/>
      <c r="NH141" s="6"/>
      <c r="NI141" s="4"/>
      <c r="NJ141" s="8"/>
      <c r="NK141" s="5" t="str">
        <f t="shared" si="560"/>
        <v>NO APLICA</v>
      </c>
      <c r="NL141" s="2"/>
      <c r="NM141" s="2"/>
      <c r="NN141" s="4"/>
      <c r="NO141" s="8"/>
      <c r="NP141" s="5" t="str">
        <f t="shared" si="561"/>
        <v>NO APLICA</v>
      </c>
      <c r="NQ141" s="2"/>
      <c r="NR141" s="2"/>
      <c r="NS141" s="4"/>
      <c r="NT141" s="2"/>
      <c r="NU141" s="5" t="str">
        <f t="shared" si="562"/>
        <v>NO APLICA</v>
      </c>
      <c r="NV141" s="6"/>
      <c r="NW141" s="6"/>
      <c r="NX141" s="4"/>
      <c r="NY141" s="8"/>
      <c r="NZ141" s="5" t="str">
        <f t="shared" si="563"/>
        <v>NO APLICA</v>
      </c>
      <c r="OA141" s="6"/>
      <c r="OB141" s="6"/>
      <c r="OC141" s="6"/>
      <c r="OD141" s="6"/>
      <c r="OE141" s="5" t="str">
        <f t="shared" si="564"/>
        <v>NO APLICA</v>
      </c>
      <c r="OF141" s="6"/>
      <c r="OG141" s="6"/>
      <c r="OH141" s="4"/>
      <c r="OI141" s="8"/>
      <c r="OJ141" s="5" t="str">
        <f t="shared" si="565"/>
        <v>NO APLICA</v>
      </c>
      <c r="OK141" s="6"/>
      <c r="OL141" s="6"/>
      <c r="OM141" s="6"/>
      <c r="ON141" s="6"/>
      <c r="OO141" s="5" t="str">
        <f t="shared" si="566"/>
        <v>NO APLICA</v>
      </c>
      <c r="OP141" s="6"/>
      <c r="OQ141" s="6"/>
      <c r="OR141" s="6"/>
      <c r="OS141" s="6"/>
      <c r="OT141" s="5" t="str">
        <f t="shared" si="567"/>
        <v>NO APLICA</v>
      </c>
      <c r="OU141" s="6"/>
      <c r="OV141" s="6"/>
      <c r="OW141" s="6"/>
      <c r="OX141" s="6"/>
      <c r="OY141" s="5" t="str">
        <f t="shared" si="568"/>
        <v>NO APLICA</v>
      </c>
      <c r="OZ141" s="6"/>
      <c r="PA141" s="6"/>
      <c r="PB141" s="6"/>
      <c r="PC141" s="6"/>
      <c r="PD141" s="5" t="str">
        <f t="shared" si="569"/>
        <v>NO APLICA</v>
      </c>
      <c r="PE141" s="6"/>
      <c r="PF141" s="6"/>
      <c r="PG141" s="6"/>
      <c r="PH141" s="6"/>
      <c r="PI141" s="5" t="str">
        <f t="shared" si="570"/>
        <v>NO APLICA</v>
      </c>
      <c r="PJ141" s="5"/>
      <c r="PK141" s="6"/>
      <c r="PL141" s="4"/>
      <c r="PM141" s="8"/>
      <c r="PN141" s="5" t="str">
        <f t="shared" si="571"/>
        <v>NO APLICA</v>
      </c>
      <c r="PO141" s="6"/>
      <c r="PP141" s="6"/>
      <c r="PQ141" s="6"/>
      <c r="PR141" s="6"/>
      <c r="PS141" s="5" t="str">
        <f t="shared" si="572"/>
        <v>NO APLICA</v>
      </c>
      <c r="PT141" s="5"/>
      <c r="PU141" s="4">
        <v>45499</v>
      </c>
      <c r="PV141" s="4"/>
      <c r="PW141" s="8"/>
      <c r="PX141" s="5" t="str">
        <f>IF(PW141&gt;=61,"VIGENTE",IF(PW141&gt;=1,"POR VENCER",IF(PW141&lt;=-1,"VENCIDA",IF(PW141=0,"NO APLICA"))))</f>
        <v>NO APLICA</v>
      </c>
    </row>
    <row r="142" spans="1:440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466</v>
      </c>
      <c r="V142" s="4">
        <v>45337</v>
      </c>
      <c r="W142" s="4">
        <f t="shared" si="421"/>
        <v>47164</v>
      </c>
      <c r="X142" s="8">
        <f t="shared" ca="1" si="422"/>
        <v>1030</v>
      </c>
      <c r="Y142" s="5" t="str">
        <f t="shared" ca="1" si="423"/>
        <v>VIGENTE</v>
      </c>
      <c r="Z142" s="6" t="s">
        <v>467</v>
      </c>
      <c r="AA142" s="4">
        <v>45464</v>
      </c>
      <c r="AB142" s="4">
        <f>DATE(YEAR(AA142)+5,MONTH(AA142),DAY(AA142))</f>
        <v>47290</v>
      </c>
      <c r="AC142" s="8">
        <f ca="1">AB142-TODAY()</f>
        <v>1156</v>
      </c>
      <c r="AD142" s="5" t="str">
        <f t="shared" ca="1" si="582"/>
        <v>VIGENTE</v>
      </c>
      <c r="AE142" s="4"/>
      <c r="AF142" s="4">
        <v>46002</v>
      </c>
      <c r="AG142" s="4">
        <f>DATE(YEAR(AF142)+2,MONTH(AF142),DAY(AF142))</f>
        <v>46732</v>
      </c>
      <c r="AH142" s="8">
        <f t="shared" ca="1" si="470"/>
        <v>598</v>
      </c>
      <c r="AI142" s="5" t="str">
        <f t="shared" ca="1" si="419"/>
        <v>VIGENTE</v>
      </c>
      <c r="AJ142" s="4"/>
      <c r="AK142" s="4">
        <v>46084</v>
      </c>
      <c r="AL142" s="4">
        <f>DATE(YEAR(AK142)+2,MONTH(AK142),DAY(AK142))</f>
        <v>46815</v>
      </c>
      <c r="AM142" s="8">
        <f t="shared" ca="1" si="471"/>
        <v>681</v>
      </c>
      <c r="AN142" s="5" t="str">
        <f t="shared" ca="1" si="472"/>
        <v>VIGENTE</v>
      </c>
      <c r="AO142" s="6"/>
      <c r="AP142" s="4">
        <v>46048</v>
      </c>
      <c r="AQ142" s="4">
        <f t="shared" si="586"/>
        <v>46778</v>
      </c>
      <c r="AR142" s="8">
        <f t="shared" ca="1" si="473"/>
        <v>644</v>
      </c>
      <c r="AS142" s="5" t="str">
        <f t="shared" ca="1" si="474"/>
        <v>VIGENTE</v>
      </c>
      <c r="AT142" s="6"/>
      <c r="AU142" s="4">
        <v>46070</v>
      </c>
      <c r="AV142" s="4">
        <f t="shared" si="587"/>
        <v>46800</v>
      </c>
      <c r="AW142" s="8">
        <f t="shared" ca="1" si="475"/>
        <v>666</v>
      </c>
      <c r="AX142" s="5" t="str">
        <f t="shared" ca="1" si="476"/>
        <v>VIGENTE</v>
      </c>
      <c r="AY142" s="3"/>
      <c r="AZ142" s="4">
        <v>46041</v>
      </c>
      <c r="BA142" s="4">
        <f>DATE(YEAR(AZ142)+2,MONTH(AZ142),DAY(AZ142))</f>
        <v>46771</v>
      </c>
      <c r="BB142" s="8">
        <f t="shared" ca="1" si="477"/>
        <v>637</v>
      </c>
      <c r="BC142" s="5" t="str">
        <f t="shared" ca="1" si="478"/>
        <v>VIGENTE</v>
      </c>
      <c r="BD142" s="6"/>
      <c r="BE142" s="4">
        <v>45987</v>
      </c>
      <c r="BF142" s="4">
        <f>DATE(YEAR(BE142)+2,MONTH(BE142),DAY(BE142))</f>
        <v>46717</v>
      </c>
      <c r="BG142" s="8">
        <f t="shared" ca="1" si="479"/>
        <v>583</v>
      </c>
      <c r="BH142" s="5" t="str">
        <f t="shared" ca="1" si="480"/>
        <v>VIGENTE</v>
      </c>
      <c r="BI142" s="4"/>
      <c r="BJ142" s="4">
        <v>46035</v>
      </c>
      <c r="BK142" s="4">
        <f>DATE(YEAR(BJ142)+2,MONTH(BJ142),DAY(BJ142))</f>
        <v>46765</v>
      </c>
      <c r="BL142" s="8">
        <f t="shared" ca="1" si="481"/>
        <v>631</v>
      </c>
      <c r="BM142" s="5" t="str">
        <f t="shared" ca="1" si="482"/>
        <v>VIGENTE</v>
      </c>
      <c r="BN142" s="4"/>
      <c r="BO142" s="4">
        <v>45988</v>
      </c>
      <c r="BP142" s="4">
        <f t="shared" si="588"/>
        <v>46718</v>
      </c>
      <c r="BQ142" s="8">
        <f t="shared" ca="1" si="483"/>
        <v>584</v>
      </c>
      <c r="BR142" s="5" t="str">
        <f t="shared" ca="1" si="484"/>
        <v>VIGENTE</v>
      </c>
      <c r="BS142" s="3"/>
      <c r="BT142" s="4">
        <v>46031</v>
      </c>
      <c r="BU142" s="4">
        <f>DATE(YEAR(BT142)+2,MONTH(BT142),DAY(BT142))</f>
        <v>46761</v>
      </c>
      <c r="BV142" s="8">
        <f t="shared" ca="1" si="485"/>
        <v>627</v>
      </c>
      <c r="BW142" s="5" t="str">
        <f t="shared" ca="1" si="486"/>
        <v>VIGENTE</v>
      </c>
      <c r="BX142" s="6"/>
      <c r="BY142" s="4">
        <v>45986</v>
      </c>
      <c r="BZ142" s="4">
        <f>DATE(YEAR(BY142)+2,MONTH(BY142),DAY(BY142))</f>
        <v>46716</v>
      </c>
      <c r="CA142" s="8">
        <f t="shared" ca="1" si="487"/>
        <v>582</v>
      </c>
      <c r="CB142" s="5" t="str">
        <f t="shared" ca="1" si="488"/>
        <v>VIGENTE</v>
      </c>
      <c r="CC142" s="6" t="s">
        <v>73</v>
      </c>
      <c r="CD142" s="4">
        <v>45346</v>
      </c>
      <c r="CE142" s="4">
        <f t="shared" si="428"/>
        <v>46807</v>
      </c>
      <c r="CF142" s="8">
        <f t="shared" ca="1" si="429"/>
        <v>673</v>
      </c>
      <c r="CG142" s="5" t="str">
        <f t="shared" ca="1" si="430"/>
        <v>VIGENTE</v>
      </c>
      <c r="CH142" s="4"/>
      <c r="CI142" s="4">
        <v>46018</v>
      </c>
      <c r="CJ142" s="4">
        <f>DATE(YEAR(CI142)+2,MONTH(CI142),DAY(CI142))</f>
        <v>46748</v>
      </c>
      <c r="CK142" s="8">
        <f t="shared" ca="1" si="489"/>
        <v>614</v>
      </c>
      <c r="CL142" s="5" t="str">
        <f t="shared" ca="1" si="490"/>
        <v>VIGENTE</v>
      </c>
      <c r="CM142" s="4"/>
      <c r="CN142" s="4">
        <v>46101</v>
      </c>
      <c r="CO142" s="4">
        <f>DATE(YEAR(CN142)+2,MONTH(CN142),DAY(CN142))</f>
        <v>46832</v>
      </c>
      <c r="CP142" s="8">
        <f t="shared" ca="1" si="491"/>
        <v>698</v>
      </c>
      <c r="CQ142" s="5" t="str">
        <f t="shared" ca="1" si="492"/>
        <v>VIGENTE</v>
      </c>
      <c r="CR142" s="4"/>
      <c r="CS142" s="4">
        <v>46043</v>
      </c>
      <c r="CT142" s="4">
        <f>DATE(YEAR(CS142)+2,MONTH(CS142),DAY(CS142))</f>
        <v>46773</v>
      </c>
      <c r="CU142" s="8">
        <f t="shared" ca="1" si="493"/>
        <v>639</v>
      </c>
      <c r="CV142" s="5" t="str">
        <f t="shared" ca="1" si="494"/>
        <v>VIGENTE</v>
      </c>
      <c r="CW142" s="4"/>
      <c r="CX142" s="4">
        <v>46028</v>
      </c>
      <c r="CY142" s="4">
        <f>DATE(YEAR(CX142)+2,MONTH(CX142),DAY(CX142))</f>
        <v>46758</v>
      </c>
      <c r="CZ142" s="8">
        <f t="shared" ca="1" si="495"/>
        <v>624</v>
      </c>
      <c r="DA142" s="5" t="str">
        <f t="shared" ca="1" si="496"/>
        <v>VIGENTE</v>
      </c>
      <c r="DB142" s="4"/>
      <c r="DC142" s="4">
        <v>46066</v>
      </c>
      <c r="DD142" s="4">
        <f>DATE(YEAR(DC142)+2,MONTH(DC142),DAY(DC142))</f>
        <v>46796</v>
      </c>
      <c r="DE142" s="8">
        <f t="shared" ca="1" si="497"/>
        <v>662</v>
      </c>
      <c r="DF142" s="5" t="str">
        <f t="shared" ca="1" si="498"/>
        <v>VIGENTE</v>
      </c>
      <c r="DG142" s="6"/>
      <c r="DH142" s="4">
        <v>45451</v>
      </c>
      <c r="DI142" s="4">
        <f>DATE(YEAR(DH142)+2,MONTH(DH142),DAY(DH142)-1)</f>
        <v>46180</v>
      </c>
      <c r="DJ142" s="8">
        <f t="shared" ca="1" si="499"/>
        <v>46</v>
      </c>
      <c r="DK142" s="5" t="str">
        <f t="shared" ca="1" si="500"/>
        <v>POR VENCER</v>
      </c>
      <c r="DL142" s="4"/>
      <c r="DM142" s="4">
        <v>46046</v>
      </c>
      <c r="DN142" s="4">
        <f>DATE(YEAR(DM142)+2,MONTH(DM142),DAY(DM142))</f>
        <v>46776</v>
      </c>
      <c r="DO142" s="8">
        <f t="shared" ca="1" si="501"/>
        <v>642</v>
      </c>
      <c r="DP142" s="5" t="str">
        <f t="shared" ca="1" si="502"/>
        <v>VIGENTE</v>
      </c>
      <c r="DQ142" s="6"/>
      <c r="DR142" s="4">
        <v>46053</v>
      </c>
      <c r="DS142" s="4">
        <f>DATE(YEAR(DR142)+2,MONTH(DR142),DAY(DR142))</f>
        <v>46783</v>
      </c>
      <c r="DT142" s="8">
        <f t="shared" ca="1" si="503"/>
        <v>649</v>
      </c>
      <c r="DU142" s="5" t="str">
        <f t="shared" ca="1" si="504"/>
        <v>VIGENTE</v>
      </c>
      <c r="DV142" s="4"/>
      <c r="DW142" s="4">
        <v>46099</v>
      </c>
      <c r="DX142" s="4">
        <f>DATE(YEAR(DW142)+2,MONTH(DW142),DAY(DW142))</f>
        <v>46830</v>
      </c>
      <c r="DY142" s="8">
        <f t="shared" ca="1" si="505"/>
        <v>696</v>
      </c>
      <c r="DZ142" s="5" t="str">
        <f t="shared" ca="1" si="506"/>
        <v>VIGENTE</v>
      </c>
      <c r="EA142" s="4"/>
      <c r="EB142" s="4">
        <v>46104</v>
      </c>
      <c r="EC142" s="4">
        <f>DATE(YEAR(EB142)+2,MONTH(EB142),DAY(EB142))</f>
        <v>46835</v>
      </c>
      <c r="ED142" s="8">
        <f t="shared" ca="1" si="507"/>
        <v>701</v>
      </c>
      <c r="EE142" s="5" t="str">
        <f t="shared" ca="1" si="508"/>
        <v>VIGENTE</v>
      </c>
      <c r="EF142" s="4"/>
      <c r="EG142" s="4">
        <v>45808</v>
      </c>
      <c r="EH142" s="4">
        <f t="shared" si="575"/>
        <v>46173</v>
      </c>
      <c r="EI142" s="8">
        <f t="shared" ca="1" si="509"/>
        <v>39</v>
      </c>
      <c r="EJ142" s="5" t="str">
        <f t="shared" ca="1" si="510"/>
        <v>POR VENCER</v>
      </c>
      <c r="EK142" s="4"/>
      <c r="EL142" s="4">
        <v>46100</v>
      </c>
      <c r="EM142" s="4">
        <f>DATE(YEAR(EL142)+2,MONTH(EL142),DAY(EL142))</f>
        <v>46831</v>
      </c>
      <c r="EN142" s="8">
        <f t="shared" ca="1" si="511"/>
        <v>697</v>
      </c>
      <c r="EO142" s="5" t="str">
        <f t="shared" ca="1" si="512"/>
        <v>VIGENTE</v>
      </c>
      <c r="EP142" s="6"/>
      <c r="EQ142" s="4">
        <v>45999</v>
      </c>
      <c r="ER142" s="4">
        <f>DATE(YEAR(EQ142)+2,MONTH(EQ142),DAY(EQ142))</f>
        <v>46729</v>
      </c>
      <c r="ES142" s="8">
        <f t="shared" ca="1" si="513"/>
        <v>595</v>
      </c>
      <c r="ET142" s="5" t="str">
        <f t="shared" ca="1" si="514"/>
        <v>VIGENTE</v>
      </c>
      <c r="EU142" s="4"/>
      <c r="EV142" s="4">
        <v>46063</v>
      </c>
      <c r="EW142" s="4">
        <f>DATE(YEAR(EV142)+2,MONTH(EV142),DAY(EV142))</f>
        <v>46793</v>
      </c>
      <c r="EX142" s="8">
        <f t="shared" ca="1" si="515"/>
        <v>659</v>
      </c>
      <c r="EY142" s="5" t="str">
        <f t="shared" ca="1" si="516"/>
        <v>VIGENTE</v>
      </c>
      <c r="EZ142" s="4"/>
      <c r="FA142" s="4">
        <v>46017</v>
      </c>
      <c r="FB142" s="4">
        <f>DATE(YEAR(FA142)+2,MONTH(FA142),DAY(FA142))</f>
        <v>46747</v>
      </c>
      <c r="FC142" s="8">
        <f t="shared" ca="1" si="517"/>
        <v>613</v>
      </c>
      <c r="FD142" s="5" t="str">
        <f t="shared" ca="1" si="518"/>
        <v>VIGENTE</v>
      </c>
      <c r="FE142" s="6"/>
      <c r="FF142" s="4">
        <v>46009</v>
      </c>
      <c r="FG142" s="4">
        <f>DATE(YEAR(FF142)+2,MONTH(FF142),DAY(FF142))</f>
        <v>46739</v>
      </c>
      <c r="FH142" s="8">
        <f t="shared" ca="1" si="519"/>
        <v>605</v>
      </c>
      <c r="FI142" s="5" t="str">
        <f t="shared" ca="1" si="520"/>
        <v>VIGENTE</v>
      </c>
      <c r="FJ142" s="4"/>
      <c r="FK142" s="4">
        <v>46039</v>
      </c>
      <c r="FL142" s="4">
        <f>DATE(YEAR(FK142)+2,MONTH(FK142),DAY(FK142))</f>
        <v>46769</v>
      </c>
      <c r="FM142" s="8">
        <f t="shared" ca="1" si="521"/>
        <v>635</v>
      </c>
      <c r="FN142" s="5" t="str">
        <f t="shared" ca="1" si="522"/>
        <v>VIGENTE</v>
      </c>
      <c r="FO142" s="4"/>
      <c r="FP142" s="4">
        <v>46034</v>
      </c>
      <c r="FQ142" s="4">
        <f>DATE(YEAR(FP142)+2,MONTH(FP142),DAY(FP142))</f>
        <v>46764</v>
      </c>
      <c r="FR142" s="8">
        <f t="shared" ca="1" si="523"/>
        <v>630</v>
      </c>
      <c r="FS142" s="5" t="str">
        <f t="shared" ca="1" si="524"/>
        <v>VIGENTE</v>
      </c>
      <c r="FT142" s="4"/>
      <c r="FU142" s="4">
        <v>46014</v>
      </c>
      <c r="FV142" s="4">
        <f>DATE(YEAR(FU142)+2,MONTH(FU142),DAY(FU142))</f>
        <v>46744</v>
      </c>
      <c r="FW142" s="8">
        <f t="shared" ca="1" si="525"/>
        <v>610</v>
      </c>
      <c r="FX142" s="5" t="str">
        <f t="shared" ca="1" si="526"/>
        <v>VIGENTE</v>
      </c>
      <c r="FY142" s="4"/>
      <c r="FZ142" s="4">
        <v>46003</v>
      </c>
      <c r="GA142" s="4">
        <f>DATE(YEAR(FZ142)+2,MONTH(FZ142),DAY(FZ142))</f>
        <v>46733</v>
      </c>
      <c r="GB142" s="8">
        <f t="shared" ca="1" si="527"/>
        <v>599</v>
      </c>
      <c r="GC142" s="5" t="str">
        <f t="shared" ca="1" si="528"/>
        <v>VIGENTE</v>
      </c>
      <c r="GD142" s="4"/>
      <c r="GE142" s="4">
        <v>46072</v>
      </c>
      <c r="GF142" s="4">
        <f>DATE(YEAR(GE142)+2,MONTH(GE142),DAY(GE142))</f>
        <v>46802</v>
      </c>
      <c r="GG142" s="8">
        <f t="shared" ca="1" si="529"/>
        <v>668</v>
      </c>
      <c r="GH142" s="5" t="str">
        <f t="shared" ca="1" si="530"/>
        <v>VIGENTE</v>
      </c>
      <c r="GI142" s="3"/>
      <c r="GJ142" s="4">
        <v>46044</v>
      </c>
      <c r="GK142" s="4">
        <f t="shared" si="589"/>
        <v>46774</v>
      </c>
      <c r="GL142" s="8">
        <f t="shared" ca="1" si="531"/>
        <v>640</v>
      </c>
      <c r="GM142" s="5" t="str">
        <f t="shared" ca="1" si="532"/>
        <v>VIGENTE</v>
      </c>
      <c r="GN142" s="4"/>
      <c r="GO142" s="4">
        <v>45367</v>
      </c>
      <c r="GP142" s="4">
        <f t="shared" si="533"/>
        <v>47193</v>
      </c>
      <c r="GQ142" s="8">
        <f t="shared" ca="1" si="418"/>
        <v>1059</v>
      </c>
      <c r="GR142" s="5" t="str">
        <f t="shared" ca="1" si="431"/>
        <v>VIGENTE</v>
      </c>
      <c r="GS142" s="4"/>
      <c r="GT142" s="4">
        <v>45389</v>
      </c>
      <c r="GU142" s="4">
        <f t="shared" si="534"/>
        <v>47215</v>
      </c>
      <c r="GV142" s="8">
        <f t="shared" ca="1" si="535"/>
        <v>1081</v>
      </c>
      <c r="GW142" s="5" t="str">
        <f t="shared" ca="1" si="438"/>
        <v>VIGENTE</v>
      </c>
      <c r="GX142" s="6"/>
      <c r="GY142" s="4">
        <v>45348</v>
      </c>
      <c r="GZ142" s="4">
        <f t="shared" si="536"/>
        <v>47175</v>
      </c>
      <c r="HA142" s="8">
        <f t="shared" ca="1" si="537"/>
        <v>1041</v>
      </c>
      <c r="HB142" s="5" t="str">
        <f t="shared" ca="1" si="433"/>
        <v>VIGENTE</v>
      </c>
      <c r="HC142" s="6"/>
      <c r="HD142" s="4">
        <v>45401</v>
      </c>
      <c r="HE142" s="4">
        <f>DATE(YEAR(HD142)+5,MONTH(HD142),DAY(HD142))</f>
        <v>47227</v>
      </c>
      <c r="HF142" s="8">
        <f ca="1">HE142-TODAY()</f>
        <v>1093</v>
      </c>
      <c r="HG142" s="5" t="str">
        <f t="shared" ca="1" si="439"/>
        <v>VIGENTE</v>
      </c>
      <c r="HH142" s="6"/>
      <c r="HI142" s="6"/>
      <c r="HJ142" s="4"/>
      <c r="HK142" s="8"/>
      <c r="HL142" s="5" t="str">
        <f t="shared" si="457"/>
        <v>NO APLICA</v>
      </c>
      <c r="HM142" s="2"/>
      <c r="HN142" s="2"/>
      <c r="HO142" s="4"/>
      <c r="HP142" s="2"/>
      <c r="HQ142" s="5" t="str">
        <f t="shared" si="538"/>
        <v>NO APLICA</v>
      </c>
      <c r="HR142" s="6"/>
      <c r="HS142" s="6"/>
      <c r="HT142" s="4"/>
      <c r="HU142" s="8"/>
      <c r="HV142" s="5" t="str">
        <f t="shared" si="539"/>
        <v>NO APLICA</v>
      </c>
      <c r="HW142" s="6"/>
      <c r="HX142" s="6"/>
      <c r="HY142" s="4"/>
      <c r="HZ142" s="8"/>
      <c r="IA142" s="5" t="str">
        <f t="shared" si="540"/>
        <v>NO APLICA</v>
      </c>
      <c r="IB142" s="6"/>
      <c r="IC142" s="6"/>
      <c r="ID142" s="4"/>
      <c r="IE142" s="8"/>
      <c r="IF142" s="5" t="str">
        <f t="shared" si="541"/>
        <v>NO APLICA</v>
      </c>
      <c r="IG142" s="6"/>
      <c r="IH142" s="6"/>
      <c r="II142" s="4"/>
      <c r="IJ142" s="6"/>
      <c r="IK142" s="5" t="str">
        <f t="shared" si="542"/>
        <v>NO APLICA</v>
      </c>
      <c r="IL142" s="6"/>
      <c r="IM142" s="6"/>
      <c r="IN142" s="4"/>
      <c r="IO142" s="8"/>
      <c r="IP142" s="5" t="str">
        <f t="shared" si="543"/>
        <v>NO APLICA</v>
      </c>
      <c r="IQ142" s="6"/>
      <c r="IR142" s="4">
        <v>45402</v>
      </c>
      <c r="IS142" s="4">
        <f>DATE(YEAR(IR142)+5,MONTH(IR142),DAY(IR142))</f>
        <v>47228</v>
      </c>
      <c r="IT142" s="8">
        <f ca="1">IS142-TODAY()</f>
        <v>1094</v>
      </c>
      <c r="IU142" s="5" t="str">
        <f t="shared" ca="1" si="544"/>
        <v>VIGENTE</v>
      </c>
      <c r="IV142" s="6"/>
      <c r="IW142" s="6"/>
      <c r="IX142" s="4"/>
      <c r="IY142" s="8"/>
      <c r="IZ142" s="5" t="str">
        <f t="shared" si="545"/>
        <v>NO APLICA</v>
      </c>
      <c r="JA142" s="3"/>
      <c r="JB142" s="3"/>
      <c r="JC142" s="4"/>
      <c r="JD142" s="8"/>
      <c r="JE142" s="5" t="str">
        <f t="shared" si="546"/>
        <v>NO APLICA</v>
      </c>
      <c r="JF142" s="6"/>
      <c r="JG142" s="6"/>
      <c r="JH142" s="6"/>
      <c r="JI142" s="6"/>
      <c r="JJ142" s="5" t="str">
        <f t="shared" si="547"/>
        <v>NO APLICA</v>
      </c>
      <c r="JK142" s="6"/>
      <c r="JL142" s="6"/>
      <c r="JM142" s="6"/>
      <c r="JN142" s="6"/>
      <c r="JO142" s="5" t="str">
        <f t="shared" si="548"/>
        <v>NO APLICA</v>
      </c>
      <c r="JP142" s="6"/>
      <c r="JQ142" s="6"/>
      <c r="JR142" s="6"/>
      <c r="JS142" s="6"/>
      <c r="JT142" s="5" t="str">
        <f t="shared" si="549"/>
        <v>NO APLICA</v>
      </c>
      <c r="JU142" s="5"/>
      <c r="JV142" s="5"/>
      <c r="JW142" s="5"/>
      <c r="JX142" s="5"/>
      <c r="JY142" s="5" t="str">
        <f t="shared" si="550"/>
        <v>NO APLICA</v>
      </c>
      <c r="JZ142" s="5"/>
      <c r="KA142" s="2"/>
      <c r="KB142" s="4"/>
      <c r="KC142" s="8"/>
      <c r="KD142" s="5" t="str">
        <f t="shared" si="551"/>
        <v>NO APLICA</v>
      </c>
      <c r="KE142" s="5"/>
      <c r="KF142" s="6"/>
      <c r="KG142" s="4"/>
      <c r="KH142" s="6"/>
      <c r="KI142" s="5" t="str">
        <f t="shared" si="576"/>
        <v>NO APLICA</v>
      </c>
      <c r="KJ142" s="5"/>
      <c r="KK142" s="2"/>
      <c r="KL142" s="4"/>
      <c r="KM142" s="8"/>
      <c r="KN142" s="5" t="str">
        <f t="shared" si="552"/>
        <v>NO APLICA</v>
      </c>
      <c r="KO142" s="5"/>
      <c r="KP142" s="3">
        <v>45346</v>
      </c>
      <c r="KQ142" s="4">
        <f>DATE(YEAR(KP142)+5,MONTH(KP142),DAY(KP142))</f>
        <v>47173</v>
      </c>
      <c r="KR142" s="8">
        <f ca="1">KQ142-TODAY()</f>
        <v>1039</v>
      </c>
      <c r="KS142" s="5" t="str">
        <f t="shared" ca="1" si="577"/>
        <v>VIGENTE</v>
      </c>
      <c r="KT142" s="6"/>
      <c r="KU142" s="6"/>
      <c r="KV142" s="4"/>
      <c r="KW142" s="6"/>
      <c r="KX142" s="5" t="str">
        <f t="shared" si="583"/>
        <v>NO APLICA</v>
      </c>
      <c r="KY142" s="5"/>
      <c r="KZ142" s="6"/>
      <c r="LA142" s="4"/>
      <c r="LB142" s="6"/>
      <c r="LC142" s="5" t="str">
        <f t="shared" si="578"/>
        <v>NO APLICA</v>
      </c>
      <c r="LD142" s="6"/>
      <c r="LE142" s="6"/>
      <c r="LF142" s="6"/>
      <c r="LG142" s="6"/>
      <c r="LH142" s="5" t="str">
        <f t="shared" si="585"/>
        <v>NO APLICA</v>
      </c>
      <c r="LI142" s="5"/>
      <c r="LJ142" s="5"/>
      <c r="LK142" s="5"/>
      <c r="LL142" s="5"/>
      <c r="LM142" s="5" t="str">
        <f t="shared" si="584"/>
        <v>NO APLICA</v>
      </c>
      <c r="LN142" s="6"/>
      <c r="LO142" s="6"/>
      <c r="LP142" s="4"/>
      <c r="LQ142" s="8"/>
      <c r="LR142" s="5" t="str">
        <f t="shared" si="579"/>
        <v>NO APLICA</v>
      </c>
      <c r="LS142" s="6"/>
      <c r="LT142" s="6"/>
      <c r="LU142" s="4"/>
      <c r="LV142" s="6"/>
      <c r="LW142" s="5" t="str">
        <f t="shared" si="580"/>
        <v>NO APLICA</v>
      </c>
      <c r="LX142" s="6"/>
      <c r="LY142" s="6"/>
      <c r="LZ142" s="4"/>
      <c r="MA142" s="6"/>
      <c r="MB142" s="5" t="str">
        <f t="shared" si="581"/>
        <v>NO APLICA</v>
      </c>
      <c r="MC142" s="6"/>
      <c r="MD142" s="6"/>
      <c r="ME142" s="4"/>
      <c r="MF142" s="6"/>
      <c r="MG142" s="5" t="str">
        <f t="shared" si="554"/>
        <v>NO APLICA</v>
      </c>
      <c r="MH142" s="6"/>
      <c r="MI142" s="6"/>
      <c r="MJ142" s="4"/>
      <c r="MK142" s="6"/>
      <c r="ML142" s="5" t="str">
        <f t="shared" si="555"/>
        <v>NO APLICA</v>
      </c>
      <c r="MM142" s="5"/>
      <c r="MN142" s="6"/>
      <c r="MO142" s="4"/>
      <c r="MP142" s="6"/>
      <c r="MQ142" s="5" t="str">
        <f t="shared" si="556"/>
        <v>NO APLICA</v>
      </c>
      <c r="MR142" s="5"/>
      <c r="MS142" s="6"/>
      <c r="MT142" s="6"/>
      <c r="MU142" s="6"/>
      <c r="MV142" s="5" t="str">
        <f t="shared" si="557"/>
        <v>NO APLICA</v>
      </c>
      <c r="MW142" s="6"/>
      <c r="MX142" s="6"/>
      <c r="MY142" s="4"/>
      <c r="MZ142" s="6"/>
      <c r="NA142" s="5" t="str">
        <f t="shared" si="558"/>
        <v>NO APLICA</v>
      </c>
      <c r="NB142" s="6"/>
      <c r="NC142" s="6"/>
      <c r="ND142" s="4"/>
      <c r="NE142" s="6"/>
      <c r="NF142" s="5" t="str">
        <f t="shared" si="559"/>
        <v>NO APLICA</v>
      </c>
      <c r="NG142" s="6"/>
      <c r="NH142" s="6"/>
      <c r="NI142" s="4"/>
      <c r="NJ142" s="6"/>
      <c r="NK142" s="5" t="str">
        <f t="shared" si="560"/>
        <v>NO APLICA</v>
      </c>
      <c r="NL142" s="6"/>
      <c r="NM142" s="6"/>
      <c r="NN142" s="4"/>
      <c r="NO142" s="6"/>
      <c r="NP142" s="5" t="str">
        <f t="shared" si="561"/>
        <v>NO APLICA</v>
      </c>
      <c r="NQ142" s="6"/>
      <c r="NR142" s="6"/>
      <c r="NS142" s="4"/>
      <c r="NT142" s="6"/>
      <c r="NU142" s="5" t="str">
        <f t="shared" si="562"/>
        <v>NO APLICA</v>
      </c>
      <c r="NV142" s="6"/>
      <c r="NW142" s="6"/>
      <c r="NX142" s="4"/>
      <c r="NY142" s="8"/>
      <c r="NZ142" s="5" t="str">
        <f t="shared" si="563"/>
        <v>NO APLICA</v>
      </c>
      <c r="OA142" s="6"/>
      <c r="OB142" s="6"/>
      <c r="OC142" s="6"/>
      <c r="OD142" s="6"/>
      <c r="OE142" s="5" t="str">
        <f t="shared" si="564"/>
        <v>NO APLICA</v>
      </c>
      <c r="OF142" s="6"/>
      <c r="OG142" s="6"/>
      <c r="OH142" s="6"/>
      <c r="OI142" s="6"/>
      <c r="OJ142" s="5" t="str">
        <f t="shared" si="565"/>
        <v>NO APLICA</v>
      </c>
      <c r="OK142" s="6"/>
      <c r="OL142" s="6"/>
      <c r="OM142" s="4"/>
      <c r="ON142" s="8"/>
      <c r="OO142" s="5" t="str">
        <f t="shared" si="566"/>
        <v>NO APLICA</v>
      </c>
      <c r="OP142" s="6"/>
      <c r="OQ142" s="6"/>
      <c r="OR142" s="6"/>
      <c r="OS142" s="6"/>
      <c r="OT142" s="5" t="str">
        <f t="shared" si="567"/>
        <v>NO APLICA</v>
      </c>
      <c r="OU142" s="6"/>
      <c r="OV142" s="6"/>
      <c r="OW142" s="6"/>
      <c r="OX142" s="6"/>
      <c r="OY142" s="5" t="str">
        <f t="shared" si="568"/>
        <v>NO APLICA</v>
      </c>
      <c r="OZ142" s="6"/>
      <c r="PA142" s="6"/>
      <c r="PB142" s="6"/>
      <c r="PC142" s="6"/>
      <c r="PD142" s="5" t="str">
        <f t="shared" si="569"/>
        <v>NO APLICA</v>
      </c>
      <c r="PE142" s="6"/>
      <c r="PF142" s="6"/>
      <c r="PG142" s="6"/>
      <c r="PH142" s="6"/>
      <c r="PI142" s="5" t="str">
        <f t="shared" si="570"/>
        <v>NO APLICA</v>
      </c>
      <c r="PJ142" s="5"/>
      <c r="PK142" s="6"/>
      <c r="PL142" s="6"/>
      <c r="PM142" s="6"/>
      <c r="PN142" s="5" t="str">
        <f t="shared" si="571"/>
        <v>NO APLICA</v>
      </c>
      <c r="PO142" s="6"/>
      <c r="PP142" s="6"/>
      <c r="PQ142" s="6"/>
      <c r="PR142" s="6"/>
      <c r="PS142" s="5" t="str">
        <f t="shared" si="572"/>
        <v>NO APLICA</v>
      </c>
      <c r="PT142" s="5"/>
      <c r="PU142" s="6"/>
      <c r="PV142" s="6"/>
      <c r="PW142" s="6"/>
      <c r="PX142" s="5" t="str">
        <f t="shared" si="573"/>
        <v>NO APLICA</v>
      </c>
    </row>
    <row r="143" spans="1:440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185</v>
      </c>
      <c r="T143" s="5" t="str">
        <f t="shared" ca="1" si="574"/>
        <v>VIGENTE</v>
      </c>
      <c r="U143" s="2" t="s">
        <v>469</v>
      </c>
      <c r="V143" s="4">
        <v>45142</v>
      </c>
      <c r="W143" s="4">
        <f t="shared" si="421"/>
        <v>46969</v>
      </c>
      <c r="X143" s="8">
        <f t="shared" ca="1" si="422"/>
        <v>835</v>
      </c>
      <c r="Y143" s="5" t="str">
        <f t="shared" ca="1" si="423"/>
        <v>VIGENTE</v>
      </c>
      <c r="Z143" s="2" t="s">
        <v>470</v>
      </c>
      <c r="AA143" s="4">
        <v>45192</v>
      </c>
      <c r="AB143" s="4">
        <f>DATE(YEAR(AA143)+5,MONTH(AA143),DAY(AA143))</f>
        <v>47019</v>
      </c>
      <c r="AC143" s="8">
        <f ca="1">AB143-TODAY()</f>
        <v>885</v>
      </c>
      <c r="AD143" s="5" t="str">
        <f t="shared" ca="1" si="582"/>
        <v>VIGENTE</v>
      </c>
      <c r="AE143" s="3"/>
      <c r="AF143" s="4">
        <v>45780</v>
      </c>
      <c r="AG143" s="4">
        <f>DATE(YEAR(AF143)+2,MONTH(AF143),DAY(AF143))</f>
        <v>46510</v>
      </c>
      <c r="AH143" s="8">
        <f t="shared" ca="1" si="470"/>
        <v>376</v>
      </c>
      <c r="AI143" s="5" t="str">
        <f t="shared" ca="1" si="419"/>
        <v>VIGENTE</v>
      </c>
      <c r="AJ143" s="3"/>
      <c r="AK143" s="4">
        <v>45748</v>
      </c>
      <c r="AL143" s="4">
        <f>DATE(YEAR(AK143)+2,MONTH(AK143),DAY(AK143)-1)</f>
        <v>46477</v>
      </c>
      <c r="AM143" s="8">
        <f t="shared" ca="1" si="471"/>
        <v>343</v>
      </c>
      <c r="AN143" s="5" t="str">
        <f t="shared" ca="1" si="472"/>
        <v>VIGENTE</v>
      </c>
      <c r="AO143" s="3"/>
      <c r="AP143" s="4">
        <v>45775</v>
      </c>
      <c r="AQ143" s="4">
        <f t="shared" si="586"/>
        <v>46505</v>
      </c>
      <c r="AR143" s="8">
        <f t="shared" ca="1" si="473"/>
        <v>371</v>
      </c>
      <c r="AS143" s="5" t="str">
        <f t="shared" ca="1" si="474"/>
        <v>VIGENTE</v>
      </c>
      <c r="AT143" s="3"/>
      <c r="AU143" s="4">
        <v>45765</v>
      </c>
      <c r="AV143" s="4">
        <f t="shared" si="587"/>
        <v>46495</v>
      </c>
      <c r="AW143" s="8">
        <f t="shared" ca="1" si="475"/>
        <v>361</v>
      </c>
      <c r="AX143" s="5" t="str">
        <f t="shared" ca="1" si="476"/>
        <v>VIGENTE</v>
      </c>
      <c r="AY143" s="3"/>
      <c r="AZ143" s="4">
        <v>45742</v>
      </c>
      <c r="BA143" s="4">
        <f>DATE(YEAR(AZ143)+2,MONTH(AZ143),DAY(AZ143)-1)</f>
        <v>46471</v>
      </c>
      <c r="BB143" s="8">
        <f t="shared" ca="1" si="477"/>
        <v>337</v>
      </c>
      <c r="BC143" s="5" t="str">
        <f t="shared" ca="1" si="478"/>
        <v>VIGENTE</v>
      </c>
      <c r="BD143" s="2"/>
      <c r="BE143" s="4">
        <v>45762</v>
      </c>
      <c r="BF143" s="4">
        <f>DATE(YEAR(BE143)+2,MONTH(BE143),DAY(BE143))</f>
        <v>46492</v>
      </c>
      <c r="BG143" s="8">
        <f t="shared" ca="1" si="479"/>
        <v>358</v>
      </c>
      <c r="BH143" s="5" t="str">
        <f t="shared" ca="1" si="480"/>
        <v>VIGENTE</v>
      </c>
      <c r="BI143" s="3"/>
      <c r="BJ143" s="4">
        <v>45797</v>
      </c>
      <c r="BK143" s="4">
        <f>DATE(YEAR(BJ143)+2,MONTH(BJ143),DAY(BJ143))</f>
        <v>46527</v>
      </c>
      <c r="BL143" s="8">
        <f t="shared" ca="1" si="481"/>
        <v>393</v>
      </c>
      <c r="BM143" s="5" t="str">
        <f t="shared" ca="1" si="482"/>
        <v>VIGENTE</v>
      </c>
      <c r="BN143" s="3"/>
      <c r="BO143" s="4">
        <v>45841</v>
      </c>
      <c r="BP143" s="4">
        <f t="shared" si="588"/>
        <v>46571</v>
      </c>
      <c r="BQ143" s="8">
        <f t="shared" ca="1" si="483"/>
        <v>437</v>
      </c>
      <c r="BR143" s="5" t="str">
        <f t="shared" ca="1" si="484"/>
        <v>VIGENTE</v>
      </c>
      <c r="BS143" s="3"/>
      <c r="BT143" s="4">
        <v>45853</v>
      </c>
      <c r="BU143" s="4">
        <f>DATE(YEAR(BT143)+2,MONTH(BT143),DAY(BT143))</f>
        <v>46583</v>
      </c>
      <c r="BV143" s="8">
        <f t="shared" ca="1" si="485"/>
        <v>449</v>
      </c>
      <c r="BW143" s="5" t="str">
        <f t="shared" ca="1" si="486"/>
        <v>VIGENTE</v>
      </c>
      <c r="BX143" s="3"/>
      <c r="BY143" s="4">
        <v>45818</v>
      </c>
      <c r="BZ143" s="4">
        <f>DATE(YEAR(BY143)+2,MONTH(BY143),DAY(BY143))</f>
        <v>46548</v>
      </c>
      <c r="CA143" s="8">
        <f t="shared" ca="1" si="487"/>
        <v>414</v>
      </c>
      <c r="CB143" s="5" t="str">
        <f t="shared" ca="1" si="488"/>
        <v>VIGENTE</v>
      </c>
      <c r="CC143" s="6" t="s">
        <v>471</v>
      </c>
      <c r="CD143" s="4">
        <v>45126</v>
      </c>
      <c r="CE143" s="4">
        <f t="shared" si="428"/>
        <v>46587</v>
      </c>
      <c r="CF143" s="8">
        <f t="shared" ca="1" si="429"/>
        <v>453</v>
      </c>
      <c r="CG143" s="25" t="s">
        <v>472</v>
      </c>
      <c r="CH143" s="4"/>
      <c r="CI143" s="4">
        <v>45801</v>
      </c>
      <c r="CJ143" s="4">
        <f>DATE(YEAR(CI143)+2,MONTH(CI143),DAY(CI143)-1)</f>
        <v>46530</v>
      </c>
      <c r="CK143" s="8">
        <f t="shared" ca="1" si="489"/>
        <v>396</v>
      </c>
      <c r="CL143" s="5" t="str">
        <f t="shared" ca="1" si="490"/>
        <v>VIGENTE</v>
      </c>
      <c r="CM143" s="2"/>
      <c r="CN143" s="4">
        <v>45769</v>
      </c>
      <c r="CO143" s="4">
        <f>DATE(YEAR(CN143)+2,MONTH(CN143),DAY(CN143))</f>
        <v>46499</v>
      </c>
      <c r="CP143" s="8">
        <f t="shared" ca="1" si="491"/>
        <v>365</v>
      </c>
      <c r="CQ143" s="5" t="str">
        <f t="shared" ca="1" si="492"/>
        <v>VIGENTE</v>
      </c>
      <c r="CR143" s="3"/>
      <c r="CS143" s="4">
        <v>45905</v>
      </c>
      <c r="CT143" s="4">
        <f>DATE(YEAR(CS143)+2,MONTH(CS143),DAY(CS143))</f>
        <v>46635</v>
      </c>
      <c r="CU143" s="8">
        <f t="shared" ca="1" si="493"/>
        <v>501</v>
      </c>
      <c r="CV143" s="5" t="str">
        <f t="shared" ca="1" si="494"/>
        <v>VIGENTE</v>
      </c>
      <c r="CW143" s="3"/>
      <c r="CX143" s="4">
        <v>45835</v>
      </c>
      <c r="CY143" s="4">
        <f>DATE(YEAR(CX143)+2,MONTH(CX143),DAY(CX143))</f>
        <v>46565</v>
      </c>
      <c r="CZ143" s="8">
        <f t="shared" ca="1" si="495"/>
        <v>431</v>
      </c>
      <c r="DA143" s="5" t="str">
        <f t="shared" ca="1" si="496"/>
        <v>VIGENTE</v>
      </c>
      <c r="DB143" s="3"/>
      <c r="DC143" s="4">
        <v>45761</v>
      </c>
      <c r="DD143" s="4">
        <f>DATE(YEAR(DC143)+2,MONTH(DC143),DAY(DC143))</f>
        <v>46491</v>
      </c>
      <c r="DE143" s="8">
        <f t="shared" ca="1" si="497"/>
        <v>357</v>
      </c>
      <c r="DF143" s="5" t="str">
        <f t="shared" ca="1" si="498"/>
        <v>VIGENTE</v>
      </c>
      <c r="DG143" s="3"/>
      <c r="DH143" s="4">
        <v>45779</v>
      </c>
      <c r="DI143" s="4">
        <f>DATE(YEAR(DH143)+2,MONTH(DH143),DAY(DH143))</f>
        <v>46509</v>
      </c>
      <c r="DJ143" s="8">
        <f t="shared" ca="1" si="499"/>
        <v>375</v>
      </c>
      <c r="DK143" s="5" t="str">
        <f t="shared" ca="1" si="500"/>
        <v>VIGENTE</v>
      </c>
      <c r="DL143" s="4"/>
      <c r="DM143" s="4">
        <v>45873</v>
      </c>
      <c r="DN143" s="4">
        <f>DATE(YEAR(DM143)+2,MONTH(DM143),DAY(DM143))</f>
        <v>46603</v>
      </c>
      <c r="DO143" s="8">
        <f t="shared" ca="1" si="501"/>
        <v>469</v>
      </c>
      <c r="DP143" s="5" t="str">
        <f t="shared" ca="1" si="502"/>
        <v>VIGENTE</v>
      </c>
      <c r="DQ143" s="3"/>
      <c r="DR143" s="4">
        <v>45852</v>
      </c>
      <c r="DS143" s="4">
        <f>DATE(YEAR(DR143)+2,MONTH(DR143),DAY(DR143))</f>
        <v>46582</v>
      </c>
      <c r="DT143" s="8">
        <f t="shared" ca="1" si="503"/>
        <v>448</v>
      </c>
      <c r="DU143" s="5" t="str">
        <f t="shared" ca="1" si="504"/>
        <v>VIGENTE</v>
      </c>
      <c r="DV143" s="3"/>
      <c r="DW143" s="4">
        <v>45804</v>
      </c>
      <c r="DX143" s="4">
        <f>DATE(YEAR(DW143)+2,MONTH(DW143),DAY(DW143))</f>
        <v>46534</v>
      </c>
      <c r="DY143" s="8">
        <f t="shared" ca="1" si="505"/>
        <v>400</v>
      </c>
      <c r="DZ143" s="5" t="str">
        <f t="shared" ca="1" si="506"/>
        <v>VIGENTE</v>
      </c>
      <c r="EA143" s="3"/>
      <c r="EB143" s="4">
        <v>45787</v>
      </c>
      <c r="EC143" s="4">
        <f>DATE(YEAR(EB143)+2,MONTH(EB143),DAY(EB143))</f>
        <v>46517</v>
      </c>
      <c r="ED143" s="8">
        <f t="shared" ca="1" si="507"/>
        <v>383</v>
      </c>
      <c r="EE143" s="5" t="str">
        <f t="shared" ca="1" si="508"/>
        <v>VIGENTE</v>
      </c>
      <c r="EF143" s="3"/>
      <c r="EG143" s="4">
        <v>45812</v>
      </c>
      <c r="EH143" s="4">
        <f t="shared" si="575"/>
        <v>46177</v>
      </c>
      <c r="EI143" s="8">
        <f t="shared" ca="1" si="509"/>
        <v>43</v>
      </c>
      <c r="EJ143" s="5" t="str">
        <f t="shared" ca="1" si="510"/>
        <v>POR VENCER</v>
      </c>
      <c r="EK143" s="3"/>
      <c r="EL143" s="4">
        <v>45840</v>
      </c>
      <c r="EM143" s="4">
        <f>DATE(YEAR(EL143)+2,MONTH(EL143),DAY(EL143))</f>
        <v>46570</v>
      </c>
      <c r="EN143" s="8">
        <f t="shared" ca="1" si="511"/>
        <v>436</v>
      </c>
      <c r="EO143" s="5" t="str">
        <f t="shared" ca="1" si="512"/>
        <v>VIGENTE</v>
      </c>
      <c r="EP143" s="3"/>
      <c r="EQ143" s="4">
        <v>45824</v>
      </c>
      <c r="ER143" s="4">
        <f>DATE(YEAR(EQ143)+2,MONTH(EQ143),DAY(EQ143))</f>
        <v>46554</v>
      </c>
      <c r="ES143" s="8">
        <f t="shared" ca="1" si="513"/>
        <v>420</v>
      </c>
      <c r="ET143" s="5" t="str">
        <f t="shared" ca="1" si="514"/>
        <v>VIGENTE</v>
      </c>
      <c r="EU143" s="3"/>
      <c r="EV143" s="4">
        <v>45794</v>
      </c>
      <c r="EW143" s="4">
        <f>DATE(YEAR(EV143)+2,MONTH(EV143),DAY(EV143))</f>
        <v>46524</v>
      </c>
      <c r="EX143" s="8">
        <f t="shared" ca="1" si="515"/>
        <v>390</v>
      </c>
      <c r="EY143" s="5" t="str">
        <f t="shared" ca="1" si="516"/>
        <v>VIGENTE</v>
      </c>
      <c r="EZ143" s="2"/>
      <c r="FA143" s="4">
        <v>45931</v>
      </c>
      <c r="FB143" s="4">
        <f>DATE(YEAR(FA143)+2,MONTH(FA143),DAY(FA143))</f>
        <v>46661</v>
      </c>
      <c r="FC143" s="8">
        <f t="shared" ca="1" si="517"/>
        <v>527</v>
      </c>
      <c r="FD143" s="5" t="str">
        <f t="shared" ca="1" si="518"/>
        <v>VIGENTE</v>
      </c>
      <c r="FE143" s="3"/>
      <c r="FF143" s="4">
        <v>45832</v>
      </c>
      <c r="FG143" s="4">
        <f>DATE(YEAR(FF143)+2,MONTH(FF143),DAY(FF143))</f>
        <v>46562</v>
      </c>
      <c r="FH143" s="8">
        <f t="shared" ca="1" si="519"/>
        <v>428</v>
      </c>
      <c r="FI143" s="5" t="str">
        <f t="shared" ca="1" si="520"/>
        <v>VIGENTE</v>
      </c>
      <c r="FJ143" s="3"/>
      <c r="FK143" s="4">
        <v>45771</v>
      </c>
      <c r="FL143" s="4">
        <f>DATE(YEAR(FK143)+2,MONTH(FK143),DAY(FK143))</f>
        <v>46501</v>
      </c>
      <c r="FM143" s="8">
        <f t="shared" ca="1" si="521"/>
        <v>367</v>
      </c>
      <c r="FN143" s="5" t="str">
        <f t="shared" ca="1" si="522"/>
        <v>VIGENTE</v>
      </c>
      <c r="FO143" s="3"/>
      <c r="FP143" s="4">
        <v>45782</v>
      </c>
      <c r="FQ143" s="4">
        <f>DATE(YEAR(FP143)+2,MONTH(FP143),DAY(FP143))</f>
        <v>46512</v>
      </c>
      <c r="FR143" s="8">
        <f t="shared" ca="1" si="523"/>
        <v>378</v>
      </c>
      <c r="FS143" s="5" t="str">
        <f t="shared" ca="1" si="524"/>
        <v>VIGENTE</v>
      </c>
      <c r="FT143" s="3"/>
      <c r="FU143" s="4">
        <v>45875</v>
      </c>
      <c r="FV143" s="4">
        <f>DATE(YEAR(FU143)+2,MONTH(FU143),DAY(FU143))</f>
        <v>46605</v>
      </c>
      <c r="FW143" s="8">
        <f t="shared" ca="1" si="525"/>
        <v>471</v>
      </c>
      <c r="FX143" s="5" t="str">
        <f t="shared" ca="1" si="526"/>
        <v>VIGENTE</v>
      </c>
      <c r="FY143" s="3"/>
      <c r="FZ143" s="4">
        <v>45833</v>
      </c>
      <c r="GA143" s="4">
        <f>DATE(YEAR(FZ143)+2,MONTH(FZ143),DAY(FZ143))</f>
        <v>46563</v>
      </c>
      <c r="GB143" s="8">
        <f t="shared" ca="1" si="527"/>
        <v>429</v>
      </c>
      <c r="GC143" s="5" t="str">
        <f t="shared" ca="1" si="528"/>
        <v>VIGENTE</v>
      </c>
      <c r="GD143" s="3"/>
      <c r="GE143" s="4">
        <v>45731</v>
      </c>
      <c r="GF143" s="4">
        <f>DATE(YEAR(GE143)+2,MONTH(GE143),DAY(GE143)-1)</f>
        <v>46460</v>
      </c>
      <c r="GG143" s="8">
        <f t="shared" ca="1" si="529"/>
        <v>326</v>
      </c>
      <c r="GH143" s="5" t="str">
        <f t="shared" ca="1" si="530"/>
        <v>VIGENTE</v>
      </c>
      <c r="GI143" s="3"/>
      <c r="GJ143" s="4">
        <v>45848</v>
      </c>
      <c r="GK143" s="4">
        <f t="shared" si="589"/>
        <v>46578</v>
      </c>
      <c r="GL143" s="8">
        <f t="shared" ca="1" si="531"/>
        <v>444</v>
      </c>
      <c r="GM143" s="5" t="str">
        <f t="shared" ca="1" si="532"/>
        <v>VIGENTE</v>
      </c>
      <c r="GN143" s="4"/>
      <c r="GO143" s="4">
        <v>45136</v>
      </c>
      <c r="GP143" s="4">
        <f t="shared" si="533"/>
        <v>46963</v>
      </c>
      <c r="GQ143" s="8">
        <f t="shared" ca="1" si="418"/>
        <v>829</v>
      </c>
      <c r="GR143" s="5" t="str">
        <f t="shared" ca="1" si="431"/>
        <v>VIGENTE</v>
      </c>
      <c r="GS143" s="3"/>
      <c r="GT143" s="4">
        <v>45203</v>
      </c>
      <c r="GU143" s="4">
        <f t="shared" si="534"/>
        <v>47030</v>
      </c>
      <c r="GV143" s="8">
        <f t="shared" ca="1" si="535"/>
        <v>896</v>
      </c>
      <c r="GW143" s="5" t="str">
        <f t="shared" ca="1" si="438"/>
        <v>VIGENTE</v>
      </c>
      <c r="GX143" s="2"/>
      <c r="GY143" s="4">
        <v>45187</v>
      </c>
      <c r="GZ143" s="4">
        <f t="shared" si="536"/>
        <v>47014</v>
      </c>
      <c r="HA143" s="8">
        <f t="shared" ca="1" si="537"/>
        <v>880</v>
      </c>
      <c r="HB143" s="5" t="str">
        <f t="shared" ca="1" si="433"/>
        <v>VIGENTE</v>
      </c>
      <c r="HC143" s="6"/>
      <c r="HD143" s="4">
        <v>45150</v>
      </c>
      <c r="HE143" s="4">
        <f>DATE(YEAR(HD143)+5,MONTH(HD143),DAY(HD143))</f>
        <v>46977</v>
      </c>
      <c r="HF143" s="8">
        <f ca="1">HE143-TODAY()</f>
        <v>843</v>
      </c>
      <c r="HG143" s="5" t="str">
        <f t="shared" ca="1" si="439"/>
        <v>VIGENTE</v>
      </c>
      <c r="HH143" s="2"/>
      <c r="HI143" s="6"/>
      <c r="HJ143" s="4"/>
      <c r="HK143" s="8"/>
      <c r="HL143" s="5" t="str">
        <f t="shared" si="457"/>
        <v>NO APLICA</v>
      </c>
      <c r="HM143" s="2"/>
      <c r="HN143" s="2"/>
      <c r="HO143" s="4"/>
      <c r="HP143" s="2"/>
      <c r="HQ143" s="5" t="str">
        <f t="shared" si="538"/>
        <v>NO APLICA</v>
      </c>
      <c r="HR143" s="2"/>
      <c r="HS143" s="6"/>
      <c r="HT143" s="4"/>
      <c r="HU143" s="8"/>
      <c r="HV143" s="5" t="str">
        <f t="shared" si="539"/>
        <v>NO APLICA</v>
      </c>
      <c r="HW143" s="2"/>
      <c r="HX143" s="6"/>
      <c r="HY143" s="4"/>
      <c r="HZ143" s="8"/>
      <c r="IA143" s="5" t="str">
        <f t="shared" si="540"/>
        <v>NO APLICA</v>
      </c>
      <c r="IB143" s="2"/>
      <c r="IC143" s="6"/>
      <c r="ID143" s="4"/>
      <c r="IE143" s="8"/>
      <c r="IF143" s="5" t="str">
        <f t="shared" si="541"/>
        <v>NO APLICA</v>
      </c>
      <c r="IG143" s="6"/>
      <c r="IH143" s="6"/>
      <c r="II143" s="4"/>
      <c r="IJ143" s="8"/>
      <c r="IK143" s="5" t="str">
        <f t="shared" si="542"/>
        <v>NO APLICA</v>
      </c>
      <c r="IL143" s="2"/>
      <c r="IM143" s="6"/>
      <c r="IN143" s="4"/>
      <c r="IO143" s="8"/>
      <c r="IP143" s="5" t="str">
        <f t="shared" si="543"/>
        <v>NO APLICA</v>
      </c>
      <c r="IQ143" s="2"/>
      <c r="IR143" s="6"/>
      <c r="IS143" s="4"/>
      <c r="IT143" s="8"/>
      <c r="IU143" s="5" t="str">
        <f t="shared" si="544"/>
        <v>NO APLICA</v>
      </c>
      <c r="IV143" s="2"/>
      <c r="IW143" s="6"/>
      <c r="IX143" s="4"/>
      <c r="IY143" s="8"/>
      <c r="IZ143" s="5" t="str">
        <f t="shared" si="545"/>
        <v>NO APLICA</v>
      </c>
      <c r="JA143" s="3"/>
      <c r="JB143" s="3"/>
      <c r="JC143" s="4"/>
      <c r="JD143" s="8"/>
      <c r="JE143" s="5" t="str">
        <f t="shared" si="546"/>
        <v>NO APLICA</v>
      </c>
      <c r="JF143" s="6"/>
      <c r="JG143" s="6"/>
      <c r="JH143" s="6"/>
      <c r="JI143" s="6"/>
      <c r="JJ143" s="5" t="str">
        <f t="shared" si="547"/>
        <v>NO APLICA</v>
      </c>
      <c r="JK143" s="6"/>
      <c r="JL143" s="6"/>
      <c r="JM143" s="6"/>
      <c r="JN143" s="6"/>
      <c r="JO143" s="5" t="str">
        <f t="shared" si="548"/>
        <v>NO APLICA</v>
      </c>
      <c r="JP143" s="6"/>
      <c r="JQ143" s="6"/>
      <c r="JR143" s="6"/>
      <c r="JS143" s="6"/>
      <c r="JT143" s="5" t="str">
        <f t="shared" si="549"/>
        <v>NO APLICA</v>
      </c>
      <c r="JU143" s="5"/>
      <c r="JV143" s="5"/>
      <c r="JW143" s="5"/>
      <c r="JX143" s="5"/>
      <c r="JY143" s="5" t="str">
        <f t="shared" si="550"/>
        <v>NO APLICA</v>
      </c>
      <c r="JZ143" s="5"/>
      <c r="KA143" s="2"/>
      <c r="KB143" s="4"/>
      <c r="KC143" s="8"/>
      <c r="KD143" s="5" t="str">
        <f t="shared" si="551"/>
        <v>NO APLICA</v>
      </c>
      <c r="KE143" s="5"/>
      <c r="KF143" s="2"/>
      <c r="KG143" s="4"/>
      <c r="KH143" s="8"/>
      <c r="KI143" s="5" t="str">
        <f t="shared" si="576"/>
        <v>NO APLICA</v>
      </c>
      <c r="KJ143" s="5"/>
      <c r="KK143" s="2"/>
      <c r="KL143" s="4"/>
      <c r="KM143" s="8"/>
      <c r="KN143" s="5" t="str">
        <f t="shared" si="552"/>
        <v>NO APLICA</v>
      </c>
      <c r="KO143" s="5"/>
      <c r="KP143" s="2"/>
      <c r="KQ143" s="4"/>
      <c r="KR143" s="8"/>
      <c r="KS143" s="5" t="str">
        <f t="shared" si="577"/>
        <v>NO APLICA</v>
      </c>
      <c r="KT143" s="2"/>
      <c r="KU143" s="6"/>
      <c r="KV143" s="4"/>
      <c r="KW143" s="8"/>
      <c r="KX143" s="5" t="str">
        <f t="shared" si="583"/>
        <v>NO APLICA</v>
      </c>
      <c r="KY143" s="5"/>
      <c r="KZ143" s="6"/>
      <c r="LA143" s="4"/>
      <c r="LB143" s="8"/>
      <c r="LC143" s="5" t="str">
        <f t="shared" si="578"/>
        <v>NO APLICA</v>
      </c>
      <c r="LD143" s="6"/>
      <c r="LE143" s="6"/>
      <c r="LF143" s="4"/>
      <c r="LG143" s="8"/>
      <c r="LH143" s="5" t="str">
        <f t="shared" si="585"/>
        <v>NO APLICA</v>
      </c>
      <c r="LI143" s="5"/>
      <c r="LJ143" s="5"/>
      <c r="LK143" s="5"/>
      <c r="LL143" s="5"/>
      <c r="LM143" s="5" t="str">
        <f t="shared" si="584"/>
        <v>NO APLICA</v>
      </c>
      <c r="LN143" s="2"/>
      <c r="LO143" s="6"/>
      <c r="LP143" s="4"/>
      <c r="LQ143" s="8"/>
      <c r="LR143" s="5" t="str">
        <f t="shared" si="579"/>
        <v>NO APLICA</v>
      </c>
      <c r="LS143" s="6"/>
      <c r="LT143" s="6"/>
      <c r="LU143" s="4"/>
      <c r="LV143" s="8"/>
      <c r="LW143" s="5" t="str">
        <f t="shared" si="580"/>
        <v>NO APLICA</v>
      </c>
      <c r="LX143" s="6"/>
      <c r="LY143" s="6"/>
      <c r="LZ143" s="4"/>
      <c r="MA143" s="8"/>
      <c r="MB143" s="5" t="str">
        <f t="shared" si="581"/>
        <v>NO APLICA</v>
      </c>
      <c r="MC143" s="2"/>
      <c r="MD143" s="2"/>
      <c r="ME143" s="4"/>
      <c r="MF143" s="8"/>
      <c r="MG143" s="5" t="str">
        <f t="shared" si="554"/>
        <v>NO APLICA</v>
      </c>
      <c r="MH143" s="2"/>
      <c r="MI143" s="2"/>
      <c r="MJ143" s="4"/>
      <c r="MK143" s="8"/>
      <c r="ML143" s="5" t="str">
        <f t="shared" si="555"/>
        <v>NO APLICA</v>
      </c>
      <c r="MM143" s="5"/>
      <c r="MN143" s="2"/>
      <c r="MO143" s="4"/>
      <c r="MP143" s="8"/>
      <c r="MQ143" s="5" t="str">
        <f t="shared" si="556"/>
        <v>NO APLICA</v>
      </c>
      <c r="MR143" s="5"/>
      <c r="MS143" s="2"/>
      <c r="MT143" s="4"/>
      <c r="MU143" s="2"/>
      <c r="MV143" s="5" t="str">
        <f t="shared" si="557"/>
        <v>NO APLICA</v>
      </c>
      <c r="MW143" s="2"/>
      <c r="MX143" s="6"/>
      <c r="MY143" s="4"/>
      <c r="MZ143" s="8"/>
      <c r="NA143" s="5" t="str">
        <f t="shared" si="558"/>
        <v>NO APLICA</v>
      </c>
      <c r="NB143" s="2"/>
      <c r="NC143" s="6"/>
      <c r="ND143" s="4"/>
      <c r="NE143" s="8"/>
      <c r="NF143" s="5" t="str">
        <f t="shared" si="559"/>
        <v>NO APLICA</v>
      </c>
      <c r="NG143" s="2"/>
      <c r="NH143" s="6"/>
      <c r="NI143" s="4"/>
      <c r="NJ143" s="8"/>
      <c r="NK143" s="5" t="str">
        <f t="shared" si="560"/>
        <v>NO APLICA</v>
      </c>
      <c r="NL143" s="2"/>
      <c r="NM143" s="2"/>
      <c r="NN143" s="4"/>
      <c r="NO143" s="8"/>
      <c r="NP143" s="5" t="str">
        <f t="shared" si="561"/>
        <v>NO APLICA</v>
      </c>
      <c r="NQ143" s="2"/>
      <c r="NR143" s="2"/>
      <c r="NS143" s="4"/>
      <c r="NT143" s="2"/>
      <c r="NU143" s="5" t="str">
        <f t="shared" si="562"/>
        <v>NO APLICA</v>
      </c>
      <c r="NV143" s="6"/>
      <c r="NW143" s="4">
        <v>45320</v>
      </c>
      <c r="NX143" s="4">
        <f>DATE(YEAR(NW143)+2,MONTH(NW143),DAY(NW143))</f>
        <v>46051</v>
      </c>
      <c r="NY143" s="8">
        <f ca="1">NX143-TODAY()</f>
        <v>-83</v>
      </c>
      <c r="NZ143" s="5" t="str">
        <f t="shared" ca="1" si="563"/>
        <v>VENCIDA</v>
      </c>
      <c r="OA143" s="6"/>
      <c r="OB143" s="6"/>
      <c r="OC143" s="6"/>
      <c r="OD143" s="6"/>
      <c r="OE143" s="5" t="str">
        <f t="shared" si="564"/>
        <v>NO APLICA</v>
      </c>
      <c r="OF143" s="6"/>
      <c r="OG143" s="6"/>
      <c r="OH143" s="4"/>
      <c r="OI143" s="8"/>
      <c r="OJ143" s="5" t="str">
        <f t="shared" si="565"/>
        <v>NO APLICA</v>
      </c>
      <c r="OK143" s="6"/>
      <c r="OL143" s="6"/>
      <c r="OM143" s="6"/>
      <c r="ON143" s="6"/>
      <c r="OO143" s="5" t="str">
        <f t="shared" si="566"/>
        <v>NO APLICA</v>
      </c>
      <c r="OP143" s="6"/>
      <c r="OQ143" s="6"/>
      <c r="OR143" s="6"/>
      <c r="OS143" s="6"/>
      <c r="OT143" s="5" t="str">
        <f t="shared" si="567"/>
        <v>NO APLICA</v>
      </c>
      <c r="OU143" s="6"/>
      <c r="OV143" s="6"/>
      <c r="OW143" s="6"/>
      <c r="OX143" s="6"/>
      <c r="OY143" s="5" t="str">
        <f t="shared" si="568"/>
        <v>NO APLICA</v>
      </c>
      <c r="OZ143" s="6"/>
      <c r="PA143" s="6"/>
      <c r="PB143" s="6"/>
      <c r="PC143" s="6"/>
      <c r="PD143" s="5" t="str">
        <f t="shared" si="569"/>
        <v>NO APLICA</v>
      </c>
      <c r="PE143" s="6"/>
      <c r="PF143" s="6"/>
      <c r="PG143" s="6"/>
      <c r="PH143" s="6"/>
      <c r="PI143" s="5" t="str">
        <f t="shared" si="570"/>
        <v>NO APLICA</v>
      </c>
      <c r="PJ143" s="5"/>
      <c r="PK143" s="6"/>
      <c r="PL143" s="4"/>
      <c r="PM143" s="8"/>
      <c r="PN143" s="5" t="str">
        <f t="shared" si="571"/>
        <v>NO APLICA</v>
      </c>
      <c r="PO143" s="6"/>
      <c r="PP143" s="6"/>
      <c r="PQ143" s="6"/>
      <c r="PR143" s="6"/>
      <c r="PS143" s="5" t="str">
        <f t="shared" si="572"/>
        <v>NO APLICA</v>
      </c>
      <c r="PT143" s="5"/>
      <c r="PU143" s="6"/>
      <c r="PV143" s="6"/>
      <c r="PW143" s="6"/>
      <c r="PX143" s="5" t="str">
        <f t="shared" si="573"/>
        <v>NO APLICA</v>
      </c>
    </row>
    <row r="144" spans="1:440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474</v>
      </c>
      <c r="V144" s="4">
        <v>45502</v>
      </c>
      <c r="W144" s="4">
        <f t="shared" si="421"/>
        <v>47328</v>
      </c>
      <c r="X144" s="8">
        <f t="shared" ca="1" si="422"/>
        <v>1194</v>
      </c>
      <c r="Y144" s="5" t="str">
        <f t="shared" ca="1" si="423"/>
        <v>VIGENTE</v>
      </c>
      <c r="Z144" s="6" t="s">
        <v>475</v>
      </c>
      <c r="AA144" s="4">
        <v>45499</v>
      </c>
      <c r="AB144" s="4">
        <f>DATE(YEAR(AA144)+5,MONTH(AA144),DAY(AA144))</f>
        <v>47325</v>
      </c>
      <c r="AC144" s="8">
        <f ca="1">AB144-TODAY()</f>
        <v>1191</v>
      </c>
      <c r="AD144" s="5" t="str">
        <f t="shared" ca="1" si="582"/>
        <v>VIGENTE</v>
      </c>
      <c r="AE144" s="4"/>
      <c r="AF144" s="4">
        <v>46085</v>
      </c>
      <c r="AG144" s="4">
        <f>DATE(YEAR(AF144)+2,MONTH(AF144),DAY(AF144))</f>
        <v>46816</v>
      </c>
      <c r="AH144" s="8">
        <f t="shared" ca="1" si="470"/>
        <v>682</v>
      </c>
      <c r="AI144" s="5" t="str">
        <f t="shared" ca="1" si="419"/>
        <v>VIGENTE</v>
      </c>
      <c r="AJ144" s="6"/>
      <c r="AK144" s="4">
        <v>46062</v>
      </c>
      <c r="AL144" s="4">
        <f t="shared" ref="AL144:AL157" si="590">DATE(YEAR(AK144)+2,MONTH(AK144),DAY(AK144))</f>
        <v>46792</v>
      </c>
      <c r="AM144" s="8">
        <f t="shared" ca="1" si="471"/>
        <v>658</v>
      </c>
      <c r="AN144" s="5" t="str">
        <f t="shared" ca="1" si="472"/>
        <v>VIGENTE</v>
      </c>
      <c r="AO144" s="4"/>
      <c r="AP144" s="4">
        <v>45989</v>
      </c>
      <c r="AQ144" s="4">
        <f t="shared" si="586"/>
        <v>46719</v>
      </c>
      <c r="AR144" s="8">
        <f t="shared" ca="1" si="473"/>
        <v>585</v>
      </c>
      <c r="AS144" s="5" t="str">
        <f t="shared" ca="1" si="474"/>
        <v>VIGENTE</v>
      </c>
      <c r="AT144" s="6"/>
      <c r="AU144" s="4">
        <v>46070</v>
      </c>
      <c r="AV144" s="4">
        <f t="shared" si="587"/>
        <v>46800</v>
      </c>
      <c r="AW144" s="8">
        <f t="shared" ca="1" si="475"/>
        <v>666</v>
      </c>
      <c r="AX144" s="5" t="str">
        <f t="shared" ca="1" si="476"/>
        <v>VIGENTE</v>
      </c>
      <c r="AY144" s="4"/>
      <c r="AZ144" s="4">
        <v>46041</v>
      </c>
      <c r="BA144" s="4">
        <f>DATE(YEAR(AZ144)+2,MONTH(AZ144),DAY(AZ144))</f>
        <v>46771</v>
      </c>
      <c r="BB144" s="8">
        <f t="shared" ca="1" si="477"/>
        <v>637</v>
      </c>
      <c r="BC144" s="5" t="str">
        <f t="shared" ca="1" si="478"/>
        <v>VIGENTE</v>
      </c>
      <c r="BD144" s="6"/>
      <c r="BE144" s="4">
        <v>45987</v>
      </c>
      <c r="BF144" s="4">
        <f>DATE(YEAR(BE144)+2,MONTH(BE144),DAY(BE144))</f>
        <v>46717</v>
      </c>
      <c r="BG144" s="8">
        <f t="shared" ca="1" si="479"/>
        <v>583</v>
      </c>
      <c r="BH144" s="5" t="str">
        <f t="shared" ca="1" si="480"/>
        <v>VIGENTE</v>
      </c>
      <c r="BI144" s="4"/>
      <c r="BJ144" s="4">
        <v>46007</v>
      </c>
      <c r="BK144" s="4">
        <f>DATE(YEAR(BJ144)+2,MONTH(BJ144),DAY(BJ144))</f>
        <v>46737</v>
      </c>
      <c r="BL144" s="8">
        <f t="shared" ca="1" si="481"/>
        <v>603</v>
      </c>
      <c r="BM144" s="5" t="str">
        <f t="shared" ca="1" si="482"/>
        <v>VIGENTE</v>
      </c>
      <c r="BN144" s="4"/>
      <c r="BO144" s="4">
        <v>45988</v>
      </c>
      <c r="BP144" s="4">
        <f t="shared" si="588"/>
        <v>46718</v>
      </c>
      <c r="BQ144" s="8">
        <f t="shared" ca="1" si="483"/>
        <v>584</v>
      </c>
      <c r="BR144" s="5" t="str">
        <f t="shared" ca="1" si="484"/>
        <v>VIGENTE</v>
      </c>
      <c r="BS144" s="3"/>
      <c r="BT144" s="4">
        <v>46031</v>
      </c>
      <c r="BU144" s="4">
        <f>DATE(YEAR(BT144)+2,MONTH(BT144),DAY(BT144))</f>
        <v>46761</v>
      </c>
      <c r="BV144" s="8">
        <f t="shared" ca="1" si="485"/>
        <v>627</v>
      </c>
      <c r="BW144" s="5" t="str">
        <f t="shared" ca="1" si="486"/>
        <v>VIGENTE</v>
      </c>
      <c r="BX144" s="6"/>
      <c r="BY144" s="4">
        <v>45986</v>
      </c>
      <c r="BZ144" s="4">
        <f>DATE(YEAR(BY144)+2,MONTH(BY144),DAY(BY144))</f>
        <v>46716</v>
      </c>
      <c r="CA144" s="8">
        <f t="shared" ca="1" si="487"/>
        <v>582</v>
      </c>
      <c r="CB144" s="5" t="str">
        <f t="shared" ca="1" si="488"/>
        <v>VIGENTE</v>
      </c>
      <c r="CC144" s="6" t="s">
        <v>73</v>
      </c>
      <c r="CD144" s="4">
        <v>45372</v>
      </c>
      <c r="CE144" s="4">
        <f t="shared" si="428"/>
        <v>46833</v>
      </c>
      <c r="CF144" s="8">
        <f t="shared" ca="1" si="429"/>
        <v>699</v>
      </c>
      <c r="CG144" s="5" t="str">
        <f t="shared" ref="CG144:CG207" ca="1" si="591">IF(CF144&gt;=90,"VIGENTE",IF(CF144&gt;=1,"POR VENCER",IF(CF144&lt;=-1,"VENCIDA",IF(CF144=0,"NO APLICA"))))</f>
        <v>VIGENTE</v>
      </c>
      <c r="CH144" s="4"/>
      <c r="CI144" s="4">
        <v>46018</v>
      </c>
      <c r="CJ144" s="4">
        <f>DATE(YEAR(CI144)+2,MONTH(CI144),DAY(CI144))</f>
        <v>46748</v>
      </c>
      <c r="CK144" s="8">
        <f t="shared" ca="1" si="489"/>
        <v>614</v>
      </c>
      <c r="CL144" s="5" t="str">
        <f t="shared" ca="1" si="490"/>
        <v>VIGENTE</v>
      </c>
      <c r="CM144" s="4"/>
      <c r="CN144" s="4">
        <v>46038</v>
      </c>
      <c r="CO144" s="4">
        <f>DATE(YEAR(CN144)+2,MONTH(CN144),DAY(CN144))</f>
        <v>46768</v>
      </c>
      <c r="CP144" s="8">
        <f t="shared" ca="1" si="491"/>
        <v>634</v>
      </c>
      <c r="CQ144" s="5" t="str">
        <f t="shared" ca="1" si="492"/>
        <v>VIGENTE</v>
      </c>
      <c r="CR144" s="4"/>
      <c r="CS144" s="4">
        <v>46043</v>
      </c>
      <c r="CT144" s="4">
        <f>DATE(YEAR(CS144)+2,MONTH(CS144),DAY(CS144))</f>
        <v>46773</v>
      </c>
      <c r="CU144" s="8">
        <f t="shared" ca="1" si="493"/>
        <v>639</v>
      </c>
      <c r="CV144" s="5" t="str">
        <f t="shared" ca="1" si="494"/>
        <v>VIGENTE</v>
      </c>
      <c r="CW144" s="4"/>
      <c r="CX144" s="4">
        <v>46028</v>
      </c>
      <c r="CY144" s="4">
        <f>DATE(YEAR(CX144)+2,MONTH(CX144),DAY(CX144))</f>
        <v>46758</v>
      </c>
      <c r="CZ144" s="8">
        <f t="shared" ca="1" si="495"/>
        <v>624</v>
      </c>
      <c r="DA144" s="5" t="str">
        <f t="shared" ca="1" si="496"/>
        <v>VIGENTE</v>
      </c>
      <c r="DB144" s="4"/>
      <c r="DC144" s="4">
        <v>45996</v>
      </c>
      <c r="DD144" s="4">
        <f>DATE(YEAR(DC144)+2,MONTH(DC144),DAY(DC144))</f>
        <v>46726</v>
      </c>
      <c r="DE144" s="8">
        <f t="shared" ca="1" si="497"/>
        <v>592</v>
      </c>
      <c r="DF144" s="5" t="str">
        <f t="shared" ca="1" si="498"/>
        <v>VIGENTE</v>
      </c>
      <c r="DG144" s="4"/>
      <c r="DH144" s="4">
        <v>46029</v>
      </c>
      <c r="DI144" s="4">
        <f>DATE(YEAR(DH144)+2,MONTH(DH144),DAY(DH144))</f>
        <v>46759</v>
      </c>
      <c r="DJ144" s="8">
        <f t="shared" ca="1" si="499"/>
        <v>625</v>
      </c>
      <c r="DK144" s="5" t="str">
        <f t="shared" ca="1" si="500"/>
        <v>VIGENTE</v>
      </c>
      <c r="DL144" s="4"/>
      <c r="DM144" s="4">
        <v>45982</v>
      </c>
      <c r="DN144" s="4">
        <f>DATE(YEAR(DM144)+2,MONTH(DM144),DAY(DM144))</f>
        <v>46712</v>
      </c>
      <c r="DO144" s="8">
        <f t="shared" ca="1" si="501"/>
        <v>578</v>
      </c>
      <c r="DP144" s="5" t="str">
        <f t="shared" ca="1" si="502"/>
        <v>VIGENTE</v>
      </c>
      <c r="DQ144" s="6"/>
      <c r="DR144" s="4">
        <v>46053</v>
      </c>
      <c r="DS144" s="4">
        <f>DATE(YEAR(DR144)+2,MONTH(DR144),DAY(DR144))</f>
        <v>46783</v>
      </c>
      <c r="DT144" s="8">
        <f t="shared" ca="1" si="503"/>
        <v>649</v>
      </c>
      <c r="DU144" s="5" t="str">
        <f t="shared" ca="1" si="504"/>
        <v>VIGENTE</v>
      </c>
      <c r="DV144" s="4"/>
      <c r="DW144" s="4">
        <v>46032</v>
      </c>
      <c r="DX144" s="4">
        <f>DATE(YEAR(DW144)+2,MONTH(DW144),DAY(DW144))</f>
        <v>46762</v>
      </c>
      <c r="DY144" s="8">
        <f t="shared" ca="1" si="505"/>
        <v>628</v>
      </c>
      <c r="DZ144" s="5" t="str">
        <f t="shared" ca="1" si="506"/>
        <v>VIGENTE</v>
      </c>
      <c r="EA144" s="4"/>
      <c r="EB144" s="4">
        <v>45994</v>
      </c>
      <c r="EC144" s="4">
        <f>DATE(YEAR(EB144)+2,MONTH(EB144),DAY(EB144))</f>
        <v>46724</v>
      </c>
      <c r="ED144" s="8">
        <f t="shared" ca="1" si="507"/>
        <v>590</v>
      </c>
      <c r="EE144" s="5" t="str">
        <f t="shared" ca="1" si="508"/>
        <v>VIGENTE</v>
      </c>
      <c r="EF144" s="3"/>
      <c r="EG144" s="3">
        <v>46015</v>
      </c>
      <c r="EH144" s="4">
        <f t="shared" si="575"/>
        <v>46380</v>
      </c>
      <c r="EI144" s="8">
        <f t="shared" ca="1" si="509"/>
        <v>246</v>
      </c>
      <c r="EJ144" s="5" t="str">
        <f t="shared" ca="1" si="510"/>
        <v>VIGENTE</v>
      </c>
      <c r="EK144" s="3"/>
      <c r="EL144" s="4">
        <v>45983</v>
      </c>
      <c r="EM144" s="4">
        <f>DATE(YEAR(EL144)+2,MONTH(EL144),DAY(EL144))</f>
        <v>46713</v>
      </c>
      <c r="EN144" s="8">
        <f t="shared" ca="1" si="511"/>
        <v>579</v>
      </c>
      <c r="EO144" s="5" t="str">
        <f t="shared" ca="1" si="512"/>
        <v>VIGENTE</v>
      </c>
      <c r="EP144" s="6"/>
      <c r="EQ144" s="4">
        <v>45999</v>
      </c>
      <c r="ER144" s="4">
        <f>DATE(YEAR(EQ144)+2,MONTH(EQ144),DAY(EQ144))</f>
        <v>46729</v>
      </c>
      <c r="ES144" s="8">
        <f t="shared" ca="1" si="513"/>
        <v>595</v>
      </c>
      <c r="ET144" s="5" t="str">
        <f t="shared" ca="1" si="514"/>
        <v>VIGENTE</v>
      </c>
      <c r="EU144" s="4"/>
      <c r="EV144" s="4">
        <v>45964</v>
      </c>
      <c r="EW144" s="4">
        <f>DATE(YEAR(EV144)+2,MONTH(EV144),DAY(EV144))</f>
        <v>46694</v>
      </c>
      <c r="EX144" s="8">
        <f t="shared" ca="1" si="515"/>
        <v>560</v>
      </c>
      <c r="EY144" s="5" t="str">
        <f t="shared" ca="1" si="516"/>
        <v>VIGENTE</v>
      </c>
      <c r="EZ144" s="4"/>
      <c r="FA144" s="4">
        <v>46017</v>
      </c>
      <c r="FB144" s="4">
        <f>DATE(YEAR(FA144)+2,MONTH(FA144),DAY(FA144))</f>
        <v>46747</v>
      </c>
      <c r="FC144" s="8">
        <f t="shared" ca="1" si="517"/>
        <v>613</v>
      </c>
      <c r="FD144" s="5" t="str">
        <f t="shared" ca="1" si="518"/>
        <v>VIGENTE</v>
      </c>
      <c r="FE144" s="4"/>
      <c r="FF144" s="4">
        <v>45969</v>
      </c>
      <c r="FG144" s="4">
        <f>DATE(YEAR(FF144)+2,MONTH(FF144),DAY(FF144))</f>
        <v>46699</v>
      </c>
      <c r="FH144" s="8">
        <f t="shared" ca="1" si="519"/>
        <v>565</v>
      </c>
      <c r="FI144" s="5" t="str">
        <f t="shared" ca="1" si="520"/>
        <v>VIGENTE</v>
      </c>
      <c r="FJ144" s="4"/>
      <c r="FK144" s="4">
        <v>46039</v>
      </c>
      <c r="FL144" s="4">
        <f>DATE(YEAR(FK144)+2,MONTH(FK144),DAY(FK144))</f>
        <v>46769</v>
      </c>
      <c r="FM144" s="8">
        <f t="shared" ca="1" si="521"/>
        <v>635</v>
      </c>
      <c r="FN144" s="5" t="str">
        <f t="shared" ca="1" si="522"/>
        <v>VIGENTE</v>
      </c>
      <c r="FO144" s="4"/>
      <c r="FP144" s="4">
        <v>46034</v>
      </c>
      <c r="FQ144" s="4">
        <f>DATE(YEAR(FP144)+2,MONTH(FP144),DAY(FP144))</f>
        <v>46764</v>
      </c>
      <c r="FR144" s="8">
        <f t="shared" ca="1" si="523"/>
        <v>630</v>
      </c>
      <c r="FS144" s="5" t="str">
        <f t="shared" ca="1" si="524"/>
        <v>VIGENTE</v>
      </c>
      <c r="FT144" s="4"/>
      <c r="FU144" s="4">
        <v>45993</v>
      </c>
      <c r="FV144" s="4">
        <f>DATE(YEAR(FU144)+2,MONTH(FU144),DAY(FU144))</f>
        <v>46723</v>
      </c>
      <c r="FW144" s="8">
        <f t="shared" ca="1" si="525"/>
        <v>589</v>
      </c>
      <c r="FX144" s="5" t="str">
        <f t="shared" ca="1" si="526"/>
        <v>VIGENTE</v>
      </c>
      <c r="FY144" s="4"/>
      <c r="FZ144" s="4">
        <v>46030</v>
      </c>
      <c r="GA144" s="4">
        <f>DATE(YEAR(FZ144)+2,MONTH(FZ144),DAY(FZ144))</f>
        <v>46760</v>
      </c>
      <c r="GB144" s="8">
        <f t="shared" ca="1" si="527"/>
        <v>626</v>
      </c>
      <c r="GC144" s="5" t="str">
        <f t="shared" ca="1" si="528"/>
        <v>VIGENTE</v>
      </c>
      <c r="GD144" s="4"/>
      <c r="GE144" s="4">
        <v>46036</v>
      </c>
      <c r="GF144" s="4">
        <f>DATE(YEAR(GE144)+2,MONTH(GE144),DAY(GE144))</f>
        <v>46766</v>
      </c>
      <c r="GG144" s="8">
        <f t="shared" ca="1" si="529"/>
        <v>632</v>
      </c>
      <c r="GH144" s="5" t="str">
        <f t="shared" ca="1" si="530"/>
        <v>VIGENTE</v>
      </c>
      <c r="GI144" s="3"/>
      <c r="GJ144" s="4">
        <v>46044</v>
      </c>
      <c r="GK144" s="4">
        <f t="shared" si="589"/>
        <v>46774</v>
      </c>
      <c r="GL144" s="8">
        <f t="shared" ca="1" si="531"/>
        <v>640</v>
      </c>
      <c r="GM144" s="5" t="str">
        <f t="shared" ca="1" si="532"/>
        <v>VIGENTE</v>
      </c>
      <c r="GN144" s="4"/>
      <c r="GO144" s="4">
        <v>45367</v>
      </c>
      <c r="GP144" s="4">
        <f t="shared" si="533"/>
        <v>47193</v>
      </c>
      <c r="GQ144" s="8">
        <f t="shared" ca="1" si="418"/>
        <v>1059</v>
      </c>
      <c r="GR144" s="5" t="str">
        <f t="shared" ca="1" si="431"/>
        <v>VIGENTE</v>
      </c>
      <c r="GS144" s="4"/>
      <c r="GT144" s="4">
        <v>45389</v>
      </c>
      <c r="GU144" s="4">
        <f t="shared" si="534"/>
        <v>47215</v>
      </c>
      <c r="GV144" s="8">
        <f t="shared" ca="1" si="535"/>
        <v>1081</v>
      </c>
      <c r="GW144" s="5" t="str">
        <f t="shared" ca="1" si="438"/>
        <v>VIGENTE</v>
      </c>
      <c r="GX144" s="6"/>
      <c r="GY144" s="4">
        <v>45343</v>
      </c>
      <c r="GZ144" s="4">
        <f t="shared" si="536"/>
        <v>47170</v>
      </c>
      <c r="HA144" s="8">
        <f t="shared" ca="1" si="537"/>
        <v>1036</v>
      </c>
      <c r="HB144" s="5" t="str">
        <f t="shared" ca="1" si="433"/>
        <v>VIGENTE</v>
      </c>
      <c r="HC144" s="6"/>
      <c r="HD144" s="4">
        <v>45392</v>
      </c>
      <c r="HE144" s="4">
        <f>DATE(YEAR(HD144)+5,MONTH(HD144),DAY(HD144))</f>
        <v>47218</v>
      </c>
      <c r="HF144" s="8">
        <f ca="1">HE144-TODAY()</f>
        <v>1084</v>
      </c>
      <c r="HG144" s="5" t="str">
        <f t="shared" ca="1" si="439"/>
        <v>VIGENTE</v>
      </c>
      <c r="HH144" s="6"/>
      <c r="HI144" s="6"/>
      <c r="HJ144" s="4"/>
      <c r="HK144" s="8"/>
      <c r="HL144" s="5" t="str">
        <f t="shared" si="457"/>
        <v>NO APLICA</v>
      </c>
      <c r="HM144" s="2"/>
      <c r="HN144" s="2"/>
      <c r="HO144" s="4"/>
      <c r="HP144" s="2"/>
      <c r="HQ144" s="5" t="str">
        <f t="shared" si="538"/>
        <v>NO APLICA</v>
      </c>
      <c r="HR144" s="6"/>
      <c r="HS144" s="6"/>
      <c r="HT144" s="4"/>
      <c r="HU144" s="8"/>
      <c r="HV144" s="5" t="str">
        <f t="shared" si="539"/>
        <v>NO APLICA</v>
      </c>
      <c r="HW144" s="6"/>
      <c r="HX144" s="6"/>
      <c r="HY144" s="4"/>
      <c r="HZ144" s="8"/>
      <c r="IA144" s="5" t="str">
        <f t="shared" si="540"/>
        <v>NO APLICA</v>
      </c>
      <c r="IB144" s="6"/>
      <c r="IC144" s="6"/>
      <c r="ID144" s="4"/>
      <c r="IE144" s="8"/>
      <c r="IF144" s="5" t="str">
        <f t="shared" si="541"/>
        <v>NO APLICA</v>
      </c>
      <c r="IG144" s="6"/>
      <c r="IH144" s="6"/>
      <c r="II144" s="4"/>
      <c r="IJ144" s="6"/>
      <c r="IK144" s="5" t="str">
        <f t="shared" si="542"/>
        <v>NO APLICA</v>
      </c>
      <c r="IL144" s="6"/>
      <c r="IM144" s="6"/>
      <c r="IN144" s="4"/>
      <c r="IO144" s="8"/>
      <c r="IP144" s="5" t="str">
        <f t="shared" si="543"/>
        <v>NO APLICA</v>
      </c>
      <c r="IQ144" s="6"/>
      <c r="IR144" s="6"/>
      <c r="IS144" s="4"/>
      <c r="IT144" s="8"/>
      <c r="IU144" s="5" t="str">
        <f t="shared" si="544"/>
        <v>NO APLICA</v>
      </c>
      <c r="IV144" s="6"/>
      <c r="IW144" s="6"/>
      <c r="IX144" s="4"/>
      <c r="IY144" s="8"/>
      <c r="IZ144" s="5" t="str">
        <f t="shared" si="545"/>
        <v>NO APLICA</v>
      </c>
      <c r="JA144" s="3"/>
      <c r="JB144" s="3"/>
      <c r="JC144" s="4"/>
      <c r="JD144" s="8"/>
      <c r="JE144" s="5" t="str">
        <f t="shared" si="546"/>
        <v>NO APLICA</v>
      </c>
      <c r="JF144" s="6"/>
      <c r="JG144" s="6"/>
      <c r="JH144" s="6"/>
      <c r="JI144" s="6"/>
      <c r="JJ144" s="5" t="str">
        <f t="shared" si="547"/>
        <v>NO APLICA</v>
      </c>
      <c r="JK144" s="6"/>
      <c r="JL144" s="6"/>
      <c r="JM144" s="6"/>
      <c r="JN144" s="6"/>
      <c r="JO144" s="5" t="str">
        <f t="shared" si="548"/>
        <v>NO APLICA</v>
      </c>
      <c r="JP144" s="6"/>
      <c r="JQ144" s="6"/>
      <c r="JR144" s="6"/>
      <c r="JS144" s="6"/>
      <c r="JT144" s="5" t="str">
        <f t="shared" si="549"/>
        <v>NO APLICA</v>
      </c>
      <c r="JU144" s="5"/>
      <c r="JV144" s="3"/>
      <c r="JW144" s="4"/>
      <c r="JX144" s="8"/>
      <c r="JY144" s="5" t="str">
        <f t="shared" si="550"/>
        <v>NO APLICA</v>
      </c>
      <c r="JZ144" s="5"/>
      <c r="KA144" s="2"/>
      <c r="KB144" s="4"/>
      <c r="KC144" s="8"/>
      <c r="KD144" s="5" t="str">
        <f t="shared" si="551"/>
        <v>NO APLICA</v>
      </c>
      <c r="KE144" s="5"/>
      <c r="KF144" s="6"/>
      <c r="KG144" s="4"/>
      <c r="KH144" s="8"/>
      <c r="KI144" s="5" t="str">
        <f t="shared" si="576"/>
        <v>NO APLICA</v>
      </c>
      <c r="KJ144" s="5"/>
      <c r="KK144" s="2"/>
      <c r="KL144" s="4"/>
      <c r="KM144" s="8"/>
      <c r="KN144" s="5" t="str">
        <f t="shared" si="552"/>
        <v>NO APLICA</v>
      </c>
      <c r="KO144" s="5"/>
      <c r="KP144" s="2"/>
      <c r="KQ144" s="4"/>
      <c r="KR144" s="8"/>
      <c r="KS144" s="5" t="str">
        <f t="shared" si="577"/>
        <v>NO APLICA</v>
      </c>
      <c r="KT144" s="6"/>
      <c r="KU144" s="6"/>
      <c r="KV144" s="4"/>
      <c r="KW144" s="6"/>
      <c r="KX144" s="5" t="str">
        <f t="shared" si="583"/>
        <v>NO APLICA</v>
      </c>
      <c r="KY144" s="5"/>
      <c r="KZ144" s="6"/>
      <c r="LA144" s="4"/>
      <c r="LB144" s="6"/>
      <c r="LC144" s="5" t="str">
        <f t="shared" si="578"/>
        <v>NO APLICA</v>
      </c>
      <c r="LD144" s="6"/>
      <c r="LE144" s="6"/>
      <c r="LF144" s="6"/>
      <c r="LG144" s="6"/>
      <c r="LH144" s="5" t="str">
        <f t="shared" si="585"/>
        <v>NO APLICA</v>
      </c>
      <c r="LI144" s="5"/>
      <c r="LJ144" s="5"/>
      <c r="LK144" s="4"/>
      <c r="LL144" s="8"/>
      <c r="LM144" s="5" t="str">
        <f t="shared" si="584"/>
        <v>NO APLICA</v>
      </c>
      <c r="LN144" s="6"/>
      <c r="LO144" s="6"/>
      <c r="LP144" s="4"/>
      <c r="LQ144" s="8"/>
      <c r="LR144" s="5" t="str">
        <f t="shared" si="579"/>
        <v>NO APLICA</v>
      </c>
      <c r="LS144" s="6"/>
      <c r="LT144" s="6"/>
      <c r="LU144" s="4"/>
      <c r="LV144" s="6"/>
      <c r="LW144" s="5" t="str">
        <f t="shared" si="580"/>
        <v>NO APLICA</v>
      </c>
      <c r="LX144" s="6"/>
      <c r="LY144" s="6"/>
      <c r="LZ144" s="4"/>
      <c r="MA144" s="6"/>
      <c r="MB144" s="5" t="str">
        <f t="shared" si="581"/>
        <v>NO APLICA</v>
      </c>
      <c r="MC144" s="6"/>
      <c r="MD144" s="6"/>
      <c r="ME144" s="4"/>
      <c r="MF144" s="6"/>
      <c r="MG144" s="5" t="str">
        <f t="shared" si="554"/>
        <v>NO APLICA</v>
      </c>
      <c r="MH144" s="6"/>
      <c r="MI144" s="6"/>
      <c r="MJ144" s="4"/>
      <c r="MK144" s="6"/>
      <c r="ML144" s="5" t="str">
        <f t="shared" si="555"/>
        <v>NO APLICA</v>
      </c>
      <c r="MM144" s="5"/>
      <c r="MN144" s="6"/>
      <c r="MO144" s="4"/>
      <c r="MP144" s="6"/>
      <c r="MQ144" s="5" t="str">
        <f t="shared" si="556"/>
        <v>NO APLICA</v>
      </c>
      <c r="MR144" s="5"/>
      <c r="MS144" s="6"/>
      <c r="MT144" s="6"/>
      <c r="MU144" s="6"/>
      <c r="MV144" s="5" t="str">
        <f t="shared" si="557"/>
        <v>NO APLICA</v>
      </c>
      <c r="MW144" s="6"/>
      <c r="MX144" s="6"/>
      <c r="MY144" s="4"/>
      <c r="MZ144" s="6"/>
      <c r="NA144" s="5" t="str">
        <f t="shared" si="558"/>
        <v>NO APLICA</v>
      </c>
      <c r="NB144" s="6"/>
      <c r="NC144" s="6"/>
      <c r="ND144" s="4"/>
      <c r="NE144" s="6"/>
      <c r="NF144" s="5" t="str">
        <f t="shared" si="559"/>
        <v>NO APLICA</v>
      </c>
      <c r="NG144" s="6"/>
      <c r="NH144" s="6"/>
      <c r="NI144" s="4"/>
      <c r="NJ144" s="6"/>
      <c r="NK144" s="5" t="str">
        <f t="shared" si="560"/>
        <v>NO APLICA</v>
      </c>
      <c r="NL144" s="6"/>
      <c r="NM144" s="6"/>
      <c r="NN144" s="4"/>
      <c r="NO144" s="6"/>
      <c r="NP144" s="5" t="str">
        <f t="shared" si="561"/>
        <v>NO APLICA</v>
      </c>
      <c r="NQ144" s="6"/>
      <c r="NR144" s="6"/>
      <c r="NS144" s="4"/>
      <c r="NT144" s="6"/>
      <c r="NU144" s="5" t="str">
        <f t="shared" si="562"/>
        <v>NO APLICA</v>
      </c>
      <c r="NV144" s="6"/>
      <c r="NW144" s="6"/>
      <c r="NX144" s="4"/>
      <c r="NY144" s="8"/>
      <c r="NZ144" s="5" t="str">
        <f t="shared" si="563"/>
        <v>NO APLICA</v>
      </c>
      <c r="OA144" s="6"/>
      <c r="OB144" s="6"/>
      <c r="OC144" s="6"/>
      <c r="OD144" s="6"/>
      <c r="OE144" s="5" t="str">
        <f t="shared" si="564"/>
        <v>NO APLICA</v>
      </c>
      <c r="OF144" s="6"/>
      <c r="OG144" s="6"/>
      <c r="OH144" s="6"/>
      <c r="OI144" s="6"/>
      <c r="OJ144" s="5" t="str">
        <f t="shared" si="565"/>
        <v>NO APLICA</v>
      </c>
      <c r="OK144" s="6"/>
      <c r="OL144" s="4">
        <v>45481</v>
      </c>
      <c r="OM144" s="4">
        <f>DATE(YEAR(OL144)+3,MONTH(OL144),DAY(OL144))</f>
        <v>46576</v>
      </c>
      <c r="ON144" s="8">
        <f ca="1">OM144-TODAY()</f>
        <v>442</v>
      </c>
      <c r="OO144" s="5" t="str">
        <f t="shared" ca="1" si="566"/>
        <v>VIGENTE</v>
      </c>
      <c r="OP144" s="6"/>
      <c r="OQ144" s="6"/>
      <c r="OR144" s="6"/>
      <c r="OS144" s="6"/>
      <c r="OT144" s="5" t="str">
        <f t="shared" si="567"/>
        <v>NO APLICA</v>
      </c>
      <c r="OU144" s="6"/>
      <c r="OV144" s="6"/>
      <c r="OW144" s="6"/>
      <c r="OX144" s="6"/>
      <c r="OY144" s="5" t="str">
        <f t="shared" si="568"/>
        <v>NO APLICA</v>
      </c>
      <c r="OZ144" s="6"/>
      <c r="PA144" s="6"/>
      <c r="PB144" s="6"/>
      <c r="PC144" s="6"/>
      <c r="PD144" s="5" t="str">
        <f t="shared" si="569"/>
        <v>NO APLICA</v>
      </c>
      <c r="PE144" s="6"/>
      <c r="PF144" s="6"/>
      <c r="PG144" s="6"/>
      <c r="PH144" s="6"/>
      <c r="PI144" s="5" t="str">
        <f t="shared" si="570"/>
        <v>NO APLICA</v>
      </c>
      <c r="PJ144" s="5"/>
      <c r="PK144" s="6"/>
      <c r="PL144" s="6"/>
      <c r="PM144" s="6"/>
      <c r="PN144" s="5" t="str">
        <f t="shared" si="571"/>
        <v>NO APLICA</v>
      </c>
      <c r="PO144" s="6"/>
      <c r="PP144" s="6"/>
      <c r="PQ144" s="6"/>
      <c r="PR144" s="6"/>
      <c r="PS144" s="5" t="str">
        <f t="shared" si="572"/>
        <v>NO APLICA</v>
      </c>
      <c r="PT144" s="5"/>
      <c r="PU144" s="6"/>
      <c r="PV144" s="4"/>
      <c r="PW144" s="8"/>
      <c r="PX144" s="5" t="str">
        <f t="shared" si="573"/>
        <v>NO APLICA</v>
      </c>
    </row>
    <row r="145" spans="1:440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477</v>
      </c>
      <c r="V145" s="4">
        <v>45391</v>
      </c>
      <c r="W145" s="4">
        <f t="shared" si="421"/>
        <v>47217</v>
      </c>
      <c r="X145" s="8">
        <f t="shared" ca="1" si="422"/>
        <v>1083</v>
      </c>
      <c r="Y145" s="5" t="str">
        <f t="shared" ca="1" si="423"/>
        <v>VIGENTE</v>
      </c>
      <c r="Z145" s="2" t="s">
        <v>478</v>
      </c>
      <c r="AA145" s="4">
        <v>44603</v>
      </c>
      <c r="AB145" s="4">
        <f>DATE(YEAR(AA145)+5,MONTH(AA145),DAY(AA145))</f>
        <v>46429</v>
      </c>
      <c r="AC145" s="8">
        <f ca="1">AB145-TODAY()</f>
        <v>295</v>
      </c>
      <c r="AD145" s="5" t="str">
        <f t="shared" ca="1" si="582"/>
        <v>VIGENTE</v>
      </c>
      <c r="AE145" s="3"/>
      <c r="AF145" s="4">
        <v>45589</v>
      </c>
      <c r="AG145" s="4">
        <f>DATE(YEAR(AF145)+2,MONTH(AF145),DAY(AF145)-1)</f>
        <v>46318</v>
      </c>
      <c r="AH145" s="8">
        <f t="shared" ca="1" si="470"/>
        <v>184</v>
      </c>
      <c r="AI145" s="5" t="str">
        <f t="shared" ca="1" si="419"/>
        <v>VIGENTE</v>
      </c>
      <c r="AJ145" s="4"/>
      <c r="AK145" s="4">
        <v>45926</v>
      </c>
      <c r="AL145" s="4">
        <f t="shared" si="590"/>
        <v>46656</v>
      </c>
      <c r="AM145" s="8">
        <f t="shared" ca="1" si="471"/>
        <v>522</v>
      </c>
      <c r="AN145" s="5" t="str">
        <f t="shared" ca="1" si="472"/>
        <v>VIGENTE</v>
      </c>
      <c r="AO145" s="3"/>
      <c r="AP145" s="4">
        <v>45989</v>
      </c>
      <c r="AQ145" s="4">
        <f t="shared" si="586"/>
        <v>46719</v>
      </c>
      <c r="AR145" s="8">
        <f t="shared" ca="1" si="473"/>
        <v>585</v>
      </c>
      <c r="AS145" s="5" t="str">
        <f t="shared" ca="1" si="474"/>
        <v>VIGENTE</v>
      </c>
      <c r="AT145" s="3"/>
      <c r="AU145" s="4">
        <v>45972</v>
      </c>
      <c r="AV145" s="4">
        <f t="shared" si="587"/>
        <v>46702</v>
      </c>
      <c r="AW145" s="8">
        <f t="shared" ca="1" si="475"/>
        <v>568</v>
      </c>
      <c r="AX145" s="5" t="str">
        <f t="shared" ca="1" si="476"/>
        <v>VIGENTE</v>
      </c>
      <c r="AY145" s="3"/>
      <c r="AZ145" s="4">
        <v>45622</v>
      </c>
      <c r="BA145" s="4">
        <f>DATE(YEAR(AZ145)+2,MONTH(AZ145),DAY(AZ145)-1)</f>
        <v>46351</v>
      </c>
      <c r="BB145" s="8">
        <f t="shared" ca="1" si="477"/>
        <v>217</v>
      </c>
      <c r="BC145" s="5" t="str">
        <f t="shared" ca="1" si="478"/>
        <v>VIGENTE</v>
      </c>
      <c r="BD145" s="3"/>
      <c r="BE145" s="4">
        <v>45987</v>
      </c>
      <c r="BF145" s="4">
        <f>DATE(YEAR(BE145)+2,MONTH(BE145),DAY(BE145))</f>
        <v>46717</v>
      </c>
      <c r="BG145" s="8">
        <f t="shared" ca="1" si="479"/>
        <v>583</v>
      </c>
      <c r="BH145" s="5" t="str">
        <f t="shared" ca="1" si="480"/>
        <v>VIGENTE</v>
      </c>
      <c r="BI145" s="3"/>
      <c r="BJ145" s="4">
        <v>46056</v>
      </c>
      <c r="BK145" s="4">
        <f>DATE(YEAR(BJ145)+2,MONTH(BJ145),DAY(BJ145))</f>
        <v>46786</v>
      </c>
      <c r="BL145" s="8">
        <f t="shared" ca="1" si="481"/>
        <v>652</v>
      </c>
      <c r="BM145" s="5" t="str">
        <f t="shared" ca="1" si="482"/>
        <v>VIGENTE</v>
      </c>
      <c r="BN145" s="3"/>
      <c r="BO145" s="4">
        <v>46069</v>
      </c>
      <c r="BP145" s="4">
        <f t="shared" si="588"/>
        <v>46799</v>
      </c>
      <c r="BQ145" s="8">
        <f t="shared" ca="1" si="483"/>
        <v>665</v>
      </c>
      <c r="BR145" s="5" t="str">
        <f t="shared" ca="1" si="484"/>
        <v>VIGENTE</v>
      </c>
      <c r="BS145" s="3"/>
      <c r="BT145" s="4">
        <v>45455</v>
      </c>
      <c r="BU145" s="4">
        <f>DATE(YEAR(BT145)+2,MONTH(BT145),DAY(BT145)-1)</f>
        <v>46184</v>
      </c>
      <c r="BV145" s="8">
        <f t="shared" ca="1" si="485"/>
        <v>50</v>
      </c>
      <c r="BW145" s="5" t="str">
        <f t="shared" ca="1" si="486"/>
        <v>POR VENCER</v>
      </c>
      <c r="BX145" s="3"/>
      <c r="BY145" s="4">
        <v>45485</v>
      </c>
      <c r="BZ145" s="4">
        <f>DATE(YEAR(BY145)+2,MONTH(BY145),DAY(BY145)-1)</f>
        <v>46214</v>
      </c>
      <c r="CA145" s="8">
        <f t="shared" ca="1" si="487"/>
        <v>80</v>
      </c>
      <c r="CB145" s="5" t="str">
        <f t="shared" ca="1" si="488"/>
        <v>POR VENCER</v>
      </c>
      <c r="CC145" s="6" t="s">
        <v>73</v>
      </c>
      <c r="CD145" s="4">
        <v>45211</v>
      </c>
      <c r="CE145" s="4">
        <f t="shared" si="428"/>
        <v>46672</v>
      </c>
      <c r="CF145" s="8">
        <f t="shared" ca="1" si="429"/>
        <v>538</v>
      </c>
      <c r="CG145" s="5" t="str">
        <f t="shared" ca="1" si="591"/>
        <v>VIGENTE</v>
      </c>
      <c r="CH145" s="4"/>
      <c r="CI145" s="4">
        <v>45504</v>
      </c>
      <c r="CJ145" s="4">
        <f>DATE(YEAR(CI145)+2,MONTH(CI145),DAY(CI145)-1)</f>
        <v>46233</v>
      </c>
      <c r="CK145" s="8">
        <f t="shared" ca="1" si="489"/>
        <v>99</v>
      </c>
      <c r="CL145" s="5" t="str">
        <f t="shared" ca="1" si="490"/>
        <v>VIGENTE</v>
      </c>
      <c r="CM145" s="3"/>
      <c r="CN145" s="4">
        <v>45517</v>
      </c>
      <c r="CO145" s="4">
        <f>DATE(YEAR(CN145)+2,MONTH(CN145),DAY(CN145)-1)</f>
        <v>46246</v>
      </c>
      <c r="CP145" s="8">
        <f t="shared" ca="1" si="491"/>
        <v>112</v>
      </c>
      <c r="CQ145" s="5" t="str">
        <f t="shared" ca="1" si="492"/>
        <v>VIGENTE</v>
      </c>
      <c r="CR145" s="3"/>
      <c r="CS145" s="4">
        <v>45639</v>
      </c>
      <c r="CT145" s="4">
        <f>DATE(YEAR(CS145)+2,MONTH(CS145),DAY(CS145)-1)</f>
        <v>46368</v>
      </c>
      <c r="CU145" s="8">
        <f t="shared" ca="1" si="493"/>
        <v>234</v>
      </c>
      <c r="CV145" s="5" t="str">
        <f t="shared" ca="1" si="494"/>
        <v>VIGENTE</v>
      </c>
      <c r="CW145" s="3"/>
      <c r="CX145" s="4">
        <v>45665</v>
      </c>
      <c r="CY145" s="4">
        <f>DATE(YEAR(CX145)+2,MONTH(CX145),DAY(CX145)-1)</f>
        <v>46394</v>
      </c>
      <c r="CZ145" s="8">
        <f t="shared" ca="1" si="495"/>
        <v>260</v>
      </c>
      <c r="DA145" s="5" t="str">
        <f t="shared" ca="1" si="496"/>
        <v>VIGENTE</v>
      </c>
      <c r="DB145" s="3"/>
      <c r="DC145" s="4">
        <v>45713</v>
      </c>
      <c r="DD145" s="4">
        <f>DATE(YEAR(DC145)+2,MONTH(DC145),DAY(DC145)-1)</f>
        <v>46442</v>
      </c>
      <c r="DE145" s="8">
        <f t="shared" ca="1" si="497"/>
        <v>308</v>
      </c>
      <c r="DF145" s="5" t="str">
        <f t="shared" ca="1" si="498"/>
        <v>VIGENTE</v>
      </c>
      <c r="DG145" s="3"/>
      <c r="DH145" s="4">
        <v>45714</v>
      </c>
      <c r="DI145" s="4">
        <f>DATE(YEAR(DH145)+2,MONTH(DH145),DAY(DH145)-1)</f>
        <v>46443</v>
      </c>
      <c r="DJ145" s="8">
        <f t="shared" ca="1" si="499"/>
        <v>309</v>
      </c>
      <c r="DK145" s="5" t="str">
        <f t="shared" ca="1" si="500"/>
        <v>VIGENTE</v>
      </c>
      <c r="DL145" s="3"/>
      <c r="DM145" s="4">
        <v>45577</v>
      </c>
      <c r="DN145" s="4">
        <f>DATE(YEAR(DM145)+2,MONTH(DM145),DAY(DM145)-1)</f>
        <v>46306</v>
      </c>
      <c r="DO145" s="8">
        <f t="shared" ca="1" si="501"/>
        <v>172</v>
      </c>
      <c r="DP145" s="5" t="str">
        <f t="shared" ca="1" si="502"/>
        <v>VIGENTE</v>
      </c>
      <c r="DQ145" s="3"/>
      <c r="DR145" s="4">
        <v>45728</v>
      </c>
      <c r="DS145" s="4">
        <f>DATE(YEAR(DR145)+2,MONTH(DR145),DAY(DR145)-1)</f>
        <v>46457</v>
      </c>
      <c r="DT145" s="8">
        <f t="shared" ca="1" si="503"/>
        <v>323</v>
      </c>
      <c r="DU145" s="5" t="str">
        <f t="shared" ca="1" si="504"/>
        <v>VIGENTE</v>
      </c>
      <c r="DV145" s="3"/>
      <c r="DW145" s="4">
        <v>45682</v>
      </c>
      <c r="DX145" s="4">
        <f>DATE(YEAR(DW145)+2,MONTH(DW145),DAY(DW145)-1)</f>
        <v>46411</v>
      </c>
      <c r="DY145" s="8">
        <f t="shared" ca="1" si="505"/>
        <v>277</v>
      </c>
      <c r="DZ145" s="5" t="str">
        <f t="shared" ca="1" si="506"/>
        <v>VIGENTE</v>
      </c>
      <c r="EA145" s="3"/>
      <c r="EB145" s="4">
        <v>45674</v>
      </c>
      <c r="EC145" s="4">
        <f>DATE(YEAR(EB145)+2,MONTH(EB145),DAY(EB145)-1)</f>
        <v>46403</v>
      </c>
      <c r="ED145" s="8">
        <f t="shared" ca="1" si="507"/>
        <v>269</v>
      </c>
      <c r="EE145" s="5" t="str">
        <f t="shared" ca="1" si="508"/>
        <v>VIGENTE</v>
      </c>
      <c r="EF145" s="3"/>
      <c r="EG145" s="4">
        <v>45808</v>
      </c>
      <c r="EH145" s="4">
        <f t="shared" si="575"/>
        <v>46173</v>
      </c>
      <c r="EI145" s="8">
        <f t="shared" ca="1" si="509"/>
        <v>39</v>
      </c>
      <c r="EJ145" s="5" t="str">
        <f t="shared" ca="1" si="510"/>
        <v>POR VENCER</v>
      </c>
      <c r="EK145" s="3"/>
      <c r="EL145" s="4">
        <v>45671</v>
      </c>
      <c r="EM145" s="4">
        <f>DATE(YEAR(EL145)+2,MONTH(EL145),DAY(EL145)-1)</f>
        <v>46400</v>
      </c>
      <c r="EN145" s="8">
        <f t="shared" ca="1" si="511"/>
        <v>266</v>
      </c>
      <c r="EO145" s="5" t="str">
        <f t="shared" ca="1" si="512"/>
        <v>VIGENTE</v>
      </c>
      <c r="EP145" s="2"/>
      <c r="EQ145" s="4">
        <v>45755</v>
      </c>
      <c r="ER145" s="4">
        <f>DATE(YEAR(EQ145)+2,MONTH(EQ145),DAY(EQ145)-1)</f>
        <v>46484</v>
      </c>
      <c r="ES145" s="8">
        <f t="shared" ca="1" si="513"/>
        <v>350</v>
      </c>
      <c r="ET145" s="5" t="str">
        <f t="shared" ca="1" si="514"/>
        <v>VIGENTE</v>
      </c>
      <c r="EU145" s="3"/>
      <c r="EV145" s="4">
        <v>45694</v>
      </c>
      <c r="EW145" s="4">
        <f>DATE(YEAR(EV145)+2,MONTH(EV145),DAY(EV145)-1)</f>
        <v>46423</v>
      </c>
      <c r="EX145" s="8">
        <f t="shared" ca="1" si="515"/>
        <v>289</v>
      </c>
      <c r="EY145" s="5" t="str">
        <f t="shared" ca="1" si="516"/>
        <v>VIGENTE</v>
      </c>
      <c r="EZ145" s="3"/>
      <c r="FA145" s="4">
        <v>45729</v>
      </c>
      <c r="FB145" s="4">
        <f>DATE(YEAR(FA145)+2,MONTH(FA145),DAY(FA145)-1)</f>
        <v>46458</v>
      </c>
      <c r="FC145" s="8">
        <f t="shared" ca="1" si="517"/>
        <v>324</v>
      </c>
      <c r="FD145" s="5" t="str">
        <f t="shared" ca="1" si="518"/>
        <v>VIGENTE</v>
      </c>
      <c r="FE145" s="3"/>
      <c r="FF145" s="4">
        <v>45691</v>
      </c>
      <c r="FG145" s="4">
        <f>DATE(YEAR(FF145)+2,MONTH(FF145),DAY(FF145)-1)</f>
        <v>46420</v>
      </c>
      <c r="FH145" s="8">
        <f t="shared" ca="1" si="519"/>
        <v>286</v>
      </c>
      <c r="FI145" s="5" t="str">
        <f t="shared" ca="1" si="520"/>
        <v>VIGENTE</v>
      </c>
      <c r="FJ145" s="3"/>
      <c r="FK145" s="4">
        <v>45670</v>
      </c>
      <c r="FL145" s="4">
        <f>DATE(YEAR(FK145)+2,MONTH(FK145),DAY(FK145)-1)</f>
        <v>46399</v>
      </c>
      <c r="FM145" s="8">
        <f t="shared" ca="1" si="521"/>
        <v>265</v>
      </c>
      <c r="FN145" s="5" t="str">
        <f t="shared" ca="1" si="522"/>
        <v>VIGENTE</v>
      </c>
      <c r="FO145" s="3"/>
      <c r="FP145" s="4">
        <v>45747</v>
      </c>
      <c r="FQ145" s="4">
        <f>DATE(YEAR(FP145)+2,MONTH(FP145),DAY(FP145)-1)</f>
        <v>46476</v>
      </c>
      <c r="FR145" s="8">
        <f t="shared" ca="1" si="523"/>
        <v>342</v>
      </c>
      <c r="FS145" s="5" t="str">
        <f t="shared" ca="1" si="524"/>
        <v>VIGENTE</v>
      </c>
      <c r="FT145" s="3"/>
      <c r="FU145" s="4">
        <v>45700</v>
      </c>
      <c r="FV145" s="4">
        <f>DATE(YEAR(FU145)+2,MONTH(FU145),DAY(FU145)-1)</f>
        <v>46429</v>
      </c>
      <c r="FW145" s="8">
        <f t="shared" ca="1" si="525"/>
        <v>295</v>
      </c>
      <c r="FX145" s="5" t="str">
        <f t="shared" ca="1" si="526"/>
        <v>VIGENTE</v>
      </c>
      <c r="FY145" s="3"/>
      <c r="FZ145" s="4">
        <v>45595</v>
      </c>
      <c r="GA145" s="4">
        <f>DATE(YEAR(FZ145)+2,MONTH(FZ145),DAY(FZ145)-1)</f>
        <v>46324</v>
      </c>
      <c r="GB145" s="8">
        <f t="shared" ca="1" si="527"/>
        <v>190</v>
      </c>
      <c r="GC145" s="5" t="str">
        <f t="shared" ca="1" si="528"/>
        <v>VIGENTE</v>
      </c>
      <c r="GD145" s="3"/>
      <c r="GE145" s="4">
        <v>45712</v>
      </c>
      <c r="GF145" s="4">
        <f>DATE(YEAR(GE145)+2,MONTH(GE145),DAY(GE145)-1)</f>
        <v>46441</v>
      </c>
      <c r="GG145" s="8">
        <f t="shared" ca="1" si="529"/>
        <v>307</v>
      </c>
      <c r="GH145" s="5" t="str">
        <f t="shared" ca="1" si="530"/>
        <v>VIGENTE</v>
      </c>
      <c r="GI145" s="4"/>
      <c r="GJ145" s="4">
        <v>45945</v>
      </c>
      <c r="GK145" s="4">
        <f t="shared" si="589"/>
        <v>46675</v>
      </c>
      <c r="GL145" s="8">
        <f t="shared" ca="1" si="531"/>
        <v>541</v>
      </c>
      <c r="GM145" s="5" t="str">
        <f t="shared" ca="1" si="532"/>
        <v>VIGENTE</v>
      </c>
      <c r="GN145" s="4"/>
      <c r="GO145" s="4">
        <v>45299</v>
      </c>
      <c r="GP145" s="4">
        <f t="shared" si="533"/>
        <v>47126</v>
      </c>
      <c r="GQ145" s="8">
        <f t="shared" ca="1" si="418"/>
        <v>992</v>
      </c>
      <c r="GR145" s="5" t="str">
        <f t="shared" ca="1" si="431"/>
        <v>VIGENTE</v>
      </c>
      <c r="GS145" s="3"/>
      <c r="GT145" s="4">
        <v>44910</v>
      </c>
      <c r="GU145" s="4">
        <f t="shared" si="534"/>
        <v>46736</v>
      </c>
      <c r="GV145" s="8">
        <f t="shared" ca="1" si="535"/>
        <v>602</v>
      </c>
      <c r="GW145" s="5" t="str">
        <f t="shared" ca="1" si="438"/>
        <v>VIGENTE</v>
      </c>
      <c r="GX145" s="3"/>
      <c r="GY145" s="4">
        <v>45454</v>
      </c>
      <c r="GZ145" s="4">
        <f t="shared" si="536"/>
        <v>47280</v>
      </c>
      <c r="HA145" s="8">
        <f t="shared" ca="1" si="537"/>
        <v>1146</v>
      </c>
      <c r="HB145" s="5" t="str">
        <f t="shared" ca="1" si="433"/>
        <v>VIGENTE</v>
      </c>
      <c r="HC145" s="6"/>
      <c r="HD145" s="4">
        <v>44862</v>
      </c>
      <c r="HE145" s="4">
        <f>DATE(YEAR(HD145)+5,MONTH(HD145),DAY(HD145))</f>
        <v>46688</v>
      </c>
      <c r="HF145" s="8">
        <f ca="1">HE145-TODAY()</f>
        <v>554</v>
      </c>
      <c r="HG145" s="5" t="str">
        <f t="shared" ca="1" si="439"/>
        <v>VIGENTE</v>
      </c>
      <c r="HH145" s="2"/>
      <c r="HI145" s="6"/>
      <c r="HJ145" s="4"/>
      <c r="HK145" s="8"/>
      <c r="HL145" s="5" t="str">
        <f t="shared" si="457"/>
        <v>NO APLICA</v>
      </c>
      <c r="HM145" s="2"/>
      <c r="HN145" s="2"/>
      <c r="HO145" s="4"/>
      <c r="HP145" s="2"/>
      <c r="HQ145" s="5" t="str">
        <f t="shared" si="538"/>
        <v>NO APLICA</v>
      </c>
      <c r="HR145" s="3"/>
      <c r="HS145" s="4">
        <v>45469</v>
      </c>
      <c r="HT145" s="4">
        <f>DATE(YEAR(HS145)+5,MONTH(HS145),DAY(HS145))</f>
        <v>47295</v>
      </c>
      <c r="HU145" s="8">
        <f ca="1">HT145-TODAY()</f>
        <v>1161</v>
      </c>
      <c r="HV145" s="5" t="str">
        <f t="shared" ca="1" si="539"/>
        <v>VIGENTE</v>
      </c>
      <c r="HW145" s="3"/>
      <c r="HX145" s="4">
        <v>45475</v>
      </c>
      <c r="HY145" s="4">
        <f>DATE(YEAR(HX145)+5,MONTH(HX145),DAY(HX145))</f>
        <v>47301</v>
      </c>
      <c r="HZ145" s="8">
        <f ca="1">HY145-TODAY()</f>
        <v>1167</v>
      </c>
      <c r="IA145" s="5" t="str">
        <f t="shared" ca="1" si="540"/>
        <v>VIGENTE</v>
      </c>
      <c r="IB145" s="3"/>
      <c r="IC145" s="4">
        <v>45470</v>
      </c>
      <c r="ID145" s="4">
        <f>DATE(YEAR(IC145)+5,MONTH(IC145),DAY(IC145))</f>
        <v>47296</v>
      </c>
      <c r="IE145" s="8">
        <f ca="1">ID145-TODAY()</f>
        <v>1162</v>
      </c>
      <c r="IF145" s="5" t="str">
        <f t="shared" ca="1" si="541"/>
        <v>VIGENTE</v>
      </c>
      <c r="IG145" s="4"/>
      <c r="IH145" s="4">
        <v>45452</v>
      </c>
      <c r="II145" s="4">
        <f>DATE(YEAR(IH145)+5,MONTH(IH145),DAY(IH145))</f>
        <v>47278</v>
      </c>
      <c r="IJ145" s="8">
        <f ca="1">II145-TODAY()</f>
        <v>1144</v>
      </c>
      <c r="IK145" s="5" t="str">
        <f t="shared" ca="1" si="542"/>
        <v>VIGENTE</v>
      </c>
      <c r="IL145" s="3"/>
      <c r="IM145" s="4">
        <v>45453</v>
      </c>
      <c r="IN145" s="4">
        <f>DATE(YEAR(IM145)+5,MONTH(IM145),DAY(IM145))</f>
        <v>47279</v>
      </c>
      <c r="IO145" s="8">
        <f ca="1">IN145-TODAY()</f>
        <v>1145</v>
      </c>
      <c r="IP145" s="5" t="str">
        <f t="shared" ca="1" si="543"/>
        <v>VIGENTE</v>
      </c>
      <c r="IQ145" s="3"/>
      <c r="IR145" s="4">
        <v>45503</v>
      </c>
      <c r="IS145" s="4">
        <f>DATE(YEAR(IR145)+5,MONTH(IR145),DAY(IR145))</f>
        <v>47329</v>
      </c>
      <c r="IT145" s="8">
        <f ca="1">IS145-TODAY()</f>
        <v>1195</v>
      </c>
      <c r="IU145" s="5" t="str">
        <f t="shared" ca="1" si="544"/>
        <v>VIGENTE</v>
      </c>
      <c r="IV145" s="3"/>
      <c r="IW145" s="4">
        <v>45461</v>
      </c>
      <c r="IX145" s="4">
        <f>DATE(YEAR(IW145)+5,MONTH(IW145),DAY(IW145))</f>
        <v>47287</v>
      </c>
      <c r="IY145" s="8">
        <f ca="1">IX145-TODAY()</f>
        <v>1153</v>
      </c>
      <c r="IZ145" s="5" t="str">
        <f t="shared" ca="1" si="545"/>
        <v>VIGENTE</v>
      </c>
      <c r="JA145" s="3"/>
      <c r="JB145" s="3"/>
      <c r="JC145" s="4"/>
      <c r="JD145" s="8"/>
      <c r="JE145" s="5" t="str">
        <f t="shared" si="546"/>
        <v>NO APLICA</v>
      </c>
      <c r="JF145" s="6"/>
      <c r="JG145" s="6"/>
      <c r="JH145" s="6"/>
      <c r="JI145" s="6"/>
      <c r="JJ145" s="5" t="str">
        <f t="shared" si="547"/>
        <v>NO APLICA</v>
      </c>
      <c r="JK145" s="6"/>
      <c r="JL145" s="6"/>
      <c r="JM145" s="6"/>
      <c r="JN145" s="6"/>
      <c r="JO145" s="5" t="str">
        <f t="shared" si="548"/>
        <v>NO APLICA</v>
      </c>
      <c r="JP145" s="6"/>
      <c r="JQ145" s="6"/>
      <c r="JR145" s="6"/>
      <c r="JS145" s="6"/>
      <c r="JT145" s="5" t="str">
        <f t="shared" si="549"/>
        <v>NO APLICA</v>
      </c>
      <c r="JU145" s="5"/>
      <c r="JV145" s="5"/>
      <c r="JW145" s="5"/>
      <c r="JX145" s="5"/>
      <c r="JY145" s="5" t="str">
        <f t="shared" si="550"/>
        <v>NO APLICA</v>
      </c>
      <c r="JZ145" s="5"/>
      <c r="KA145" s="2"/>
      <c r="KB145" s="4"/>
      <c r="KC145" s="8"/>
      <c r="KD145" s="5" t="str">
        <f t="shared" si="551"/>
        <v>NO APLICA</v>
      </c>
      <c r="KE145" s="5"/>
      <c r="KF145" s="2"/>
      <c r="KG145" s="4"/>
      <c r="KH145" s="8"/>
      <c r="KI145" s="5" t="str">
        <f t="shared" si="576"/>
        <v>NO APLICA</v>
      </c>
      <c r="KJ145" s="5"/>
      <c r="KK145" s="2"/>
      <c r="KL145" s="4"/>
      <c r="KM145" s="8"/>
      <c r="KN145" s="5" t="str">
        <f t="shared" si="552"/>
        <v>NO APLICA</v>
      </c>
      <c r="KO145" s="5"/>
      <c r="KP145" s="3">
        <v>45346</v>
      </c>
      <c r="KQ145" s="4">
        <f>DATE(YEAR(KP145)+5,MONTH(KP145),DAY(KP145))</f>
        <v>47173</v>
      </c>
      <c r="KR145" s="8">
        <f ca="1">KQ145-TODAY()</f>
        <v>1039</v>
      </c>
      <c r="KS145" s="5" t="str">
        <f t="shared" ca="1" si="577"/>
        <v>VIGENTE</v>
      </c>
      <c r="KT145" s="2"/>
      <c r="KU145" s="6"/>
      <c r="KV145" s="4"/>
      <c r="KW145" s="8"/>
      <c r="KX145" s="5" t="str">
        <f t="shared" si="583"/>
        <v>NO APLICA</v>
      </c>
      <c r="KY145" s="5"/>
      <c r="KZ145" s="6"/>
      <c r="LA145" s="4"/>
      <c r="LB145" s="8"/>
      <c r="LC145" s="5" t="str">
        <f t="shared" si="578"/>
        <v>NO APLICA</v>
      </c>
      <c r="LD145" s="6"/>
      <c r="LE145" s="4"/>
      <c r="LF145" s="4"/>
      <c r="LG145" s="8"/>
      <c r="LH145" s="5" t="str">
        <f t="shared" si="585"/>
        <v>NO APLICA</v>
      </c>
      <c r="LI145" s="5"/>
      <c r="LJ145" s="5"/>
      <c r="LK145" s="4"/>
      <c r="LL145" s="8"/>
      <c r="LM145" s="5" t="str">
        <f t="shared" si="584"/>
        <v>NO APLICA</v>
      </c>
      <c r="LN145" s="2"/>
      <c r="LO145" s="6"/>
      <c r="LP145" s="4"/>
      <c r="LQ145" s="8"/>
      <c r="LR145" s="5" t="str">
        <f t="shared" si="579"/>
        <v>NO APLICA</v>
      </c>
      <c r="LS145" s="6"/>
      <c r="LT145" s="6"/>
      <c r="LU145" s="4"/>
      <c r="LV145" s="8"/>
      <c r="LW145" s="5" t="str">
        <f t="shared" si="580"/>
        <v>NO APLICA</v>
      </c>
      <c r="LX145" s="6"/>
      <c r="LY145" s="6"/>
      <c r="LZ145" s="4"/>
      <c r="MA145" s="8"/>
      <c r="MB145" s="5" t="str">
        <f t="shared" si="581"/>
        <v>NO APLICA</v>
      </c>
      <c r="MC145" s="2"/>
      <c r="MD145" s="2"/>
      <c r="ME145" s="4"/>
      <c r="MF145" s="8"/>
      <c r="MG145" s="5" t="str">
        <f t="shared" si="554"/>
        <v>NO APLICA</v>
      </c>
      <c r="MH145" s="2"/>
      <c r="MI145" s="2"/>
      <c r="MJ145" s="4"/>
      <c r="MK145" s="8"/>
      <c r="ML145" s="5" t="str">
        <f t="shared" si="555"/>
        <v>NO APLICA</v>
      </c>
      <c r="MM145" s="5"/>
      <c r="MN145" s="2"/>
      <c r="MO145" s="4"/>
      <c r="MP145" s="8"/>
      <c r="MQ145" s="5" t="str">
        <f t="shared" si="556"/>
        <v>NO APLICA</v>
      </c>
      <c r="MR145" s="5"/>
      <c r="MS145" s="2"/>
      <c r="MT145" s="4"/>
      <c r="MU145" s="2"/>
      <c r="MV145" s="5" t="str">
        <f t="shared" si="557"/>
        <v>NO APLICA</v>
      </c>
      <c r="MW145" s="2"/>
      <c r="MX145" s="6"/>
      <c r="MY145" s="4"/>
      <c r="MZ145" s="8"/>
      <c r="NA145" s="5" t="str">
        <f t="shared" si="558"/>
        <v>NO APLICA</v>
      </c>
      <c r="NB145" s="2"/>
      <c r="NC145" s="6"/>
      <c r="ND145" s="4"/>
      <c r="NE145" s="8"/>
      <c r="NF145" s="5" t="str">
        <f t="shared" si="559"/>
        <v>NO APLICA</v>
      </c>
      <c r="NG145" s="2"/>
      <c r="NH145" s="6"/>
      <c r="NI145" s="4"/>
      <c r="NJ145" s="8"/>
      <c r="NK145" s="5" t="str">
        <f t="shared" si="560"/>
        <v>NO APLICA</v>
      </c>
      <c r="NL145" s="2"/>
      <c r="NM145" s="2"/>
      <c r="NN145" s="4"/>
      <c r="NO145" s="8"/>
      <c r="NP145" s="5" t="str">
        <f t="shared" si="561"/>
        <v>NO APLICA</v>
      </c>
      <c r="NQ145" s="2"/>
      <c r="NR145" s="2"/>
      <c r="NS145" s="4"/>
      <c r="NT145" s="2"/>
      <c r="NU145" s="5" t="str">
        <f t="shared" si="562"/>
        <v>NO APLICA</v>
      </c>
      <c r="NV145" s="6"/>
      <c r="NW145" s="6"/>
      <c r="NX145" s="4"/>
      <c r="NY145" s="8"/>
      <c r="NZ145" s="5" t="str">
        <f t="shared" si="563"/>
        <v>NO APLICA</v>
      </c>
      <c r="OA145" s="6"/>
      <c r="OB145" s="6"/>
      <c r="OC145" s="6"/>
      <c r="OD145" s="6"/>
      <c r="OE145" s="5" t="str">
        <f t="shared" si="564"/>
        <v>NO APLICA</v>
      </c>
      <c r="OF145" s="2"/>
      <c r="OG145" s="2"/>
      <c r="OH145" s="4"/>
      <c r="OI145" s="8"/>
      <c r="OJ145" s="5" t="str">
        <f t="shared" si="565"/>
        <v>NO APLICA</v>
      </c>
      <c r="OK145" s="6"/>
      <c r="OL145" s="6"/>
      <c r="OM145" s="6"/>
      <c r="ON145" s="6"/>
      <c r="OO145" s="5" t="str">
        <f t="shared" si="566"/>
        <v>NO APLICA</v>
      </c>
      <c r="OP145" s="6"/>
      <c r="OQ145" s="6"/>
      <c r="OR145" s="6"/>
      <c r="OS145" s="6"/>
      <c r="OT145" s="5" t="str">
        <f t="shared" si="567"/>
        <v>NO APLICA</v>
      </c>
      <c r="OU145" s="6"/>
      <c r="OV145" s="6"/>
      <c r="OW145" s="6"/>
      <c r="OX145" s="6"/>
      <c r="OY145" s="5" t="str">
        <f t="shared" si="568"/>
        <v>NO APLICA</v>
      </c>
      <c r="OZ145" s="6"/>
      <c r="PA145" s="6"/>
      <c r="PB145" s="6"/>
      <c r="PC145" s="6"/>
      <c r="PD145" s="5" t="str">
        <f t="shared" si="569"/>
        <v>NO APLICA</v>
      </c>
      <c r="PE145" s="6"/>
      <c r="PF145" s="6"/>
      <c r="PG145" s="6"/>
      <c r="PH145" s="6"/>
      <c r="PI145" s="5" t="str">
        <f t="shared" si="570"/>
        <v>NO APLICA</v>
      </c>
      <c r="PJ145" s="5"/>
      <c r="PK145" s="6"/>
      <c r="PL145" s="4"/>
      <c r="PM145" s="8"/>
      <c r="PN145" s="5" t="str">
        <f t="shared" si="571"/>
        <v>NO APLICA</v>
      </c>
      <c r="PO145" s="6"/>
      <c r="PP145" s="6"/>
      <c r="PQ145" s="6"/>
      <c r="PR145" s="6"/>
      <c r="PS145" s="5" t="str">
        <f t="shared" si="572"/>
        <v>NO APLICA</v>
      </c>
      <c r="PT145" s="5"/>
      <c r="PU145" s="6"/>
      <c r="PV145" s="6"/>
      <c r="PW145" s="6"/>
      <c r="PX145" s="5" t="str">
        <f t="shared" si="573"/>
        <v>NO APLICA</v>
      </c>
    </row>
    <row r="146" spans="1:440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654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480</v>
      </c>
      <c r="V146" s="4">
        <v>45282</v>
      </c>
      <c r="W146" s="4">
        <f t="shared" si="421"/>
        <v>47109</v>
      </c>
      <c r="X146" s="8">
        <f t="shared" ca="1" si="422"/>
        <v>975</v>
      </c>
      <c r="Y146" s="5" t="str">
        <f t="shared" ca="1" si="423"/>
        <v>VIGENTE</v>
      </c>
      <c r="Z146" s="2"/>
      <c r="AA146" s="6"/>
      <c r="AB146" s="4"/>
      <c r="AC146" s="8"/>
      <c r="AD146" s="5" t="str">
        <f t="shared" si="582"/>
        <v>NO APLICA</v>
      </c>
      <c r="AE146" s="3"/>
      <c r="AF146" s="4">
        <v>45902</v>
      </c>
      <c r="AG146" s="4">
        <f>DATE(YEAR(AF146)+2,MONTH(AF146),DAY(AF146))</f>
        <v>46632</v>
      </c>
      <c r="AH146" s="8">
        <f t="shared" ca="1" si="470"/>
        <v>498</v>
      </c>
      <c r="AI146" s="5" t="str">
        <f t="shared" ca="1" si="419"/>
        <v>VIGENTE</v>
      </c>
      <c r="AJ146" s="3"/>
      <c r="AK146" s="4">
        <v>45838</v>
      </c>
      <c r="AL146" s="4">
        <f t="shared" si="590"/>
        <v>46568</v>
      </c>
      <c r="AM146" s="8">
        <f t="shared" ca="1" si="471"/>
        <v>434</v>
      </c>
      <c r="AN146" s="5" t="str">
        <f t="shared" ca="1" si="472"/>
        <v>VIGENTE</v>
      </c>
      <c r="AO146" s="3"/>
      <c r="AP146" s="4">
        <v>45904</v>
      </c>
      <c r="AQ146" s="4">
        <f t="shared" si="586"/>
        <v>46634</v>
      </c>
      <c r="AR146" s="8">
        <f t="shared" ca="1" si="473"/>
        <v>500</v>
      </c>
      <c r="AS146" s="5" t="str">
        <f t="shared" ca="1" si="474"/>
        <v>VIGENTE</v>
      </c>
      <c r="AT146" s="3"/>
      <c r="AU146" s="4">
        <v>45927</v>
      </c>
      <c r="AV146" s="4">
        <f t="shared" si="587"/>
        <v>46657</v>
      </c>
      <c r="AW146" s="8">
        <f t="shared" ca="1" si="475"/>
        <v>523</v>
      </c>
      <c r="AX146" s="5" t="str">
        <f t="shared" ca="1" si="476"/>
        <v>VIGENTE</v>
      </c>
      <c r="AY146" s="3"/>
      <c r="AZ146" s="4">
        <v>45603</v>
      </c>
      <c r="BA146" s="4">
        <f>DATE(YEAR(AZ146)+2,MONTH(AZ146),DAY(AZ146)-1)</f>
        <v>46332</v>
      </c>
      <c r="BB146" s="8">
        <f t="shared" ca="1" si="477"/>
        <v>198</v>
      </c>
      <c r="BC146" s="5" t="str">
        <f t="shared" ca="1" si="478"/>
        <v>VIGENTE</v>
      </c>
      <c r="BD146" s="3"/>
      <c r="BE146" s="4">
        <v>45698</v>
      </c>
      <c r="BF146" s="4">
        <f>DATE(YEAR(BE146)+2,MONTH(BE146),DAY(BE146)-1)</f>
        <v>46427</v>
      </c>
      <c r="BG146" s="8">
        <f t="shared" ca="1" si="479"/>
        <v>293</v>
      </c>
      <c r="BH146" s="5" t="str">
        <f t="shared" ca="1" si="480"/>
        <v>VIGENTE</v>
      </c>
      <c r="BI146" s="3"/>
      <c r="BJ146" s="4">
        <v>45600</v>
      </c>
      <c r="BK146" s="4">
        <f>DATE(YEAR(BJ146)+2,MONTH(BJ146),DAY(BJ146)-1)</f>
        <v>46329</v>
      </c>
      <c r="BL146" s="8">
        <f t="shared" ca="1" si="481"/>
        <v>195</v>
      </c>
      <c r="BM146" s="5" t="str">
        <f t="shared" ca="1" si="482"/>
        <v>VIGENTE</v>
      </c>
      <c r="BN146" s="3"/>
      <c r="BO146" s="4">
        <v>46050</v>
      </c>
      <c r="BP146" s="4">
        <f t="shared" si="588"/>
        <v>46780</v>
      </c>
      <c r="BQ146" s="8">
        <f t="shared" ca="1" si="483"/>
        <v>646</v>
      </c>
      <c r="BR146" s="5" t="str">
        <f t="shared" ca="1" si="484"/>
        <v>VIGENTE</v>
      </c>
      <c r="BS146" s="3"/>
      <c r="BT146" s="4">
        <v>45527</v>
      </c>
      <c r="BU146" s="4">
        <f>DATE(YEAR(BT146)+2,MONTH(BT146),DAY(BT146)-1)</f>
        <v>46256</v>
      </c>
      <c r="BV146" s="8">
        <f t="shared" ca="1" si="485"/>
        <v>122</v>
      </c>
      <c r="BW146" s="5" t="str">
        <f t="shared" ca="1" si="486"/>
        <v>VIGENTE</v>
      </c>
      <c r="BX146" s="3"/>
      <c r="BY146" s="4">
        <v>45944</v>
      </c>
      <c r="BZ146" s="4">
        <f t="shared" ref="BZ146:BZ157" si="592">DATE(YEAR(BY146)+2,MONTH(BY146),DAY(BY146))</f>
        <v>46674</v>
      </c>
      <c r="CA146" s="8">
        <f t="shared" ca="1" si="487"/>
        <v>540</v>
      </c>
      <c r="CB146" s="5" t="str">
        <f t="shared" ca="1" si="488"/>
        <v>VIGENTE</v>
      </c>
      <c r="CC146" s="6" t="s">
        <v>73</v>
      </c>
      <c r="CD146" s="4">
        <v>45616</v>
      </c>
      <c r="CE146" s="4">
        <f t="shared" si="428"/>
        <v>47077</v>
      </c>
      <c r="CF146" s="8">
        <f t="shared" ca="1" si="429"/>
        <v>943</v>
      </c>
      <c r="CG146" s="5" t="str">
        <f t="shared" ca="1" si="591"/>
        <v>VIGENTE</v>
      </c>
      <c r="CH146" s="4"/>
      <c r="CI146" s="4">
        <v>45929</v>
      </c>
      <c r="CJ146" s="4">
        <f>DATE(YEAR(CI146)+2,MONTH(CI146),DAY(CI146))</f>
        <v>46659</v>
      </c>
      <c r="CK146" s="8">
        <f t="shared" ca="1" si="489"/>
        <v>525</v>
      </c>
      <c r="CL146" s="5" t="str">
        <f t="shared" ca="1" si="490"/>
        <v>VIGENTE</v>
      </c>
      <c r="CM146" s="3"/>
      <c r="CN146" s="4">
        <v>45882</v>
      </c>
      <c r="CO146" s="4">
        <f>DATE(YEAR(CN146)+2,MONTH(CN146),DAY(CN146))</f>
        <v>46612</v>
      </c>
      <c r="CP146" s="8">
        <f t="shared" ca="1" si="491"/>
        <v>478</v>
      </c>
      <c r="CQ146" s="5" t="str">
        <f t="shared" ca="1" si="492"/>
        <v>VIGENTE</v>
      </c>
      <c r="CR146" s="3"/>
      <c r="CS146" s="4">
        <v>45905</v>
      </c>
      <c r="CT146" s="4">
        <f>DATE(YEAR(CS146)+2,MONTH(CS146),DAY(CS146))</f>
        <v>46635</v>
      </c>
      <c r="CU146" s="8">
        <f t="shared" ca="1" si="493"/>
        <v>501</v>
      </c>
      <c r="CV146" s="5" t="str">
        <f t="shared" ca="1" si="494"/>
        <v>VIGENTE</v>
      </c>
      <c r="CW146" s="3"/>
      <c r="CX146" s="4">
        <v>45843</v>
      </c>
      <c r="CY146" s="4">
        <f>DATE(YEAR(CX146)+2,MONTH(CX146),DAY(CX146))</f>
        <v>46573</v>
      </c>
      <c r="CZ146" s="8">
        <f t="shared" ca="1" si="495"/>
        <v>439</v>
      </c>
      <c r="DA146" s="5" t="str">
        <f t="shared" ca="1" si="496"/>
        <v>VIGENTE</v>
      </c>
      <c r="DB146" s="3"/>
      <c r="DC146" s="4">
        <v>46076</v>
      </c>
      <c r="DD146" s="4">
        <f>DATE(YEAR(DC146)+2,MONTH(DC146),DAY(DC146))</f>
        <v>46806</v>
      </c>
      <c r="DE146" s="8">
        <f t="shared" ca="1" si="497"/>
        <v>672</v>
      </c>
      <c r="DF146" s="5" t="str">
        <f t="shared" ca="1" si="498"/>
        <v>VIGENTE</v>
      </c>
      <c r="DG146" s="3"/>
      <c r="DH146" s="4">
        <v>45955</v>
      </c>
      <c r="DI146" s="4">
        <f>DATE(YEAR(DH146)+2,MONTH(DH146),DAY(DH146))</f>
        <v>46685</v>
      </c>
      <c r="DJ146" s="8">
        <f t="shared" ca="1" si="499"/>
        <v>551</v>
      </c>
      <c r="DK146" s="5" t="str">
        <f t="shared" ca="1" si="500"/>
        <v>VIGENTE</v>
      </c>
      <c r="DL146" s="3"/>
      <c r="DM146" s="4">
        <v>46088</v>
      </c>
      <c r="DN146" s="4">
        <f>DATE(YEAR(DM146)+2,MONTH(DM146),DAY(DM146))</f>
        <v>46819</v>
      </c>
      <c r="DO146" s="8">
        <f t="shared" ca="1" si="501"/>
        <v>685</v>
      </c>
      <c r="DP146" s="5" t="str">
        <f t="shared" ca="1" si="502"/>
        <v>VIGENTE</v>
      </c>
      <c r="DQ146" s="3"/>
      <c r="DR146" s="4">
        <v>45728</v>
      </c>
      <c r="DS146" s="4">
        <f>DATE(YEAR(DR146)+2,MONTH(DR146),DAY(DR146)-1)</f>
        <v>46457</v>
      </c>
      <c r="DT146" s="8">
        <f t="shared" ca="1" si="503"/>
        <v>323</v>
      </c>
      <c r="DU146" s="5" t="str">
        <f t="shared" ca="1" si="504"/>
        <v>VIGENTE</v>
      </c>
      <c r="DV146" s="3"/>
      <c r="DW146" s="4">
        <v>45663</v>
      </c>
      <c r="DX146" s="4">
        <f>DATE(YEAR(DW146)+2,MONTH(DW146),DAY(DW146)-1)</f>
        <v>46392</v>
      </c>
      <c r="DY146" s="8">
        <f t="shared" ca="1" si="505"/>
        <v>258</v>
      </c>
      <c r="DZ146" s="5" t="str">
        <f t="shared" ca="1" si="506"/>
        <v>VIGENTE</v>
      </c>
      <c r="EA146" s="3"/>
      <c r="EB146" s="4">
        <v>46104</v>
      </c>
      <c r="EC146" s="4">
        <f>DATE(YEAR(EB146)+2,MONTH(EB146),DAY(EB146))</f>
        <v>46835</v>
      </c>
      <c r="ED146" s="8">
        <f t="shared" ca="1" si="507"/>
        <v>701</v>
      </c>
      <c r="EE146" s="5" t="str">
        <f t="shared" ca="1" si="508"/>
        <v>VIGENTE</v>
      </c>
      <c r="EF146" s="3"/>
      <c r="EG146" s="3">
        <v>46060</v>
      </c>
      <c r="EH146" s="4">
        <f t="shared" si="575"/>
        <v>46425</v>
      </c>
      <c r="EI146" s="8">
        <f t="shared" ca="1" si="509"/>
        <v>291</v>
      </c>
      <c r="EJ146" s="5" t="str">
        <f t="shared" ca="1" si="510"/>
        <v>VIGENTE</v>
      </c>
      <c r="EK146" s="3"/>
      <c r="EL146" s="3">
        <v>45596</v>
      </c>
      <c r="EM146" s="4">
        <f>DATE(YEAR(EL146)+2,MONTH(EL146),DAY(EL146)-1)</f>
        <v>46325</v>
      </c>
      <c r="EN146" s="8">
        <f t="shared" ca="1" si="511"/>
        <v>191</v>
      </c>
      <c r="EO146" s="5" t="str">
        <f t="shared" ca="1" si="512"/>
        <v>VIGENTE</v>
      </c>
      <c r="EP146" s="3"/>
      <c r="EQ146" s="4">
        <v>45677</v>
      </c>
      <c r="ER146" s="4">
        <f>DATE(YEAR(EQ146)+2,MONTH(EQ146),DAY(EQ146)-1)</f>
        <v>46406</v>
      </c>
      <c r="ES146" s="8">
        <f t="shared" ca="1" si="513"/>
        <v>272</v>
      </c>
      <c r="ET146" s="5" t="str">
        <f t="shared" ca="1" si="514"/>
        <v>VIGENTE</v>
      </c>
      <c r="EU146" s="3"/>
      <c r="EV146" s="4">
        <v>45917</v>
      </c>
      <c r="EW146" s="4">
        <f t="shared" ref="EW146:EW157" si="593">DATE(YEAR(EV146)+2,MONTH(EV146),DAY(EV146))</f>
        <v>46647</v>
      </c>
      <c r="EX146" s="8">
        <f t="shared" ca="1" si="515"/>
        <v>513</v>
      </c>
      <c r="EY146" s="5" t="str">
        <f t="shared" ca="1" si="516"/>
        <v>VIGENTE</v>
      </c>
      <c r="EZ146" s="3"/>
      <c r="FA146" s="4">
        <v>45951</v>
      </c>
      <c r="FB146" s="4">
        <f t="shared" ref="FB146:FB157" si="594">DATE(YEAR(FA146)+2,MONTH(FA146),DAY(FA146))</f>
        <v>46681</v>
      </c>
      <c r="FC146" s="8">
        <f t="shared" ca="1" si="517"/>
        <v>547</v>
      </c>
      <c r="FD146" s="5" t="str">
        <f t="shared" ca="1" si="518"/>
        <v>VIGENTE</v>
      </c>
      <c r="FE146" s="3"/>
      <c r="FF146" s="4">
        <v>45919</v>
      </c>
      <c r="FG146" s="4">
        <f t="shared" ref="FG146:FG152" si="595">DATE(YEAR(FF146)+2,MONTH(FF146),DAY(FF146))</f>
        <v>46649</v>
      </c>
      <c r="FH146" s="8">
        <f t="shared" ca="1" si="519"/>
        <v>515</v>
      </c>
      <c r="FI146" s="5" t="str">
        <f t="shared" ca="1" si="520"/>
        <v>VIGENTE</v>
      </c>
      <c r="FJ146" s="3"/>
      <c r="FK146" s="4">
        <v>46049</v>
      </c>
      <c r="FL146" s="4">
        <f>DATE(YEAR(FK146)+2,MONTH(FK146),DAY(FK146))</f>
        <v>46779</v>
      </c>
      <c r="FM146" s="8">
        <f t="shared" ca="1" si="521"/>
        <v>645</v>
      </c>
      <c r="FN146" s="5" t="str">
        <f t="shared" ca="1" si="522"/>
        <v>VIGENTE</v>
      </c>
      <c r="FO146" s="3"/>
      <c r="FP146" s="4">
        <v>46034</v>
      </c>
      <c r="FQ146" s="4">
        <f>DATE(YEAR(FP146)+2,MONTH(FP146),DAY(FP146))</f>
        <v>46764</v>
      </c>
      <c r="FR146" s="8">
        <f t="shared" ca="1" si="523"/>
        <v>630</v>
      </c>
      <c r="FS146" s="5" t="str">
        <f t="shared" ca="1" si="524"/>
        <v>VIGENTE</v>
      </c>
      <c r="FT146" s="3"/>
      <c r="FU146" s="4">
        <v>45993</v>
      </c>
      <c r="FV146" s="4">
        <f>DATE(YEAR(FU146)+2,MONTH(FU146),DAY(FU146))</f>
        <v>46723</v>
      </c>
      <c r="FW146" s="8">
        <f t="shared" ca="1" si="525"/>
        <v>589</v>
      </c>
      <c r="FX146" s="5" t="str">
        <f t="shared" ca="1" si="526"/>
        <v>VIGENTE</v>
      </c>
      <c r="FY146" s="3"/>
      <c r="FZ146" s="4">
        <v>46073</v>
      </c>
      <c r="GA146" s="4">
        <f>DATE(YEAR(FZ146)+2,MONTH(FZ146),DAY(FZ146))</f>
        <v>46803</v>
      </c>
      <c r="GB146" s="8">
        <f t="shared" ca="1" si="527"/>
        <v>669</v>
      </c>
      <c r="GC146" s="5" t="str">
        <f t="shared" ca="1" si="528"/>
        <v>VIGENTE</v>
      </c>
      <c r="GD146" s="3"/>
      <c r="GE146" s="4">
        <v>45672</v>
      </c>
      <c r="GF146" s="4">
        <f>DATE(YEAR(GE146)+2,MONTH(GE146),DAY(GE146)-1)</f>
        <v>46401</v>
      </c>
      <c r="GG146" s="8">
        <f t="shared" ca="1" si="529"/>
        <v>267</v>
      </c>
      <c r="GH146" s="5" t="str">
        <f t="shared" ca="1" si="530"/>
        <v>VIGENTE</v>
      </c>
      <c r="GI146" s="3"/>
      <c r="GJ146" s="4">
        <v>46044</v>
      </c>
      <c r="GK146" s="4">
        <f t="shared" si="589"/>
        <v>46774</v>
      </c>
      <c r="GL146" s="8">
        <f t="shared" ca="1" si="531"/>
        <v>640</v>
      </c>
      <c r="GM146" s="5" t="str">
        <f t="shared" ca="1" si="532"/>
        <v>VIGENTE</v>
      </c>
      <c r="GN146" s="4"/>
      <c r="GO146" s="4">
        <v>45367</v>
      </c>
      <c r="GP146" s="4">
        <f t="shared" si="533"/>
        <v>47193</v>
      </c>
      <c r="GQ146" s="8">
        <f t="shared" ca="1" si="418"/>
        <v>1059</v>
      </c>
      <c r="GR146" s="5" t="str">
        <f t="shared" ca="1" si="431"/>
        <v>VIGENTE</v>
      </c>
      <c r="GS146" s="3"/>
      <c r="GT146" s="4">
        <v>45432</v>
      </c>
      <c r="GU146" s="4">
        <f t="shared" si="534"/>
        <v>47258</v>
      </c>
      <c r="GV146" s="8">
        <f t="shared" ca="1" si="535"/>
        <v>1124</v>
      </c>
      <c r="GW146" s="5" t="str">
        <f t="shared" ca="1" si="438"/>
        <v>VIGENTE</v>
      </c>
      <c r="GX146" s="3"/>
      <c r="GY146" s="4">
        <v>45454</v>
      </c>
      <c r="GZ146" s="4">
        <f t="shared" si="536"/>
        <v>47280</v>
      </c>
      <c r="HA146" s="8">
        <f t="shared" ca="1" si="537"/>
        <v>1146</v>
      </c>
      <c r="HB146" s="5" t="str">
        <f t="shared" ca="1" si="433"/>
        <v>VIGENTE</v>
      </c>
      <c r="HC146" s="6"/>
      <c r="HD146" s="6"/>
      <c r="HE146" s="4"/>
      <c r="HF146" s="8"/>
      <c r="HG146" s="5" t="str">
        <f t="shared" si="439"/>
        <v>NO APLICA</v>
      </c>
      <c r="HH146" s="2"/>
      <c r="HI146" s="6"/>
      <c r="HJ146" s="4"/>
      <c r="HK146" s="8"/>
      <c r="HL146" s="5" t="str">
        <f t="shared" si="457"/>
        <v>NO APLICA</v>
      </c>
      <c r="HM146" s="2"/>
      <c r="HN146" s="2"/>
      <c r="HO146" s="4"/>
      <c r="HP146" s="2"/>
      <c r="HQ146" s="5" t="str">
        <f t="shared" si="538"/>
        <v>NO APLICA</v>
      </c>
      <c r="HR146" s="2"/>
      <c r="HS146" s="6"/>
      <c r="HT146" s="4"/>
      <c r="HU146" s="8"/>
      <c r="HV146" s="5" t="str">
        <f t="shared" si="539"/>
        <v>NO APLICA</v>
      </c>
      <c r="HW146" s="2"/>
      <c r="HX146" s="6"/>
      <c r="HY146" s="4"/>
      <c r="HZ146" s="8"/>
      <c r="IA146" s="5" t="str">
        <f t="shared" si="540"/>
        <v>NO APLICA</v>
      </c>
      <c r="IB146" s="2"/>
      <c r="IC146" s="6"/>
      <c r="ID146" s="4"/>
      <c r="IE146" s="8"/>
      <c r="IF146" s="5" t="str">
        <f t="shared" si="541"/>
        <v>NO APLICA</v>
      </c>
      <c r="IG146" s="6"/>
      <c r="IH146" s="6"/>
      <c r="II146" s="4"/>
      <c r="IJ146" s="8"/>
      <c r="IK146" s="5" t="str">
        <f t="shared" si="542"/>
        <v>NO APLICA</v>
      </c>
      <c r="IL146" s="2"/>
      <c r="IM146" s="6"/>
      <c r="IN146" s="4"/>
      <c r="IO146" s="8"/>
      <c r="IP146" s="5" t="str">
        <f t="shared" si="543"/>
        <v>NO APLICA</v>
      </c>
      <c r="IQ146" s="2"/>
      <c r="IR146" s="6"/>
      <c r="IS146" s="4"/>
      <c r="IT146" s="8"/>
      <c r="IU146" s="5" t="str">
        <f t="shared" si="544"/>
        <v>NO APLICA</v>
      </c>
      <c r="IV146" s="2"/>
      <c r="IW146" s="6"/>
      <c r="IX146" s="4"/>
      <c r="IY146" s="8"/>
      <c r="IZ146" s="5" t="str">
        <f t="shared" si="545"/>
        <v>NO APLICA</v>
      </c>
      <c r="JA146" s="3"/>
      <c r="JB146" s="3"/>
      <c r="JC146" s="4"/>
      <c r="JD146" s="8"/>
      <c r="JE146" s="5" t="str">
        <f t="shared" si="546"/>
        <v>NO APLICA</v>
      </c>
      <c r="JF146" s="6"/>
      <c r="JG146" s="6"/>
      <c r="JH146" s="6"/>
      <c r="JI146" s="6"/>
      <c r="JJ146" s="5" t="str">
        <f t="shared" si="547"/>
        <v>NO APLICA</v>
      </c>
      <c r="JK146" s="6"/>
      <c r="JL146" s="6"/>
      <c r="JM146" s="6"/>
      <c r="JN146" s="6"/>
      <c r="JO146" s="5" t="str">
        <f t="shared" si="548"/>
        <v>NO APLICA</v>
      </c>
      <c r="JP146" s="6"/>
      <c r="JQ146" s="6"/>
      <c r="JR146" s="6"/>
      <c r="JS146" s="6"/>
      <c r="JT146" s="5" t="str">
        <f t="shared" si="549"/>
        <v>NO APLICA</v>
      </c>
      <c r="JU146" s="5"/>
      <c r="JV146" s="5"/>
      <c r="JW146" s="5"/>
      <c r="JX146" s="5"/>
      <c r="JY146" s="5" t="str">
        <f t="shared" si="550"/>
        <v>NO APLICA</v>
      </c>
      <c r="JZ146" s="5"/>
      <c r="KA146" s="2"/>
      <c r="KB146" s="4"/>
      <c r="KC146" s="8"/>
      <c r="KD146" s="5" t="str">
        <f t="shared" si="551"/>
        <v>NO APLICA</v>
      </c>
      <c r="KE146" s="5"/>
      <c r="KF146" s="2"/>
      <c r="KG146" s="4"/>
      <c r="KH146" s="8"/>
      <c r="KI146" s="5" t="str">
        <f t="shared" si="576"/>
        <v>NO APLICA</v>
      </c>
      <c r="KJ146" s="5"/>
      <c r="KK146" s="2"/>
      <c r="KL146" s="4"/>
      <c r="KM146" s="8"/>
      <c r="KN146" s="5" t="str">
        <f t="shared" si="552"/>
        <v>NO APLICA</v>
      </c>
      <c r="KO146" s="5"/>
      <c r="KP146" s="2"/>
      <c r="KQ146" s="4"/>
      <c r="KR146" s="8"/>
      <c r="KS146" s="5" t="str">
        <f t="shared" si="577"/>
        <v>NO APLICA</v>
      </c>
      <c r="KT146" s="2"/>
      <c r="KU146" s="6"/>
      <c r="KV146" s="4"/>
      <c r="KW146" s="8"/>
      <c r="KX146" s="5" t="str">
        <f t="shared" si="583"/>
        <v>NO APLICA</v>
      </c>
      <c r="KY146" s="5"/>
      <c r="KZ146" s="6"/>
      <c r="LA146" s="4"/>
      <c r="LB146" s="8"/>
      <c r="LC146" s="5" t="str">
        <f t="shared" si="578"/>
        <v>NO APLICA</v>
      </c>
      <c r="LD146" s="6"/>
      <c r="LE146" s="6"/>
      <c r="LF146" s="4"/>
      <c r="LG146" s="8"/>
      <c r="LH146" s="5" t="str">
        <f t="shared" si="585"/>
        <v>NO APLICA</v>
      </c>
      <c r="LI146" s="5"/>
      <c r="LJ146" s="5"/>
      <c r="LK146" s="4"/>
      <c r="LL146" s="8"/>
      <c r="LM146" s="5" t="str">
        <f t="shared" si="584"/>
        <v>NO APLICA</v>
      </c>
      <c r="LN146" s="2"/>
      <c r="LO146" s="6"/>
      <c r="LP146" s="4"/>
      <c r="LQ146" s="8"/>
      <c r="LR146" s="5" t="str">
        <f t="shared" si="579"/>
        <v>NO APLICA</v>
      </c>
      <c r="LS146" s="6"/>
      <c r="LT146" s="6"/>
      <c r="LU146" s="4"/>
      <c r="LV146" s="8"/>
      <c r="LW146" s="5" t="str">
        <f t="shared" si="580"/>
        <v>NO APLICA</v>
      </c>
      <c r="LX146" s="6"/>
      <c r="LY146" s="6"/>
      <c r="LZ146" s="4"/>
      <c r="MA146" s="8"/>
      <c r="MB146" s="5" t="str">
        <f t="shared" si="581"/>
        <v>NO APLICA</v>
      </c>
      <c r="MC146" s="2"/>
      <c r="MD146" s="2"/>
      <c r="ME146" s="4"/>
      <c r="MF146" s="8"/>
      <c r="MG146" s="5" t="str">
        <f t="shared" si="554"/>
        <v>NO APLICA</v>
      </c>
      <c r="MH146" s="2"/>
      <c r="MI146" s="2"/>
      <c r="MJ146" s="4"/>
      <c r="MK146" s="8"/>
      <c r="ML146" s="5" t="str">
        <f t="shared" si="555"/>
        <v>NO APLICA</v>
      </c>
      <c r="MM146" s="5"/>
      <c r="MN146" s="2"/>
      <c r="MO146" s="4"/>
      <c r="MP146" s="8"/>
      <c r="MQ146" s="5" t="str">
        <f t="shared" si="556"/>
        <v>NO APLICA</v>
      </c>
      <c r="MR146" s="5"/>
      <c r="MS146" s="2"/>
      <c r="MT146" s="4"/>
      <c r="MU146" s="2"/>
      <c r="MV146" s="5" t="str">
        <f t="shared" si="557"/>
        <v>NO APLICA</v>
      </c>
      <c r="MW146" s="2"/>
      <c r="MX146" s="6"/>
      <c r="MY146" s="4"/>
      <c r="MZ146" s="8"/>
      <c r="NA146" s="5" t="str">
        <f t="shared" si="558"/>
        <v>NO APLICA</v>
      </c>
      <c r="NB146" s="2"/>
      <c r="NC146" s="6"/>
      <c r="ND146" s="4"/>
      <c r="NE146" s="8"/>
      <c r="NF146" s="5" t="str">
        <f t="shared" si="559"/>
        <v>NO APLICA</v>
      </c>
      <c r="NG146" s="2"/>
      <c r="NH146" s="6"/>
      <c r="NI146" s="4"/>
      <c r="NJ146" s="8"/>
      <c r="NK146" s="5" t="str">
        <f t="shared" si="560"/>
        <v>NO APLICA</v>
      </c>
      <c r="NL146" s="2"/>
      <c r="NM146" s="2"/>
      <c r="NN146" s="4"/>
      <c r="NO146" s="8"/>
      <c r="NP146" s="5" t="str">
        <f t="shared" si="561"/>
        <v>NO APLICA</v>
      </c>
      <c r="NQ146" s="2"/>
      <c r="NR146" s="2"/>
      <c r="NS146" s="4"/>
      <c r="NT146" s="2"/>
      <c r="NU146" s="5" t="str">
        <f t="shared" si="562"/>
        <v>NO APLICA</v>
      </c>
      <c r="NV146" s="6"/>
      <c r="NW146" s="6"/>
      <c r="NX146" s="4"/>
      <c r="NY146" s="8"/>
      <c r="NZ146" s="5" t="str">
        <f t="shared" si="563"/>
        <v>NO APLICA</v>
      </c>
      <c r="OA146" s="6"/>
      <c r="OB146" s="6"/>
      <c r="OC146" s="6"/>
      <c r="OD146" s="6"/>
      <c r="OE146" s="5" t="str">
        <f t="shared" si="564"/>
        <v>NO APLICA</v>
      </c>
      <c r="OF146" s="2"/>
      <c r="OG146" s="2"/>
      <c r="OH146" s="4"/>
      <c r="OI146" s="8"/>
      <c r="OJ146" s="5" t="str">
        <f t="shared" si="565"/>
        <v>NO APLICA</v>
      </c>
      <c r="OK146" s="6"/>
      <c r="OL146" s="6"/>
      <c r="OM146" s="6"/>
      <c r="ON146" s="6"/>
      <c r="OO146" s="5" t="str">
        <f t="shared" si="566"/>
        <v>NO APLICA</v>
      </c>
      <c r="OP146" s="6"/>
      <c r="OQ146" s="6"/>
      <c r="OR146" s="6"/>
      <c r="OS146" s="6"/>
      <c r="OT146" s="5" t="str">
        <f t="shared" si="567"/>
        <v>NO APLICA</v>
      </c>
      <c r="OU146" s="6"/>
      <c r="OV146" s="6"/>
      <c r="OW146" s="6"/>
      <c r="OX146" s="6"/>
      <c r="OY146" s="5" t="str">
        <f t="shared" si="568"/>
        <v>NO APLICA</v>
      </c>
      <c r="OZ146" s="6"/>
      <c r="PA146" s="6"/>
      <c r="PB146" s="6"/>
      <c r="PC146" s="6"/>
      <c r="PD146" s="5" t="str">
        <f t="shared" si="569"/>
        <v>NO APLICA</v>
      </c>
      <c r="PE146" s="6"/>
      <c r="PF146" s="6"/>
      <c r="PG146" s="6"/>
      <c r="PH146" s="6"/>
      <c r="PI146" s="5" t="str">
        <f t="shared" si="570"/>
        <v>NO APLICA</v>
      </c>
      <c r="PJ146" s="5"/>
      <c r="PK146" s="6"/>
      <c r="PL146" s="4"/>
      <c r="PM146" s="8"/>
      <c r="PN146" s="5" t="str">
        <f t="shared" si="571"/>
        <v>NO APLICA</v>
      </c>
      <c r="PO146" s="6"/>
      <c r="PP146" s="6"/>
      <c r="PQ146" s="6"/>
      <c r="PR146" s="6"/>
      <c r="PS146" s="5" t="str">
        <f t="shared" si="572"/>
        <v>NO APLICA</v>
      </c>
      <c r="PT146" s="5"/>
      <c r="PU146" s="6"/>
      <c r="PV146" s="6"/>
      <c r="PW146" s="6"/>
      <c r="PX146" s="5" t="str">
        <f t="shared" si="573"/>
        <v>NO APLICA</v>
      </c>
    </row>
    <row r="147" spans="1:440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482</v>
      </c>
      <c r="V147" s="4">
        <v>45391</v>
      </c>
      <c r="W147" s="4">
        <f t="shared" si="421"/>
        <v>47217</v>
      </c>
      <c r="X147" s="8">
        <f t="shared" ca="1" si="422"/>
        <v>1083</v>
      </c>
      <c r="Y147" s="5" t="str">
        <f t="shared" ca="1" si="423"/>
        <v>VIGENTE</v>
      </c>
      <c r="Z147" s="6" t="s">
        <v>483</v>
      </c>
      <c r="AA147" s="4">
        <v>45464</v>
      </c>
      <c r="AB147" s="4">
        <f t="shared" ref="AB147:AB152" si="596">DATE(YEAR(AA147)+5,MONTH(AA147),DAY(AA147))</f>
        <v>47290</v>
      </c>
      <c r="AC147" s="8">
        <f t="shared" ref="AC147:AC152" ca="1" si="597">AB147-TODAY()</f>
        <v>1156</v>
      </c>
      <c r="AD147" s="5" t="str">
        <f t="shared" ca="1" si="582"/>
        <v>VIGENTE</v>
      </c>
      <c r="AE147" s="4"/>
      <c r="AF147" s="4">
        <v>46085</v>
      </c>
      <c r="AG147" s="4">
        <f>DATE(YEAR(AF147)+2,MONTH(AF147),DAY(AF147))</f>
        <v>46816</v>
      </c>
      <c r="AH147" s="8">
        <f t="shared" ca="1" si="470"/>
        <v>682</v>
      </c>
      <c r="AI147" s="5" t="str">
        <f t="shared" ca="1" si="419"/>
        <v>VIGENTE</v>
      </c>
      <c r="AJ147" s="6"/>
      <c r="AK147" s="4">
        <v>46062</v>
      </c>
      <c r="AL147" s="4">
        <f t="shared" si="590"/>
        <v>46792</v>
      </c>
      <c r="AM147" s="8">
        <f t="shared" ca="1" si="471"/>
        <v>658</v>
      </c>
      <c r="AN147" s="5" t="str">
        <f t="shared" ca="1" si="472"/>
        <v>VIGENTE</v>
      </c>
      <c r="AO147" s="6"/>
      <c r="AP147" s="4">
        <v>46048</v>
      </c>
      <c r="AQ147" s="4">
        <f t="shared" si="586"/>
        <v>46778</v>
      </c>
      <c r="AR147" s="8">
        <f t="shared" ca="1" si="473"/>
        <v>644</v>
      </c>
      <c r="AS147" s="5" t="str">
        <f t="shared" ca="1" si="474"/>
        <v>VIGENTE</v>
      </c>
      <c r="AT147" s="6"/>
      <c r="AU147" s="4">
        <v>46070</v>
      </c>
      <c r="AV147" s="4">
        <f t="shared" si="587"/>
        <v>46800</v>
      </c>
      <c r="AW147" s="8">
        <f t="shared" ca="1" si="475"/>
        <v>666</v>
      </c>
      <c r="AX147" s="5" t="str">
        <f t="shared" ca="1" si="476"/>
        <v>VIGENTE</v>
      </c>
      <c r="AY147" s="3"/>
      <c r="AZ147" s="4">
        <v>46041</v>
      </c>
      <c r="BA147" s="4">
        <f>DATE(YEAR(AZ147)+2,MONTH(AZ147),DAY(AZ147))</f>
        <v>46771</v>
      </c>
      <c r="BB147" s="8">
        <f t="shared" ca="1" si="477"/>
        <v>637</v>
      </c>
      <c r="BC147" s="5" t="str">
        <f t="shared" ca="1" si="478"/>
        <v>VIGENTE</v>
      </c>
      <c r="BD147" s="4"/>
      <c r="BE147" s="4">
        <v>46027</v>
      </c>
      <c r="BF147" s="4">
        <f>DATE(YEAR(BE147)+2,MONTH(BE147),DAY(BE147))</f>
        <v>46757</v>
      </c>
      <c r="BG147" s="8">
        <f t="shared" ca="1" si="479"/>
        <v>623</v>
      </c>
      <c r="BH147" s="5" t="str">
        <f t="shared" ca="1" si="480"/>
        <v>VIGENTE</v>
      </c>
      <c r="BI147" s="4"/>
      <c r="BJ147" s="4">
        <v>46035</v>
      </c>
      <c r="BK147" s="4">
        <f>DATE(YEAR(BJ147)+2,MONTH(BJ147),DAY(BJ147))</f>
        <v>46765</v>
      </c>
      <c r="BL147" s="8">
        <f t="shared" ca="1" si="481"/>
        <v>631</v>
      </c>
      <c r="BM147" s="5" t="str">
        <f t="shared" ca="1" si="482"/>
        <v>VIGENTE</v>
      </c>
      <c r="BN147" s="4"/>
      <c r="BO147" s="4">
        <v>46050</v>
      </c>
      <c r="BP147" s="4">
        <f t="shared" si="588"/>
        <v>46780</v>
      </c>
      <c r="BQ147" s="8">
        <f t="shared" ca="1" si="483"/>
        <v>646</v>
      </c>
      <c r="BR147" s="5" t="str">
        <f t="shared" ca="1" si="484"/>
        <v>VIGENTE</v>
      </c>
      <c r="BS147" s="6"/>
      <c r="BT147" s="4">
        <v>46063</v>
      </c>
      <c r="BU147" s="4">
        <f>DATE(YEAR(BT147)+2,MONTH(BT147),DAY(BT147))</f>
        <v>46793</v>
      </c>
      <c r="BV147" s="8">
        <f t="shared" ca="1" si="485"/>
        <v>659</v>
      </c>
      <c r="BW147" s="5" t="str">
        <f t="shared" ca="1" si="486"/>
        <v>VIGENTE</v>
      </c>
      <c r="BX147" s="6"/>
      <c r="BY147" s="4">
        <v>45986</v>
      </c>
      <c r="BZ147" s="4">
        <f t="shared" si="592"/>
        <v>46716</v>
      </c>
      <c r="CA147" s="8">
        <f t="shared" ca="1" si="487"/>
        <v>582</v>
      </c>
      <c r="CB147" s="5" t="str">
        <f t="shared" ca="1" si="488"/>
        <v>VIGENTE</v>
      </c>
      <c r="CC147" s="6" t="s">
        <v>73</v>
      </c>
      <c r="CD147" s="4">
        <v>45616</v>
      </c>
      <c r="CE147" s="4">
        <f t="shared" si="428"/>
        <v>47077</v>
      </c>
      <c r="CF147" s="8">
        <f t="shared" ca="1" si="429"/>
        <v>943</v>
      </c>
      <c r="CG147" s="5" t="str">
        <f t="shared" ca="1" si="591"/>
        <v>VIGENTE</v>
      </c>
      <c r="CH147" s="4"/>
      <c r="CI147" s="4">
        <v>46018</v>
      </c>
      <c r="CJ147" s="4">
        <f>DATE(YEAR(CI147)+2,MONTH(CI147),DAY(CI147))</f>
        <v>46748</v>
      </c>
      <c r="CK147" s="8">
        <f t="shared" ca="1" si="489"/>
        <v>614</v>
      </c>
      <c r="CL147" s="5" t="str">
        <f t="shared" ca="1" si="490"/>
        <v>VIGENTE</v>
      </c>
      <c r="CM147" s="4"/>
      <c r="CN147" s="4">
        <v>46101</v>
      </c>
      <c r="CO147" s="4">
        <f>DATE(YEAR(CN147)+2,MONTH(CN147),DAY(CN147))</f>
        <v>46832</v>
      </c>
      <c r="CP147" s="8">
        <f t="shared" ca="1" si="491"/>
        <v>698</v>
      </c>
      <c r="CQ147" s="5" t="str">
        <f t="shared" ca="1" si="492"/>
        <v>VIGENTE</v>
      </c>
      <c r="CR147" s="4"/>
      <c r="CS147" s="4">
        <v>46043</v>
      </c>
      <c r="CT147" s="4">
        <f>DATE(YEAR(CS147)+2,MONTH(CS147),DAY(CS147))</f>
        <v>46773</v>
      </c>
      <c r="CU147" s="8">
        <f t="shared" ca="1" si="493"/>
        <v>639</v>
      </c>
      <c r="CV147" s="5" t="str">
        <f t="shared" ca="1" si="494"/>
        <v>VIGENTE</v>
      </c>
      <c r="CW147" s="4"/>
      <c r="CX147" s="4">
        <v>46000</v>
      </c>
      <c r="CY147" s="4">
        <f>DATE(YEAR(CX147)+2,MONTH(CX147),DAY(CX147))</f>
        <v>46730</v>
      </c>
      <c r="CZ147" s="8">
        <f t="shared" ca="1" si="495"/>
        <v>596</v>
      </c>
      <c r="DA147" s="5" t="str">
        <f t="shared" ca="1" si="496"/>
        <v>VIGENTE</v>
      </c>
      <c r="DB147" s="4"/>
      <c r="DC147" s="4">
        <v>46045</v>
      </c>
      <c r="DD147" s="4">
        <f>DATE(YEAR(DC147)+2,MONTH(DC147),DAY(DC147))</f>
        <v>46775</v>
      </c>
      <c r="DE147" s="8">
        <f t="shared" ca="1" si="497"/>
        <v>641</v>
      </c>
      <c r="DF147" s="5" t="str">
        <f t="shared" ca="1" si="498"/>
        <v>VIGENTE</v>
      </c>
      <c r="DG147" s="4"/>
      <c r="DH147" s="4">
        <v>46029</v>
      </c>
      <c r="DI147" s="4">
        <f>DATE(YEAR(DH147)+2,MONTH(DH147),DAY(DH147))</f>
        <v>46759</v>
      </c>
      <c r="DJ147" s="8">
        <f t="shared" ca="1" si="499"/>
        <v>625</v>
      </c>
      <c r="DK147" s="5" t="str">
        <f t="shared" ca="1" si="500"/>
        <v>VIGENTE</v>
      </c>
      <c r="DL147" s="4"/>
      <c r="DM147" s="4">
        <v>45982</v>
      </c>
      <c r="DN147" s="4">
        <f>DATE(YEAR(DM147)+2,MONTH(DM147),DAY(DM147))</f>
        <v>46712</v>
      </c>
      <c r="DO147" s="8">
        <f t="shared" ca="1" si="501"/>
        <v>578</v>
      </c>
      <c r="DP147" s="5" t="str">
        <f t="shared" ca="1" si="502"/>
        <v>VIGENTE</v>
      </c>
      <c r="DQ147" s="6"/>
      <c r="DR147" s="4">
        <v>46053</v>
      </c>
      <c r="DS147" s="4">
        <f>DATE(YEAR(DR147)+2,MONTH(DR147),DAY(DR147))</f>
        <v>46783</v>
      </c>
      <c r="DT147" s="8">
        <f t="shared" ca="1" si="503"/>
        <v>649</v>
      </c>
      <c r="DU147" s="5" t="str">
        <f t="shared" ca="1" si="504"/>
        <v>VIGENTE</v>
      </c>
      <c r="DV147" s="4"/>
      <c r="DW147" s="4">
        <v>46099</v>
      </c>
      <c r="DX147" s="4">
        <f>DATE(YEAR(DW147)+2,MONTH(DW147),DAY(DW147))</f>
        <v>46830</v>
      </c>
      <c r="DY147" s="8">
        <f t="shared" ca="1" si="505"/>
        <v>696</v>
      </c>
      <c r="DZ147" s="5" t="str">
        <f t="shared" ca="1" si="506"/>
        <v>VIGENTE</v>
      </c>
      <c r="EA147" s="4"/>
      <c r="EB147" s="4">
        <v>46104</v>
      </c>
      <c r="EC147" s="4">
        <f>DATE(YEAR(EB147)+2,MONTH(EB147),DAY(EB147))</f>
        <v>46835</v>
      </c>
      <c r="ED147" s="8">
        <f t="shared" ca="1" si="507"/>
        <v>701</v>
      </c>
      <c r="EE147" s="5" t="str">
        <f t="shared" ca="1" si="508"/>
        <v>VIGENTE</v>
      </c>
      <c r="EF147" s="4"/>
      <c r="EG147" s="4">
        <v>45812</v>
      </c>
      <c r="EH147" s="4">
        <f t="shared" si="575"/>
        <v>46177</v>
      </c>
      <c r="EI147" s="8">
        <f t="shared" ca="1" si="509"/>
        <v>43</v>
      </c>
      <c r="EJ147" s="5" t="str">
        <f t="shared" ca="1" si="510"/>
        <v>POR VENCER</v>
      </c>
      <c r="EK147" s="4"/>
      <c r="EL147" s="4">
        <v>46100</v>
      </c>
      <c r="EM147" s="4">
        <f>DATE(YEAR(EL147)+2,MONTH(EL147),DAY(EL147))</f>
        <v>46831</v>
      </c>
      <c r="EN147" s="8">
        <f t="shared" ca="1" si="511"/>
        <v>697</v>
      </c>
      <c r="EO147" s="5" t="str">
        <f t="shared" ca="1" si="512"/>
        <v>VIGENTE</v>
      </c>
      <c r="EP147" s="6"/>
      <c r="EQ147" s="4">
        <v>45999</v>
      </c>
      <c r="ER147" s="4">
        <f>DATE(YEAR(EQ147)+2,MONTH(EQ147),DAY(EQ147))</f>
        <v>46729</v>
      </c>
      <c r="ES147" s="8">
        <f t="shared" ca="1" si="513"/>
        <v>595</v>
      </c>
      <c r="ET147" s="5" t="str">
        <f t="shared" ca="1" si="514"/>
        <v>VIGENTE</v>
      </c>
      <c r="EU147" s="4"/>
      <c r="EV147" s="4">
        <v>46037</v>
      </c>
      <c r="EW147" s="4">
        <f t="shared" si="593"/>
        <v>46767</v>
      </c>
      <c r="EX147" s="8">
        <f t="shared" ca="1" si="515"/>
        <v>633</v>
      </c>
      <c r="EY147" s="5" t="str">
        <f t="shared" ca="1" si="516"/>
        <v>VIGENTE</v>
      </c>
      <c r="EZ147" s="6"/>
      <c r="FA147" s="4">
        <v>46091</v>
      </c>
      <c r="FB147" s="4">
        <f t="shared" si="594"/>
        <v>46822</v>
      </c>
      <c r="FC147" s="8">
        <f t="shared" ca="1" si="517"/>
        <v>688</v>
      </c>
      <c r="FD147" s="5" t="str">
        <f t="shared" ca="1" si="518"/>
        <v>VIGENTE</v>
      </c>
      <c r="FE147" s="4"/>
      <c r="FF147" s="4">
        <v>45969</v>
      </c>
      <c r="FG147" s="4">
        <f t="shared" si="595"/>
        <v>46699</v>
      </c>
      <c r="FH147" s="8">
        <f t="shared" ca="1" si="519"/>
        <v>565</v>
      </c>
      <c r="FI147" s="5" t="str">
        <f t="shared" ca="1" si="520"/>
        <v>VIGENTE</v>
      </c>
      <c r="FJ147" s="4"/>
      <c r="FK147" s="4">
        <v>46039</v>
      </c>
      <c r="FL147" s="4">
        <f>DATE(YEAR(FK147)+2,MONTH(FK147),DAY(FK147))</f>
        <v>46769</v>
      </c>
      <c r="FM147" s="8">
        <f t="shared" ca="1" si="521"/>
        <v>635</v>
      </c>
      <c r="FN147" s="5" t="str">
        <f t="shared" ca="1" si="522"/>
        <v>VIGENTE</v>
      </c>
      <c r="FO147" s="4"/>
      <c r="FP147" s="4">
        <v>46080</v>
      </c>
      <c r="FQ147" s="4">
        <f>DATE(YEAR(FP147)+2,MONTH(FP147),DAY(FP147))</f>
        <v>46810</v>
      </c>
      <c r="FR147" s="8">
        <f t="shared" ca="1" si="523"/>
        <v>676</v>
      </c>
      <c r="FS147" s="5" t="str">
        <f t="shared" ca="1" si="524"/>
        <v>VIGENTE</v>
      </c>
      <c r="FT147" s="4"/>
      <c r="FU147" s="4">
        <v>46014</v>
      </c>
      <c r="FV147" s="4">
        <f>DATE(YEAR(FU147)+2,MONTH(FU147),DAY(FU147))</f>
        <v>46744</v>
      </c>
      <c r="FW147" s="8">
        <f t="shared" ca="1" si="525"/>
        <v>610</v>
      </c>
      <c r="FX147" s="5" t="str">
        <f t="shared" ca="1" si="526"/>
        <v>VIGENTE</v>
      </c>
      <c r="FY147" s="4"/>
      <c r="FZ147" s="4">
        <v>46030</v>
      </c>
      <c r="GA147" s="4">
        <f>DATE(YEAR(FZ147)+2,MONTH(FZ147),DAY(FZ147))</f>
        <v>46760</v>
      </c>
      <c r="GB147" s="8">
        <f t="shared" ca="1" si="527"/>
        <v>626</v>
      </c>
      <c r="GC147" s="5" t="str">
        <f t="shared" ca="1" si="528"/>
        <v>VIGENTE</v>
      </c>
      <c r="GD147" s="4"/>
      <c r="GE147" s="4">
        <v>45960</v>
      </c>
      <c r="GF147" s="4">
        <f>DATE(YEAR(GE147)+2,MONTH(GE147),DAY(GE147))</f>
        <v>46690</v>
      </c>
      <c r="GG147" s="8">
        <f t="shared" ca="1" si="529"/>
        <v>556</v>
      </c>
      <c r="GH147" s="5" t="str">
        <f t="shared" ca="1" si="530"/>
        <v>VIGENTE</v>
      </c>
      <c r="GI147" s="4"/>
      <c r="GJ147" s="4">
        <v>46093</v>
      </c>
      <c r="GK147" s="4">
        <f t="shared" si="589"/>
        <v>46824</v>
      </c>
      <c r="GL147" s="8">
        <f t="shared" ca="1" si="531"/>
        <v>690</v>
      </c>
      <c r="GM147" s="5" t="str">
        <f t="shared" ca="1" si="532"/>
        <v>VIGENTE</v>
      </c>
      <c r="GN147" s="4"/>
      <c r="GO147" s="4">
        <v>45421</v>
      </c>
      <c r="GP147" s="4">
        <f t="shared" si="533"/>
        <v>47247</v>
      </c>
      <c r="GQ147" s="8">
        <f t="shared" ca="1" si="418"/>
        <v>1113</v>
      </c>
      <c r="GR147" s="5" t="str">
        <f t="shared" ca="1" si="431"/>
        <v>VIGENTE</v>
      </c>
      <c r="GS147" s="4"/>
      <c r="GT147" s="4">
        <v>45417</v>
      </c>
      <c r="GU147" s="4">
        <f t="shared" si="534"/>
        <v>47243</v>
      </c>
      <c r="GV147" s="8">
        <f t="shared" ca="1" si="535"/>
        <v>1109</v>
      </c>
      <c r="GW147" s="5" t="str">
        <f t="shared" ca="1" si="438"/>
        <v>VIGENTE</v>
      </c>
      <c r="GX147" s="6"/>
      <c r="GY147" s="4">
        <v>45415</v>
      </c>
      <c r="GZ147" s="4">
        <f t="shared" si="536"/>
        <v>47241</v>
      </c>
      <c r="HA147" s="8">
        <f t="shared" ca="1" si="537"/>
        <v>1107</v>
      </c>
      <c r="HB147" s="5" t="str">
        <f t="shared" ca="1" si="433"/>
        <v>VIGENTE</v>
      </c>
      <c r="HC147" s="6"/>
      <c r="HD147" s="4">
        <v>45401</v>
      </c>
      <c r="HE147" s="4">
        <f t="shared" ref="HE147:HE152" si="598">DATE(YEAR(HD147)+5,MONTH(HD147),DAY(HD147))</f>
        <v>47227</v>
      </c>
      <c r="HF147" s="8">
        <f t="shared" ref="HF147:HF152" ca="1" si="599">HE147-TODAY()</f>
        <v>1093</v>
      </c>
      <c r="HG147" s="5" t="str">
        <f t="shared" ca="1" si="439"/>
        <v>VIGENTE</v>
      </c>
      <c r="HH147" s="6"/>
      <c r="HI147" s="6"/>
      <c r="HJ147" s="4"/>
      <c r="HK147" s="8"/>
      <c r="HL147" s="5" t="str">
        <f t="shared" si="457"/>
        <v>NO APLICA</v>
      </c>
      <c r="HM147" s="2"/>
      <c r="HN147" s="5"/>
      <c r="HO147" s="4"/>
      <c r="HP147" s="5"/>
      <c r="HQ147" s="5" t="str">
        <f t="shared" si="538"/>
        <v>NO APLICA</v>
      </c>
      <c r="HR147" s="6"/>
      <c r="HS147" s="6"/>
      <c r="HT147" s="4"/>
      <c r="HU147" s="8"/>
      <c r="HV147" s="5" t="str">
        <f t="shared" si="539"/>
        <v>NO APLICA</v>
      </c>
      <c r="HW147" s="6"/>
      <c r="HX147" s="6"/>
      <c r="HY147" s="4"/>
      <c r="HZ147" s="8"/>
      <c r="IA147" s="5" t="str">
        <f t="shared" si="540"/>
        <v>NO APLICA</v>
      </c>
      <c r="IB147" s="6"/>
      <c r="IC147" s="6"/>
      <c r="ID147" s="4"/>
      <c r="IE147" s="8"/>
      <c r="IF147" s="5" t="str">
        <f t="shared" si="541"/>
        <v>NO APLICA</v>
      </c>
      <c r="IG147" s="6"/>
      <c r="IH147" s="6"/>
      <c r="II147" s="4"/>
      <c r="IJ147" s="6"/>
      <c r="IK147" s="5" t="str">
        <f t="shared" si="542"/>
        <v>NO APLICA</v>
      </c>
      <c r="IL147" s="6"/>
      <c r="IM147" s="6"/>
      <c r="IN147" s="4"/>
      <c r="IO147" s="8"/>
      <c r="IP147" s="5" t="str">
        <f t="shared" si="543"/>
        <v>NO APLICA</v>
      </c>
      <c r="IQ147" s="6"/>
      <c r="IR147" s="6"/>
      <c r="IS147" s="4"/>
      <c r="IT147" s="8"/>
      <c r="IU147" s="5" t="str">
        <f t="shared" si="544"/>
        <v>NO APLICA</v>
      </c>
      <c r="IV147" s="6"/>
      <c r="IW147" s="6"/>
      <c r="IX147" s="4"/>
      <c r="IY147" s="8"/>
      <c r="IZ147" s="5" t="str">
        <f t="shared" si="545"/>
        <v>NO APLICA</v>
      </c>
      <c r="JA147" s="3"/>
      <c r="JB147" s="3"/>
      <c r="JC147" s="4"/>
      <c r="JD147" s="8"/>
      <c r="JE147" s="5" t="str">
        <f t="shared" si="546"/>
        <v>NO APLICA</v>
      </c>
      <c r="JF147" s="6"/>
      <c r="JG147" s="6"/>
      <c r="JH147" s="6"/>
      <c r="JI147" s="6"/>
      <c r="JJ147" s="5" t="str">
        <f t="shared" si="547"/>
        <v>NO APLICA</v>
      </c>
      <c r="JK147" s="6"/>
      <c r="JL147" s="6"/>
      <c r="JM147" s="6"/>
      <c r="JN147" s="6"/>
      <c r="JO147" s="5" t="str">
        <f t="shared" si="548"/>
        <v>NO APLICA</v>
      </c>
      <c r="JP147" s="6"/>
      <c r="JQ147" s="6"/>
      <c r="JR147" s="6"/>
      <c r="JS147" s="6"/>
      <c r="JT147" s="5" t="str">
        <f t="shared" si="549"/>
        <v>NO APLICA</v>
      </c>
      <c r="JU147" s="5"/>
      <c r="JV147" s="5"/>
      <c r="JW147" s="5"/>
      <c r="JX147" s="5"/>
      <c r="JY147" s="5" t="str">
        <f t="shared" si="550"/>
        <v>NO APLICA</v>
      </c>
      <c r="JZ147" s="5"/>
      <c r="KA147" s="6"/>
      <c r="KB147" s="4"/>
      <c r="KC147" s="8"/>
      <c r="KD147" s="5" t="str">
        <f t="shared" si="551"/>
        <v>NO APLICA</v>
      </c>
      <c r="KE147" s="5"/>
      <c r="KF147" s="6"/>
      <c r="KG147" s="4"/>
      <c r="KH147" s="6"/>
      <c r="KI147" s="5" t="str">
        <f t="shared" si="576"/>
        <v>NO APLICA</v>
      </c>
      <c r="KJ147" s="5"/>
      <c r="KK147" s="6"/>
      <c r="KL147" s="4"/>
      <c r="KM147" s="8"/>
      <c r="KN147" s="5" t="str">
        <f t="shared" si="552"/>
        <v>NO APLICA</v>
      </c>
      <c r="KO147" s="5"/>
      <c r="KP147" s="2"/>
      <c r="KQ147" s="4"/>
      <c r="KR147" s="8"/>
      <c r="KS147" s="5" t="str">
        <f t="shared" si="577"/>
        <v>NO APLICA</v>
      </c>
      <c r="KT147" s="4"/>
      <c r="KU147" s="4">
        <v>44653</v>
      </c>
      <c r="KV147" s="4">
        <f>DATE(YEAR(KU147)+5,MONTH(KU147),DAY(KU147))</f>
        <v>46479</v>
      </c>
      <c r="KW147" s="8">
        <f ca="1">KV147-TODAY()</f>
        <v>345</v>
      </c>
      <c r="KX147" s="5" t="str">
        <f t="shared" ca="1" si="583"/>
        <v>VIGENTE</v>
      </c>
      <c r="KY147" s="5"/>
      <c r="KZ147" s="6"/>
      <c r="LA147" s="4"/>
      <c r="LB147" s="6"/>
      <c r="LC147" s="5" t="str">
        <f t="shared" si="578"/>
        <v>NO APLICA</v>
      </c>
      <c r="LD147" s="6"/>
      <c r="LE147" s="6"/>
      <c r="LF147" s="6"/>
      <c r="LG147" s="6"/>
      <c r="LH147" s="5" t="str">
        <f t="shared" si="585"/>
        <v>NO APLICA</v>
      </c>
      <c r="LI147" s="5"/>
      <c r="LJ147" s="5"/>
      <c r="LK147" s="4"/>
      <c r="LL147" s="8"/>
      <c r="LM147" s="5" t="str">
        <f t="shared" si="584"/>
        <v>NO APLICA</v>
      </c>
      <c r="LN147" s="6"/>
      <c r="LO147" s="6"/>
      <c r="LP147" s="4"/>
      <c r="LQ147" s="8"/>
      <c r="LR147" s="5" t="str">
        <f t="shared" si="579"/>
        <v>NO APLICA</v>
      </c>
      <c r="LS147" s="6"/>
      <c r="LT147" s="6"/>
      <c r="LU147" s="4"/>
      <c r="LV147" s="6"/>
      <c r="LW147" s="5" t="str">
        <f t="shared" si="580"/>
        <v>NO APLICA</v>
      </c>
      <c r="LX147" s="6"/>
      <c r="LY147" s="6"/>
      <c r="LZ147" s="4"/>
      <c r="MA147" s="6"/>
      <c r="MB147" s="5" t="str">
        <f t="shared" si="581"/>
        <v>NO APLICA</v>
      </c>
      <c r="MC147" s="6"/>
      <c r="MD147" s="6"/>
      <c r="ME147" s="4"/>
      <c r="MF147" s="6"/>
      <c r="MG147" s="5" t="str">
        <f t="shared" si="554"/>
        <v>NO APLICA</v>
      </c>
      <c r="MH147" s="6"/>
      <c r="MI147" s="6"/>
      <c r="MJ147" s="4"/>
      <c r="MK147" s="6"/>
      <c r="ML147" s="5" t="str">
        <f t="shared" si="555"/>
        <v>NO APLICA</v>
      </c>
      <c r="MM147" s="5"/>
      <c r="MN147" s="6"/>
      <c r="MO147" s="4"/>
      <c r="MP147" s="6"/>
      <c r="MQ147" s="5" t="str">
        <f t="shared" si="556"/>
        <v>NO APLICA</v>
      </c>
      <c r="MR147" s="5"/>
      <c r="MS147" s="6"/>
      <c r="MT147" s="6"/>
      <c r="MU147" s="6"/>
      <c r="MV147" s="5" t="str">
        <f t="shared" si="557"/>
        <v>NO APLICA</v>
      </c>
      <c r="MW147" s="6"/>
      <c r="MX147" s="6"/>
      <c r="MY147" s="4"/>
      <c r="MZ147" s="6"/>
      <c r="NA147" s="5" t="str">
        <f t="shared" si="558"/>
        <v>NO APLICA</v>
      </c>
      <c r="NB147" s="6"/>
      <c r="NC147" s="6"/>
      <c r="ND147" s="4"/>
      <c r="NE147" s="6"/>
      <c r="NF147" s="5" t="str">
        <f t="shared" si="559"/>
        <v>NO APLICA</v>
      </c>
      <c r="NG147" s="6"/>
      <c r="NH147" s="6"/>
      <c r="NI147" s="4"/>
      <c r="NJ147" s="6"/>
      <c r="NK147" s="5" t="str">
        <f t="shared" si="560"/>
        <v>NO APLICA</v>
      </c>
      <c r="NL147" s="6"/>
      <c r="NM147" s="6"/>
      <c r="NN147" s="4"/>
      <c r="NO147" s="6"/>
      <c r="NP147" s="5" t="str">
        <f t="shared" si="561"/>
        <v>NO APLICA</v>
      </c>
      <c r="NQ147" s="6"/>
      <c r="NR147" s="6"/>
      <c r="NS147" s="4"/>
      <c r="NT147" s="6"/>
      <c r="NU147" s="5" t="str">
        <f t="shared" si="562"/>
        <v>NO APLICA</v>
      </c>
      <c r="NV147" s="6"/>
      <c r="NW147" s="6"/>
      <c r="NX147" s="4"/>
      <c r="NY147" s="8"/>
      <c r="NZ147" s="5" t="str">
        <f t="shared" si="563"/>
        <v>NO APLICA</v>
      </c>
      <c r="OA147" s="6"/>
      <c r="OB147" s="6"/>
      <c r="OC147" s="6"/>
      <c r="OD147" s="6"/>
      <c r="OE147" s="5" t="str">
        <f t="shared" si="564"/>
        <v>NO APLICA</v>
      </c>
      <c r="OF147" s="6"/>
      <c r="OG147" s="6"/>
      <c r="OH147" s="6"/>
      <c r="OI147" s="6"/>
      <c r="OJ147" s="5" t="str">
        <f t="shared" si="565"/>
        <v>NO APLICA</v>
      </c>
      <c r="OK147" s="6"/>
      <c r="OL147" s="6"/>
      <c r="OM147" s="4"/>
      <c r="ON147" s="8"/>
      <c r="OO147" s="5" t="str">
        <f t="shared" si="566"/>
        <v>NO APLICA</v>
      </c>
      <c r="OP147" s="6"/>
      <c r="OQ147" s="6"/>
      <c r="OR147" s="6"/>
      <c r="OS147" s="6"/>
      <c r="OT147" s="5" t="str">
        <f t="shared" si="567"/>
        <v>NO APLICA</v>
      </c>
      <c r="OU147" s="6"/>
      <c r="OV147" s="6"/>
      <c r="OW147" s="6"/>
      <c r="OX147" s="6"/>
      <c r="OY147" s="5" t="str">
        <f t="shared" si="568"/>
        <v>NO APLICA</v>
      </c>
      <c r="OZ147" s="6"/>
      <c r="PA147" s="6"/>
      <c r="PB147" s="6"/>
      <c r="PC147" s="6"/>
      <c r="PD147" s="5" t="str">
        <f t="shared" si="569"/>
        <v>NO APLICA</v>
      </c>
      <c r="PE147" s="6"/>
      <c r="PF147" s="6"/>
      <c r="PG147" s="6"/>
      <c r="PH147" s="6"/>
      <c r="PI147" s="5" t="str">
        <f t="shared" si="570"/>
        <v>NO APLICA</v>
      </c>
      <c r="PJ147" s="5"/>
      <c r="PK147" s="6"/>
      <c r="PL147" s="6"/>
      <c r="PM147" s="6"/>
      <c r="PN147" s="5" t="str">
        <f t="shared" si="571"/>
        <v>NO APLICA</v>
      </c>
      <c r="PO147" s="6"/>
      <c r="PP147" s="6"/>
      <c r="PQ147" s="6"/>
      <c r="PR147" s="6"/>
      <c r="PS147" s="5" t="str">
        <f t="shared" si="572"/>
        <v>NO APLICA</v>
      </c>
      <c r="PT147" s="5"/>
      <c r="PU147" s="4">
        <v>46126</v>
      </c>
      <c r="PV147" s="4">
        <f>DATE(YEAR(PU147)+1,MONTH(PU147),DAY(PU147))</f>
        <v>46491</v>
      </c>
      <c r="PW147" s="8">
        <f ca="1">PV147-TODAY()</f>
        <v>357</v>
      </c>
      <c r="PX147" s="5" t="str">
        <f t="shared" ca="1" si="573"/>
        <v>VIGENTE</v>
      </c>
    </row>
    <row r="148" spans="1:440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485</v>
      </c>
      <c r="V148" s="4">
        <v>45426</v>
      </c>
      <c r="W148" s="4">
        <f t="shared" si="421"/>
        <v>47252</v>
      </c>
      <c r="X148" s="8">
        <f t="shared" ca="1" si="422"/>
        <v>1118</v>
      </c>
      <c r="Y148" s="5" t="str">
        <f t="shared" ca="1" si="423"/>
        <v>VIGENTE</v>
      </c>
      <c r="Z148" s="2" t="s">
        <v>486</v>
      </c>
      <c r="AA148" s="4">
        <v>44824</v>
      </c>
      <c r="AB148" s="4">
        <f t="shared" si="596"/>
        <v>46650</v>
      </c>
      <c r="AC148" s="8">
        <f t="shared" ca="1" si="597"/>
        <v>516</v>
      </c>
      <c r="AD148" s="5" t="str">
        <f t="shared" ca="1" si="582"/>
        <v>VIGENTE</v>
      </c>
      <c r="AE148" s="3"/>
      <c r="AF148" s="4">
        <v>45617</v>
      </c>
      <c r="AG148" s="4">
        <f>DATE(YEAR(AF148)+2,MONTH(AF148),DAY(AF148)-1)</f>
        <v>46346</v>
      </c>
      <c r="AH148" s="8">
        <f t="shared" ca="1" si="470"/>
        <v>212</v>
      </c>
      <c r="AI148" s="5" t="str">
        <f t="shared" ca="1" si="419"/>
        <v>VIGENTE</v>
      </c>
      <c r="AJ148" s="3"/>
      <c r="AK148" s="4">
        <v>45926</v>
      </c>
      <c r="AL148" s="4">
        <f t="shared" si="590"/>
        <v>46656</v>
      </c>
      <c r="AM148" s="8">
        <f t="shared" ca="1" si="471"/>
        <v>522</v>
      </c>
      <c r="AN148" s="5" t="str">
        <f t="shared" ca="1" si="472"/>
        <v>VIGENTE</v>
      </c>
      <c r="AO148" s="3"/>
      <c r="AP148" s="4">
        <v>45887</v>
      </c>
      <c r="AQ148" s="4">
        <f t="shared" si="586"/>
        <v>46617</v>
      </c>
      <c r="AR148" s="8">
        <f t="shared" ca="1" si="473"/>
        <v>483</v>
      </c>
      <c r="AS148" s="5" t="str">
        <f t="shared" ca="1" si="474"/>
        <v>VIGENTE</v>
      </c>
      <c r="AT148" s="3"/>
      <c r="AU148" s="4">
        <v>45972</v>
      </c>
      <c r="AV148" s="4">
        <f t="shared" si="587"/>
        <v>46702</v>
      </c>
      <c r="AW148" s="8">
        <f t="shared" ca="1" si="475"/>
        <v>568</v>
      </c>
      <c r="AX148" s="5" t="str">
        <f t="shared" ca="1" si="476"/>
        <v>VIGENTE</v>
      </c>
      <c r="AY148" s="3"/>
      <c r="AZ148" s="4">
        <v>45515</v>
      </c>
      <c r="BA148" s="4">
        <f>DATE(YEAR(AZ148)+2,MONTH(AZ148),DAY(AZ148)-1)</f>
        <v>46244</v>
      </c>
      <c r="BB148" s="8">
        <f t="shared" ca="1" si="477"/>
        <v>110</v>
      </c>
      <c r="BC148" s="5" t="str">
        <f t="shared" ca="1" si="478"/>
        <v>VIGENTE</v>
      </c>
      <c r="BD148" s="3"/>
      <c r="BE148" s="4">
        <v>45968</v>
      </c>
      <c r="BF148" s="4">
        <f>DATE(YEAR(BE148)+2,MONTH(BE148),DAY(BE148))</f>
        <v>46698</v>
      </c>
      <c r="BG148" s="8">
        <f t="shared" ca="1" si="479"/>
        <v>564</v>
      </c>
      <c r="BH148" s="5" t="str">
        <f t="shared" ca="1" si="480"/>
        <v>VIGENTE</v>
      </c>
      <c r="BI148" s="3"/>
      <c r="BJ148" s="4">
        <v>45600</v>
      </c>
      <c r="BK148" s="4">
        <f>DATE(YEAR(BJ148)+2,MONTH(BJ148),DAY(BJ148)-1)</f>
        <v>46329</v>
      </c>
      <c r="BL148" s="8">
        <f t="shared" ca="1" si="481"/>
        <v>195</v>
      </c>
      <c r="BM148" s="5" t="str">
        <f t="shared" ca="1" si="482"/>
        <v>VIGENTE</v>
      </c>
      <c r="BN148" s="3"/>
      <c r="BO148" s="4">
        <v>46069</v>
      </c>
      <c r="BP148" s="4">
        <f t="shared" si="588"/>
        <v>46799</v>
      </c>
      <c r="BQ148" s="8">
        <f t="shared" ca="1" si="483"/>
        <v>665</v>
      </c>
      <c r="BR148" s="5" t="str">
        <f t="shared" ca="1" si="484"/>
        <v>VIGENTE</v>
      </c>
      <c r="BS148" s="3"/>
      <c r="BT148" s="4">
        <v>45455</v>
      </c>
      <c r="BU148" s="4">
        <f>DATE(YEAR(BT148)+2,MONTH(BT148),DAY(BT148)-1)</f>
        <v>46184</v>
      </c>
      <c r="BV148" s="8">
        <f t="shared" ca="1" si="485"/>
        <v>50</v>
      </c>
      <c r="BW148" s="5" t="str">
        <f t="shared" ca="1" si="486"/>
        <v>POR VENCER</v>
      </c>
      <c r="BX148" s="3"/>
      <c r="BY148" s="4">
        <v>45954</v>
      </c>
      <c r="BZ148" s="4">
        <f t="shared" si="592"/>
        <v>46684</v>
      </c>
      <c r="CA148" s="8">
        <f t="shared" ca="1" si="487"/>
        <v>550</v>
      </c>
      <c r="CB148" s="5" t="str">
        <f t="shared" ca="1" si="488"/>
        <v>VIGENTE</v>
      </c>
      <c r="CC148" s="6" t="s">
        <v>73</v>
      </c>
      <c r="CD148" s="4">
        <v>45262</v>
      </c>
      <c r="CE148" s="4">
        <f t="shared" si="428"/>
        <v>46723</v>
      </c>
      <c r="CF148" s="8">
        <f t="shared" ca="1" si="429"/>
        <v>589</v>
      </c>
      <c r="CG148" s="5" t="str">
        <f t="shared" ca="1" si="591"/>
        <v>VIGENTE</v>
      </c>
      <c r="CH148" s="4"/>
      <c r="CI148" s="4">
        <v>45504</v>
      </c>
      <c r="CJ148" s="4">
        <f>DATE(YEAR(CI148)+2,MONTH(CI148),DAY(CI148)-1)</f>
        <v>46233</v>
      </c>
      <c r="CK148" s="8">
        <f t="shared" ca="1" si="489"/>
        <v>99</v>
      </c>
      <c r="CL148" s="5" t="str">
        <f t="shared" ca="1" si="490"/>
        <v>VIGENTE</v>
      </c>
      <c r="CM148" s="3"/>
      <c r="CN148" s="4">
        <v>45517</v>
      </c>
      <c r="CO148" s="4">
        <f>DATE(YEAR(CN148)+2,MONTH(CN148),DAY(CN148)-1)</f>
        <v>46246</v>
      </c>
      <c r="CP148" s="8">
        <f t="shared" ca="1" si="491"/>
        <v>112</v>
      </c>
      <c r="CQ148" s="5" t="str">
        <f t="shared" ca="1" si="492"/>
        <v>VIGENTE</v>
      </c>
      <c r="CR148" s="3"/>
      <c r="CS148" s="4">
        <v>45645</v>
      </c>
      <c r="CT148" s="4">
        <f>DATE(YEAR(CS148)+2,MONTH(CS148),DAY(CS148)-1)</f>
        <v>46374</v>
      </c>
      <c r="CU148" s="8">
        <f t="shared" ca="1" si="493"/>
        <v>240</v>
      </c>
      <c r="CV148" s="5" t="str">
        <f t="shared" ca="1" si="494"/>
        <v>VIGENTE</v>
      </c>
      <c r="CW148" s="3"/>
      <c r="CX148" s="4">
        <v>45661</v>
      </c>
      <c r="CY148" s="4">
        <f>DATE(YEAR(CX148)+2,MONTH(CX148),DAY(CX148)-1)</f>
        <v>46390</v>
      </c>
      <c r="CZ148" s="8">
        <f t="shared" ca="1" si="495"/>
        <v>256</v>
      </c>
      <c r="DA148" s="5" t="str">
        <f t="shared" ca="1" si="496"/>
        <v>VIGENTE</v>
      </c>
      <c r="DB148" s="3"/>
      <c r="DC148" s="4">
        <v>45689</v>
      </c>
      <c r="DD148" s="4">
        <f>DATE(YEAR(DC148)+2,MONTH(DC148),DAY(DC148)-1)</f>
        <v>46418</v>
      </c>
      <c r="DE148" s="8">
        <f t="shared" ca="1" si="497"/>
        <v>284</v>
      </c>
      <c r="DF148" s="5" t="str">
        <f t="shared" ca="1" si="498"/>
        <v>VIGENTE</v>
      </c>
      <c r="DG148" s="3"/>
      <c r="DH148" s="4">
        <v>45696</v>
      </c>
      <c r="DI148" s="4">
        <f>DATE(YEAR(DH148)+2,MONTH(DH148),DAY(DH148)-1)</f>
        <v>46425</v>
      </c>
      <c r="DJ148" s="8">
        <f t="shared" ca="1" si="499"/>
        <v>291</v>
      </c>
      <c r="DK148" s="5" t="str">
        <f t="shared" ca="1" si="500"/>
        <v>VIGENTE</v>
      </c>
      <c r="DL148" s="3"/>
      <c r="DM148" s="4">
        <v>45486</v>
      </c>
      <c r="DN148" s="4">
        <f>DATE(YEAR(DM148)+2,MONTH(DM148),DAY(DM148)-1)</f>
        <v>46215</v>
      </c>
      <c r="DO148" s="8">
        <f t="shared" ca="1" si="501"/>
        <v>81</v>
      </c>
      <c r="DP148" s="5" t="str">
        <f t="shared" ca="1" si="502"/>
        <v>POR VENCER</v>
      </c>
      <c r="DQ148" s="3"/>
      <c r="DR148" s="4">
        <v>45619</v>
      </c>
      <c r="DS148" s="4">
        <f>DATE(YEAR(DR148)+2,MONTH(DR148),DAY(DR148)-1)</f>
        <v>46348</v>
      </c>
      <c r="DT148" s="8">
        <f t="shared" ca="1" si="503"/>
        <v>214</v>
      </c>
      <c r="DU148" s="5" t="str">
        <f t="shared" ca="1" si="504"/>
        <v>VIGENTE</v>
      </c>
      <c r="DV148" s="3"/>
      <c r="DW148" s="4">
        <v>45709</v>
      </c>
      <c r="DX148" s="4">
        <f>DATE(YEAR(DW148)+2,MONTH(DW148),DAY(DW148)-1)</f>
        <v>46438</v>
      </c>
      <c r="DY148" s="8">
        <f t="shared" ca="1" si="505"/>
        <v>304</v>
      </c>
      <c r="DZ148" s="5" t="str">
        <f t="shared" ca="1" si="506"/>
        <v>VIGENTE</v>
      </c>
      <c r="EA148" s="3"/>
      <c r="EB148" s="4">
        <v>45674</v>
      </c>
      <c r="EC148" s="4">
        <f>DATE(YEAR(EB148)+2,MONTH(EB148),DAY(EB148)-1)</f>
        <v>46403</v>
      </c>
      <c r="ED148" s="8">
        <f t="shared" ca="1" si="507"/>
        <v>269</v>
      </c>
      <c r="EE148" s="5" t="str">
        <f t="shared" ca="1" si="508"/>
        <v>VIGENTE</v>
      </c>
      <c r="EF148" s="3"/>
      <c r="EG148" s="3">
        <v>46085</v>
      </c>
      <c r="EH148" s="4">
        <f t="shared" si="575"/>
        <v>46450</v>
      </c>
      <c r="EI148" s="8">
        <f t="shared" ca="1" si="509"/>
        <v>316</v>
      </c>
      <c r="EJ148" s="5" t="str">
        <f t="shared" ca="1" si="510"/>
        <v>VIGENTE</v>
      </c>
      <c r="EK148" s="3"/>
      <c r="EL148" s="4">
        <v>45671</v>
      </c>
      <c r="EM148" s="4">
        <f>DATE(YEAR(EL148)+2,MONTH(EL148),DAY(EL148)-1)</f>
        <v>46400</v>
      </c>
      <c r="EN148" s="8">
        <f t="shared" ca="1" si="511"/>
        <v>266</v>
      </c>
      <c r="EO148" s="5" t="str">
        <f t="shared" ca="1" si="512"/>
        <v>VIGENTE</v>
      </c>
      <c r="EP148" s="3"/>
      <c r="EQ148" s="4">
        <v>45735</v>
      </c>
      <c r="ER148" s="4">
        <f>DATE(YEAR(EQ148)+2,MONTH(EQ148),DAY(EQ148)-1)</f>
        <v>46464</v>
      </c>
      <c r="ES148" s="8">
        <f t="shared" ca="1" si="513"/>
        <v>330</v>
      </c>
      <c r="ET148" s="5" t="str">
        <f t="shared" ca="1" si="514"/>
        <v>VIGENTE</v>
      </c>
      <c r="EU148" s="3"/>
      <c r="EV148" s="4">
        <v>45953</v>
      </c>
      <c r="EW148" s="4">
        <f t="shared" si="593"/>
        <v>46683</v>
      </c>
      <c r="EX148" s="8">
        <f t="shared" ca="1" si="515"/>
        <v>549</v>
      </c>
      <c r="EY148" s="5" t="str">
        <f t="shared" ca="1" si="516"/>
        <v>VIGENTE</v>
      </c>
      <c r="EZ148" s="3"/>
      <c r="FA148" s="4">
        <v>46017</v>
      </c>
      <c r="FB148" s="4">
        <f t="shared" si="594"/>
        <v>46747</v>
      </c>
      <c r="FC148" s="8">
        <f t="shared" ca="1" si="517"/>
        <v>613</v>
      </c>
      <c r="FD148" s="5" t="str">
        <f t="shared" ca="1" si="518"/>
        <v>VIGENTE</v>
      </c>
      <c r="FE148" s="3"/>
      <c r="FF148" s="4">
        <v>45969</v>
      </c>
      <c r="FG148" s="4">
        <f t="shared" si="595"/>
        <v>46699</v>
      </c>
      <c r="FH148" s="8">
        <f t="shared" ca="1" si="519"/>
        <v>565</v>
      </c>
      <c r="FI148" s="5" t="str">
        <f t="shared" ca="1" si="520"/>
        <v>VIGENTE</v>
      </c>
      <c r="FJ148" s="3"/>
      <c r="FK148" s="4">
        <v>45670</v>
      </c>
      <c r="FL148" s="4">
        <f>DATE(YEAR(FK148)+2,MONTH(FK148),DAY(FK148)-1)</f>
        <v>46399</v>
      </c>
      <c r="FM148" s="8">
        <f t="shared" ca="1" si="521"/>
        <v>265</v>
      </c>
      <c r="FN148" s="5" t="str">
        <f t="shared" ca="1" si="522"/>
        <v>VIGENTE</v>
      </c>
      <c r="FO148" s="3"/>
      <c r="FP148" s="4">
        <v>45724</v>
      </c>
      <c r="FQ148" s="4">
        <f>DATE(YEAR(FP148)+2,MONTH(FP148),DAY(FP148)-1)</f>
        <v>46453</v>
      </c>
      <c r="FR148" s="8">
        <f t="shared" ca="1" si="523"/>
        <v>319</v>
      </c>
      <c r="FS148" s="5" t="str">
        <f t="shared" ca="1" si="524"/>
        <v>VIGENTE</v>
      </c>
      <c r="FT148" s="4"/>
      <c r="FU148" s="4">
        <v>45616</v>
      </c>
      <c r="FV148" s="4">
        <f>DATE(YEAR(FU148)+2,MONTH(FU148),DAY(FU148)-1)</f>
        <v>46345</v>
      </c>
      <c r="FW148" s="8">
        <f t="shared" ca="1" si="525"/>
        <v>211</v>
      </c>
      <c r="FX148" s="5" t="str">
        <f t="shared" ca="1" si="526"/>
        <v>VIGENTE</v>
      </c>
      <c r="FY148" s="3"/>
      <c r="FZ148" s="4">
        <v>45667</v>
      </c>
      <c r="GA148" s="4">
        <f>DATE(YEAR(FZ148)+2,MONTH(FZ148),DAY(FZ148)-1)</f>
        <v>46396</v>
      </c>
      <c r="GB148" s="8">
        <f t="shared" ca="1" si="527"/>
        <v>262</v>
      </c>
      <c r="GC148" s="5" t="str">
        <f t="shared" ca="1" si="528"/>
        <v>VIGENTE</v>
      </c>
      <c r="GD148" s="3"/>
      <c r="GE148" s="4">
        <v>45672</v>
      </c>
      <c r="GF148" s="4">
        <f>DATE(YEAR(GE148)+2,MONTH(GE148),DAY(GE148)-1)</f>
        <v>46401</v>
      </c>
      <c r="GG148" s="8">
        <f t="shared" ca="1" si="529"/>
        <v>267</v>
      </c>
      <c r="GH148" s="5" t="str">
        <f t="shared" ca="1" si="530"/>
        <v>VIGENTE</v>
      </c>
      <c r="GI148" s="3"/>
      <c r="GJ148" s="4">
        <v>45958</v>
      </c>
      <c r="GK148" s="4">
        <f t="shared" si="589"/>
        <v>46688</v>
      </c>
      <c r="GL148" s="8">
        <f t="shared" ca="1" si="531"/>
        <v>554</v>
      </c>
      <c r="GM148" s="5" t="str">
        <f t="shared" ca="1" si="532"/>
        <v>VIGENTE</v>
      </c>
      <c r="GN148" s="4"/>
      <c r="GO148" s="4">
        <v>44952</v>
      </c>
      <c r="GP148" s="4">
        <f t="shared" si="533"/>
        <v>46778</v>
      </c>
      <c r="GQ148" s="8">
        <f t="shared" ca="1" si="418"/>
        <v>644</v>
      </c>
      <c r="GR148" s="5" t="str">
        <f t="shared" ca="1" si="431"/>
        <v>VIGENTE</v>
      </c>
      <c r="GS148" s="3"/>
      <c r="GT148" s="4">
        <v>44979</v>
      </c>
      <c r="GU148" s="4">
        <f t="shared" si="534"/>
        <v>46805</v>
      </c>
      <c r="GV148" s="8">
        <f t="shared" ca="1" si="535"/>
        <v>671</v>
      </c>
      <c r="GW148" s="5" t="str">
        <f t="shared" ca="1" si="438"/>
        <v>VIGENTE</v>
      </c>
      <c r="GX148" s="3"/>
      <c r="GY148" s="4">
        <v>45499</v>
      </c>
      <c r="GZ148" s="4">
        <f t="shared" si="536"/>
        <v>47325</v>
      </c>
      <c r="HA148" s="8">
        <f t="shared" ca="1" si="537"/>
        <v>1191</v>
      </c>
      <c r="HB148" s="5" t="str">
        <f t="shared" ca="1" si="433"/>
        <v>VIGENTE</v>
      </c>
      <c r="HC148" s="6"/>
      <c r="HD148" s="4">
        <v>44879</v>
      </c>
      <c r="HE148" s="4">
        <f t="shared" si="598"/>
        <v>46705</v>
      </c>
      <c r="HF148" s="8">
        <f t="shared" ca="1" si="599"/>
        <v>571</v>
      </c>
      <c r="HG148" s="5" t="str">
        <f t="shared" ca="1" si="439"/>
        <v>VIGENTE</v>
      </c>
      <c r="HH148" s="2"/>
      <c r="HI148" s="6"/>
      <c r="HJ148" s="4"/>
      <c r="HK148" s="8"/>
      <c r="HL148" s="5" t="str">
        <f t="shared" si="457"/>
        <v>NO APLICA</v>
      </c>
      <c r="HM148" s="2"/>
      <c r="HN148" s="2"/>
      <c r="HO148" s="4"/>
      <c r="HP148" s="2"/>
      <c r="HQ148" s="5" t="str">
        <f t="shared" si="538"/>
        <v>NO APLICA</v>
      </c>
      <c r="HR148" s="2"/>
      <c r="HS148" s="4">
        <v>44923</v>
      </c>
      <c r="HT148" s="4">
        <f>DATE(YEAR(HS148)+5,MONTH(HS148),DAY(HS148))</f>
        <v>46749</v>
      </c>
      <c r="HU148" s="8">
        <f ca="1">HT148-TODAY()</f>
        <v>615</v>
      </c>
      <c r="HV148" s="5" t="str">
        <f t="shared" ca="1" si="539"/>
        <v>VIGENTE</v>
      </c>
      <c r="HW148" s="2"/>
      <c r="HX148" s="4">
        <v>44928</v>
      </c>
      <c r="HY148" s="4">
        <f>DATE(YEAR(HX148)+5,MONTH(HX148),DAY(HX148))</f>
        <v>46754</v>
      </c>
      <c r="HZ148" s="8">
        <f ca="1">HY148-TODAY()</f>
        <v>620</v>
      </c>
      <c r="IA148" s="5" t="str">
        <f t="shared" ca="1" si="540"/>
        <v>VIGENTE</v>
      </c>
      <c r="IB148" s="2"/>
      <c r="IC148" s="4">
        <v>44922</v>
      </c>
      <c r="ID148" s="4">
        <f>DATE(YEAR(IC148)+5,MONTH(IC148),DAY(IC148))</f>
        <v>46748</v>
      </c>
      <c r="IE148" s="8">
        <f ca="1">ID148-TODAY()</f>
        <v>614</v>
      </c>
      <c r="IF148" s="5" t="str">
        <f t="shared" ca="1" si="541"/>
        <v>VIGENTE</v>
      </c>
      <c r="IG148" s="6"/>
      <c r="IH148" s="4">
        <v>45058</v>
      </c>
      <c r="II148" s="4">
        <f>DATE(YEAR(IH148)+5,MONTH(IH148),DAY(IH148))</f>
        <v>46885</v>
      </c>
      <c r="IJ148" s="8">
        <f ca="1">II148-TODAY()</f>
        <v>751</v>
      </c>
      <c r="IK148" s="5" t="str">
        <f t="shared" ca="1" si="542"/>
        <v>VIGENTE</v>
      </c>
      <c r="IL148" s="2"/>
      <c r="IM148" s="4">
        <v>45064</v>
      </c>
      <c r="IN148" s="4">
        <f>DATE(YEAR(IM148)+5,MONTH(IM148),DAY(IM148))</f>
        <v>46891</v>
      </c>
      <c r="IO148" s="8">
        <f ca="1">IN148-TODAY()</f>
        <v>757</v>
      </c>
      <c r="IP148" s="5" t="str">
        <f t="shared" ca="1" si="543"/>
        <v>VIGENTE</v>
      </c>
      <c r="IQ148" s="2"/>
      <c r="IR148" s="4">
        <v>45062</v>
      </c>
      <c r="IS148" s="4">
        <f>DATE(YEAR(IR148)+5,MONTH(IR148),DAY(IR148))</f>
        <v>46889</v>
      </c>
      <c r="IT148" s="8">
        <f ca="1">IS148-TODAY()</f>
        <v>755</v>
      </c>
      <c r="IU148" s="5" t="str">
        <f t="shared" ca="1" si="544"/>
        <v>VIGENTE</v>
      </c>
      <c r="IV148" s="2"/>
      <c r="IW148" s="4">
        <v>44916</v>
      </c>
      <c r="IX148" s="4">
        <f>DATE(YEAR(IW148)+5,MONTH(IW148),DAY(IW148))</f>
        <v>46742</v>
      </c>
      <c r="IY148" s="8">
        <f ca="1">IX148-TODAY()</f>
        <v>608</v>
      </c>
      <c r="IZ148" s="5" t="str">
        <f t="shared" ca="1" si="545"/>
        <v>VIGENTE</v>
      </c>
      <c r="JA148" s="3"/>
      <c r="JB148" s="3"/>
      <c r="JC148" s="4"/>
      <c r="JD148" s="8"/>
      <c r="JE148" s="5" t="str">
        <f t="shared" si="546"/>
        <v>NO APLICA</v>
      </c>
      <c r="JF148" s="6"/>
      <c r="JG148" s="6"/>
      <c r="JH148" s="6"/>
      <c r="JI148" s="6"/>
      <c r="JJ148" s="5" t="str">
        <f t="shared" si="547"/>
        <v>NO APLICA</v>
      </c>
      <c r="JK148" s="6"/>
      <c r="JL148" s="6"/>
      <c r="JM148" s="6"/>
      <c r="JN148" s="6"/>
      <c r="JO148" s="5" t="str">
        <f t="shared" si="548"/>
        <v>NO APLICA</v>
      </c>
      <c r="JP148" s="6"/>
      <c r="JQ148" s="6"/>
      <c r="JR148" s="6"/>
      <c r="JS148" s="6"/>
      <c r="JT148" s="5" t="str">
        <f t="shared" si="549"/>
        <v>NO APLICA</v>
      </c>
      <c r="JU148" s="5"/>
      <c r="JV148" s="5"/>
      <c r="JW148" s="5"/>
      <c r="JX148" s="5"/>
      <c r="JY148" s="5" t="str">
        <f t="shared" si="550"/>
        <v>NO APLICA</v>
      </c>
      <c r="JZ148" s="5"/>
      <c r="KA148" s="2"/>
      <c r="KB148" s="4"/>
      <c r="KC148" s="8"/>
      <c r="KD148" s="5" t="str">
        <f t="shared" si="551"/>
        <v>NO APLICA</v>
      </c>
      <c r="KE148" s="5"/>
      <c r="KF148" s="2"/>
      <c r="KG148" s="4"/>
      <c r="KH148" s="8"/>
      <c r="KI148" s="5" t="str">
        <f t="shared" si="576"/>
        <v>NO APLICA</v>
      </c>
      <c r="KJ148" s="5"/>
      <c r="KK148" s="2"/>
      <c r="KL148" s="4"/>
      <c r="KM148" s="8"/>
      <c r="KN148" s="5" t="str">
        <f t="shared" si="552"/>
        <v>NO APLICA</v>
      </c>
      <c r="KO148" s="5"/>
      <c r="KP148" s="2"/>
      <c r="KQ148" s="4"/>
      <c r="KR148" s="8"/>
      <c r="KS148" s="5" t="str">
        <f t="shared" si="577"/>
        <v>NO APLICA</v>
      </c>
      <c r="KT148" s="2"/>
      <c r="KU148" s="6"/>
      <c r="KV148" s="4"/>
      <c r="KW148" s="8"/>
      <c r="KX148" s="5" t="str">
        <f t="shared" si="583"/>
        <v>NO APLICA</v>
      </c>
      <c r="KY148" s="5"/>
      <c r="KZ148" s="6"/>
      <c r="LA148" s="4"/>
      <c r="LB148" s="8"/>
      <c r="LC148" s="5" t="str">
        <f t="shared" si="578"/>
        <v>NO APLICA</v>
      </c>
      <c r="LD148" s="6"/>
      <c r="LE148" s="4"/>
      <c r="LF148" s="4"/>
      <c r="LG148" s="8"/>
      <c r="LH148" s="5" t="str">
        <f t="shared" si="585"/>
        <v>NO APLICA</v>
      </c>
      <c r="LI148" s="5"/>
      <c r="LJ148" s="5"/>
      <c r="LK148" s="5"/>
      <c r="LL148" s="5"/>
      <c r="LM148" s="5" t="str">
        <f t="shared" si="584"/>
        <v>NO APLICA</v>
      </c>
      <c r="LN148" s="2"/>
      <c r="LO148" s="6"/>
      <c r="LP148" s="4"/>
      <c r="LQ148" s="8"/>
      <c r="LR148" s="5" t="str">
        <f t="shared" si="579"/>
        <v>NO APLICA</v>
      </c>
      <c r="LS148" s="6"/>
      <c r="LT148" s="6"/>
      <c r="LU148" s="4"/>
      <c r="LV148" s="8"/>
      <c r="LW148" s="5" t="str">
        <f t="shared" si="580"/>
        <v>NO APLICA</v>
      </c>
      <c r="LX148" s="6"/>
      <c r="LY148" s="6"/>
      <c r="LZ148" s="4"/>
      <c r="MA148" s="8"/>
      <c r="MB148" s="5" t="str">
        <f t="shared" si="581"/>
        <v>NO APLICA</v>
      </c>
      <c r="MC148" s="2"/>
      <c r="MD148" s="2"/>
      <c r="ME148" s="4"/>
      <c r="MF148" s="8"/>
      <c r="MG148" s="5" t="str">
        <f t="shared" si="554"/>
        <v>NO APLICA</v>
      </c>
      <c r="MH148" s="2"/>
      <c r="MI148" s="2"/>
      <c r="MJ148" s="4"/>
      <c r="MK148" s="8"/>
      <c r="ML148" s="5" t="str">
        <f t="shared" si="555"/>
        <v>NO APLICA</v>
      </c>
      <c r="MM148" s="5"/>
      <c r="MN148" s="2"/>
      <c r="MO148" s="4"/>
      <c r="MP148" s="8"/>
      <c r="MQ148" s="5" t="str">
        <f t="shared" si="556"/>
        <v>NO APLICA</v>
      </c>
      <c r="MR148" s="5"/>
      <c r="MS148" s="2"/>
      <c r="MT148" s="4"/>
      <c r="MU148" s="2"/>
      <c r="MV148" s="5" t="str">
        <f t="shared" si="557"/>
        <v>NO APLICA</v>
      </c>
      <c r="MW148" s="2"/>
      <c r="MX148" s="6"/>
      <c r="MY148" s="4"/>
      <c r="MZ148" s="8"/>
      <c r="NA148" s="5" t="str">
        <f t="shared" si="558"/>
        <v>NO APLICA</v>
      </c>
      <c r="NB148" s="2"/>
      <c r="NC148" s="6"/>
      <c r="ND148" s="4"/>
      <c r="NE148" s="8"/>
      <c r="NF148" s="5" t="str">
        <f t="shared" si="559"/>
        <v>NO APLICA</v>
      </c>
      <c r="NG148" s="2"/>
      <c r="NH148" s="6"/>
      <c r="NI148" s="4"/>
      <c r="NJ148" s="8"/>
      <c r="NK148" s="5" t="str">
        <f t="shared" si="560"/>
        <v>NO APLICA</v>
      </c>
      <c r="NL148" s="2"/>
      <c r="NM148" s="2"/>
      <c r="NN148" s="4"/>
      <c r="NO148" s="2"/>
      <c r="NP148" s="5" t="str">
        <f t="shared" si="561"/>
        <v>NO APLICA</v>
      </c>
      <c r="NQ148" s="2"/>
      <c r="NR148" s="2"/>
      <c r="NS148" s="2"/>
      <c r="NT148" s="2"/>
      <c r="NU148" s="5" t="str">
        <f t="shared" si="562"/>
        <v>NO APLICA</v>
      </c>
      <c r="NV148" s="6"/>
      <c r="NW148" s="6"/>
      <c r="NX148" s="4"/>
      <c r="NY148" s="8"/>
      <c r="NZ148" s="5" t="str">
        <f t="shared" si="563"/>
        <v>NO APLICA</v>
      </c>
      <c r="OA148" s="6"/>
      <c r="OB148" s="6"/>
      <c r="OC148" s="6"/>
      <c r="OD148" s="6"/>
      <c r="OE148" s="5" t="str">
        <f t="shared" si="564"/>
        <v>NO APLICA</v>
      </c>
      <c r="OF148" s="6"/>
      <c r="OG148" s="6"/>
      <c r="OH148" s="4"/>
      <c r="OI148" s="8"/>
      <c r="OJ148" s="5" t="str">
        <f t="shared" si="565"/>
        <v>NO APLICA</v>
      </c>
      <c r="OK148" s="6"/>
      <c r="OL148" s="6"/>
      <c r="OM148" s="6"/>
      <c r="ON148" s="6"/>
      <c r="OO148" s="5" t="str">
        <f t="shared" si="566"/>
        <v>NO APLICA</v>
      </c>
      <c r="OP148" s="6"/>
      <c r="OQ148" s="6"/>
      <c r="OR148" s="6"/>
      <c r="OS148" s="6"/>
      <c r="OT148" s="5" t="str">
        <f t="shared" si="567"/>
        <v>NO APLICA</v>
      </c>
      <c r="OU148" s="6"/>
      <c r="OV148" s="6"/>
      <c r="OW148" s="6"/>
      <c r="OX148" s="6"/>
      <c r="OY148" s="5" t="str">
        <f t="shared" si="568"/>
        <v>NO APLICA</v>
      </c>
      <c r="OZ148" s="6"/>
      <c r="PA148" s="6"/>
      <c r="PB148" s="6"/>
      <c r="PC148" s="6"/>
      <c r="PD148" s="5" t="str">
        <f t="shared" si="569"/>
        <v>NO APLICA</v>
      </c>
      <c r="PE148" s="6"/>
      <c r="PF148" s="6"/>
      <c r="PG148" s="6"/>
      <c r="PH148" s="6"/>
      <c r="PI148" s="5" t="str">
        <f t="shared" si="570"/>
        <v>NO APLICA</v>
      </c>
      <c r="PJ148" s="5"/>
      <c r="PK148" s="6"/>
      <c r="PL148" s="4"/>
      <c r="PM148" s="8"/>
      <c r="PN148" s="5" t="str">
        <f t="shared" si="571"/>
        <v>NO APLICA</v>
      </c>
      <c r="PO148" s="6"/>
      <c r="PP148" s="6"/>
      <c r="PQ148" s="6"/>
      <c r="PR148" s="6"/>
      <c r="PS148" s="5" t="str">
        <f t="shared" si="572"/>
        <v>NO APLICA</v>
      </c>
      <c r="PT148" s="5"/>
      <c r="PU148" s="6"/>
      <c r="PV148" s="6"/>
      <c r="PW148" s="6"/>
      <c r="PX148" s="5" t="str">
        <f t="shared" si="573"/>
        <v>NO APLICA</v>
      </c>
    </row>
    <row r="149" spans="1:440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488</v>
      </c>
      <c r="V149" s="4">
        <v>44801</v>
      </c>
      <c r="W149" s="4">
        <f t="shared" si="421"/>
        <v>46627</v>
      </c>
      <c r="X149" s="8">
        <f t="shared" ca="1" si="422"/>
        <v>493</v>
      </c>
      <c r="Y149" s="5" t="str">
        <f t="shared" ca="1" si="423"/>
        <v>VIGENTE</v>
      </c>
      <c r="Z149" s="2" t="s">
        <v>489</v>
      </c>
      <c r="AA149" s="4">
        <v>44831</v>
      </c>
      <c r="AB149" s="4">
        <f t="shared" si="596"/>
        <v>46657</v>
      </c>
      <c r="AC149" s="8">
        <f t="shared" ca="1" si="597"/>
        <v>523</v>
      </c>
      <c r="AD149" s="5" t="str">
        <f t="shared" ca="1" si="582"/>
        <v>VIGENTE</v>
      </c>
      <c r="AE149" s="3"/>
      <c r="AF149" s="4">
        <v>45594</v>
      </c>
      <c r="AG149" s="4">
        <f>DATE(YEAR(AF149)+2,MONTH(AF149),DAY(AF149)-1)</f>
        <v>46323</v>
      </c>
      <c r="AH149" s="8">
        <f t="shared" ca="1" si="470"/>
        <v>189</v>
      </c>
      <c r="AI149" s="5" t="str">
        <f t="shared" ca="1" si="419"/>
        <v>VIGENTE</v>
      </c>
      <c r="AJ149" s="3"/>
      <c r="AK149" s="4">
        <v>45937</v>
      </c>
      <c r="AL149" s="4">
        <f t="shared" si="590"/>
        <v>46667</v>
      </c>
      <c r="AM149" s="8">
        <f t="shared" ca="1" si="471"/>
        <v>533</v>
      </c>
      <c r="AN149" s="5" t="str">
        <f t="shared" ca="1" si="472"/>
        <v>VIGENTE</v>
      </c>
      <c r="AO149" s="3"/>
      <c r="AP149" s="4">
        <v>45967</v>
      </c>
      <c r="AQ149" s="4">
        <f t="shared" si="586"/>
        <v>46697</v>
      </c>
      <c r="AR149" s="8">
        <f t="shared" ca="1" si="473"/>
        <v>563</v>
      </c>
      <c r="AS149" s="5" t="str">
        <f t="shared" ca="1" si="474"/>
        <v>VIGENTE</v>
      </c>
      <c r="AT149" s="3"/>
      <c r="AU149" s="4">
        <v>45952</v>
      </c>
      <c r="AV149" s="4">
        <f t="shared" si="587"/>
        <v>46682</v>
      </c>
      <c r="AW149" s="8">
        <f t="shared" ca="1" si="475"/>
        <v>548</v>
      </c>
      <c r="AX149" s="5" t="str">
        <f t="shared" ca="1" si="476"/>
        <v>VIGENTE</v>
      </c>
      <c r="AY149" s="3"/>
      <c r="AZ149" s="4">
        <v>46071</v>
      </c>
      <c r="BA149" s="4">
        <f>DATE(YEAR(AZ149)+2,MONTH(AZ149),DAY(AZ149))</f>
        <v>46801</v>
      </c>
      <c r="BB149" s="8">
        <f t="shared" ca="1" si="477"/>
        <v>667</v>
      </c>
      <c r="BC149" s="5" t="str">
        <f t="shared" ca="1" si="478"/>
        <v>VIGENTE</v>
      </c>
      <c r="BD149" s="3"/>
      <c r="BE149" s="4">
        <v>45968</v>
      </c>
      <c r="BF149" s="4">
        <f>DATE(YEAR(BE149)+2,MONTH(BE149),DAY(BE149))</f>
        <v>46698</v>
      </c>
      <c r="BG149" s="8">
        <f t="shared" ca="1" si="479"/>
        <v>564</v>
      </c>
      <c r="BH149" s="5" t="str">
        <f t="shared" ca="1" si="480"/>
        <v>VIGENTE</v>
      </c>
      <c r="BI149" s="3"/>
      <c r="BJ149" s="4">
        <v>46090</v>
      </c>
      <c r="BK149" s="4">
        <f>DATE(YEAR(BJ149)+2,MONTH(BJ149),DAY(BJ149))</f>
        <v>46821</v>
      </c>
      <c r="BL149" s="8">
        <f t="shared" ca="1" si="481"/>
        <v>687</v>
      </c>
      <c r="BM149" s="5" t="str">
        <f t="shared" ca="1" si="482"/>
        <v>VIGENTE</v>
      </c>
      <c r="BN149" s="3"/>
      <c r="BO149" s="4">
        <v>46069</v>
      </c>
      <c r="BP149" s="4">
        <f t="shared" si="588"/>
        <v>46799</v>
      </c>
      <c r="BQ149" s="8">
        <f t="shared" ca="1" si="483"/>
        <v>665</v>
      </c>
      <c r="BR149" s="5" t="str">
        <f t="shared" ca="1" si="484"/>
        <v>VIGENTE</v>
      </c>
      <c r="BS149" s="3"/>
      <c r="BT149" s="4">
        <v>45950</v>
      </c>
      <c r="BU149" s="4">
        <f>DATE(YEAR(BT149)+2,MONTH(BT149),DAY(BT149))</f>
        <v>46680</v>
      </c>
      <c r="BV149" s="8">
        <f t="shared" ca="1" si="485"/>
        <v>546</v>
      </c>
      <c r="BW149" s="5" t="str">
        <f t="shared" ca="1" si="486"/>
        <v>VIGENTE</v>
      </c>
      <c r="BX149" s="3"/>
      <c r="BY149" s="4">
        <v>45954</v>
      </c>
      <c r="BZ149" s="4">
        <f t="shared" si="592"/>
        <v>46684</v>
      </c>
      <c r="CA149" s="8">
        <f t="shared" ca="1" si="487"/>
        <v>550</v>
      </c>
      <c r="CB149" s="5" t="str">
        <f t="shared" ca="1" si="488"/>
        <v>VIGENTE</v>
      </c>
      <c r="CC149" s="6" t="s">
        <v>73</v>
      </c>
      <c r="CD149" s="4">
        <v>45227</v>
      </c>
      <c r="CE149" s="4">
        <f t="shared" si="428"/>
        <v>46688</v>
      </c>
      <c r="CF149" s="8">
        <f t="shared" ca="1" si="429"/>
        <v>554</v>
      </c>
      <c r="CG149" s="5" t="str">
        <f t="shared" ca="1" si="591"/>
        <v>VIGENTE</v>
      </c>
      <c r="CH149" s="4"/>
      <c r="CI149" s="4">
        <v>45526</v>
      </c>
      <c r="CJ149" s="4">
        <f>DATE(YEAR(CI149)+2,MONTH(CI149),DAY(CI149)-1)</f>
        <v>46255</v>
      </c>
      <c r="CK149" s="8">
        <f t="shared" ca="1" si="489"/>
        <v>121</v>
      </c>
      <c r="CL149" s="5" t="str">
        <f t="shared" ca="1" si="490"/>
        <v>VIGENTE</v>
      </c>
      <c r="CM149" s="3"/>
      <c r="CN149" s="4">
        <v>45513</v>
      </c>
      <c r="CO149" s="4">
        <f>DATE(YEAR(CN149)+2,MONTH(CN149),DAY(CN149)-1)</f>
        <v>46242</v>
      </c>
      <c r="CP149" s="8">
        <f t="shared" ca="1" si="491"/>
        <v>108</v>
      </c>
      <c r="CQ149" s="5" t="str">
        <f t="shared" ca="1" si="492"/>
        <v>VIGENTE</v>
      </c>
      <c r="CR149" s="3"/>
      <c r="CS149" s="4">
        <v>45639</v>
      </c>
      <c r="CT149" s="4">
        <f>DATE(YEAR(CS149)+2,MONTH(CS149),DAY(CS149)-1)</f>
        <v>46368</v>
      </c>
      <c r="CU149" s="8">
        <f t="shared" ca="1" si="493"/>
        <v>234</v>
      </c>
      <c r="CV149" s="5" t="str">
        <f t="shared" ca="1" si="494"/>
        <v>VIGENTE</v>
      </c>
      <c r="CW149" s="3"/>
      <c r="CX149" s="4">
        <v>45665</v>
      </c>
      <c r="CY149" s="4">
        <f>DATE(YEAR(CX149)+2,MONTH(CX149),DAY(CX149)-1)</f>
        <v>46394</v>
      </c>
      <c r="CZ149" s="8">
        <f t="shared" ca="1" si="495"/>
        <v>260</v>
      </c>
      <c r="DA149" s="5" t="str">
        <f t="shared" ca="1" si="496"/>
        <v>VIGENTE</v>
      </c>
      <c r="DB149" s="3"/>
      <c r="DC149" s="4">
        <v>45689</v>
      </c>
      <c r="DD149" s="4">
        <f>DATE(YEAR(DC149)+2,MONTH(DC149),DAY(DC149)-1)</f>
        <v>46418</v>
      </c>
      <c r="DE149" s="8">
        <f t="shared" ca="1" si="497"/>
        <v>284</v>
      </c>
      <c r="DF149" s="5" t="str">
        <f t="shared" ca="1" si="498"/>
        <v>VIGENTE</v>
      </c>
      <c r="DG149" s="3"/>
      <c r="DH149" s="4">
        <v>45955</v>
      </c>
      <c r="DI149" s="4">
        <f>DATE(YEAR(DH149)+2,MONTH(DH149),DAY(DH149))</f>
        <v>46685</v>
      </c>
      <c r="DJ149" s="8">
        <f t="shared" ca="1" si="499"/>
        <v>551</v>
      </c>
      <c r="DK149" s="5" t="str">
        <f t="shared" ca="1" si="500"/>
        <v>VIGENTE</v>
      </c>
      <c r="DL149" s="3"/>
      <c r="DM149" s="4">
        <v>46008</v>
      </c>
      <c r="DN149" s="4">
        <f>DATE(YEAR(DM149)+2,MONTH(DM149),DAY(DM149))</f>
        <v>46738</v>
      </c>
      <c r="DO149" s="8">
        <f t="shared" ca="1" si="501"/>
        <v>604</v>
      </c>
      <c r="DP149" s="5" t="str">
        <f t="shared" ca="1" si="502"/>
        <v>VIGENTE</v>
      </c>
      <c r="DQ149" s="3"/>
      <c r="DR149" s="4">
        <v>46072</v>
      </c>
      <c r="DS149" s="4">
        <f>DATE(YEAR(DR149)+2,MONTH(DR149),DAY(DR149))</f>
        <v>46802</v>
      </c>
      <c r="DT149" s="8">
        <f t="shared" ca="1" si="503"/>
        <v>668</v>
      </c>
      <c r="DU149" s="5" t="str">
        <f t="shared" ca="1" si="504"/>
        <v>VIGENTE</v>
      </c>
      <c r="DV149" s="3"/>
      <c r="DW149" s="4">
        <v>46099</v>
      </c>
      <c r="DX149" s="4">
        <f>DATE(YEAR(DW149)+2,MONTH(DW149),DAY(DW149))</f>
        <v>46830</v>
      </c>
      <c r="DY149" s="8">
        <f t="shared" ca="1" si="505"/>
        <v>696</v>
      </c>
      <c r="DZ149" s="5" t="str">
        <f t="shared" ca="1" si="506"/>
        <v>VIGENTE</v>
      </c>
      <c r="EA149" s="3"/>
      <c r="EB149" s="4">
        <v>45994</v>
      </c>
      <c r="EC149" s="4">
        <f>DATE(YEAR(EB149)+2,MONTH(EB149),DAY(EB149))</f>
        <v>46724</v>
      </c>
      <c r="ED149" s="8">
        <f t="shared" ca="1" si="507"/>
        <v>590</v>
      </c>
      <c r="EE149" s="5" t="str">
        <f t="shared" ca="1" si="508"/>
        <v>VIGENTE</v>
      </c>
      <c r="EF149" s="3"/>
      <c r="EG149" s="3">
        <v>46015</v>
      </c>
      <c r="EH149" s="4">
        <f t="shared" si="575"/>
        <v>46380</v>
      </c>
      <c r="EI149" s="8">
        <f t="shared" ca="1" si="509"/>
        <v>246</v>
      </c>
      <c r="EJ149" s="5" t="str">
        <f t="shared" ca="1" si="510"/>
        <v>VIGENTE</v>
      </c>
      <c r="EK149" s="3"/>
      <c r="EL149" s="4">
        <v>46100</v>
      </c>
      <c r="EM149" s="4">
        <f>DATE(YEAR(EL149)+2,MONTH(EL149),DAY(EL149))</f>
        <v>46831</v>
      </c>
      <c r="EN149" s="8">
        <f t="shared" ca="1" si="511"/>
        <v>697</v>
      </c>
      <c r="EO149" s="5" t="str">
        <f t="shared" ca="1" si="512"/>
        <v>VIGENTE</v>
      </c>
      <c r="EP149" s="3"/>
      <c r="EQ149" s="4">
        <v>46094</v>
      </c>
      <c r="ER149" s="4">
        <f>DATE(YEAR(EQ149)+2,MONTH(EQ149),DAY(EQ149))</f>
        <v>46825</v>
      </c>
      <c r="ES149" s="8">
        <f t="shared" ca="1" si="513"/>
        <v>691</v>
      </c>
      <c r="ET149" s="5" t="str">
        <f t="shared" ca="1" si="514"/>
        <v>VIGENTE</v>
      </c>
      <c r="EU149" s="3"/>
      <c r="EV149" s="4">
        <v>45953</v>
      </c>
      <c r="EW149" s="4">
        <f t="shared" si="593"/>
        <v>46683</v>
      </c>
      <c r="EX149" s="8">
        <f t="shared" ca="1" si="515"/>
        <v>549</v>
      </c>
      <c r="EY149" s="5" t="str">
        <f t="shared" ca="1" si="516"/>
        <v>VIGENTE</v>
      </c>
      <c r="EZ149" s="3"/>
      <c r="FA149" s="4">
        <v>45951</v>
      </c>
      <c r="FB149" s="4">
        <f t="shared" si="594"/>
        <v>46681</v>
      </c>
      <c r="FC149" s="8">
        <f t="shared" ca="1" si="517"/>
        <v>547</v>
      </c>
      <c r="FD149" s="5" t="str">
        <f t="shared" ca="1" si="518"/>
        <v>VIGENTE</v>
      </c>
      <c r="FE149" s="3"/>
      <c r="FF149" s="4">
        <v>45992</v>
      </c>
      <c r="FG149" s="4">
        <f t="shared" si="595"/>
        <v>46722</v>
      </c>
      <c r="FH149" s="8">
        <f t="shared" ca="1" si="519"/>
        <v>588</v>
      </c>
      <c r="FI149" s="5" t="str">
        <f t="shared" ca="1" si="520"/>
        <v>VIGENTE</v>
      </c>
      <c r="FJ149" s="3"/>
      <c r="FK149" s="4">
        <v>46039</v>
      </c>
      <c r="FL149" s="4">
        <f>DATE(YEAR(FK149)+2,MONTH(FK149),DAY(FK149))</f>
        <v>46769</v>
      </c>
      <c r="FM149" s="8">
        <f t="shared" ca="1" si="521"/>
        <v>635</v>
      </c>
      <c r="FN149" s="5" t="str">
        <f t="shared" ca="1" si="522"/>
        <v>VIGENTE</v>
      </c>
      <c r="FO149" s="3"/>
      <c r="FP149" s="4">
        <v>46077</v>
      </c>
      <c r="FQ149" s="4">
        <f>DATE(YEAR(FP149)+2,MONTH(FP149),DAY(FP149))</f>
        <v>46807</v>
      </c>
      <c r="FR149" s="8">
        <f t="shared" ca="1" si="523"/>
        <v>673</v>
      </c>
      <c r="FS149" s="5" t="str">
        <f t="shared" ca="1" si="524"/>
        <v>VIGENTE</v>
      </c>
      <c r="FT149" s="3"/>
      <c r="FU149" s="4">
        <v>45541</v>
      </c>
      <c r="FV149" s="4">
        <f>DATE(YEAR(FU149)+2,MONTH(FU149),DAY(FU149)-1)</f>
        <v>46270</v>
      </c>
      <c r="FW149" s="8">
        <f t="shared" ca="1" si="525"/>
        <v>136</v>
      </c>
      <c r="FX149" s="5" t="str">
        <f t="shared" ca="1" si="526"/>
        <v>VIGENTE</v>
      </c>
      <c r="FY149" s="3"/>
      <c r="FZ149" s="4">
        <v>46030</v>
      </c>
      <c r="GA149" s="4">
        <f>DATE(YEAR(FZ149)+2,MONTH(FZ149),DAY(FZ149))</f>
        <v>46760</v>
      </c>
      <c r="GB149" s="8">
        <f t="shared" ca="1" si="527"/>
        <v>626</v>
      </c>
      <c r="GC149" s="5" t="str">
        <f t="shared" ca="1" si="528"/>
        <v>VIGENTE</v>
      </c>
      <c r="GD149" s="3"/>
      <c r="GE149" s="4">
        <v>45849</v>
      </c>
      <c r="GF149" s="4">
        <f>DATE(YEAR(GE149)+2,MONTH(GE149),DAY(GE149))</f>
        <v>46579</v>
      </c>
      <c r="GG149" s="8">
        <f t="shared" ca="1" si="529"/>
        <v>445</v>
      </c>
      <c r="GH149" s="5" t="str">
        <f t="shared" ca="1" si="530"/>
        <v>VIGENTE</v>
      </c>
      <c r="GI149" s="3"/>
      <c r="GJ149" s="4">
        <v>45945</v>
      </c>
      <c r="GK149" s="4">
        <f t="shared" si="589"/>
        <v>46675</v>
      </c>
      <c r="GL149" s="8">
        <f t="shared" ca="1" si="531"/>
        <v>541</v>
      </c>
      <c r="GM149" s="5" t="str">
        <f t="shared" ca="1" si="532"/>
        <v>VIGENTE</v>
      </c>
      <c r="GN149" s="4"/>
      <c r="GO149" s="4">
        <v>45421</v>
      </c>
      <c r="GP149" s="4">
        <f t="shared" si="533"/>
        <v>47247</v>
      </c>
      <c r="GQ149" s="8">
        <f t="shared" ca="1" si="418"/>
        <v>1113</v>
      </c>
      <c r="GR149" s="5" t="str">
        <f t="shared" ca="1" si="431"/>
        <v>VIGENTE</v>
      </c>
      <c r="GS149" s="3"/>
      <c r="GT149" s="4">
        <v>45200</v>
      </c>
      <c r="GU149" s="4">
        <f t="shared" si="534"/>
        <v>47027</v>
      </c>
      <c r="GV149" s="8">
        <f t="shared" ca="1" si="535"/>
        <v>893</v>
      </c>
      <c r="GW149" s="5" t="str">
        <f t="shared" ca="1" si="438"/>
        <v>VIGENTE</v>
      </c>
      <c r="GX149" s="3"/>
      <c r="GY149" s="4">
        <v>45294</v>
      </c>
      <c r="GZ149" s="4">
        <f t="shared" si="536"/>
        <v>47121</v>
      </c>
      <c r="HA149" s="8">
        <f t="shared" ca="1" si="537"/>
        <v>987</v>
      </c>
      <c r="HB149" s="5" t="str">
        <f t="shared" ca="1" si="433"/>
        <v>VIGENTE</v>
      </c>
      <c r="HC149" s="6"/>
      <c r="HD149" s="4">
        <v>45196</v>
      </c>
      <c r="HE149" s="4">
        <f t="shared" si="598"/>
        <v>47023</v>
      </c>
      <c r="HF149" s="8">
        <f t="shared" ca="1" si="599"/>
        <v>889</v>
      </c>
      <c r="HG149" s="5" t="str">
        <f t="shared" ca="1" si="439"/>
        <v>VIGENTE</v>
      </c>
      <c r="HH149" s="2"/>
      <c r="HI149" s="6"/>
      <c r="HJ149" s="4"/>
      <c r="HK149" s="8"/>
      <c r="HL149" s="5" t="str">
        <f t="shared" si="457"/>
        <v>NO APLICA</v>
      </c>
      <c r="HM149" s="2"/>
      <c r="HN149" s="2"/>
      <c r="HO149" s="4"/>
      <c r="HP149" s="2"/>
      <c r="HQ149" s="5" t="str">
        <f t="shared" si="538"/>
        <v>NO APLICA</v>
      </c>
      <c r="HR149" s="3"/>
      <c r="HS149" s="4">
        <v>45420</v>
      </c>
      <c r="HT149" s="4">
        <f>DATE(YEAR(HS149)+5,MONTH(HS149),DAY(HS149))</f>
        <v>47246</v>
      </c>
      <c r="HU149" s="8">
        <f ca="1">HT149-TODAY()</f>
        <v>1112</v>
      </c>
      <c r="HV149" s="5" t="str">
        <f t="shared" ca="1" si="539"/>
        <v>VIGENTE</v>
      </c>
      <c r="HW149" s="3"/>
      <c r="HX149" s="4">
        <v>45486</v>
      </c>
      <c r="HY149" s="4">
        <f>DATE(YEAR(HX149)+5,MONTH(HX149),DAY(HX149))</f>
        <v>47312</v>
      </c>
      <c r="HZ149" s="8">
        <f ca="1">HY149-TODAY()</f>
        <v>1178</v>
      </c>
      <c r="IA149" s="5" t="str">
        <f t="shared" ca="1" si="540"/>
        <v>VIGENTE</v>
      </c>
      <c r="IB149" s="3"/>
      <c r="IC149" s="4">
        <v>45375</v>
      </c>
      <c r="ID149" s="4">
        <f>DATE(YEAR(IC149)+5,MONTH(IC149),DAY(IC149))</f>
        <v>47201</v>
      </c>
      <c r="IE149" s="8">
        <f ca="1">ID149-TODAY()</f>
        <v>1067</v>
      </c>
      <c r="IF149" s="5" t="str">
        <f t="shared" ca="1" si="541"/>
        <v>VIGENTE</v>
      </c>
      <c r="IG149" s="4"/>
      <c r="IH149" s="4">
        <v>45399</v>
      </c>
      <c r="II149" s="4">
        <f>DATE(YEAR(IH149)+5,MONTH(IH149),DAY(IH149))</f>
        <v>47225</v>
      </c>
      <c r="IJ149" s="8">
        <f ca="1">II149-TODAY()</f>
        <v>1091</v>
      </c>
      <c r="IK149" s="5" t="str">
        <f t="shared" ca="1" si="542"/>
        <v>VIGENTE</v>
      </c>
      <c r="IL149" s="3"/>
      <c r="IM149" s="4">
        <v>45386</v>
      </c>
      <c r="IN149" s="4">
        <f>DATE(YEAR(IM149)+5,MONTH(IM149),DAY(IM149))</f>
        <v>47212</v>
      </c>
      <c r="IO149" s="8">
        <f ca="1">IN149-TODAY()</f>
        <v>1078</v>
      </c>
      <c r="IP149" s="5" t="str">
        <f t="shared" ca="1" si="543"/>
        <v>VIGENTE</v>
      </c>
      <c r="IQ149" s="3"/>
      <c r="IR149" s="4">
        <v>45385</v>
      </c>
      <c r="IS149" s="4">
        <f>DATE(YEAR(IR149)+5,MONTH(IR149),DAY(IR149))</f>
        <v>47211</v>
      </c>
      <c r="IT149" s="8">
        <f ca="1">IS149-TODAY()</f>
        <v>1077</v>
      </c>
      <c r="IU149" s="5" t="str">
        <f t="shared" ca="1" si="544"/>
        <v>VIGENTE</v>
      </c>
      <c r="IV149" s="3"/>
      <c r="IW149" s="4">
        <v>45450</v>
      </c>
      <c r="IX149" s="4">
        <f>DATE(YEAR(IW149)+5,MONTH(IW149),DAY(IW149))</f>
        <v>47276</v>
      </c>
      <c r="IY149" s="8">
        <f ca="1">IX149-TODAY()</f>
        <v>1142</v>
      </c>
      <c r="IZ149" s="5" t="str">
        <f t="shared" ca="1" si="545"/>
        <v>VIGENTE</v>
      </c>
      <c r="JA149" s="3"/>
      <c r="JB149" s="3"/>
      <c r="JC149" s="4"/>
      <c r="JD149" s="8"/>
      <c r="JE149" s="5" t="str">
        <f t="shared" si="546"/>
        <v>NO APLICA</v>
      </c>
      <c r="JF149" s="6"/>
      <c r="JG149" s="6"/>
      <c r="JH149" s="6"/>
      <c r="JI149" s="6"/>
      <c r="JJ149" s="5" t="str">
        <f t="shared" si="547"/>
        <v>NO APLICA</v>
      </c>
      <c r="JK149" s="6"/>
      <c r="JL149" s="6"/>
      <c r="JM149" s="6"/>
      <c r="JN149" s="6"/>
      <c r="JO149" s="5" t="str">
        <f t="shared" si="548"/>
        <v>NO APLICA</v>
      </c>
      <c r="JP149" s="6"/>
      <c r="JQ149" s="6"/>
      <c r="JR149" s="6"/>
      <c r="JS149" s="6"/>
      <c r="JT149" s="5" t="str">
        <f t="shared" si="549"/>
        <v>NO APLICA</v>
      </c>
      <c r="JU149" s="5"/>
      <c r="JV149" s="3"/>
      <c r="JW149" s="4"/>
      <c r="JX149" s="8"/>
      <c r="JY149" s="5" t="str">
        <f t="shared" si="550"/>
        <v>NO APLICA</v>
      </c>
      <c r="JZ149" s="5"/>
      <c r="KA149" s="2"/>
      <c r="KB149" s="4"/>
      <c r="KC149" s="8"/>
      <c r="KD149" s="5" t="str">
        <f t="shared" si="551"/>
        <v>NO APLICA</v>
      </c>
      <c r="KE149" s="5"/>
      <c r="KF149" s="2"/>
      <c r="KG149" s="4"/>
      <c r="KH149" s="8"/>
      <c r="KI149" s="5" t="str">
        <f t="shared" si="576"/>
        <v>NO APLICA</v>
      </c>
      <c r="KJ149" s="5"/>
      <c r="KK149" s="2"/>
      <c r="KL149" s="4"/>
      <c r="KM149" s="8"/>
      <c r="KN149" s="5" t="str">
        <f t="shared" si="552"/>
        <v>NO APLICA</v>
      </c>
      <c r="KO149" s="5"/>
      <c r="KP149" s="3">
        <v>45346</v>
      </c>
      <c r="KQ149" s="4">
        <f>DATE(YEAR(KP149)+5,MONTH(KP149),DAY(KP149))</f>
        <v>47173</v>
      </c>
      <c r="KR149" s="8">
        <f ca="1">KQ149-TODAY()</f>
        <v>1039</v>
      </c>
      <c r="KS149" s="5" t="str">
        <f t="shared" ca="1" si="577"/>
        <v>VIGENTE</v>
      </c>
      <c r="KT149" s="3"/>
      <c r="KU149" s="4">
        <v>44651</v>
      </c>
      <c r="KV149" s="4">
        <f>DATE(YEAR(KU149)+5,MONTH(KU149),DAY(KU149))</f>
        <v>46477</v>
      </c>
      <c r="KW149" s="8">
        <f ca="1">KV149-TODAY()</f>
        <v>343</v>
      </c>
      <c r="KX149" s="5" t="str">
        <f t="shared" ca="1" si="583"/>
        <v>VIGENTE</v>
      </c>
      <c r="KY149" s="5"/>
      <c r="KZ149" s="6"/>
      <c r="LA149" s="4"/>
      <c r="LB149" s="8"/>
      <c r="LC149" s="5" t="str">
        <f t="shared" si="578"/>
        <v>NO APLICA</v>
      </c>
      <c r="LD149" s="6"/>
      <c r="LE149" s="4"/>
      <c r="LF149" s="4"/>
      <c r="LG149" s="8"/>
      <c r="LH149" s="5" t="str">
        <f t="shared" si="585"/>
        <v>NO APLICA</v>
      </c>
      <c r="LI149" s="5"/>
      <c r="LJ149" s="5"/>
      <c r="LK149" s="4"/>
      <c r="LL149" s="8"/>
      <c r="LM149" s="5" t="str">
        <f t="shared" si="584"/>
        <v>NO APLICA</v>
      </c>
      <c r="LN149" s="2"/>
      <c r="LO149" s="6"/>
      <c r="LP149" s="4"/>
      <c r="LQ149" s="8"/>
      <c r="LR149" s="5" t="str">
        <f t="shared" si="579"/>
        <v>NO APLICA</v>
      </c>
      <c r="LS149" s="6"/>
      <c r="LT149" s="6"/>
      <c r="LU149" s="4"/>
      <c r="LV149" s="8"/>
      <c r="LW149" s="5" t="str">
        <f t="shared" si="580"/>
        <v>NO APLICA</v>
      </c>
      <c r="LX149" s="6"/>
      <c r="LY149" s="6"/>
      <c r="LZ149" s="4"/>
      <c r="MA149" s="8"/>
      <c r="MB149" s="5" t="str">
        <f t="shared" si="581"/>
        <v>NO APLICA</v>
      </c>
      <c r="MC149" s="2"/>
      <c r="MD149" s="2"/>
      <c r="ME149" s="4"/>
      <c r="MF149" s="8"/>
      <c r="MG149" s="5" t="str">
        <f t="shared" si="554"/>
        <v>NO APLICA</v>
      </c>
      <c r="MH149" s="2"/>
      <c r="MI149" s="2"/>
      <c r="MJ149" s="4"/>
      <c r="MK149" s="8"/>
      <c r="ML149" s="5" t="str">
        <f t="shared" si="555"/>
        <v>NO APLICA</v>
      </c>
      <c r="MM149" s="5"/>
      <c r="MN149" s="3">
        <v>45154</v>
      </c>
      <c r="MO149" s="4">
        <f>DATE(YEAR(MN149)+5,MONTH(MN149),DAY(MN149))</f>
        <v>46981</v>
      </c>
      <c r="MP149" s="8">
        <f ca="1">MO149-TODAY()</f>
        <v>847</v>
      </c>
      <c r="MQ149" s="5" t="str">
        <f t="shared" ca="1" si="556"/>
        <v>VIGENTE</v>
      </c>
      <c r="MR149" s="5"/>
      <c r="MS149" s="3">
        <v>45155</v>
      </c>
      <c r="MT149" s="4">
        <f>DATE(YEAR(MS149)+5,MONTH(MS149),DAY(MS149))</f>
        <v>46982</v>
      </c>
      <c r="MU149" s="8">
        <f ca="1">MT149-TODAY()</f>
        <v>848</v>
      </c>
      <c r="MV149" s="5" t="str">
        <f t="shared" ca="1" si="557"/>
        <v>VIGENTE</v>
      </c>
      <c r="MW149" s="2"/>
      <c r="MX149" s="6"/>
      <c r="MY149" s="4"/>
      <c r="MZ149" s="8"/>
      <c r="NA149" s="5" t="str">
        <f t="shared" si="558"/>
        <v>NO APLICA</v>
      </c>
      <c r="NB149" s="2"/>
      <c r="NC149" s="6"/>
      <c r="ND149" s="4"/>
      <c r="NE149" s="8"/>
      <c r="NF149" s="5" t="str">
        <f t="shared" si="559"/>
        <v>NO APLICA</v>
      </c>
      <c r="NG149" s="2"/>
      <c r="NH149" s="6"/>
      <c r="NI149" s="4"/>
      <c r="NJ149" s="8"/>
      <c r="NK149" s="5" t="str">
        <f t="shared" si="560"/>
        <v>NO APLICA</v>
      </c>
      <c r="NL149" s="2"/>
      <c r="NM149" s="2"/>
      <c r="NN149" s="4"/>
      <c r="NO149" s="8"/>
      <c r="NP149" s="5" t="str">
        <f t="shared" si="561"/>
        <v>NO APLICA</v>
      </c>
      <c r="NQ149" s="2"/>
      <c r="NR149" s="2"/>
      <c r="NS149" s="4"/>
      <c r="NT149" s="2"/>
      <c r="NU149" s="5" t="str">
        <f t="shared" si="562"/>
        <v>NO APLICA</v>
      </c>
      <c r="NV149" s="6"/>
      <c r="NW149" s="6"/>
      <c r="NX149" s="4"/>
      <c r="NY149" s="8"/>
      <c r="NZ149" s="5" t="str">
        <f t="shared" si="563"/>
        <v>NO APLICA</v>
      </c>
      <c r="OA149" s="6"/>
      <c r="OB149" s="6"/>
      <c r="OC149" s="6"/>
      <c r="OD149" s="6"/>
      <c r="OE149" s="5" t="str">
        <f t="shared" si="564"/>
        <v>NO APLICA</v>
      </c>
      <c r="OF149" s="6"/>
      <c r="OG149" s="6"/>
      <c r="OH149" s="4"/>
      <c r="OI149" s="8"/>
      <c r="OJ149" s="5" t="str">
        <f t="shared" si="565"/>
        <v>NO APLICA</v>
      </c>
      <c r="OK149" s="6"/>
      <c r="OL149" s="6"/>
      <c r="OM149" s="6"/>
      <c r="ON149" s="6"/>
      <c r="OO149" s="5" t="str">
        <f t="shared" si="566"/>
        <v>NO APLICA</v>
      </c>
      <c r="OP149" s="6"/>
      <c r="OQ149" s="6"/>
      <c r="OR149" s="6"/>
      <c r="OS149" s="6"/>
      <c r="OT149" s="5" t="str">
        <f t="shared" si="567"/>
        <v>NO APLICA</v>
      </c>
      <c r="OU149" s="6"/>
      <c r="OV149" s="6"/>
      <c r="OW149" s="6"/>
      <c r="OX149" s="6"/>
      <c r="OY149" s="5" t="str">
        <f t="shared" si="568"/>
        <v>NO APLICA</v>
      </c>
      <c r="OZ149" s="6"/>
      <c r="PA149" s="6"/>
      <c r="PB149" s="6"/>
      <c r="PC149" s="6"/>
      <c r="PD149" s="5" t="str">
        <f t="shared" si="569"/>
        <v>NO APLICA</v>
      </c>
      <c r="PE149" s="6"/>
      <c r="PF149" s="6"/>
      <c r="PG149" s="6"/>
      <c r="PH149" s="6"/>
      <c r="PI149" s="5" t="str">
        <f t="shared" si="570"/>
        <v>NO APLICA</v>
      </c>
      <c r="PJ149" s="5"/>
      <c r="PK149" s="6"/>
      <c r="PL149" s="4"/>
      <c r="PM149" s="8"/>
      <c r="PN149" s="5" t="str">
        <f t="shared" si="571"/>
        <v>NO APLICA</v>
      </c>
      <c r="PO149" s="6"/>
      <c r="PP149" s="6"/>
      <c r="PQ149" s="6"/>
      <c r="PR149" s="6"/>
      <c r="PS149" s="5" t="str">
        <f t="shared" si="572"/>
        <v>NO APLICA</v>
      </c>
      <c r="PT149" s="5"/>
      <c r="PU149" s="6"/>
      <c r="PV149" s="6"/>
      <c r="PW149" s="6"/>
      <c r="PX149" s="5" t="str">
        <f t="shared" si="573"/>
        <v>NO APLICA</v>
      </c>
    </row>
    <row r="150" spans="1:440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178</v>
      </c>
      <c r="T150" s="5" t="str">
        <f t="shared" ca="1" si="574"/>
        <v>VIGENTE</v>
      </c>
      <c r="U150" s="2" t="s">
        <v>492</v>
      </c>
      <c r="V150" s="4">
        <v>44590</v>
      </c>
      <c r="W150" s="4">
        <f t="shared" si="421"/>
        <v>46416</v>
      </c>
      <c r="X150" s="8">
        <f t="shared" ca="1" si="422"/>
        <v>282</v>
      </c>
      <c r="Y150" s="5" t="str">
        <f t="shared" ca="1" si="423"/>
        <v>VIGENTE</v>
      </c>
      <c r="Z150" s="2" t="s">
        <v>493</v>
      </c>
      <c r="AA150" s="4">
        <v>45192</v>
      </c>
      <c r="AB150" s="4">
        <f t="shared" si="596"/>
        <v>47019</v>
      </c>
      <c r="AC150" s="8">
        <f t="shared" ca="1" si="597"/>
        <v>885</v>
      </c>
      <c r="AD150" s="5" t="str">
        <f t="shared" ca="1" si="582"/>
        <v>VIGENTE</v>
      </c>
      <c r="AE150" s="2"/>
      <c r="AF150" s="4">
        <v>45936</v>
      </c>
      <c r="AG150" s="4">
        <f>DATE(YEAR(AF150)+2,MONTH(AF150),DAY(AF150))</f>
        <v>46666</v>
      </c>
      <c r="AH150" s="8">
        <f t="shared" ca="1" si="470"/>
        <v>532</v>
      </c>
      <c r="AI150" s="5" t="str">
        <f t="shared" ca="1" si="419"/>
        <v>VIGENTE</v>
      </c>
      <c r="AJ150" s="2"/>
      <c r="AK150" s="4">
        <v>45937</v>
      </c>
      <c r="AL150" s="4">
        <f t="shared" si="590"/>
        <v>46667</v>
      </c>
      <c r="AM150" s="8">
        <f t="shared" ca="1" si="471"/>
        <v>533</v>
      </c>
      <c r="AN150" s="5" t="str">
        <f t="shared" ca="1" si="472"/>
        <v>VIGENTE</v>
      </c>
      <c r="AO150" s="2"/>
      <c r="AP150" s="4">
        <v>45904</v>
      </c>
      <c r="AQ150" s="4">
        <f t="shared" si="586"/>
        <v>46634</v>
      </c>
      <c r="AR150" s="8">
        <f t="shared" ca="1" si="473"/>
        <v>500</v>
      </c>
      <c r="AS150" s="5" t="str">
        <f t="shared" ca="1" si="474"/>
        <v>VIGENTE</v>
      </c>
      <c r="AT150" s="2"/>
      <c r="AU150" s="4">
        <v>45927</v>
      </c>
      <c r="AV150" s="4">
        <f t="shared" si="587"/>
        <v>46657</v>
      </c>
      <c r="AW150" s="8">
        <f t="shared" ca="1" si="475"/>
        <v>523</v>
      </c>
      <c r="AX150" s="5" t="str">
        <f t="shared" ca="1" si="476"/>
        <v>VIGENTE</v>
      </c>
      <c r="AY150" s="3"/>
      <c r="AZ150" s="4">
        <v>46041</v>
      </c>
      <c r="BA150" s="4">
        <f>DATE(YEAR(AZ150)+2,MONTH(AZ150),DAY(AZ150))</f>
        <v>46771</v>
      </c>
      <c r="BB150" s="8">
        <f t="shared" ca="1" si="477"/>
        <v>637</v>
      </c>
      <c r="BC150" s="5" t="str">
        <f t="shared" ca="1" si="478"/>
        <v>VIGENTE</v>
      </c>
      <c r="BD150" s="2"/>
      <c r="BE150" s="4">
        <v>45997</v>
      </c>
      <c r="BF150" s="4">
        <f>DATE(YEAR(BE150)+2,MONTH(BE150),DAY(BE150))</f>
        <v>46727</v>
      </c>
      <c r="BG150" s="8">
        <f t="shared" ca="1" si="479"/>
        <v>593</v>
      </c>
      <c r="BH150" s="5" t="str">
        <f t="shared" ca="1" si="480"/>
        <v>VIGENTE</v>
      </c>
      <c r="BI150" s="3"/>
      <c r="BJ150" s="4">
        <v>46017</v>
      </c>
      <c r="BK150" s="4">
        <f>DATE(YEAR(BJ150)+2,MONTH(BJ150),DAY(BJ150))</f>
        <v>46747</v>
      </c>
      <c r="BL150" s="8">
        <f t="shared" ca="1" si="481"/>
        <v>613</v>
      </c>
      <c r="BM150" s="5" t="str">
        <f t="shared" ca="1" si="482"/>
        <v>VIGENTE</v>
      </c>
      <c r="BN150" s="3"/>
      <c r="BO150" s="4">
        <v>45988</v>
      </c>
      <c r="BP150" s="4">
        <f t="shared" si="588"/>
        <v>46718</v>
      </c>
      <c r="BQ150" s="8">
        <f t="shared" ca="1" si="483"/>
        <v>584</v>
      </c>
      <c r="BR150" s="5" t="str">
        <f t="shared" ca="1" si="484"/>
        <v>VIGENTE</v>
      </c>
      <c r="BS150" s="3"/>
      <c r="BT150" s="4">
        <v>46031</v>
      </c>
      <c r="BU150" s="4">
        <f>DATE(YEAR(BT150)+2,MONTH(BT150),DAY(BT150))</f>
        <v>46761</v>
      </c>
      <c r="BV150" s="8">
        <f t="shared" ca="1" si="485"/>
        <v>627</v>
      </c>
      <c r="BW150" s="5" t="str">
        <f t="shared" ca="1" si="486"/>
        <v>VIGENTE</v>
      </c>
      <c r="BX150" s="2"/>
      <c r="BY150" s="4">
        <v>45986</v>
      </c>
      <c r="BZ150" s="4">
        <f t="shared" si="592"/>
        <v>46716</v>
      </c>
      <c r="CA150" s="8">
        <f t="shared" ca="1" si="487"/>
        <v>582</v>
      </c>
      <c r="CB150" s="5" t="str">
        <f t="shared" ca="1" si="488"/>
        <v>VIGENTE</v>
      </c>
      <c r="CC150" s="6" t="s">
        <v>68</v>
      </c>
      <c r="CD150" s="4">
        <v>45832</v>
      </c>
      <c r="CE150" s="4">
        <f t="shared" si="428"/>
        <v>47293</v>
      </c>
      <c r="CF150" s="8">
        <f t="shared" ca="1" si="429"/>
        <v>1159</v>
      </c>
      <c r="CG150" s="5" t="str">
        <f t="shared" ca="1" si="591"/>
        <v>VIGENTE</v>
      </c>
      <c r="CH150" s="4"/>
      <c r="CI150" s="4">
        <v>46018</v>
      </c>
      <c r="CJ150" s="4">
        <f>DATE(YEAR(CI150)+2,MONTH(CI150),DAY(CI150))</f>
        <v>46748</v>
      </c>
      <c r="CK150" s="8">
        <f t="shared" ca="1" si="489"/>
        <v>614</v>
      </c>
      <c r="CL150" s="5" t="str">
        <f t="shared" ca="1" si="490"/>
        <v>VIGENTE</v>
      </c>
      <c r="CM150" s="4"/>
      <c r="CN150" s="4">
        <v>45979</v>
      </c>
      <c r="CO150" s="4">
        <f>DATE(YEAR(CN150)+2,MONTH(CN150),DAY(CN150))</f>
        <v>46709</v>
      </c>
      <c r="CP150" s="8">
        <f t="shared" ca="1" si="491"/>
        <v>575</v>
      </c>
      <c r="CQ150" s="5" t="str">
        <f t="shared" ca="1" si="492"/>
        <v>VIGENTE</v>
      </c>
      <c r="CR150" s="2"/>
      <c r="CS150" s="4">
        <v>45905</v>
      </c>
      <c r="CT150" s="4">
        <f>DATE(YEAR(CS150)+2,MONTH(CS150),DAY(CS150))</f>
        <v>46635</v>
      </c>
      <c r="CU150" s="8">
        <f t="shared" ca="1" si="493"/>
        <v>501</v>
      </c>
      <c r="CV150" s="5" t="str">
        <f t="shared" ca="1" si="494"/>
        <v>VIGENTE</v>
      </c>
      <c r="CW150" s="3"/>
      <c r="CX150" s="4">
        <v>46000</v>
      </c>
      <c r="CY150" s="4">
        <f>DATE(YEAR(CX150)+2,MONTH(CX150),DAY(CX150))</f>
        <v>46730</v>
      </c>
      <c r="CZ150" s="8">
        <f t="shared" ca="1" si="495"/>
        <v>596</v>
      </c>
      <c r="DA150" s="5" t="str">
        <f t="shared" ca="1" si="496"/>
        <v>VIGENTE</v>
      </c>
      <c r="DB150" s="3"/>
      <c r="DC150" s="4">
        <v>45996</v>
      </c>
      <c r="DD150" s="4">
        <f>DATE(YEAR(DC150)+2,MONTH(DC150),DAY(DC150))</f>
        <v>46726</v>
      </c>
      <c r="DE150" s="8">
        <f t="shared" ca="1" si="497"/>
        <v>592</v>
      </c>
      <c r="DF150" s="5" t="str">
        <f t="shared" ca="1" si="498"/>
        <v>VIGENTE</v>
      </c>
      <c r="DG150" s="4"/>
      <c r="DH150" s="4">
        <v>45975</v>
      </c>
      <c r="DI150" s="4">
        <f>DATE(YEAR(DH150)+2,MONTH(DH150),DAY(DH150))</f>
        <v>46705</v>
      </c>
      <c r="DJ150" s="8">
        <f t="shared" ca="1" si="499"/>
        <v>571</v>
      </c>
      <c r="DK150" s="5" t="str">
        <f t="shared" ca="1" si="500"/>
        <v>VIGENTE</v>
      </c>
      <c r="DL150" s="3"/>
      <c r="DM150" s="4">
        <v>46007</v>
      </c>
      <c r="DN150" s="4">
        <f>DATE(YEAR(DM150)+2,MONTH(DM150),DAY(DM150))</f>
        <v>46737</v>
      </c>
      <c r="DO150" s="8">
        <f t="shared" ca="1" si="501"/>
        <v>603</v>
      </c>
      <c r="DP150" s="5" t="str">
        <f t="shared" ca="1" si="502"/>
        <v>VIGENTE</v>
      </c>
      <c r="DQ150" s="4"/>
      <c r="DR150" s="3">
        <v>46009</v>
      </c>
      <c r="DS150" s="4">
        <f>DATE(YEAR(DR150)+2,MONTH(DR150),DAY(DR150))</f>
        <v>46739</v>
      </c>
      <c r="DT150" s="8">
        <f t="shared" ca="1" si="503"/>
        <v>605</v>
      </c>
      <c r="DU150" s="5" t="str">
        <f t="shared" ca="1" si="504"/>
        <v>VIGENTE</v>
      </c>
      <c r="DV150" s="4"/>
      <c r="DW150" s="4">
        <v>46032</v>
      </c>
      <c r="DX150" s="4">
        <f>DATE(YEAR(DW150)+2,MONTH(DW150),DAY(DW150))</f>
        <v>46762</v>
      </c>
      <c r="DY150" s="8">
        <f t="shared" ca="1" si="505"/>
        <v>628</v>
      </c>
      <c r="DZ150" s="5" t="str">
        <f t="shared" ca="1" si="506"/>
        <v>VIGENTE</v>
      </c>
      <c r="EA150" s="4"/>
      <c r="EB150" s="4">
        <v>45994</v>
      </c>
      <c r="EC150" s="4">
        <f>DATE(YEAR(EB150)+2,MONTH(EB150),DAY(EB150))</f>
        <v>46724</v>
      </c>
      <c r="ED150" s="8">
        <f t="shared" ca="1" si="507"/>
        <v>590</v>
      </c>
      <c r="EE150" s="5" t="str">
        <f t="shared" ca="1" si="508"/>
        <v>VIGENTE</v>
      </c>
      <c r="EF150" s="3"/>
      <c r="EG150" s="3">
        <v>46015</v>
      </c>
      <c r="EH150" s="4">
        <f t="shared" si="575"/>
        <v>46380</v>
      </c>
      <c r="EI150" s="8">
        <f t="shared" ca="1" si="509"/>
        <v>246</v>
      </c>
      <c r="EJ150" s="5" t="str">
        <f t="shared" ca="1" si="510"/>
        <v>VIGENTE</v>
      </c>
      <c r="EK150" s="3"/>
      <c r="EL150" s="4">
        <v>45983</v>
      </c>
      <c r="EM150" s="4">
        <f>DATE(YEAR(EL150)+2,MONTH(EL150),DAY(EL150))</f>
        <v>46713</v>
      </c>
      <c r="EN150" s="8">
        <f t="shared" ca="1" si="511"/>
        <v>579</v>
      </c>
      <c r="EO150" s="5" t="str">
        <f t="shared" ca="1" si="512"/>
        <v>VIGENTE</v>
      </c>
      <c r="EP150" s="2"/>
      <c r="EQ150" s="4">
        <v>45999</v>
      </c>
      <c r="ER150" s="4">
        <f>DATE(YEAR(EQ150)+2,MONTH(EQ150),DAY(EQ150))</f>
        <v>46729</v>
      </c>
      <c r="ES150" s="8">
        <f t="shared" ca="1" si="513"/>
        <v>595</v>
      </c>
      <c r="ET150" s="5" t="str">
        <f t="shared" ca="1" si="514"/>
        <v>VIGENTE</v>
      </c>
      <c r="EU150" s="3"/>
      <c r="EV150" s="4">
        <v>46037</v>
      </c>
      <c r="EW150" s="4">
        <f t="shared" si="593"/>
        <v>46767</v>
      </c>
      <c r="EX150" s="8">
        <f t="shared" ca="1" si="515"/>
        <v>633</v>
      </c>
      <c r="EY150" s="5" t="str">
        <f t="shared" ca="1" si="516"/>
        <v>VIGENTE</v>
      </c>
      <c r="EZ150" s="4"/>
      <c r="FA150" s="4">
        <v>46010</v>
      </c>
      <c r="FB150" s="4">
        <f t="shared" si="594"/>
        <v>46740</v>
      </c>
      <c r="FC150" s="8">
        <f t="shared" ca="1" si="517"/>
        <v>606</v>
      </c>
      <c r="FD150" s="5" t="str">
        <f t="shared" ca="1" si="518"/>
        <v>VIGENTE</v>
      </c>
      <c r="FE150" s="4"/>
      <c r="FF150" s="4">
        <v>45962</v>
      </c>
      <c r="FG150" s="4">
        <f t="shared" si="595"/>
        <v>46692</v>
      </c>
      <c r="FH150" s="8">
        <f t="shared" ca="1" si="519"/>
        <v>558</v>
      </c>
      <c r="FI150" s="5" t="str">
        <f t="shared" ca="1" si="520"/>
        <v>VIGENTE</v>
      </c>
      <c r="FJ150" s="4"/>
      <c r="FK150" s="4">
        <v>46039</v>
      </c>
      <c r="FL150" s="4">
        <f>DATE(YEAR(FK150)+2,MONTH(FK150),DAY(FK150))</f>
        <v>46769</v>
      </c>
      <c r="FM150" s="8">
        <f t="shared" ca="1" si="521"/>
        <v>635</v>
      </c>
      <c r="FN150" s="5" t="str">
        <f t="shared" ca="1" si="522"/>
        <v>VIGENTE</v>
      </c>
      <c r="FO150" s="4"/>
      <c r="FP150" s="4">
        <v>46034</v>
      </c>
      <c r="FQ150" s="4">
        <f>DATE(YEAR(FP150)+2,MONTH(FP150),DAY(FP150))</f>
        <v>46764</v>
      </c>
      <c r="FR150" s="8">
        <f t="shared" ca="1" si="523"/>
        <v>630</v>
      </c>
      <c r="FS150" s="5" t="str">
        <f t="shared" ca="1" si="524"/>
        <v>VIGENTE</v>
      </c>
      <c r="FT150" s="4"/>
      <c r="FU150" s="4">
        <v>46004</v>
      </c>
      <c r="FV150" s="4">
        <f>DATE(YEAR(FU150)+2,MONTH(FU150),DAY(FU150))</f>
        <v>46734</v>
      </c>
      <c r="FW150" s="8">
        <f t="shared" ca="1" si="525"/>
        <v>600</v>
      </c>
      <c r="FX150" s="5" t="str">
        <f t="shared" ca="1" si="526"/>
        <v>VIGENTE</v>
      </c>
      <c r="FY150" s="3"/>
      <c r="FZ150" s="4">
        <v>45925</v>
      </c>
      <c r="GA150" s="4">
        <f>DATE(YEAR(FZ150)+2,MONTH(FZ150),DAY(FZ150))</f>
        <v>46655</v>
      </c>
      <c r="GB150" s="8">
        <f t="shared" ca="1" si="527"/>
        <v>521</v>
      </c>
      <c r="GC150" s="5" t="str">
        <f t="shared" ca="1" si="528"/>
        <v>VIGENTE</v>
      </c>
      <c r="GD150" s="3"/>
      <c r="GE150" s="4">
        <v>45960</v>
      </c>
      <c r="GF150" s="4">
        <f>DATE(YEAR(GE150)+2,MONTH(GE150),DAY(GE150))</f>
        <v>46690</v>
      </c>
      <c r="GG150" s="8">
        <f t="shared" ca="1" si="529"/>
        <v>556</v>
      </c>
      <c r="GH150" s="5" t="str">
        <f t="shared" ca="1" si="530"/>
        <v>VIGENTE</v>
      </c>
      <c r="GI150" s="3"/>
      <c r="GJ150" s="4">
        <v>46071</v>
      </c>
      <c r="GK150" s="4">
        <f t="shared" si="589"/>
        <v>46801</v>
      </c>
      <c r="GL150" s="8">
        <f t="shared" ca="1" si="531"/>
        <v>667</v>
      </c>
      <c r="GM150" s="5" t="str">
        <f t="shared" ca="1" si="532"/>
        <v>VIGENTE</v>
      </c>
      <c r="GN150" s="4"/>
      <c r="GO150" s="4">
        <v>45299</v>
      </c>
      <c r="GP150" s="4">
        <f t="shared" si="533"/>
        <v>47126</v>
      </c>
      <c r="GQ150" s="8">
        <f t="shared" ca="1" si="418"/>
        <v>992</v>
      </c>
      <c r="GR150" s="5" t="str">
        <f t="shared" ca="1" si="431"/>
        <v>VIGENTE</v>
      </c>
      <c r="GS150" s="3"/>
      <c r="GT150" s="4">
        <v>45329</v>
      </c>
      <c r="GU150" s="4">
        <f t="shared" si="534"/>
        <v>47156</v>
      </c>
      <c r="GV150" s="8">
        <f t="shared" ca="1" si="535"/>
        <v>1022</v>
      </c>
      <c r="GW150" s="5" t="str">
        <f t="shared" ca="1" si="438"/>
        <v>VIGENTE</v>
      </c>
      <c r="GX150" s="2"/>
      <c r="GY150" s="4">
        <v>45343</v>
      </c>
      <c r="GZ150" s="4">
        <f t="shared" si="536"/>
        <v>47170</v>
      </c>
      <c r="HA150" s="8">
        <f t="shared" ca="1" si="537"/>
        <v>1036</v>
      </c>
      <c r="HB150" s="5" t="str">
        <f t="shared" ca="1" si="433"/>
        <v>VIGENTE</v>
      </c>
      <c r="HC150" s="6"/>
      <c r="HD150" s="4">
        <v>45317</v>
      </c>
      <c r="HE150" s="4">
        <f t="shared" si="598"/>
        <v>47144</v>
      </c>
      <c r="HF150" s="8">
        <f t="shared" ca="1" si="599"/>
        <v>1010</v>
      </c>
      <c r="HG150" s="5" t="str">
        <f t="shared" ca="1" si="439"/>
        <v>VIGENTE</v>
      </c>
      <c r="HH150" s="2"/>
      <c r="HI150" s="6"/>
      <c r="HJ150" s="4"/>
      <c r="HK150" s="8"/>
      <c r="HL150" s="5" t="str">
        <f t="shared" si="457"/>
        <v>NO APLICA</v>
      </c>
      <c r="HM150" s="2"/>
      <c r="HN150" s="2"/>
      <c r="HO150" s="4"/>
      <c r="HP150" s="2"/>
      <c r="HQ150" s="5" t="str">
        <f t="shared" si="538"/>
        <v>NO APLICA</v>
      </c>
      <c r="HR150" s="2"/>
      <c r="HS150" s="6"/>
      <c r="HT150" s="4"/>
      <c r="HU150" s="8"/>
      <c r="HV150" s="5" t="str">
        <f t="shared" si="539"/>
        <v>NO APLICA</v>
      </c>
      <c r="HW150" s="2"/>
      <c r="HX150" s="6"/>
      <c r="HY150" s="4"/>
      <c r="HZ150" s="8"/>
      <c r="IA150" s="5" t="str">
        <f t="shared" si="540"/>
        <v>NO APLICA</v>
      </c>
      <c r="IB150" s="2"/>
      <c r="IC150" s="6"/>
      <c r="ID150" s="4"/>
      <c r="IE150" s="8"/>
      <c r="IF150" s="5" t="str">
        <f t="shared" si="541"/>
        <v>NO APLICA</v>
      </c>
      <c r="IG150" s="6"/>
      <c r="IH150" s="6"/>
      <c r="II150" s="4"/>
      <c r="IJ150" s="8"/>
      <c r="IK150" s="5" t="str">
        <f t="shared" si="542"/>
        <v>NO APLICA</v>
      </c>
      <c r="IL150" s="2"/>
      <c r="IM150" s="6"/>
      <c r="IN150" s="4"/>
      <c r="IO150" s="8"/>
      <c r="IP150" s="5" t="str">
        <f t="shared" si="543"/>
        <v>NO APLICA</v>
      </c>
      <c r="IQ150" s="2"/>
      <c r="IR150" s="6"/>
      <c r="IS150" s="4"/>
      <c r="IT150" s="8"/>
      <c r="IU150" s="5" t="str">
        <f t="shared" si="544"/>
        <v>NO APLICA</v>
      </c>
      <c r="IV150" s="2"/>
      <c r="IW150" s="6"/>
      <c r="IX150" s="4"/>
      <c r="IY150" s="8"/>
      <c r="IZ150" s="5" t="str">
        <f t="shared" si="545"/>
        <v>NO APLICA</v>
      </c>
      <c r="JA150" s="3"/>
      <c r="JB150" s="3"/>
      <c r="JC150" s="4"/>
      <c r="JD150" s="8"/>
      <c r="JE150" s="5" t="str">
        <f t="shared" si="546"/>
        <v>NO APLICA</v>
      </c>
      <c r="JF150" s="6"/>
      <c r="JG150" s="6"/>
      <c r="JH150" s="6"/>
      <c r="JI150" s="6"/>
      <c r="JJ150" s="5" t="str">
        <f t="shared" si="547"/>
        <v>NO APLICA</v>
      </c>
      <c r="JK150" s="6"/>
      <c r="JL150" s="6"/>
      <c r="JM150" s="6"/>
      <c r="JN150" s="6"/>
      <c r="JO150" s="5" t="str">
        <f t="shared" si="548"/>
        <v>NO APLICA</v>
      </c>
      <c r="JP150" s="6"/>
      <c r="JQ150" s="6"/>
      <c r="JR150" s="6"/>
      <c r="JS150" s="6"/>
      <c r="JT150" s="5" t="str">
        <f t="shared" si="549"/>
        <v>NO APLICA</v>
      </c>
      <c r="JU150" s="5"/>
      <c r="JV150" s="5"/>
      <c r="JW150" s="5"/>
      <c r="JX150" s="5"/>
      <c r="JY150" s="5" t="str">
        <f t="shared" si="550"/>
        <v>NO APLICA</v>
      </c>
      <c r="JZ150" s="5"/>
      <c r="KA150" s="2"/>
      <c r="KB150" s="4"/>
      <c r="KC150" s="8"/>
      <c r="KD150" s="5" t="str">
        <f t="shared" si="551"/>
        <v>NO APLICA</v>
      </c>
      <c r="KE150" s="5"/>
      <c r="KF150" s="2"/>
      <c r="KG150" s="4"/>
      <c r="KH150" s="8"/>
      <c r="KI150" s="5" t="str">
        <f t="shared" si="576"/>
        <v>NO APLICA</v>
      </c>
      <c r="KJ150" s="5"/>
      <c r="KK150" s="2"/>
      <c r="KL150" s="4"/>
      <c r="KM150" s="8"/>
      <c r="KN150" s="5" t="str">
        <f t="shared" si="552"/>
        <v>NO APLICA</v>
      </c>
      <c r="KO150" s="5"/>
      <c r="KP150" s="2"/>
      <c r="KQ150" s="4"/>
      <c r="KR150" s="8"/>
      <c r="KS150" s="5" t="str">
        <f t="shared" si="577"/>
        <v>NO APLICA</v>
      </c>
      <c r="KT150" s="2"/>
      <c r="KU150" s="6"/>
      <c r="KV150" s="4"/>
      <c r="KW150" s="8"/>
      <c r="KX150" s="5" t="str">
        <f t="shared" si="583"/>
        <v>NO APLICA</v>
      </c>
      <c r="KY150" s="5"/>
      <c r="KZ150" s="6"/>
      <c r="LA150" s="4"/>
      <c r="LB150" s="8"/>
      <c r="LC150" s="5" t="str">
        <f t="shared" si="578"/>
        <v>NO APLICA</v>
      </c>
      <c r="LD150" s="6"/>
      <c r="LE150" s="6"/>
      <c r="LF150" s="4"/>
      <c r="LG150" s="8"/>
      <c r="LH150" s="5" t="str">
        <f t="shared" si="585"/>
        <v>NO APLICA</v>
      </c>
      <c r="LI150" s="5"/>
      <c r="LJ150" s="5"/>
      <c r="LK150" s="5"/>
      <c r="LL150" s="5"/>
      <c r="LM150" s="5" t="str">
        <f t="shared" si="584"/>
        <v>NO APLICA</v>
      </c>
      <c r="LN150" s="2"/>
      <c r="LO150" s="6"/>
      <c r="LP150" s="4"/>
      <c r="LQ150" s="8"/>
      <c r="LR150" s="5" t="str">
        <f t="shared" si="579"/>
        <v>NO APLICA</v>
      </c>
      <c r="LS150" s="6"/>
      <c r="LT150" s="6"/>
      <c r="LU150" s="4"/>
      <c r="LV150" s="8"/>
      <c r="LW150" s="5" t="str">
        <f t="shared" si="580"/>
        <v>NO APLICA</v>
      </c>
      <c r="LX150" s="6"/>
      <c r="LY150" s="6"/>
      <c r="LZ150" s="4"/>
      <c r="MA150" s="8"/>
      <c r="MB150" s="5" t="str">
        <f t="shared" si="581"/>
        <v>NO APLICA</v>
      </c>
      <c r="MC150" s="2"/>
      <c r="MD150" s="2"/>
      <c r="ME150" s="4"/>
      <c r="MF150" s="8"/>
      <c r="MG150" s="5" t="str">
        <f t="shared" si="554"/>
        <v>NO APLICA</v>
      </c>
      <c r="MH150" s="2"/>
      <c r="MI150" s="2"/>
      <c r="MJ150" s="4"/>
      <c r="MK150" s="8"/>
      <c r="ML150" s="5" t="str">
        <f t="shared" si="555"/>
        <v>NO APLICA</v>
      </c>
      <c r="MM150" s="5"/>
      <c r="MN150" s="2"/>
      <c r="MO150" s="4"/>
      <c r="MP150" s="8"/>
      <c r="MQ150" s="5" t="str">
        <f t="shared" si="556"/>
        <v>NO APLICA</v>
      </c>
      <c r="MR150" s="5"/>
      <c r="MS150" s="2"/>
      <c r="MT150" s="4"/>
      <c r="MU150" s="2"/>
      <c r="MV150" s="5" t="str">
        <f t="shared" si="557"/>
        <v>NO APLICA</v>
      </c>
      <c r="MW150" s="2"/>
      <c r="MX150" s="6"/>
      <c r="MY150" s="4"/>
      <c r="MZ150" s="8"/>
      <c r="NA150" s="5" t="str">
        <f t="shared" si="558"/>
        <v>NO APLICA</v>
      </c>
      <c r="NB150" s="2"/>
      <c r="NC150" s="6"/>
      <c r="ND150" s="4"/>
      <c r="NE150" s="8"/>
      <c r="NF150" s="5" t="str">
        <f t="shared" si="559"/>
        <v>NO APLICA</v>
      </c>
      <c r="NG150" s="2"/>
      <c r="NH150" s="6"/>
      <c r="NI150" s="4"/>
      <c r="NJ150" s="8"/>
      <c r="NK150" s="5" t="str">
        <f t="shared" si="560"/>
        <v>NO APLICA</v>
      </c>
      <c r="NL150" s="2"/>
      <c r="NM150" s="2"/>
      <c r="NN150" s="4"/>
      <c r="NO150" s="2"/>
      <c r="NP150" s="5" t="str">
        <f t="shared" si="561"/>
        <v>NO APLICA</v>
      </c>
      <c r="NQ150" s="2"/>
      <c r="NR150" s="2"/>
      <c r="NS150" s="4"/>
      <c r="NT150" s="2"/>
      <c r="NU150" s="5" t="str">
        <f t="shared" si="562"/>
        <v>NO APLICA</v>
      </c>
      <c r="NV150" s="6"/>
      <c r="NW150" s="6"/>
      <c r="NX150" s="4"/>
      <c r="NY150" s="8"/>
      <c r="NZ150" s="5" t="str">
        <f t="shared" si="563"/>
        <v>NO APLICA</v>
      </c>
      <c r="OA150" s="6"/>
      <c r="OB150" s="6"/>
      <c r="OC150" s="6"/>
      <c r="OD150" s="6"/>
      <c r="OE150" s="5" t="str">
        <f t="shared" si="564"/>
        <v>NO APLICA</v>
      </c>
      <c r="OF150" s="6"/>
      <c r="OG150" s="6"/>
      <c r="OH150" s="4"/>
      <c r="OI150" s="8"/>
      <c r="OJ150" s="5" t="str">
        <f t="shared" si="565"/>
        <v>NO APLICA</v>
      </c>
      <c r="OK150" s="6"/>
      <c r="OL150" s="6"/>
      <c r="OM150" s="6"/>
      <c r="ON150" s="6"/>
      <c r="OO150" s="5" t="str">
        <f t="shared" si="566"/>
        <v>NO APLICA</v>
      </c>
      <c r="OP150" s="6"/>
      <c r="OQ150" s="6"/>
      <c r="OR150" s="6"/>
      <c r="OS150" s="6"/>
      <c r="OT150" s="5" t="str">
        <f t="shared" si="567"/>
        <v>NO APLICA</v>
      </c>
      <c r="OU150" s="6"/>
      <c r="OV150" s="6"/>
      <c r="OW150" s="6"/>
      <c r="OX150" s="6"/>
      <c r="OY150" s="5" t="str">
        <f t="shared" si="568"/>
        <v>NO APLICA</v>
      </c>
      <c r="OZ150" s="6"/>
      <c r="PA150" s="6"/>
      <c r="PB150" s="6"/>
      <c r="PC150" s="6"/>
      <c r="PD150" s="5" t="str">
        <f t="shared" si="569"/>
        <v>NO APLICA</v>
      </c>
      <c r="PE150" s="6"/>
      <c r="PF150" s="6"/>
      <c r="PG150" s="6"/>
      <c r="PH150" s="6"/>
      <c r="PI150" s="5" t="str">
        <f t="shared" si="570"/>
        <v>NO APLICA</v>
      </c>
      <c r="PJ150" s="5"/>
      <c r="PK150" s="6"/>
      <c r="PL150" s="4"/>
      <c r="PM150" s="8"/>
      <c r="PN150" s="5" t="str">
        <f t="shared" si="571"/>
        <v>NO APLICA</v>
      </c>
      <c r="PO150" s="6"/>
      <c r="PP150" s="6"/>
      <c r="PQ150" s="6"/>
      <c r="PR150" s="6"/>
      <c r="PS150" s="5" t="str">
        <f t="shared" si="572"/>
        <v>NO APLICA</v>
      </c>
      <c r="PT150" s="5"/>
      <c r="PU150" s="6"/>
      <c r="PV150" s="6"/>
      <c r="PW150" s="6"/>
      <c r="PX150" s="5" t="str">
        <f t="shared" si="573"/>
        <v>NO APLICA</v>
      </c>
    </row>
    <row r="151" spans="1:440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495</v>
      </c>
      <c r="V151" s="4">
        <v>45849</v>
      </c>
      <c r="W151" s="4">
        <f t="shared" si="421"/>
        <v>47675</v>
      </c>
      <c r="X151" s="8">
        <f t="shared" ca="1" si="422"/>
        <v>1541</v>
      </c>
      <c r="Y151" s="5" t="str">
        <f t="shared" ca="1" si="423"/>
        <v>VIGENTE</v>
      </c>
      <c r="Z151" s="2" t="s">
        <v>496</v>
      </c>
      <c r="AA151" s="4">
        <v>44603</v>
      </c>
      <c r="AB151" s="4">
        <f t="shared" si="596"/>
        <v>46429</v>
      </c>
      <c r="AC151" s="8">
        <f t="shared" ca="1" si="597"/>
        <v>295</v>
      </c>
      <c r="AD151" s="5" t="str">
        <f t="shared" ca="1" si="582"/>
        <v>VIGENTE</v>
      </c>
      <c r="AE151" s="3"/>
      <c r="AF151" s="4">
        <v>45594</v>
      </c>
      <c r="AG151" s="4">
        <f>DATE(YEAR(AF151)+2,MONTH(AF151),DAY(AF151)-1)</f>
        <v>46323</v>
      </c>
      <c r="AH151" s="8">
        <f t="shared" ca="1" si="470"/>
        <v>189</v>
      </c>
      <c r="AI151" s="5" t="str">
        <f t="shared" ca="1" si="419"/>
        <v>VIGENTE</v>
      </c>
      <c r="AJ151" s="3"/>
      <c r="AK151" s="4">
        <v>45937</v>
      </c>
      <c r="AL151" s="4">
        <f t="shared" si="590"/>
        <v>46667</v>
      </c>
      <c r="AM151" s="8">
        <f t="shared" ca="1" si="471"/>
        <v>533</v>
      </c>
      <c r="AN151" s="5" t="str">
        <f t="shared" ca="1" si="472"/>
        <v>VIGENTE</v>
      </c>
      <c r="AO151" s="3"/>
      <c r="AP151" s="4">
        <v>45989</v>
      </c>
      <c r="AQ151" s="4">
        <f t="shared" si="586"/>
        <v>46719</v>
      </c>
      <c r="AR151" s="8">
        <f t="shared" ca="1" si="473"/>
        <v>585</v>
      </c>
      <c r="AS151" s="5" t="str">
        <f t="shared" ca="1" si="474"/>
        <v>VIGENTE</v>
      </c>
      <c r="AT151" s="3"/>
      <c r="AU151" s="4">
        <v>46070</v>
      </c>
      <c r="AV151" s="4">
        <f t="shared" si="587"/>
        <v>46800</v>
      </c>
      <c r="AW151" s="8">
        <f t="shared" ca="1" si="475"/>
        <v>666</v>
      </c>
      <c r="AX151" s="5" t="str">
        <f t="shared" ca="1" si="476"/>
        <v>VIGENTE</v>
      </c>
      <c r="AY151" s="3"/>
      <c r="AZ151" s="3">
        <v>45603</v>
      </c>
      <c r="BA151" s="4">
        <f>DATE(YEAR(AZ151)+2,MONTH(AZ151),DAY(AZ151)-1)</f>
        <v>46332</v>
      </c>
      <c r="BB151" s="8">
        <f t="shared" ca="1" si="477"/>
        <v>198</v>
      </c>
      <c r="BC151" s="5" t="str">
        <f t="shared" ca="1" si="478"/>
        <v>VIGENTE</v>
      </c>
      <c r="BD151" s="3"/>
      <c r="BE151" s="3">
        <v>45643</v>
      </c>
      <c r="BF151" s="4">
        <f>DATE(YEAR(BE151)+2,MONTH(BE151),DAY(BE151)-1)</f>
        <v>46372</v>
      </c>
      <c r="BG151" s="8">
        <f t="shared" ca="1" si="479"/>
        <v>238</v>
      </c>
      <c r="BH151" s="5" t="str">
        <f t="shared" ca="1" si="480"/>
        <v>VIGENTE</v>
      </c>
      <c r="BI151" s="3"/>
      <c r="BJ151" s="4">
        <v>46035</v>
      </c>
      <c r="BK151" s="4">
        <f>DATE(YEAR(BJ151)+2,MONTH(BJ151),DAY(BJ151))</f>
        <v>46765</v>
      </c>
      <c r="BL151" s="8">
        <f t="shared" ca="1" si="481"/>
        <v>631</v>
      </c>
      <c r="BM151" s="5" t="str">
        <f t="shared" ca="1" si="482"/>
        <v>VIGENTE</v>
      </c>
      <c r="BN151" s="3"/>
      <c r="BO151" s="4">
        <v>45701</v>
      </c>
      <c r="BP151" s="4">
        <f>DATE(YEAR(BO151)+2,MONTH(BO151),DAY(BO151)-1)</f>
        <v>46430</v>
      </c>
      <c r="BQ151" s="8">
        <f t="shared" ca="1" si="483"/>
        <v>296</v>
      </c>
      <c r="BR151" s="5" t="str">
        <f t="shared" ca="1" si="484"/>
        <v>VIGENTE</v>
      </c>
      <c r="BS151" s="4"/>
      <c r="BT151" s="4">
        <v>45736</v>
      </c>
      <c r="BU151" s="4">
        <f>DATE(YEAR(BT151)+2,MONTH(BT151),DAY(BT151)-1)</f>
        <v>46465</v>
      </c>
      <c r="BV151" s="8">
        <f t="shared" ca="1" si="485"/>
        <v>331</v>
      </c>
      <c r="BW151" s="5" t="str">
        <f t="shared" ca="1" si="486"/>
        <v>VIGENTE</v>
      </c>
      <c r="BX151" s="3"/>
      <c r="BY151" s="4">
        <v>45944</v>
      </c>
      <c r="BZ151" s="4">
        <f t="shared" si="592"/>
        <v>46674</v>
      </c>
      <c r="CA151" s="8">
        <f t="shared" ca="1" si="487"/>
        <v>540</v>
      </c>
      <c r="CB151" s="5" t="str">
        <f t="shared" ca="1" si="488"/>
        <v>VIGENTE</v>
      </c>
      <c r="CC151" s="6" t="s">
        <v>73</v>
      </c>
      <c r="CD151" s="4">
        <v>45262</v>
      </c>
      <c r="CE151" s="4">
        <f t="shared" si="428"/>
        <v>46723</v>
      </c>
      <c r="CF151" s="8">
        <f t="shared" ca="1" si="429"/>
        <v>589</v>
      </c>
      <c r="CG151" s="5" t="str">
        <f t="shared" ca="1" si="591"/>
        <v>VIGENTE</v>
      </c>
      <c r="CH151" s="4"/>
      <c r="CI151" s="4">
        <v>45688</v>
      </c>
      <c r="CJ151" s="4">
        <f>DATE(YEAR(CI151)+2,MONTH(CI151),DAY(CI151)-1)</f>
        <v>46417</v>
      </c>
      <c r="CK151" s="8">
        <f t="shared" ca="1" si="489"/>
        <v>283</v>
      </c>
      <c r="CL151" s="5" t="str">
        <f t="shared" ca="1" si="490"/>
        <v>VIGENTE</v>
      </c>
      <c r="CM151" s="4"/>
      <c r="CN151" s="4">
        <v>45726</v>
      </c>
      <c r="CO151" s="4">
        <f>DATE(YEAR(CN151)+2,MONTH(CN151),DAY(CN151)-1)</f>
        <v>46455</v>
      </c>
      <c r="CP151" s="8">
        <f t="shared" ca="1" si="491"/>
        <v>321</v>
      </c>
      <c r="CQ151" s="5" t="str">
        <f t="shared" ca="1" si="492"/>
        <v>VIGENTE</v>
      </c>
      <c r="CR151" s="3"/>
      <c r="CS151" s="4">
        <v>45639</v>
      </c>
      <c r="CT151" s="4">
        <f>DATE(YEAR(CS151)+2,MONTH(CS151),DAY(CS151)-1)</f>
        <v>46368</v>
      </c>
      <c r="CU151" s="8">
        <f t="shared" ca="1" si="493"/>
        <v>234</v>
      </c>
      <c r="CV151" s="5" t="str">
        <f t="shared" ca="1" si="494"/>
        <v>VIGENTE</v>
      </c>
      <c r="CW151" s="3"/>
      <c r="CX151" s="4">
        <v>45665</v>
      </c>
      <c r="CY151" s="4">
        <f>DATE(YEAR(CX151)+2,MONTH(CX151),DAY(CX151)-1)</f>
        <v>46394</v>
      </c>
      <c r="CZ151" s="8">
        <f t="shared" ca="1" si="495"/>
        <v>260</v>
      </c>
      <c r="DA151" s="5" t="str">
        <f t="shared" ca="1" si="496"/>
        <v>VIGENTE</v>
      </c>
      <c r="DB151" s="3"/>
      <c r="DC151" s="4">
        <v>45689</v>
      </c>
      <c r="DD151" s="4">
        <f>DATE(YEAR(DC151)+2,MONTH(DC151),DAY(DC151)-1)</f>
        <v>46418</v>
      </c>
      <c r="DE151" s="8">
        <f t="shared" ca="1" si="497"/>
        <v>284</v>
      </c>
      <c r="DF151" s="5" t="str">
        <f t="shared" ca="1" si="498"/>
        <v>VIGENTE</v>
      </c>
      <c r="DG151" s="3"/>
      <c r="DH151" s="4">
        <v>46073</v>
      </c>
      <c r="DI151" s="4">
        <f>DATE(YEAR(DH151)+2,MONTH(DH151),DAY(DH151))</f>
        <v>46803</v>
      </c>
      <c r="DJ151" s="8">
        <f t="shared" ca="1" si="499"/>
        <v>669</v>
      </c>
      <c r="DK151" s="5" t="str">
        <f t="shared" ca="1" si="500"/>
        <v>VIGENTE</v>
      </c>
      <c r="DL151" s="3"/>
      <c r="DM151" s="4">
        <v>45982</v>
      </c>
      <c r="DN151" s="4">
        <f>DATE(YEAR(DM151)+2,MONTH(DM151),DAY(DM151))</f>
        <v>46712</v>
      </c>
      <c r="DO151" s="8">
        <f t="shared" ca="1" si="501"/>
        <v>578</v>
      </c>
      <c r="DP151" s="5" t="str">
        <f t="shared" ca="1" si="502"/>
        <v>VIGENTE</v>
      </c>
      <c r="DQ151" s="4"/>
      <c r="DR151" s="4">
        <v>45685</v>
      </c>
      <c r="DS151" s="4">
        <f>DATE(YEAR(DR151)+2,MONTH(DR151),DAY(DR151)-1)</f>
        <v>46414</v>
      </c>
      <c r="DT151" s="8">
        <f t="shared" ca="1" si="503"/>
        <v>280</v>
      </c>
      <c r="DU151" s="5" t="str">
        <f t="shared" ca="1" si="504"/>
        <v>VIGENTE</v>
      </c>
      <c r="DV151" s="4"/>
      <c r="DW151" s="4">
        <v>45663</v>
      </c>
      <c r="DX151" s="4">
        <f>DATE(YEAR(DW151)+2,MONTH(DW151),DAY(DW151)-1)</f>
        <v>46392</v>
      </c>
      <c r="DY151" s="8">
        <f t="shared" ca="1" si="505"/>
        <v>258</v>
      </c>
      <c r="DZ151" s="5" t="str">
        <f t="shared" ca="1" si="506"/>
        <v>VIGENTE</v>
      </c>
      <c r="EA151" s="4"/>
      <c r="EB151" s="4">
        <v>45583</v>
      </c>
      <c r="EC151" s="4">
        <f>DATE(YEAR(EB151)+2,MONTH(EB151),DAY(EB151)-1)</f>
        <v>46312</v>
      </c>
      <c r="ED151" s="8">
        <f t="shared" ca="1" si="507"/>
        <v>178</v>
      </c>
      <c r="EE151" s="5" t="str">
        <f t="shared" ca="1" si="508"/>
        <v>VIGENTE</v>
      </c>
      <c r="EF151" s="3"/>
      <c r="EG151" s="3">
        <v>46085</v>
      </c>
      <c r="EH151" s="4">
        <f t="shared" si="575"/>
        <v>46450</v>
      </c>
      <c r="EI151" s="8">
        <f t="shared" ca="1" si="509"/>
        <v>316</v>
      </c>
      <c r="EJ151" s="5" t="str">
        <f t="shared" ca="1" si="510"/>
        <v>VIGENTE</v>
      </c>
      <c r="EK151" s="4"/>
      <c r="EL151" s="4">
        <v>45671</v>
      </c>
      <c r="EM151" s="4">
        <f>DATE(YEAR(EL151)+2,MONTH(EL151),DAY(EL151)-1)</f>
        <v>46400</v>
      </c>
      <c r="EN151" s="8">
        <f t="shared" ca="1" si="511"/>
        <v>266</v>
      </c>
      <c r="EO151" s="5" t="str">
        <f t="shared" ca="1" si="512"/>
        <v>VIGENTE</v>
      </c>
      <c r="EP151" s="4"/>
      <c r="EQ151" s="4">
        <v>45677</v>
      </c>
      <c r="ER151" s="4">
        <f>DATE(YEAR(EQ151)+2,MONTH(EQ151),DAY(EQ151)-1)</f>
        <v>46406</v>
      </c>
      <c r="ES151" s="8">
        <f t="shared" ca="1" si="513"/>
        <v>272</v>
      </c>
      <c r="ET151" s="5" t="str">
        <f t="shared" ca="1" si="514"/>
        <v>VIGENTE</v>
      </c>
      <c r="EU151" s="3"/>
      <c r="EV151" s="4">
        <v>45953</v>
      </c>
      <c r="EW151" s="4">
        <f t="shared" si="593"/>
        <v>46683</v>
      </c>
      <c r="EX151" s="8">
        <f t="shared" ca="1" si="515"/>
        <v>549</v>
      </c>
      <c r="EY151" s="5" t="str">
        <f t="shared" ca="1" si="516"/>
        <v>VIGENTE</v>
      </c>
      <c r="EZ151" s="3"/>
      <c r="FA151" s="4">
        <v>45931</v>
      </c>
      <c r="FB151" s="4">
        <f t="shared" si="594"/>
        <v>46661</v>
      </c>
      <c r="FC151" s="8">
        <f t="shared" ca="1" si="517"/>
        <v>527</v>
      </c>
      <c r="FD151" s="5" t="str">
        <f t="shared" ca="1" si="518"/>
        <v>VIGENTE</v>
      </c>
      <c r="FE151" s="3"/>
      <c r="FF151" s="4">
        <v>45992</v>
      </c>
      <c r="FG151" s="4">
        <f t="shared" si="595"/>
        <v>46722</v>
      </c>
      <c r="FH151" s="8">
        <f t="shared" ca="1" si="519"/>
        <v>588</v>
      </c>
      <c r="FI151" s="5" t="str">
        <f t="shared" ca="1" si="520"/>
        <v>VIGENTE</v>
      </c>
      <c r="FJ151" s="3"/>
      <c r="FK151" s="4">
        <v>45738</v>
      </c>
      <c r="FL151" s="4">
        <f>DATE(YEAR(FK151)+2,MONTH(FK151),DAY(FK151)-1)</f>
        <v>46467</v>
      </c>
      <c r="FM151" s="8">
        <f t="shared" ca="1" si="521"/>
        <v>333</v>
      </c>
      <c r="FN151" s="5" t="str">
        <f t="shared" ca="1" si="522"/>
        <v>VIGENTE</v>
      </c>
      <c r="FO151" s="4"/>
      <c r="FP151" s="4">
        <v>45678</v>
      </c>
      <c r="FQ151" s="4">
        <f>DATE(YEAR(FP151)+2,MONTH(FP151),DAY(FP151)-1)</f>
        <v>46407</v>
      </c>
      <c r="FR151" s="8">
        <f t="shared" ca="1" si="523"/>
        <v>273</v>
      </c>
      <c r="FS151" s="5" t="str">
        <f t="shared" ca="1" si="524"/>
        <v>VIGENTE</v>
      </c>
      <c r="FT151" s="3"/>
      <c r="FU151" s="4">
        <v>46014</v>
      </c>
      <c r="FV151" s="4">
        <f>DATE(YEAR(FU151)+2,MONTH(FU151),DAY(FU151))</f>
        <v>46744</v>
      </c>
      <c r="FW151" s="8">
        <f t="shared" ca="1" si="525"/>
        <v>610</v>
      </c>
      <c r="FX151" s="5" t="str">
        <f t="shared" ca="1" si="526"/>
        <v>VIGENTE</v>
      </c>
      <c r="FY151" s="4"/>
      <c r="FZ151" s="4">
        <v>45667</v>
      </c>
      <c r="GA151" s="4">
        <f>DATE(YEAR(FZ151)+2,MONTH(FZ151),DAY(FZ151)-1)</f>
        <v>46396</v>
      </c>
      <c r="GB151" s="8">
        <f t="shared" ca="1" si="527"/>
        <v>262</v>
      </c>
      <c r="GC151" s="5" t="str">
        <f t="shared" ca="1" si="528"/>
        <v>VIGENTE</v>
      </c>
      <c r="GD151" s="4"/>
      <c r="GE151" s="4">
        <v>45672</v>
      </c>
      <c r="GF151" s="4">
        <f>DATE(YEAR(GE151)+2,MONTH(GE151),DAY(GE151)-1)</f>
        <v>46401</v>
      </c>
      <c r="GG151" s="8">
        <f t="shared" ca="1" si="529"/>
        <v>267</v>
      </c>
      <c r="GH151" s="5" t="str">
        <f t="shared" ca="1" si="530"/>
        <v>VIGENTE</v>
      </c>
      <c r="GI151" s="4"/>
      <c r="GJ151" s="4">
        <v>45633</v>
      </c>
      <c r="GK151" s="4">
        <f>DATE(YEAR(GJ151)+2,MONTH(GJ151),DAY(GJ151)-1)</f>
        <v>46362</v>
      </c>
      <c r="GL151" s="8">
        <f t="shared" ca="1" si="531"/>
        <v>228</v>
      </c>
      <c r="GM151" s="5" t="str">
        <f t="shared" ca="1" si="532"/>
        <v>VIGENTE</v>
      </c>
      <c r="GN151" s="4"/>
      <c r="GO151" s="4">
        <v>45299</v>
      </c>
      <c r="GP151" s="4">
        <f t="shared" si="533"/>
        <v>47126</v>
      </c>
      <c r="GQ151" s="8">
        <f t="shared" ca="1" si="418"/>
        <v>992</v>
      </c>
      <c r="GR151" s="5" t="str">
        <f t="shared" ca="1" si="431"/>
        <v>VIGENTE</v>
      </c>
      <c r="GS151" s="3"/>
      <c r="GT151" s="4">
        <v>45195</v>
      </c>
      <c r="GU151" s="4">
        <f t="shared" si="534"/>
        <v>47022</v>
      </c>
      <c r="GV151" s="8">
        <f t="shared" ca="1" si="535"/>
        <v>888</v>
      </c>
      <c r="GW151" s="5" t="str">
        <f t="shared" ca="1" si="438"/>
        <v>VIGENTE</v>
      </c>
      <c r="GX151" s="3"/>
      <c r="GY151" s="4">
        <v>45258</v>
      </c>
      <c r="GZ151" s="4">
        <f t="shared" si="536"/>
        <v>47085</v>
      </c>
      <c r="HA151" s="8">
        <f t="shared" ca="1" si="537"/>
        <v>951</v>
      </c>
      <c r="HB151" s="5" t="str">
        <f t="shared" ca="1" si="433"/>
        <v>VIGENTE</v>
      </c>
      <c r="HC151" s="6"/>
      <c r="HD151" s="4">
        <v>44879</v>
      </c>
      <c r="HE151" s="4">
        <f t="shared" si="598"/>
        <v>46705</v>
      </c>
      <c r="HF151" s="8">
        <f t="shared" ca="1" si="599"/>
        <v>571</v>
      </c>
      <c r="HG151" s="5" t="str">
        <f t="shared" ca="1" si="439"/>
        <v>VIGENTE</v>
      </c>
      <c r="HH151" s="2"/>
      <c r="HI151" s="6"/>
      <c r="HJ151" s="4"/>
      <c r="HK151" s="8"/>
      <c r="HL151" s="5" t="str">
        <f t="shared" si="457"/>
        <v>NO APLICA</v>
      </c>
      <c r="HM151" s="2"/>
      <c r="HN151" s="2"/>
      <c r="HO151" s="4"/>
      <c r="HP151" s="2"/>
      <c r="HQ151" s="5" t="str">
        <f t="shared" si="538"/>
        <v>NO APLICA</v>
      </c>
      <c r="HR151" s="3"/>
      <c r="HS151" s="4">
        <v>45306</v>
      </c>
      <c r="HT151" s="4">
        <f>DATE(YEAR(HS151)+5,MONTH(HS151),DAY(HS151))</f>
        <v>47133</v>
      </c>
      <c r="HU151" s="8">
        <f ca="1">HT151-TODAY()</f>
        <v>999</v>
      </c>
      <c r="HV151" s="5" t="str">
        <f t="shared" ca="1" si="539"/>
        <v>VIGENTE</v>
      </c>
      <c r="HW151" s="3"/>
      <c r="HX151" s="4">
        <v>45475</v>
      </c>
      <c r="HY151" s="4">
        <f>DATE(YEAR(HX151)+5,MONTH(HX151),DAY(HX151))</f>
        <v>47301</v>
      </c>
      <c r="HZ151" s="8">
        <f ca="1">HY151-TODAY()</f>
        <v>1167</v>
      </c>
      <c r="IA151" s="5" t="str">
        <f t="shared" ca="1" si="540"/>
        <v>VIGENTE</v>
      </c>
      <c r="IB151" s="2"/>
      <c r="IC151" s="4">
        <v>45024</v>
      </c>
      <c r="ID151" s="4">
        <f>DATE(YEAR(IC151)+5,MONTH(IC151),DAY(IC151))</f>
        <v>46851</v>
      </c>
      <c r="IE151" s="8">
        <f ca="1">ID151-TODAY()</f>
        <v>717</v>
      </c>
      <c r="IF151" s="5" t="str">
        <f t="shared" ca="1" si="541"/>
        <v>VIGENTE</v>
      </c>
      <c r="IG151" s="4"/>
      <c r="IH151" s="4">
        <v>45455</v>
      </c>
      <c r="II151" s="4">
        <f>DATE(YEAR(IH151)+5,MONTH(IH151),DAY(IH151))</f>
        <v>47281</v>
      </c>
      <c r="IJ151" s="8">
        <f ca="1">II151-TODAY()</f>
        <v>1147</v>
      </c>
      <c r="IK151" s="5" t="str">
        <f t="shared" ca="1" si="542"/>
        <v>VIGENTE</v>
      </c>
      <c r="IL151" s="3"/>
      <c r="IM151" s="4">
        <v>45460</v>
      </c>
      <c r="IN151" s="4">
        <f>DATE(YEAR(IM151)+5,MONTH(IM151),DAY(IM151))</f>
        <v>47286</v>
      </c>
      <c r="IO151" s="8">
        <f ca="1">IN151-TODAY()</f>
        <v>1152</v>
      </c>
      <c r="IP151" s="5" t="str">
        <f t="shared" ca="1" si="543"/>
        <v>VIGENTE</v>
      </c>
      <c r="IQ151" s="3"/>
      <c r="IR151" s="4">
        <v>45240</v>
      </c>
      <c r="IS151" s="4">
        <f>DATE(YEAR(IR151)+5,MONTH(IR151),DAY(IR151))</f>
        <v>47067</v>
      </c>
      <c r="IT151" s="8">
        <f ca="1">IS151-TODAY()</f>
        <v>933</v>
      </c>
      <c r="IU151" s="5" t="str">
        <f t="shared" ca="1" si="544"/>
        <v>VIGENTE</v>
      </c>
      <c r="IV151" s="3"/>
      <c r="IW151" s="4">
        <v>45289</v>
      </c>
      <c r="IX151" s="4">
        <f>DATE(YEAR(IW151)+5,MONTH(IW151),DAY(IW151))</f>
        <v>47116</v>
      </c>
      <c r="IY151" s="8">
        <f ca="1">IX151-TODAY()</f>
        <v>982</v>
      </c>
      <c r="IZ151" s="5" t="str">
        <f t="shared" ca="1" si="545"/>
        <v>VIGENTE</v>
      </c>
      <c r="JA151" s="3"/>
      <c r="JB151" s="3"/>
      <c r="JC151" s="4"/>
      <c r="JD151" s="8"/>
      <c r="JE151" s="5" t="str">
        <f t="shared" si="546"/>
        <v>NO APLICA</v>
      </c>
      <c r="JF151" s="6"/>
      <c r="JG151" s="6"/>
      <c r="JH151" s="6"/>
      <c r="JI151" s="6"/>
      <c r="JJ151" s="5" t="str">
        <f t="shared" si="547"/>
        <v>NO APLICA</v>
      </c>
      <c r="JK151" s="6"/>
      <c r="JL151" s="6"/>
      <c r="JM151" s="6"/>
      <c r="JN151" s="6"/>
      <c r="JO151" s="5" t="str">
        <f t="shared" si="548"/>
        <v>NO APLICA</v>
      </c>
      <c r="JP151" s="6"/>
      <c r="JQ151" s="6"/>
      <c r="JR151" s="6"/>
      <c r="JS151" s="6"/>
      <c r="JT151" s="5" t="str">
        <f t="shared" si="549"/>
        <v>NO APLICA</v>
      </c>
      <c r="JU151" s="5"/>
      <c r="JV151" s="5"/>
      <c r="JW151" s="5"/>
      <c r="JX151" s="5"/>
      <c r="JY151" s="5" t="str">
        <f t="shared" si="550"/>
        <v>NO APLICA</v>
      </c>
      <c r="JZ151" s="5"/>
      <c r="KA151" s="2"/>
      <c r="KB151" s="4"/>
      <c r="KC151" s="8"/>
      <c r="KD151" s="5" t="str">
        <f t="shared" si="551"/>
        <v>NO APLICA</v>
      </c>
      <c r="KE151" s="5"/>
      <c r="KF151" s="3">
        <v>45328</v>
      </c>
      <c r="KG151" s="4">
        <f>DATE(YEAR(KF151)+5,MONTH(KF151),DAY(KF151)-1)</f>
        <v>47154</v>
      </c>
      <c r="KH151" s="8">
        <f ca="1">KG151-TODAY()</f>
        <v>1020</v>
      </c>
      <c r="KI151" s="5" t="str">
        <f t="shared" ca="1" si="576"/>
        <v>VIGENTE</v>
      </c>
      <c r="KJ151" s="5"/>
      <c r="KK151" s="2"/>
      <c r="KL151" s="4"/>
      <c r="KM151" s="8"/>
      <c r="KN151" s="5" t="str">
        <f t="shared" si="552"/>
        <v>NO APLICA</v>
      </c>
      <c r="KO151" s="5"/>
      <c r="KP151" s="2"/>
      <c r="KQ151" s="4"/>
      <c r="KR151" s="8"/>
      <c r="KS151" s="5" t="str">
        <f t="shared" si="577"/>
        <v>NO APLICA</v>
      </c>
      <c r="KT151" s="3"/>
      <c r="KU151" s="4">
        <v>44651</v>
      </c>
      <c r="KV151" s="4">
        <f>DATE(YEAR(KU151)+5,MONTH(KU151),DAY(KU151))</f>
        <v>46477</v>
      </c>
      <c r="KW151" s="8">
        <f ca="1">KV151-TODAY()</f>
        <v>343</v>
      </c>
      <c r="KX151" s="5" t="str">
        <f t="shared" ca="1" si="583"/>
        <v>VIGENTE</v>
      </c>
      <c r="KY151" s="5"/>
      <c r="KZ151" s="6"/>
      <c r="LA151" s="4"/>
      <c r="LB151" s="8"/>
      <c r="LC151" s="5" t="str">
        <f t="shared" si="578"/>
        <v>NO APLICA</v>
      </c>
      <c r="LD151" s="6"/>
      <c r="LE151" s="4"/>
      <c r="LF151" s="4"/>
      <c r="LG151" s="8"/>
      <c r="LH151" s="5" t="str">
        <f t="shared" si="585"/>
        <v>NO APLICA</v>
      </c>
      <c r="LI151" s="5"/>
      <c r="LJ151" s="5"/>
      <c r="LK151" s="5"/>
      <c r="LL151" s="5"/>
      <c r="LM151" s="5" t="str">
        <f t="shared" si="584"/>
        <v>NO APLICA</v>
      </c>
      <c r="LN151" s="2"/>
      <c r="LO151" s="6"/>
      <c r="LP151" s="4"/>
      <c r="LQ151" s="8"/>
      <c r="LR151" s="5" t="str">
        <f t="shared" si="579"/>
        <v>NO APLICA</v>
      </c>
      <c r="LS151" s="6"/>
      <c r="LT151" s="6"/>
      <c r="LU151" s="4"/>
      <c r="LV151" s="8"/>
      <c r="LW151" s="5" t="str">
        <f t="shared" si="580"/>
        <v>NO APLICA</v>
      </c>
      <c r="LX151" s="6"/>
      <c r="LY151" s="6"/>
      <c r="LZ151" s="4"/>
      <c r="MA151" s="8"/>
      <c r="MB151" s="5" t="str">
        <f t="shared" si="581"/>
        <v>NO APLICA</v>
      </c>
      <c r="MC151" s="2"/>
      <c r="MD151" s="2"/>
      <c r="ME151" s="4"/>
      <c r="MF151" s="8"/>
      <c r="MG151" s="5" t="str">
        <f t="shared" si="554"/>
        <v>NO APLICA</v>
      </c>
      <c r="MH151" s="2"/>
      <c r="MI151" s="2"/>
      <c r="MJ151" s="4"/>
      <c r="MK151" s="8"/>
      <c r="ML151" s="5" t="str">
        <f t="shared" si="555"/>
        <v>NO APLICA</v>
      </c>
      <c r="MM151" s="5"/>
      <c r="MN151" s="2"/>
      <c r="MO151" s="4"/>
      <c r="MP151" s="8"/>
      <c r="MQ151" s="5" t="str">
        <f t="shared" si="556"/>
        <v>NO APLICA</v>
      </c>
      <c r="MR151" s="5"/>
      <c r="MS151" s="2"/>
      <c r="MT151" s="4"/>
      <c r="MU151" s="2"/>
      <c r="MV151" s="5" t="str">
        <f t="shared" si="557"/>
        <v>NO APLICA</v>
      </c>
      <c r="MW151" s="2"/>
      <c r="MX151" s="6"/>
      <c r="MY151" s="4"/>
      <c r="MZ151" s="8"/>
      <c r="NA151" s="5" t="str">
        <f t="shared" si="558"/>
        <v>NO APLICA</v>
      </c>
      <c r="NB151" s="2"/>
      <c r="NC151" s="6"/>
      <c r="ND151" s="4"/>
      <c r="NE151" s="8"/>
      <c r="NF151" s="5" t="str">
        <f t="shared" si="559"/>
        <v>NO APLICA</v>
      </c>
      <c r="NG151" s="2"/>
      <c r="NH151" s="6"/>
      <c r="NI151" s="4"/>
      <c r="NJ151" s="8"/>
      <c r="NK151" s="5" t="str">
        <f t="shared" si="560"/>
        <v>NO APLICA</v>
      </c>
      <c r="NL151" s="2"/>
      <c r="NM151" s="2"/>
      <c r="NN151" s="4"/>
      <c r="NO151" s="2"/>
      <c r="NP151" s="5" t="str">
        <f t="shared" si="561"/>
        <v>NO APLICA</v>
      </c>
      <c r="NQ151" s="2"/>
      <c r="NR151" s="2"/>
      <c r="NS151" s="2"/>
      <c r="NT151" s="2"/>
      <c r="NU151" s="5" t="str">
        <f t="shared" si="562"/>
        <v>NO APLICA</v>
      </c>
      <c r="NV151" s="6"/>
      <c r="NW151" s="6"/>
      <c r="NX151" s="4"/>
      <c r="NY151" s="8"/>
      <c r="NZ151" s="5" t="str">
        <f t="shared" si="563"/>
        <v>NO APLICA</v>
      </c>
      <c r="OA151" s="6"/>
      <c r="OB151" s="6"/>
      <c r="OC151" s="6"/>
      <c r="OD151" s="6"/>
      <c r="OE151" s="5" t="str">
        <f t="shared" si="564"/>
        <v>NO APLICA</v>
      </c>
      <c r="OF151" s="6"/>
      <c r="OG151" s="6"/>
      <c r="OH151" s="4"/>
      <c r="OI151" s="8"/>
      <c r="OJ151" s="5" t="str">
        <f t="shared" si="565"/>
        <v>NO APLICA</v>
      </c>
      <c r="OK151" s="6"/>
      <c r="OL151" s="6"/>
      <c r="OM151" s="6"/>
      <c r="ON151" s="6"/>
      <c r="OO151" s="5" t="str">
        <f t="shared" si="566"/>
        <v>NO APLICA</v>
      </c>
      <c r="OP151" s="6"/>
      <c r="OQ151" s="6"/>
      <c r="OR151" s="6"/>
      <c r="OS151" s="6"/>
      <c r="OT151" s="5" t="str">
        <f t="shared" si="567"/>
        <v>NO APLICA</v>
      </c>
      <c r="OU151" s="6"/>
      <c r="OV151" s="6"/>
      <c r="OW151" s="6"/>
      <c r="OX151" s="6"/>
      <c r="OY151" s="5" t="str">
        <f t="shared" si="568"/>
        <v>NO APLICA</v>
      </c>
      <c r="OZ151" s="6"/>
      <c r="PA151" s="6"/>
      <c r="PB151" s="6"/>
      <c r="PC151" s="6"/>
      <c r="PD151" s="5" t="str">
        <f t="shared" si="569"/>
        <v>NO APLICA</v>
      </c>
      <c r="PE151" s="6"/>
      <c r="PF151" s="6"/>
      <c r="PG151" s="6"/>
      <c r="PH151" s="6"/>
      <c r="PI151" s="5" t="str">
        <f t="shared" si="570"/>
        <v>NO APLICA</v>
      </c>
      <c r="PJ151" s="5"/>
      <c r="PK151" s="6"/>
      <c r="PL151" s="4"/>
      <c r="PM151" s="8"/>
      <c r="PN151" s="5" t="str">
        <f t="shared" si="571"/>
        <v>NO APLICA</v>
      </c>
      <c r="PO151" s="6"/>
      <c r="PP151" s="6"/>
      <c r="PQ151" s="6"/>
      <c r="PR151" s="6"/>
      <c r="PS151" s="5" t="str">
        <f t="shared" si="572"/>
        <v>NO APLICA</v>
      </c>
      <c r="PT151" s="5"/>
      <c r="PU151" s="6"/>
      <c r="PV151" s="6"/>
      <c r="PW151" s="6"/>
      <c r="PX151" s="5" t="str">
        <f t="shared" si="573"/>
        <v>NO APLICA</v>
      </c>
    </row>
    <row r="152" spans="1:440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417</v>
      </c>
      <c r="T152" s="5" t="str">
        <f t="shared" ca="1" si="574"/>
        <v>VIGENTE</v>
      </c>
      <c r="U152" s="2" t="s">
        <v>498</v>
      </c>
      <c r="V152" s="4">
        <v>45309</v>
      </c>
      <c r="W152" s="4">
        <f t="shared" si="421"/>
        <v>47136</v>
      </c>
      <c r="X152" s="8">
        <f t="shared" ca="1" si="422"/>
        <v>1002</v>
      </c>
      <c r="Y152" s="5" t="str">
        <f t="shared" ca="1" si="423"/>
        <v>VIGENTE</v>
      </c>
      <c r="Z152" s="2" t="s">
        <v>499</v>
      </c>
      <c r="AA152" s="4">
        <v>44579</v>
      </c>
      <c r="AB152" s="4">
        <f t="shared" si="596"/>
        <v>46405</v>
      </c>
      <c r="AC152" s="8">
        <f t="shared" ca="1" si="597"/>
        <v>271</v>
      </c>
      <c r="AD152" s="5" t="str">
        <f t="shared" ca="1" si="582"/>
        <v>VIGENTE</v>
      </c>
      <c r="AE152" s="3"/>
      <c r="AF152" s="3">
        <v>45589</v>
      </c>
      <c r="AG152" s="4">
        <f>DATE(YEAR(AF152)+2,MONTH(AF152),DAY(AF152)-1)</f>
        <v>46318</v>
      </c>
      <c r="AH152" s="8">
        <f t="shared" ca="1" si="470"/>
        <v>184</v>
      </c>
      <c r="AI152" s="5" t="str">
        <f t="shared" ca="1" si="419"/>
        <v>VIGENTE</v>
      </c>
      <c r="AJ152" s="3"/>
      <c r="AK152" s="4">
        <v>45937</v>
      </c>
      <c r="AL152" s="4">
        <f t="shared" si="590"/>
        <v>46667</v>
      </c>
      <c r="AM152" s="8">
        <f t="shared" ca="1" si="471"/>
        <v>533</v>
      </c>
      <c r="AN152" s="5" t="str">
        <f t="shared" ca="1" si="472"/>
        <v>VIGENTE</v>
      </c>
      <c r="AO152" s="3"/>
      <c r="AP152" s="4">
        <v>45904</v>
      </c>
      <c r="AQ152" s="4">
        <f t="shared" si="586"/>
        <v>46634</v>
      </c>
      <c r="AR152" s="8">
        <f t="shared" ca="1" si="473"/>
        <v>500</v>
      </c>
      <c r="AS152" s="5" t="str">
        <f t="shared" ca="1" si="474"/>
        <v>VIGENTE</v>
      </c>
      <c r="AT152" s="3"/>
      <c r="AU152" s="4">
        <v>45972</v>
      </c>
      <c r="AV152" s="4">
        <f t="shared" si="587"/>
        <v>46702</v>
      </c>
      <c r="AW152" s="8">
        <f t="shared" ca="1" si="475"/>
        <v>568</v>
      </c>
      <c r="AX152" s="5" t="str">
        <f t="shared" ca="1" si="476"/>
        <v>VIGENTE</v>
      </c>
      <c r="AY152" s="3"/>
      <c r="AZ152" s="4">
        <v>46041</v>
      </c>
      <c r="BA152" s="4">
        <f>DATE(YEAR(AZ152)+2,MONTH(AZ152),DAY(AZ152))</f>
        <v>46771</v>
      </c>
      <c r="BB152" s="8">
        <f t="shared" ca="1" si="477"/>
        <v>637</v>
      </c>
      <c r="BC152" s="5" t="str">
        <f t="shared" ca="1" si="478"/>
        <v>VIGENTE</v>
      </c>
      <c r="BD152" s="3"/>
      <c r="BE152" s="4">
        <v>46027</v>
      </c>
      <c r="BF152" s="4">
        <f t="shared" ref="BF152:BF157" si="600">DATE(YEAR(BE152)+2,MONTH(BE152),DAY(BE152))</f>
        <v>46757</v>
      </c>
      <c r="BG152" s="8">
        <f t="shared" ca="1" si="479"/>
        <v>623</v>
      </c>
      <c r="BH152" s="5" t="str">
        <f t="shared" ca="1" si="480"/>
        <v>VIGENTE</v>
      </c>
      <c r="BI152" s="3"/>
      <c r="BJ152" s="4">
        <v>46051</v>
      </c>
      <c r="BK152" s="4">
        <f>DATE(YEAR(BJ152)+2,MONTH(BJ152),DAY(BJ152))</f>
        <v>46781</v>
      </c>
      <c r="BL152" s="8">
        <f t="shared" ca="1" si="481"/>
        <v>647</v>
      </c>
      <c r="BM152" s="5" t="str">
        <f t="shared" ca="1" si="482"/>
        <v>VIGENTE</v>
      </c>
      <c r="BN152" s="3"/>
      <c r="BO152" s="4">
        <v>46069</v>
      </c>
      <c r="BP152" s="4">
        <f>DATE(YEAR(BO152)+2,MONTH(BO152),DAY(BO152))</f>
        <v>46799</v>
      </c>
      <c r="BQ152" s="8">
        <f t="shared" ca="1" si="483"/>
        <v>665</v>
      </c>
      <c r="BR152" s="5" t="str">
        <f t="shared" ca="1" si="484"/>
        <v>VIGENTE</v>
      </c>
      <c r="BS152" s="3"/>
      <c r="BT152" s="4">
        <v>46063</v>
      </c>
      <c r="BU152" s="4">
        <f>DATE(YEAR(BT152)+2,MONTH(BT152),DAY(BT152))</f>
        <v>46793</v>
      </c>
      <c r="BV152" s="8">
        <f t="shared" ca="1" si="485"/>
        <v>659</v>
      </c>
      <c r="BW152" s="5" t="str">
        <f t="shared" ca="1" si="486"/>
        <v>VIGENTE</v>
      </c>
      <c r="BX152" s="3"/>
      <c r="BY152" s="4">
        <v>45944</v>
      </c>
      <c r="BZ152" s="4">
        <f t="shared" si="592"/>
        <v>46674</v>
      </c>
      <c r="CA152" s="8">
        <f t="shared" ca="1" si="487"/>
        <v>540</v>
      </c>
      <c r="CB152" s="5" t="str">
        <f t="shared" ca="1" si="488"/>
        <v>VIGENTE</v>
      </c>
      <c r="CC152" s="6" t="s">
        <v>73</v>
      </c>
      <c r="CD152" s="4">
        <v>45247</v>
      </c>
      <c r="CE152" s="4">
        <f t="shared" si="428"/>
        <v>46708</v>
      </c>
      <c r="CF152" s="8">
        <f t="shared" ca="1" si="429"/>
        <v>574</v>
      </c>
      <c r="CG152" s="5" t="str">
        <f t="shared" ca="1" si="591"/>
        <v>VIGENTE</v>
      </c>
      <c r="CH152" s="4"/>
      <c r="CI152" s="4">
        <v>45895</v>
      </c>
      <c r="CJ152" s="4">
        <f>DATE(YEAR(CI152)+2,MONTH(CI152),DAY(CI152))</f>
        <v>46625</v>
      </c>
      <c r="CK152" s="8">
        <f t="shared" ca="1" si="489"/>
        <v>491</v>
      </c>
      <c r="CL152" s="5" t="str">
        <f t="shared" ca="1" si="490"/>
        <v>VIGENTE</v>
      </c>
      <c r="CM152" s="3"/>
      <c r="CN152" s="4">
        <v>45517</v>
      </c>
      <c r="CO152" s="4">
        <f>DATE(YEAR(CN152)+2,MONTH(CN152),DAY(CN152)-1)</f>
        <v>46246</v>
      </c>
      <c r="CP152" s="8">
        <f t="shared" ca="1" si="491"/>
        <v>112</v>
      </c>
      <c r="CQ152" s="5" t="str">
        <f t="shared" ca="1" si="492"/>
        <v>VIGENTE</v>
      </c>
      <c r="CR152" s="3"/>
      <c r="CS152" s="4">
        <v>45631</v>
      </c>
      <c r="CT152" s="4">
        <f>DATE(YEAR(CS152)+2,MONTH(CS152),DAY(CS152)-1)</f>
        <v>46360</v>
      </c>
      <c r="CU152" s="8">
        <f t="shared" ca="1" si="493"/>
        <v>226</v>
      </c>
      <c r="CV152" s="5" t="str">
        <f t="shared" ca="1" si="494"/>
        <v>VIGENTE</v>
      </c>
      <c r="CW152" s="3"/>
      <c r="CX152" s="4">
        <v>45744</v>
      </c>
      <c r="CY152" s="4">
        <f>DATE(YEAR(CX152)+2,MONTH(CX152),DAY(CX152)-1)</f>
        <v>46473</v>
      </c>
      <c r="CZ152" s="8">
        <f t="shared" ca="1" si="495"/>
        <v>339</v>
      </c>
      <c r="DA152" s="5" t="str">
        <f t="shared" ca="1" si="496"/>
        <v>VIGENTE</v>
      </c>
      <c r="DB152" s="3"/>
      <c r="DC152" s="4">
        <v>45689</v>
      </c>
      <c r="DD152" s="4">
        <f>DATE(YEAR(DC152)+2,MONTH(DC152),DAY(DC152)-1)</f>
        <v>46418</v>
      </c>
      <c r="DE152" s="8">
        <f t="shared" ca="1" si="497"/>
        <v>284</v>
      </c>
      <c r="DF152" s="5" t="str">
        <f t="shared" ca="1" si="498"/>
        <v>VIGENTE</v>
      </c>
      <c r="DG152" s="3"/>
      <c r="DH152" s="4">
        <v>45696</v>
      </c>
      <c r="DI152" s="4">
        <f>DATE(YEAR(DH152)+2,MONTH(DH152),DAY(DH152)-1)</f>
        <v>46425</v>
      </c>
      <c r="DJ152" s="8">
        <f t="shared" ca="1" si="499"/>
        <v>291</v>
      </c>
      <c r="DK152" s="5" t="str">
        <f t="shared" ca="1" si="500"/>
        <v>VIGENTE</v>
      </c>
      <c r="DL152" s="3"/>
      <c r="DM152" s="4">
        <v>45982</v>
      </c>
      <c r="DN152" s="4">
        <f>DATE(YEAR(DM152)+2,MONTH(DM152),DAY(DM152))</f>
        <v>46712</v>
      </c>
      <c r="DO152" s="8">
        <f t="shared" ca="1" si="501"/>
        <v>578</v>
      </c>
      <c r="DP152" s="5" t="str">
        <f t="shared" ca="1" si="502"/>
        <v>VIGENTE</v>
      </c>
      <c r="DQ152" s="3"/>
      <c r="DR152" s="4">
        <v>46072</v>
      </c>
      <c r="DS152" s="4">
        <f>DATE(YEAR(DR152)+2,MONTH(DR152),DAY(DR152))</f>
        <v>46802</v>
      </c>
      <c r="DT152" s="8">
        <f t="shared" ca="1" si="503"/>
        <v>668</v>
      </c>
      <c r="DU152" s="5" t="str">
        <f t="shared" ca="1" si="504"/>
        <v>VIGENTE</v>
      </c>
      <c r="DV152" s="3"/>
      <c r="DW152" s="4">
        <v>45682</v>
      </c>
      <c r="DX152" s="4">
        <f>DATE(YEAR(DW152)+2,MONTH(DW152),DAY(DW152)-1)</f>
        <v>46411</v>
      </c>
      <c r="DY152" s="8">
        <f t="shared" ca="1" si="505"/>
        <v>277</v>
      </c>
      <c r="DZ152" s="5" t="str">
        <f t="shared" ca="1" si="506"/>
        <v>VIGENTE</v>
      </c>
      <c r="EA152" s="3"/>
      <c r="EB152" s="4">
        <v>45674</v>
      </c>
      <c r="EC152" s="4">
        <f>DATE(YEAR(EB152)+2,MONTH(EB152),DAY(EB152)-1)</f>
        <v>46403</v>
      </c>
      <c r="ED152" s="8">
        <f t="shared" ca="1" si="507"/>
        <v>269</v>
      </c>
      <c r="EE152" s="5" t="str">
        <f t="shared" ca="1" si="508"/>
        <v>VIGENTE</v>
      </c>
      <c r="EF152" s="3"/>
      <c r="EG152" s="4">
        <v>45812</v>
      </c>
      <c r="EH152" s="4">
        <f t="shared" si="575"/>
        <v>46177</v>
      </c>
      <c r="EI152" s="8">
        <f t="shared" ca="1" si="509"/>
        <v>43</v>
      </c>
      <c r="EJ152" s="5" t="str">
        <f t="shared" ca="1" si="510"/>
        <v>POR VENCER</v>
      </c>
      <c r="EK152" s="3"/>
      <c r="EL152" s="4">
        <v>45671</v>
      </c>
      <c r="EM152" s="4">
        <f>DATE(YEAR(EL152)+2,MONTH(EL152),DAY(EL152)-1)</f>
        <v>46400</v>
      </c>
      <c r="EN152" s="8">
        <f t="shared" ca="1" si="511"/>
        <v>266</v>
      </c>
      <c r="EO152" s="5" t="str">
        <f t="shared" ca="1" si="512"/>
        <v>VIGENTE</v>
      </c>
      <c r="EP152" s="3"/>
      <c r="EQ152" s="4">
        <v>46042</v>
      </c>
      <c r="ER152" s="4">
        <f>DATE(YEAR(EQ152)+2,MONTH(EQ152),DAY(EQ152))</f>
        <v>46772</v>
      </c>
      <c r="ES152" s="8">
        <f t="shared" ca="1" si="513"/>
        <v>638</v>
      </c>
      <c r="ET152" s="5" t="str">
        <f t="shared" ca="1" si="514"/>
        <v>VIGENTE</v>
      </c>
      <c r="EU152" s="3"/>
      <c r="EV152" s="4">
        <v>45953</v>
      </c>
      <c r="EW152" s="4">
        <f t="shared" si="593"/>
        <v>46683</v>
      </c>
      <c r="EX152" s="8">
        <f t="shared" ca="1" si="515"/>
        <v>549</v>
      </c>
      <c r="EY152" s="5" t="str">
        <f t="shared" ca="1" si="516"/>
        <v>VIGENTE</v>
      </c>
      <c r="EZ152" s="3"/>
      <c r="FA152" s="4">
        <v>45922</v>
      </c>
      <c r="FB152" s="4">
        <f t="shared" si="594"/>
        <v>46652</v>
      </c>
      <c r="FC152" s="8">
        <f t="shared" ca="1" si="517"/>
        <v>518</v>
      </c>
      <c r="FD152" s="5" t="str">
        <f t="shared" ca="1" si="518"/>
        <v>VIGENTE</v>
      </c>
      <c r="FE152" s="3"/>
      <c r="FF152" s="4">
        <v>45919</v>
      </c>
      <c r="FG152" s="4">
        <f t="shared" si="595"/>
        <v>46649</v>
      </c>
      <c r="FH152" s="8">
        <f t="shared" ca="1" si="519"/>
        <v>515</v>
      </c>
      <c r="FI152" s="5" t="str">
        <f t="shared" ca="1" si="520"/>
        <v>VIGENTE</v>
      </c>
      <c r="FJ152" s="3"/>
      <c r="FK152" s="4">
        <v>45670</v>
      </c>
      <c r="FL152" s="4">
        <f>DATE(YEAR(FK152)+2,MONTH(FK152),DAY(FK152)-1)</f>
        <v>46399</v>
      </c>
      <c r="FM152" s="8">
        <f t="shared" ca="1" si="521"/>
        <v>265</v>
      </c>
      <c r="FN152" s="5" t="str">
        <f t="shared" ca="1" si="522"/>
        <v>VIGENTE</v>
      </c>
      <c r="FO152" s="3"/>
      <c r="FP152" s="4">
        <v>45678</v>
      </c>
      <c r="FQ152" s="4">
        <f>DATE(YEAR(FP152)+2,MONTH(FP152),DAY(FP152)-1)</f>
        <v>46407</v>
      </c>
      <c r="FR152" s="8">
        <f t="shared" ca="1" si="523"/>
        <v>273</v>
      </c>
      <c r="FS152" s="5" t="str">
        <f t="shared" ca="1" si="524"/>
        <v>VIGENTE</v>
      </c>
      <c r="FT152" s="4"/>
      <c r="FU152" s="4">
        <v>45574</v>
      </c>
      <c r="FV152" s="4">
        <f>DATE(YEAR(FU152)+2,MONTH(FU152),DAY(FU152)-1)</f>
        <v>46303</v>
      </c>
      <c r="FW152" s="8">
        <f t="shared" ca="1" si="525"/>
        <v>169</v>
      </c>
      <c r="FX152" s="5" t="str">
        <f t="shared" ca="1" si="526"/>
        <v>VIGENTE</v>
      </c>
      <c r="FY152" s="3"/>
      <c r="FZ152" s="4">
        <v>46030</v>
      </c>
      <c r="GA152" s="4">
        <f>DATE(YEAR(FZ152)+2,MONTH(FZ152),DAY(FZ152))</f>
        <v>46760</v>
      </c>
      <c r="GB152" s="8">
        <f t="shared" ca="1" si="527"/>
        <v>626</v>
      </c>
      <c r="GC152" s="5" t="str">
        <f t="shared" ca="1" si="528"/>
        <v>VIGENTE</v>
      </c>
      <c r="GD152" s="3"/>
      <c r="GE152" s="4">
        <v>45672</v>
      </c>
      <c r="GF152" s="4">
        <f>DATE(YEAR(GE152)+2,MONTH(GE152),DAY(GE152)-1)</f>
        <v>46401</v>
      </c>
      <c r="GG152" s="8">
        <f t="shared" ca="1" si="529"/>
        <v>267</v>
      </c>
      <c r="GH152" s="5" t="str">
        <f t="shared" ca="1" si="530"/>
        <v>VIGENTE</v>
      </c>
      <c r="GI152" s="3"/>
      <c r="GJ152" s="4">
        <v>45848</v>
      </c>
      <c r="GK152" s="4">
        <f>DATE(YEAR(GJ152)+2,MONTH(GJ152),DAY(GJ152))</f>
        <v>46578</v>
      </c>
      <c r="GL152" s="8">
        <f t="shared" ca="1" si="531"/>
        <v>444</v>
      </c>
      <c r="GM152" s="5" t="str">
        <f t="shared" ca="1" si="532"/>
        <v>VIGENTE</v>
      </c>
      <c r="GN152" s="4"/>
      <c r="GO152" s="4">
        <v>45219</v>
      </c>
      <c r="GP152" s="4">
        <f t="shared" si="533"/>
        <v>47046</v>
      </c>
      <c r="GQ152" s="8">
        <f t="shared" ca="1" si="418"/>
        <v>912</v>
      </c>
      <c r="GR152" s="5" t="str">
        <f t="shared" ca="1" si="431"/>
        <v>VIGENTE</v>
      </c>
      <c r="GS152" s="3"/>
      <c r="GT152" s="4">
        <v>45200</v>
      </c>
      <c r="GU152" s="4">
        <f t="shared" si="534"/>
        <v>47027</v>
      </c>
      <c r="GV152" s="8">
        <f t="shared" ca="1" si="535"/>
        <v>893</v>
      </c>
      <c r="GW152" s="5" t="str">
        <f t="shared" ca="1" si="438"/>
        <v>VIGENTE</v>
      </c>
      <c r="GX152" s="3"/>
      <c r="GY152" s="4">
        <v>45251</v>
      </c>
      <c r="GZ152" s="4">
        <f t="shared" si="536"/>
        <v>47078</v>
      </c>
      <c r="HA152" s="8">
        <f t="shared" ca="1" si="537"/>
        <v>944</v>
      </c>
      <c r="HB152" s="5" t="str">
        <f t="shared" ca="1" si="433"/>
        <v>VIGENTE</v>
      </c>
      <c r="HC152" s="6"/>
      <c r="HD152" s="4">
        <v>45020</v>
      </c>
      <c r="HE152" s="4">
        <f t="shared" si="598"/>
        <v>46847</v>
      </c>
      <c r="HF152" s="8">
        <f t="shared" ca="1" si="599"/>
        <v>713</v>
      </c>
      <c r="HG152" s="5" t="str">
        <f t="shared" ca="1" si="439"/>
        <v>VIGENTE</v>
      </c>
      <c r="HH152" s="2"/>
      <c r="HI152" s="4">
        <v>45341</v>
      </c>
      <c r="HJ152" s="4">
        <f>DATE(YEAR(HI152)+5,MONTH(HI152),DAY(HI152))</f>
        <v>47168</v>
      </c>
      <c r="HK152" s="8">
        <f ca="1">HJ152-TODAY()</f>
        <v>1034</v>
      </c>
      <c r="HL152" s="5" t="str">
        <f t="shared" ca="1" si="457"/>
        <v>VIGENTE</v>
      </c>
      <c r="HM152" s="3"/>
      <c r="HN152" s="3">
        <v>45698</v>
      </c>
      <c r="HO152" s="4">
        <f>DATE(YEAR(HN152)+5,MONTH(HN152),DAY(HN152))</f>
        <v>47524</v>
      </c>
      <c r="HP152" s="8">
        <f ca="1">HO152-TODAY()</f>
        <v>1390</v>
      </c>
      <c r="HQ152" s="5" t="str">
        <f t="shared" ca="1" si="538"/>
        <v>VIGENTE</v>
      </c>
      <c r="HR152" s="3"/>
      <c r="HS152" s="4">
        <v>45469</v>
      </c>
      <c r="HT152" s="4">
        <f>DATE(YEAR(HS152)+5,MONTH(HS152),DAY(HS152))</f>
        <v>47295</v>
      </c>
      <c r="HU152" s="8">
        <f ca="1">HT152-TODAY()</f>
        <v>1161</v>
      </c>
      <c r="HV152" s="5" t="str">
        <f t="shared" ca="1" si="539"/>
        <v>VIGENTE</v>
      </c>
      <c r="HW152" s="3"/>
      <c r="HX152" s="4">
        <v>45234</v>
      </c>
      <c r="HY152" s="4">
        <f>DATE(YEAR(HX152)+5,MONTH(HX152),DAY(HX152))</f>
        <v>47061</v>
      </c>
      <c r="HZ152" s="8">
        <f ca="1">HY152-TODAY()</f>
        <v>927</v>
      </c>
      <c r="IA152" s="5" t="str">
        <f t="shared" ca="1" si="540"/>
        <v>VIGENTE</v>
      </c>
      <c r="IB152" s="3"/>
      <c r="IC152" s="4">
        <v>45192</v>
      </c>
      <c r="ID152" s="4">
        <f>DATE(YEAR(IC152)+5,MONTH(IC152),DAY(IC152))</f>
        <v>47019</v>
      </c>
      <c r="IE152" s="8">
        <f ca="1">ID152-TODAY()</f>
        <v>885</v>
      </c>
      <c r="IF152" s="5" t="str">
        <f t="shared" ca="1" si="541"/>
        <v>VIGENTE</v>
      </c>
      <c r="IG152" s="4"/>
      <c r="IH152" s="4">
        <v>45237</v>
      </c>
      <c r="II152" s="4">
        <f>DATE(YEAR(IH152)+5,MONTH(IH152),DAY(IH152))</f>
        <v>47064</v>
      </c>
      <c r="IJ152" s="8">
        <f ca="1">II152-TODAY()</f>
        <v>930</v>
      </c>
      <c r="IK152" s="5" t="str">
        <f t="shared" ca="1" si="542"/>
        <v>VIGENTE</v>
      </c>
      <c r="IL152" s="3"/>
      <c r="IM152" s="4">
        <v>45259</v>
      </c>
      <c r="IN152" s="4">
        <f>DATE(YEAR(IM152)+5,MONTH(IM152),DAY(IM152))</f>
        <v>47086</v>
      </c>
      <c r="IO152" s="8">
        <f ca="1">IN152-TODAY()</f>
        <v>952</v>
      </c>
      <c r="IP152" s="5" t="str">
        <f t="shared" ca="1" si="543"/>
        <v>VIGENTE</v>
      </c>
      <c r="IQ152" s="3"/>
      <c r="IR152" s="4">
        <v>45199</v>
      </c>
      <c r="IS152" s="4">
        <f>DATE(YEAR(IR152)+5,MONTH(IR152),DAY(IR152))</f>
        <v>47026</v>
      </c>
      <c r="IT152" s="8">
        <f ca="1">IS152-TODAY()</f>
        <v>892</v>
      </c>
      <c r="IU152" s="5" t="str">
        <f t="shared" ca="1" si="544"/>
        <v>VIGENTE</v>
      </c>
      <c r="IV152" s="3"/>
      <c r="IW152" s="4">
        <v>45197</v>
      </c>
      <c r="IX152" s="4">
        <f>DATE(YEAR(IW152)+5,MONTH(IW152),DAY(IW152))</f>
        <v>47024</v>
      </c>
      <c r="IY152" s="8">
        <f ca="1">IX152-TODAY()</f>
        <v>890</v>
      </c>
      <c r="IZ152" s="5" t="str">
        <f t="shared" ca="1" si="545"/>
        <v>VIGENTE</v>
      </c>
      <c r="JA152" s="3"/>
      <c r="JB152" s="3"/>
      <c r="JC152" s="4"/>
      <c r="JD152" s="8"/>
      <c r="JE152" s="5" t="str">
        <f t="shared" si="546"/>
        <v>NO APLICA</v>
      </c>
      <c r="JF152" s="6"/>
      <c r="JG152" s="6"/>
      <c r="JH152" s="6"/>
      <c r="JI152" s="6"/>
      <c r="JJ152" s="5" t="str">
        <f t="shared" si="547"/>
        <v>NO APLICA</v>
      </c>
      <c r="JK152" s="6"/>
      <c r="JL152" s="6"/>
      <c r="JM152" s="6"/>
      <c r="JN152" s="6"/>
      <c r="JO152" s="5" t="str">
        <f t="shared" si="548"/>
        <v>NO APLICA</v>
      </c>
      <c r="JP152" s="6"/>
      <c r="JQ152" s="6"/>
      <c r="JR152" s="6"/>
      <c r="JS152" s="6"/>
      <c r="JT152" s="5" t="str">
        <f t="shared" si="549"/>
        <v>NO APLICA</v>
      </c>
      <c r="JU152" s="5"/>
      <c r="JV152" s="5"/>
      <c r="JW152" s="5"/>
      <c r="JX152" s="5"/>
      <c r="JY152" s="5" t="str">
        <f t="shared" si="550"/>
        <v>NO APLICA</v>
      </c>
      <c r="JZ152" s="5"/>
      <c r="KA152" s="5"/>
      <c r="KB152" s="4"/>
      <c r="KC152" s="8"/>
      <c r="KD152" s="5" t="str">
        <f t="shared" si="551"/>
        <v>NO APLICA</v>
      </c>
      <c r="KE152" s="5"/>
      <c r="KF152" s="5"/>
      <c r="KG152" s="4"/>
      <c r="KH152" s="8"/>
      <c r="KI152" s="5" t="str">
        <f t="shared" si="576"/>
        <v>NO APLICA</v>
      </c>
      <c r="KJ152" s="5"/>
      <c r="KK152" s="5"/>
      <c r="KL152" s="4"/>
      <c r="KM152" s="8"/>
      <c r="KN152" s="5" t="str">
        <f t="shared" si="552"/>
        <v>NO APLICA</v>
      </c>
      <c r="KO152" s="5"/>
      <c r="KP152" s="2"/>
      <c r="KQ152" s="4"/>
      <c r="KR152" s="8"/>
      <c r="KS152" s="5" t="str">
        <f t="shared" si="577"/>
        <v>NO APLICA</v>
      </c>
      <c r="KT152" s="3"/>
      <c r="KU152" s="4">
        <v>44651</v>
      </c>
      <c r="KV152" s="4">
        <f>DATE(YEAR(KU152)+5,MONTH(KU152),DAY(KU152))</f>
        <v>46477</v>
      </c>
      <c r="KW152" s="8">
        <f ca="1">KV152-TODAY()</f>
        <v>343</v>
      </c>
      <c r="KX152" s="5" t="str">
        <f t="shared" ca="1" si="583"/>
        <v>VIGENTE</v>
      </c>
      <c r="KY152" s="5"/>
      <c r="KZ152" s="6"/>
      <c r="LA152" s="4"/>
      <c r="LB152" s="8"/>
      <c r="LC152" s="5" t="str">
        <f t="shared" si="578"/>
        <v>NO APLICA</v>
      </c>
      <c r="LD152" s="6"/>
      <c r="LE152" s="6"/>
      <c r="LF152" s="4"/>
      <c r="LG152" s="8"/>
      <c r="LH152" s="5" t="str">
        <f t="shared" si="585"/>
        <v>NO APLICA</v>
      </c>
      <c r="LI152" s="5"/>
      <c r="LJ152" s="5"/>
      <c r="LK152" s="4"/>
      <c r="LL152" s="8"/>
      <c r="LM152" s="5" t="str">
        <f t="shared" si="584"/>
        <v>NO APLICA</v>
      </c>
      <c r="LN152" s="5"/>
      <c r="LO152" s="6"/>
      <c r="LP152" s="4"/>
      <c r="LQ152" s="8"/>
      <c r="LR152" s="5" t="str">
        <f t="shared" si="579"/>
        <v>NO APLICA</v>
      </c>
      <c r="LS152" s="6"/>
      <c r="LT152" s="6"/>
      <c r="LU152" s="4"/>
      <c r="LV152" s="8"/>
      <c r="LW152" s="5" t="str">
        <f t="shared" si="580"/>
        <v>NO APLICA</v>
      </c>
      <c r="LX152" s="6"/>
      <c r="LY152" s="6"/>
      <c r="LZ152" s="4"/>
      <c r="MA152" s="8"/>
      <c r="MB152" s="5" t="str">
        <f t="shared" si="581"/>
        <v>NO APLICA</v>
      </c>
      <c r="MC152" s="5"/>
      <c r="MD152" s="5"/>
      <c r="ME152" s="4"/>
      <c r="MF152" s="8"/>
      <c r="MG152" s="5" t="str">
        <f t="shared" si="554"/>
        <v>NO APLICA</v>
      </c>
      <c r="MH152" s="5"/>
      <c r="MI152" s="5"/>
      <c r="MJ152" s="4"/>
      <c r="MK152" s="8"/>
      <c r="ML152" s="5" t="str">
        <f t="shared" si="555"/>
        <v>NO APLICA</v>
      </c>
      <c r="MM152" s="5"/>
      <c r="MN152" s="5"/>
      <c r="MO152" s="4"/>
      <c r="MP152" s="8"/>
      <c r="MQ152" s="5" t="str">
        <f t="shared" si="556"/>
        <v>NO APLICA</v>
      </c>
      <c r="MR152" s="5"/>
      <c r="MS152" s="5"/>
      <c r="MT152" s="4"/>
      <c r="MU152" s="5"/>
      <c r="MV152" s="5" t="str">
        <f t="shared" si="557"/>
        <v>NO APLICA</v>
      </c>
      <c r="MW152" s="5"/>
      <c r="MX152" s="6"/>
      <c r="MY152" s="4"/>
      <c r="MZ152" s="8"/>
      <c r="NA152" s="5" t="str">
        <f t="shared" si="558"/>
        <v>NO APLICA</v>
      </c>
      <c r="NB152" s="5"/>
      <c r="NC152" s="6"/>
      <c r="ND152" s="4"/>
      <c r="NE152" s="8"/>
      <c r="NF152" s="5" t="str">
        <f t="shared" si="559"/>
        <v>NO APLICA</v>
      </c>
      <c r="NG152" s="5"/>
      <c r="NH152" s="6"/>
      <c r="NI152" s="4"/>
      <c r="NJ152" s="8"/>
      <c r="NK152" s="5" t="str">
        <f t="shared" si="560"/>
        <v>NO APLICA</v>
      </c>
      <c r="NL152" s="5"/>
      <c r="NM152" s="5"/>
      <c r="NN152" s="4"/>
      <c r="NO152" s="8"/>
      <c r="NP152" s="5" t="str">
        <f t="shared" si="561"/>
        <v>NO APLICA</v>
      </c>
      <c r="NQ152" s="5"/>
      <c r="NR152" s="5"/>
      <c r="NS152" s="5"/>
      <c r="NT152" s="5"/>
      <c r="NU152" s="5" t="str">
        <f t="shared" si="562"/>
        <v>NO APLICA</v>
      </c>
      <c r="NV152" s="6"/>
      <c r="NW152" s="6"/>
      <c r="NX152" s="6"/>
      <c r="NY152" s="6"/>
      <c r="NZ152" s="5" t="str">
        <f t="shared" si="563"/>
        <v>NO APLICA</v>
      </c>
      <c r="OA152" s="6"/>
      <c r="OB152" s="6"/>
      <c r="OC152" s="6"/>
      <c r="OD152" s="6"/>
      <c r="OE152" s="5" t="str">
        <f t="shared" si="564"/>
        <v>NO APLICA</v>
      </c>
      <c r="OF152" s="5"/>
      <c r="OG152" s="5"/>
      <c r="OH152" s="4"/>
      <c r="OI152" s="8"/>
      <c r="OJ152" s="5" t="str">
        <f t="shared" si="565"/>
        <v>NO APLICA</v>
      </c>
      <c r="OK152" s="6"/>
      <c r="OL152" s="6"/>
      <c r="OM152" s="6"/>
      <c r="ON152" s="6"/>
      <c r="OO152" s="5" t="str">
        <f t="shared" si="566"/>
        <v>NO APLICA</v>
      </c>
      <c r="OP152" s="6"/>
      <c r="OQ152" s="6"/>
      <c r="OR152" s="6"/>
      <c r="OS152" s="6"/>
      <c r="OT152" s="5" t="str">
        <f t="shared" si="567"/>
        <v>NO APLICA</v>
      </c>
      <c r="OU152" s="6"/>
      <c r="OV152" s="6"/>
      <c r="OW152" s="6"/>
      <c r="OX152" s="6"/>
      <c r="OY152" s="5" t="str">
        <f t="shared" si="568"/>
        <v>NO APLICA</v>
      </c>
      <c r="OZ152" s="6"/>
      <c r="PA152" s="6"/>
      <c r="PB152" s="6"/>
      <c r="PC152" s="6"/>
      <c r="PD152" s="5" t="str">
        <f t="shared" si="569"/>
        <v>NO APLICA</v>
      </c>
      <c r="PE152" s="6"/>
      <c r="PF152" s="6"/>
      <c r="PG152" s="6"/>
      <c r="PH152" s="6"/>
      <c r="PI152" s="5" t="str">
        <f t="shared" si="570"/>
        <v>NO APLICA</v>
      </c>
      <c r="PJ152" s="5"/>
      <c r="PK152" s="6"/>
      <c r="PL152" s="4"/>
      <c r="PM152" s="8"/>
      <c r="PN152" s="5" t="str">
        <f t="shared" si="571"/>
        <v>NO APLICA</v>
      </c>
      <c r="PO152" s="6"/>
      <c r="PP152" s="6"/>
      <c r="PQ152" s="6"/>
      <c r="PR152" s="6"/>
      <c r="PS152" s="5" t="str">
        <f t="shared" si="572"/>
        <v>NO APLICA</v>
      </c>
      <c r="PT152" s="5"/>
      <c r="PU152" s="6"/>
      <c r="PV152" s="6"/>
      <c r="PW152" s="6"/>
      <c r="PX152" s="5" t="str">
        <f t="shared" si="573"/>
        <v>NO APLICA</v>
      </c>
    </row>
    <row r="153" spans="1:440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716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500</v>
      </c>
      <c r="V153" s="4">
        <v>45078</v>
      </c>
      <c r="W153" s="4">
        <f t="shared" si="421"/>
        <v>46905</v>
      </c>
      <c r="X153" s="8">
        <f t="shared" ca="1" si="422"/>
        <v>771</v>
      </c>
      <c r="Y153" s="5" t="str">
        <f t="shared" ca="1" si="423"/>
        <v>VIGENTE</v>
      </c>
      <c r="Z153" s="2"/>
      <c r="AA153" s="6"/>
      <c r="AB153" s="4"/>
      <c r="AC153" s="8"/>
      <c r="AD153" s="5" t="str">
        <f t="shared" si="582"/>
        <v>NO APLICA</v>
      </c>
      <c r="AE153" s="3"/>
      <c r="AF153" s="4">
        <v>45902</v>
      </c>
      <c r="AG153" s="4">
        <f>DATE(YEAR(AF153)+2,MONTH(AF153),DAY(AF153))</f>
        <v>46632</v>
      </c>
      <c r="AH153" s="8">
        <f t="shared" ca="1" si="470"/>
        <v>498</v>
      </c>
      <c r="AI153" s="5" t="str">
        <f t="shared" ca="1" si="419"/>
        <v>VIGENTE</v>
      </c>
      <c r="AJ153" s="3"/>
      <c r="AK153" s="4">
        <v>45903</v>
      </c>
      <c r="AL153" s="4">
        <f t="shared" si="590"/>
        <v>46633</v>
      </c>
      <c r="AM153" s="8">
        <f t="shared" ca="1" si="471"/>
        <v>499</v>
      </c>
      <c r="AN153" s="5" t="str">
        <f t="shared" ca="1" si="472"/>
        <v>VIGENTE</v>
      </c>
      <c r="AO153" s="2"/>
      <c r="AP153" s="4">
        <v>45740</v>
      </c>
      <c r="AQ153" s="4">
        <f>DATE(YEAR(AP153)+2,MONTH(AP153),DAY(AP153)-1)</f>
        <v>46469</v>
      </c>
      <c r="AR153" s="8">
        <f t="shared" ca="1" si="473"/>
        <v>335</v>
      </c>
      <c r="AS153" s="5" t="str">
        <f t="shared" ca="1" si="474"/>
        <v>VIGENTE</v>
      </c>
      <c r="AT153" s="3"/>
      <c r="AU153" s="4">
        <v>45702</v>
      </c>
      <c r="AV153" s="4">
        <f>DATE(YEAR(AU153)+2,MONTH(AU153),DAY(AU153)-1)</f>
        <v>46431</v>
      </c>
      <c r="AW153" s="8">
        <f t="shared" ca="1" si="475"/>
        <v>297</v>
      </c>
      <c r="AX153" s="5" t="str">
        <f t="shared" ca="1" si="476"/>
        <v>VIGENTE</v>
      </c>
      <c r="AY153" s="3"/>
      <c r="AZ153" s="4">
        <v>45742</v>
      </c>
      <c r="BA153" s="4">
        <f>DATE(YEAR(AZ153)+2,MONTH(AZ153),DAY(AZ153)-1)</f>
        <v>46471</v>
      </c>
      <c r="BB153" s="8">
        <f t="shared" ca="1" si="477"/>
        <v>337</v>
      </c>
      <c r="BC153" s="5" t="str">
        <f t="shared" ca="1" si="478"/>
        <v>VIGENTE</v>
      </c>
      <c r="BD153" s="3"/>
      <c r="BE153" s="4">
        <v>45997</v>
      </c>
      <c r="BF153" s="4">
        <f t="shared" si="600"/>
        <v>46727</v>
      </c>
      <c r="BG153" s="8">
        <f t="shared" ca="1" si="479"/>
        <v>593</v>
      </c>
      <c r="BH153" s="5" t="str">
        <f t="shared" ca="1" si="480"/>
        <v>VIGENTE</v>
      </c>
      <c r="BI153" s="3"/>
      <c r="BJ153" s="4">
        <v>46051</v>
      </c>
      <c r="BK153" s="4">
        <f>DATE(YEAR(BJ153)+2,MONTH(BJ153),DAY(BJ153))</f>
        <v>46781</v>
      </c>
      <c r="BL153" s="8">
        <f t="shared" ca="1" si="481"/>
        <v>647</v>
      </c>
      <c r="BM153" s="5" t="str">
        <f t="shared" ca="1" si="482"/>
        <v>VIGENTE</v>
      </c>
      <c r="BN153" s="3"/>
      <c r="BO153" s="4">
        <v>46050</v>
      </c>
      <c r="BP153" s="4">
        <f>DATE(YEAR(BO153)+2,MONTH(BO153),DAY(BO153))</f>
        <v>46780</v>
      </c>
      <c r="BQ153" s="8">
        <f t="shared" ca="1" si="483"/>
        <v>646</v>
      </c>
      <c r="BR153" s="5" t="str">
        <f t="shared" ca="1" si="484"/>
        <v>VIGENTE</v>
      </c>
      <c r="BS153" s="3"/>
      <c r="BT153" s="4">
        <v>45572</v>
      </c>
      <c r="BU153" s="4">
        <f>DATE(YEAR(BT153)+2,MONTH(BT153),DAY(BT153)-1)</f>
        <v>46301</v>
      </c>
      <c r="BV153" s="8">
        <f t="shared" ca="1" si="485"/>
        <v>167</v>
      </c>
      <c r="BW153" s="5" t="str">
        <f t="shared" ca="1" si="486"/>
        <v>VIGENTE</v>
      </c>
      <c r="BX153" s="3"/>
      <c r="BY153" s="4">
        <v>45944</v>
      </c>
      <c r="BZ153" s="4">
        <f t="shared" si="592"/>
        <v>46674</v>
      </c>
      <c r="CA153" s="8">
        <f t="shared" ca="1" si="487"/>
        <v>540</v>
      </c>
      <c r="CB153" s="5" t="str">
        <f t="shared" ca="1" si="488"/>
        <v>VIGENTE</v>
      </c>
      <c r="CC153" s="6" t="s">
        <v>68</v>
      </c>
      <c r="CD153" s="4">
        <v>45828</v>
      </c>
      <c r="CE153" s="4">
        <f t="shared" si="428"/>
        <v>47289</v>
      </c>
      <c r="CF153" s="8">
        <f t="shared" ca="1" si="429"/>
        <v>1155</v>
      </c>
      <c r="CG153" s="5" t="str">
        <f t="shared" ca="1" si="591"/>
        <v>VIGENTE</v>
      </c>
      <c r="CH153" s="4"/>
      <c r="CI153" s="4">
        <v>45688</v>
      </c>
      <c r="CJ153" s="4">
        <f>DATE(YEAR(CI153)+2,MONTH(CI153),DAY(CI153)-1)</f>
        <v>46417</v>
      </c>
      <c r="CK153" s="8">
        <f t="shared" ca="1" si="489"/>
        <v>283</v>
      </c>
      <c r="CL153" s="5" t="str">
        <f t="shared" ca="1" si="490"/>
        <v>VIGENTE</v>
      </c>
      <c r="CM153" s="3"/>
      <c r="CN153" s="4">
        <v>45769</v>
      </c>
      <c r="CO153" s="4">
        <f>DATE(YEAR(CN153)+2,MONTH(CN153),DAY(CN153))</f>
        <v>46499</v>
      </c>
      <c r="CP153" s="8">
        <f t="shared" ca="1" si="491"/>
        <v>365</v>
      </c>
      <c r="CQ153" s="5" t="str">
        <f t="shared" ca="1" si="492"/>
        <v>VIGENTE</v>
      </c>
      <c r="CR153" s="3"/>
      <c r="CS153" s="4">
        <v>46043</v>
      </c>
      <c r="CT153" s="4">
        <f>DATE(YEAR(CS153)+2,MONTH(CS153),DAY(CS153))</f>
        <v>46773</v>
      </c>
      <c r="CU153" s="8">
        <f t="shared" ca="1" si="493"/>
        <v>639</v>
      </c>
      <c r="CV153" s="5" t="str">
        <f t="shared" ca="1" si="494"/>
        <v>VIGENTE</v>
      </c>
      <c r="CW153" s="3"/>
      <c r="CX153" s="4">
        <v>45989</v>
      </c>
      <c r="CY153" s="4">
        <f>DATE(YEAR(CX153)+2,MONTH(CX153),DAY(CX153))</f>
        <v>46719</v>
      </c>
      <c r="CZ153" s="8">
        <f t="shared" ca="1" si="495"/>
        <v>585</v>
      </c>
      <c r="DA153" s="5" t="str">
        <f t="shared" ca="1" si="496"/>
        <v>VIGENTE</v>
      </c>
      <c r="DB153" s="3"/>
      <c r="DC153" s="4">
        <v>45723</v>
      </c>
      <c r="DD153" s="4">
        <f>DATE(YEAR(DC153)+2,MONTH(DC153),DAY(DC153)-1)</f>
        <v>46452</v>
      </c>
      <c r="DE153" s="8">
        <f t="shared" ca="1" si="497"/>
        <v>318</v>
      </c>
      <c r="DF153" s="5" t="str">
        <f t="shared" ca="1" si="498"/>
        <v>VIGENTE</v>
      </c>
      <c r="DG153" s="2"/>
      <c r="DH153" s="4">
        <v>45734</v>
      </c>
      <c r="DI153" s="4">
        <f>DATE(YEAR(DH153)+2,MONTH(DH153),DAY(DH153)-1)</f>
        <v>46463</v>
      </c>
      <c r="DJ153" s="8">
        <f t="shared" ca="1" si="499"/>
        <v>329</v>
      </c>
      <c r="DK153" s="5" t="str">
        <f t="shared" ca="1" si="500"/>
        <v>VIGENTE</v>
      </c>
      <c r="DL153" s="3"/>
      <c r="DM153" s="4">
        <v>45731</v>
      </c>
      <c r="DN153" s="4">
        <f>DATE(YEAR(DM153)+2,MONTH(DM153),DAY(DM153)-1)</f>
        <v>46460</v>
      </c>
      <c r="DO153" s="8">
        <f t="shared" ca="1" si="501"/>
        <v>326</v>
      </c>
      <c r="DP153" s="5" t="str">
        <f t="shared" ca="1" si="502"/>
        <v>VIGENTE</v>
      </c>
      <c r="DQ153" s="2"/>
      <c r="DR153" s="4">
        <v>45743</v>
      </c>
      <c r="DS153" s="4">
        <f>DATE(YEAR(DR153)+2,MONTH(DR153),DAY(DR153)-1)</f>
        <v>46472</v>
      </c>
      <c r="DT153" s="8">
        <f t="shared" ca="1" si="503"/>
        <v>338</v>
      </c>
      <c r="DU153" s="5" t="str">
        <f t="shared" ca="1" si="504"/>
        <v>VIGENTE</v>
      </c>
      <c r="DV153" s="3"/>
      <c r="DW153" s="4">
        <v>45663</v>
      </c>
      <c r="DX153" s="4">
        <f>DATE(YEAR(DW153)+2,MONTH(DW153),DAY(DW153)-1)</f>
        <v>46392</v>
      </c>
      <c r="DY153" s="8">
        <f t="shared" ca="1" si="505"/>
        <v>258</v>
      </c>
      <c r="DZ153" s="5" t="str">
        <f t="shared" ca="1" si="506"/>
        <v>VIGENTE</v>
      </c>
      <c r="EA153" s="3"/>
      <c r="EB153" s="4">
        <v>45674</v>
      </c>
      <c r="EC153" s="4">
        <f>DATE(YEAR(EB153)+2,MONTH(EB153),DAY(EB153)-1)</f>
        <v>46403</v>
      </c>
      <c r="ED153" s="8">
        <f t="shared" ca="1" si="507"/>
        <v>269</v>
      </c>
      <c r="EE153" s="5" t="str">
        <f t="shared" ca="1" si="508"/>
        <v>VIGENTE</v>
      </c>
      <c r="EF153" s="3"/>
      <c r="EG153" s="3">
        <v>46060</v>
      </c>
      <c r="EH153" s="4">
        <f t="shared" si="575"/>
        <v>46425</v>
      </c>
      <c r="EI153" s="8">
        <f t="shared" ca="1" si="509"/>
        <v>291</v>
      </c>
      <c r="EJ153" s="5" t="str">
        <f t="shared" ca="1" si="510"/>
        <v>VIGENTE</v>
      </c>
      <c r="EK153" s="3"/>
      <c r="EL153" s="4">
        <v>45705</v>
      </c>
      <c r="EM153" s="4">
        <f>DATE(YEAR(EL153)+2,MONTH(EL153),DAY(EL153)-1)</f>
        <v>46434</v>
      </c>
      <c r="EN153" s="8">
        <f t="shared" ca="1" si="511"/>
        <v>300</v>
      </c>
      <c r="EO153" s="5" t="str">
        <f t="shared" ca="1" si="512"/>
        <v>VIGENTE</v>
      </c>
      <c r="EP153" s="3"/>
      <c r="EQ153" s="4">
        <v>45623</v>
      </c>
      <c r="ER153" s="4">
        <f>DATE(YEAR(EQ153)+2,MONTH(EQ153),DAY(EQ153)-1)</f>
        <v>46352</v>
      </c>
      <c r="ES153" s="8">
        <f t="shared" ca="1" si="513"/>
        <v>218</v>
      </c>
      <c r="ET153" s="5" t="str">
        <f t="shared" ca="1" si="514"/>
        <v>VIGENTE</v>
      </c>
      <c r="EU153" s="3"/>
      <c r="EV153" s="4">
        <v>45917</v>
      </c>
      <c r="EW153" s="4">
        <f t="shared" si="593"/>
        <v>46647</v>
      </c>
      <c r="EX153" s="8">
        <f t="shared" ca="1" si="515"/>
        <v>513</v>
      </c>
      <c r="EY153" s="5" t="str">
        <f t="shared" ca="1" si="516"/>
        <v>VIGENTE</v>
      </c>
      <c r="EZ153" s="3"/>
      <c r="FA153" s="4">
        <v>45988</v>
      </c>
      <c r="FB153" s="4">
        <f t="shared" si="594"/>
        <v>46718</v>
      </c>
      <c r="FC153" s="8">
        <f t="shared" ca="1" si="517"/>
        <v>584</v>
      </c>
      <c r="FD153" s="5" t="str">
        <f t="shared" ca="1" si="518"/>
        <v>VIGENTE</v>
      </c>
      <c r="FE153" s="3"/>
      <c r="FF153" s="4">
        <v>45668</v>
      </c>
      <c r="FG153" s="4">
        <f>DATE(YEAR(FF153)+2,MONTH(FF153),DAY(FF153)-1)</f>
        <v>46397</v>
      </c>
      <c r="FH153" s="8">
        <f t="shared" ca="1" si="519"/>
        <v>263</v>
      </c>
      <c r="FI153" s="5" t="str">
        <f t="shared" ca="1" si="520"/>
        <v>VIGENTE</v>
      </c>
      <c r="FJ153" s="3"/>
      <c r="FK153" s="4">
        <v>45670</v>
      </c>
      <c r="FL153" s="4">
        <f>DATE(YEAR(FK153)+2,MONTH(FK153),DAY(FK153)-1)</f>
        <v>46399</v>
      </c>
      <c r="FM153" s="8">
        <f t="shared" ca="1" si="521"/>
        <v>265</v>
      </c>
      <c r="FN153" s="5" t="str">
        <f t="shared" ca="1" si="522"/>
        <v>VIGENTE</v>
      </c>
      <c r="FO153" s="3"/>
      <c r="FP153" s="4">
        <v>45664</v>
      </c>
      <c r="FQ153" s="4">
        <f>DATE(YEAR(FP153)+2,MONTH(FP153),DAY(FP153)-1)</f>
        <v>46393</v>
      </c>
      <c r="FR153" s="8">
        <f t="shared" ca="1" si="523"/>
        <v>259</v>
      </c>
      <c r="FS153" s="5" t="str">
        <f t="shared" ca="1" si="524"/>
        <v>VIGENTE</v>
      </c>
      <c r="FT153" s="3"/>
      <c r="FU153" s="4">
        <v>45993</v>
      </c>
      <c r="FV153" s="4">
        <f>DATE(YEAR(FU153)+2,MONTH(FU153),DAY(FU153))</f>
        <v>46723</v>
      </c>
      <c r="FW153" s="8">
        <f t="shared" ca="1" si="525"/>
        <v>589</v>
      </c>
      <c r="FX153" s="5" t="str">
        <f t="shared" ca="1" si="526"/>
        <v>VIGENTE</v>
      </c>
      <c r="FY153" s="3"/>
      <c r="FZ153" s="4">
        <v>45741</v>
      </c>
      <c r="GA153" s="4">
        <f>DATE(YEAR(FZ153)+2,MONTH(FZ153),DAY(FZ153)-1)</f>
        <v>46470</v>
      </c>
      <c r="GB153" s="8">
        <f t="shared" ca="1" si="527"/>
        <v>336</v>
      </c>
      <c r="GC153" s="5" t="str">
        <f t="shared" ca="1" si="528"/>
        <v>VIGENTE</v>
      </c>
      <c r="GD153" s="3"/>
      <c r="GE153" s="4">
        <v>45752</v>
      </c>
      <c r="GF153" s="4">
        <f>DATE(YEAR(GE153)+2,MONTH(GE153),DAY(GE153)-1)</f>
        <v>46481</v>
      </c>
      <c r="GG153" s="8">
        <f t="shared" ca="1" si="529"/>
        <v>347</v>
      </c>
      <c r="GH153" s="5" t="str">
        <f t="shared" ca="1" si="530"/>
        <v>VIGENTE</v>
      </c>
      <c r="GI153" s="3"/>
      <c r="GJ153" s="4">
        <v>45687</v>
      </c>
      <c r="GK153" s="4">
        <f>DATE(YEAR(GJ153)+2,MONTH(GJ153),DAY(GJ153)-1)</f>
        <v>46416</v>
      </c>
      <c r="GL153" s="8">
        <f t="shared" ca="1" si="531"/>
        <v>282</v>
      </c>
      <c r="GM153" s="5" t="str">
        <f t="shared" ca="1" si="532"/>
        <v>VIGENTE</v>
      </c>
      <c r="GN153" s="4"/>
      <c r="GO153" s="4">
        <v>45048</v>
      </c>
      <c r="GP153" s="4">
        <f t="shared" si="533"/>
        <v>46875</v>
      </c>
      <c r="GQ153" s="8">
        <f t="shared" ca="1" si="418"/>
        <v>741</v>
      </c>
      <c r="GR153" s="5" t="str">
        <f t="shared" ca="1" si="431"/>
        <v>VIGENTE</v>
      </c>
      <c r="GS153" s="3"/>
      <c r="GT153" s="4">
        <v>45010</v>
      </c>
      <c r="GU153" s="4">
        <f t="shared" si="534"/>
        <v>46837</v>
      </c>
      <c r="GV153" s="8">
        <f t="shared" ca="1" si="535"/>
        <v>703</v>
      </c>
      <c r="GW153" s="5" t="str">
        <f t="shared" ca="1" si="438"/>
        <v>VIGENTE</v>
      </c>
      <c r="GX153" s="2"/>
      <c r="GY153" s="4">
        <v>45073</v>
      </c>
      <c r="GZ153" s="4">
        <f t="shared" si="536"/>
        <v>46900</v>
      </c>
      <c r="HA153" s="8">
        <f t="shared" ca="1" si="537"/>
        <v>766</v>
      </c>
      <c r="HB153" s="5" t="str">
        <f t="shared" ca="1" si="433"/>
        <v>VIGENTE</v>
      </c>
      <c r="HC153" s="6"/>
      <c r="HD153" s="6"/>
      <c r="HE153" s="4"/>
      <c r="HF153" s="8"/>
      <c r="HG153" s="5" t="str">
        <f t="shared" si="439"/>
        <v>NO APLICA</v>
      </c>
      <c r="HH153" s="2"/>
      <c r="HI153" s="6"/>
      <c r="HJ153" s="4"/>
      <c r="HK153" s="8"/>
      <c r="HL153" s="5" t="str">
        <f t="shared" si="457"/>
        <v>NO APLICA</v>
      </c>
      <c r="HM153" s="2"/>
      <c r="HN153" s="2"/>
      <c r="HO153" s="4"/>
      <c r="HP153" s="2"/>
      <c r="HQ153" s="5" t="str">
        <f t="shared" si="538"/>
        <v>NO APLICA</v>
      </c>
      <c r="HR153" s="2"/>
      <c r="HS153" s="6"/>
      <c r="HT153" s="4"/>
      <c r="HU153" s="8"/>
      <c r="HV153" s="5" t="str">
        <f t="shared" si="539"/>
        <v>NO APLICA</v>
      </c>
      <c r="HW153" s="2"/>
      <c r="HX153" s="6"/>
      <c r="HY153" s="4"/>
      <c r="HZ153" s="8"/>
      <c r="IA153" s="5" t="str">
        <f t="shared" si="540"/>
        <v>NO APLICA</v>
      </c>
      <c r="IB153" s="2"/>
      <c r="IC153" s="6"/>
      <c r="ID153" s="4"/>
      <c r="IE153" s="8"/>
      <c r="IF153" s="5" t="str">
        <f t="shared" si="541"/>
        <v>NO APLICA</v>
      </c>
      <c r="IG153" s="6"/>
      <c r="IH153" s="6"/>
      <c r="II153" s="4"/>
      <c r="IJ153" s="8"/>
      <c r="IK153" s="5" t="str">
        <f t="shared" si="542"/>
        <v>NO APLICA</v>
      </c>
      <c r="IL153" s="2"/>
      <c r="IM153" s="6"/>
      <c r="IN153" s="4"/>
      <c r="IO153" s="8"/>
      <c r="IP153" s="5" t="str">
        <f t="shared" si="543"/>
        <v>NO APLICA</v>
      </c>
      <c r="IQ153" s="2"/>
      <c r="IR153" s="6"/>
      <c r="IS153" s="4"/>
      <c r="IT153" s="8"/>
      <c r="IU153" s="5" t="str">
        <f t="shared" si="544"/>
        <v>NO APLICA</v>
      </c>
      <c r="IV153" s="2"/>
      <c r="IW153" s="6"/>
      <c r="IX153" s="4"/>
      <c r="IY153" s="8"/>
      <c r="IZ153" s="5" t="str">
        <f t="shared" si="545"/>
        <v>NO APLICA</v>
      </c>
      <c r="JA153" s="3"/>
      <c r="JB153" s="3"/>
      <c r="JC153" s="4"/>
      <c r="JD153" s="8"/>
      <c r="JE153" s="5" t="str">
        <f t="shared" si="546"/>
        <v>NO APLICA</v>
      </c>
      <c r="JF153" s="6"/>
      <c r="JG153" s="6"/>
      <c r="JH153" s="6"/>
      <c r="JI153" s="6"/>
      <c r="JJ153" s="5" t="str">
        <f t="shared" si="547"/>
        <v>NO APLICA</v>
      </c>
      <c r="JK153" s="6"/>
      <c r="JL153" s="6"/>
      <c r="JM153" s="6"/>
      <c r="JN153" s="6"/>
      <c r="JO153" s="5" t="str">
        <f t="shared" si="548"/>
        <v>NO APLICA</v>
      </c>
      <c r="JP153" s="6"/>
      <c r="JQ153" s="6"/>
      <c r="JR153" s="6"/>
      <c r="JS153" s="6"/>
      <c r="JT153" s="5" t="str">
        <f t="shared" si="549"/>
        <v>NO APLICA</v>
      </c>
      <c r="JU153" s="5"/>
      <c r="JV153" s="5"/>
      <c r="JW153" s="5"/>
      <c r="JX153" s="5"/>
      <c r="JY153" s="5" t="str">
        <f t="shared" si="550"/>
        <v>NO APLICA</v>
      </c>
      <c r="JZ153" s="5"/>
      <c r="KA153" s="2"/>
      <c r="KB153" s="4"/>
      <c r="KC153" s="8"/>
      <c r="KD153" s="5" t="str">
        <f t="shared" si="551"/>
        <v>NO APLICA</v>
      </c>
      <c r="KE153" s="5"/>
      <c r="KF153" s="2"/>
      <c r="KG153" s="4"/>
      <c r="KH153" s="8"/>
      <c r="KI153" s="5" t="str">
        <f t="shared" si="576"/>
        <v>NO APLICA</v>
      </c>
      <c r="KJ153" s="5"/>
      <c r="KK153" s="2"/>
      <c r="KL153" s="4"/>
      <c r="KM153" s="8"/>
      <c r="KN153" s="5" t="str">
        <f t="shared" si="552"/>
        <v>NO APLICA</v>
      </c>
      <c r="KO153" s="5"/>
      <c r="KP153" s="2"/>
      <c r="KQ153" s="4"/>
      <c r="KR153" s="8"/>
      <c r="KS153" s="5" t="str">
        <f t="shared" si="577"/>
        <v>NO APLICA</v>
      </c>
      <c r="KT153" s="2"/>
      <c r="KU153" s="6"/>
      <c r="KV153" s="4"/>
      <c r="KW153" s="8"/>
      <c r="KX153" s="5" t="str">
        <f t="shared" si="583"/>
        <v>NO APLICA</v>
      </c>
      <c r="KY153" s="5"/>
      <c r="KZ153" s="6"/>
      <c r="LA153" s="4"/>
      <c r="LB153" s="8"/>
      <c r="LC153" s="5" t="str">
        <f t="shared" si="578"/>
        <v>NO APLICA</v>
      </c>
      <c r="LD153" s="6"/>
      <c r="LE153" s="6"/>
      <c r="LF153" s="4"/>
      <c r="LG153" s="8"/>
      <c r="LH153" s="5" t="str">
        <f t="shared" si="585"/>
        <v>NO APLICA</v>
      </c>
      <c r="LI153" s="5"/>
      <c r="LJ153" s="5"/>
      <c r="LK153" s="4"/>
      <c r="LL153" s="8"/>
      <c r="LM153" s="5" t="str">
        <f t="shared" si="584"/>
        <v>NO APLICA</v>
      </c>
      <c r="LN153" s="2"/>
      <c r="LO153" s="6"/>
      <c r="LP153" s="4"/>
      <c r="LQ153" s="8"/>
      <c r="LR153" s="5" t="str">
        <f t="shared" si="579"/>
        <v>NO APLICA</v>
      </c>
      <c r="LS153" s="6"/>
      <c r="LT153" s="6"/>
      <c r="LU153" s="4"/>
      <c r="LV153" s="8"/>
      <c r="LW153" s="5" t="str">
        <f t="shared" si="580"/>
        <v>NO APLICA</v>
      </c>
      <c r="LX153" s="6"/>
      <c r="LY153" s="6"/>
      <c r="LZ153" s="4"/>
      <c r="MA153" s="8"/>
      <c r="MB153" s="5" t="str">
        <f t="shared" si="581"/>
        <v>NO APLICA</v>
      </c>
      <c r="MC153" s="2"/>
      <c r="MD153" s="2"/>
      <c r="ME153" s="4"/>
      <c r="MF153" s="8"/>
      <c r="MG153" s="5" t="str">
        <f t="shared" si="554"/>
        <v>NO APLICA</v>
      </c>
      <c r="MH153" s="2"/>
      <c r="MI153" s="2"/>
      <c r="MJ153" s="4"/>
      <c r="MK153" s="8"/>
      <c r="ML153" s="5" t="str">
        <f t="shared" si="555"/>
        <v>NO APLICA</v>
      </c>
      <c r="MM153" s="5"/>
      <c r="MN153" s="2"/>
      <c r="MO153" s="4"/>
      <c r="MP153" s="8"/>
      <c r="MQ153" s="5" t="str">
        <f t="shared" si="556"/>
        <v>NO APLICA</v>
      </c>
      <c r="MR153" s="5"/>
      <c r="MS153" s="2"/>
      <c r="MT153" s="4"/>
      <c r="MU153" s="2"/>
      <c r="MV153" s="5" t="str">
        <f t="shared" si="557"/>
        <v>NO APLICA</v>
      </c>
      <c r="MW153" s="2"/>
      <c r="MX153" s="6"/>
      <c r="MY153" s="4"/>
      <c r="MZ153" s="8"/>
      <c r="NA153" s="5" t="str">
        <f t="shared" si="558"/>
        <v>NO APLICA</v>
      </c>
      <c r="NB153" s="2"/>
      <c r="NC153" s="6"/>
      <c r="ND153" s="4"/>
      <c r="NE153" s="8"/>
      <c r="NF153" s="5" t="str">
        <f t="shared" si="559"/>
        <v>NO APLICA</v>
      </c>
      <c r="NG153" s="2"/>
      <c r="NH153" s="6"/>
      <c r="NI153" s="4"/>
      <c r="NJ153" s="8"/>
      <c r="NK153" s="5" t="str">
        <f t="shared" si="560"/>
        <v>NO APLICA</v>
      </c>
      <c r="NL153" s="2"/>
      <c r="NM153" s="2"/>
      <c r="NN153" s="4"/>
      <c r="NO153" s="8"/>
      <c r="NP153" s="5" t="str">
        <f t="shared" si="561"/>
        <v>NO APLICA</v>
      </c>
      <c r="NQ153" s="2"/>
      <c r="NR153" s="2"/>
      <c r="NS153" s="2"/>
      <c r="NT153" s="2"/>
      <c r="NU153" s="5" t="str">
        <f t="shared" si="562"/>
        <v>NO APLICA</v>
      </c>
      <c r="NV153" s="6"/>
      <c r="NW153" s="6"/>
      <c r="NX153" s="4"/>
      <c r="NY153" s="8"/>
      <c r="NZ153" s="5" t="str">
        <f t="shared" si="563"/>
        <v>NO APLICA</v>
      </c>
      <c r="OA153" s="6"/>
      <c r="OB153" s="6"/>
      <c r="OC153" s="6"/>
      <c r="OD153" s="6"/>
      <c r="OE153" s="5" t="str">
        <f t="shared" si="564"/>
        <v>NO APLICA</v>
      </c>
      <c r="OF153" s="2"/>
      <c r="OG153" s="2"/>
      <c r="OH153" s="4"/>
      <c r="OI153" s="8"/>
      <c r="OJ153" s="5" t="str">
        <f t="shared" si="565"/>
        <v>NO APLICA</v>
      </c>
      <c r="OK153" s="6"/>
      <c r="OL153" s="6"/>
      <c r="OM153" s="6"/>
      <c r="ON153" s="6"/>
      <c r="OO153" s="5" t="str">
        <f t="shared" si="566"/>
        <v>NO APLICA</v>
      </c>
      <c r="OP153" s="6"/>
      <c r="OQ153" s="6"/>
      <c r="OR153" s="6"/>
      <c r="OS153" s="6"/>
      <c r="OT153" s="5" t="str">
        <f t="shared" si="567"/>
        <v>NO APLICA</v>
      </c>
      <c r="OU153" s="6"/>
      <c r="OV153" s="6"/>
      <c r="OW153" s="6"/>
      <c r="OX153" s="6"/>
      <c r="OY153" s="5" t="str">
        <f t="shared" si="568"/>
        <v>NO APLICA</v>
      </c>
      <c r="OZ153" s="6"/>
      <c r="PA153" s="6"/>
      <c r="PB153" s="6"/>
      <c r="PC153" s="6"/>
      <c r="PD153" s="5" t="str">
        <f t="shared" si="569"/>
        <v>NO APLICA</v>
      </c>
      <c r="PE153" s="6"/>
      <c r="PF153" s="6"/>
      <c r="PG153" s="6"/>
      <c r="PH153" s="6"/>
      <c r="PI153" s="5" t="str">
        <f t="shared" si="570"/>
        <v>NO APLICA</v>
      </c>
      <c r="PJ153" s="5"/>
      <c r="PK153" s="6"/>
      <c r="PL153" s="4"/>
      <c r="PM153" s="8"/>
      <c r="PN153" s="5" t="str">
        <f t="shared" si="571"/>
        <v>NO APLICA</v>
      </c>
      <c r="PO153" s="6"/>
      <c r="PP153" s="6"/>
      <c r="PQ153" s="6"/>
      <c r="PR153" s="6"/>
      <c r="PS153" s="5" t="str">
        <f t="shared" si="572"/>
        <v>NO APLICA</v>
      </c>
      <c r="PT153" s="5"/>
      <c r="PU153" s="6"/>
      <c r="PV153" s="6"/>
      <c r="PW153" s="6"/>
      <c r="PX153" s="5" t="str">
        <f t="shared" si="573"/>
        <v>NO APLICA</v>
      </c>
    </row>
    <row r="154" spans="1:440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502</v>
      </c>
      <c r="V154" s="4">
        <v>45216</v>
      </c>
      <c r="W154" s="4">
        <f t="shared" si="421"/>
        <v>47043</v>
      </c>
      <c r="X154" s="8">
        <f t="shared" ca="1" si="422"/>
        <v>909</v>
      </c>
      <c r="Y154" s="5" t="str">
        <f t="shared" ca="1" si="423"/>
        <v>VIGENTE</v>
      </c>
      <c r="Z154" s="2" t="s">
        <v>503</v>
      </c>
      <c r="AA154" s="4">
        <v>44579</v>
      </c>
      <c r="AB154" s="4">
        <f>DATE(YEAR(AA154)+5,MONTH(AA154),DAY(AA154))</f>
        <v>46405</v>
      </c>
      <c r="AC154" s="8">
        <f ca="1">AB154-TODAY()</f>
        <v>271</v>
      </c>
      <c r="AD154" s="5" t="str">
        <f t="shared" ca="1" si="582"/>
        <v>VIGENTE</v>
      </c>
      <c r="AE154" s="3"/>
      <c r="AF154" s="4">
        <v>45902</v>
      </c>
      <c r="AG154" s="4">
        <f>DATE(YEAR(AF154)+2,MONTH(AF154),DAY(AF154))</f>
        <v>46632</v>
      </c>
      <c r="AH154" s="8">
        <f t="shared" ca="1" si="470"/>
        <v>498</v>
      </c>
      <c r="AI154" s="5" t="str">
        <f t="shared" ca="1" si="419"/>
        <v>VIGENTE</v>
      </c>
      <c r="AJ154" s="3"/>
      <c r="AK154" s="4">
        <v>45926</v>
      </c>
      <c r="AL154" s="4">
        <f t="shared" si="590"/>
        <v>46656</v>
      </c>
      <c r="AM154" s="8">
        <f t="shared" ca="1" si="471"/>
        <v>522</v>
      </c>
      <c r="AN154" s="5" t="str">
        <f t="shared" ca="1" si="472"/>
        <v>VIGENTE</v>
      </c>
      <c r="AO154" s="3"/>
      <c r="AP154" s="4">
        <v>45904</v>
      </c>
      <c r="AQ154" s="4">
        <f>DATE(YEAR(AP154)+2,MONTH(AP154),DAY(AP154))</f>
        <v>46634</v>
      </c>
      <c r="AR154" s="8">
        <f t="shared" ca="1" si="473"/>
        <v>500</v>
      </c>
      <c r="AS154" s="5" t="str">
        <f t="shared" ca="1" si="474"/>
        <v>VIGENTE</v>
      </c>
      <c r="AT154" s="3"/>
      <c r="AU154" s="4">
        <v>45990</v>
      </c>
      <c r="AV154" s="4">
        <f>DATE(YEAR(AU154)+2,MONTH(AU154),DAY(AU154))</f>
        <v>46720</v>
      </c>
      <c r="AW154" s="8">
        <f t="shared" ca="1" si="475"/>
        <v>586</v>
      </c>
      <c r="AX154" s="5" t="str">
        <f t="shared" ca="1" si="476"/>
        <v>VIGENTE</v>
      </c>
      <c r="AY154" s="3"/>
      <c r="AZ154" s="4">
        <v>45901</v>
      </c>
      <c r="BA154" s="4">
        <f>DATE(YEAR(AZ154)+2,MONTH(AZ154),DAY(AZ154))</f>
        <v>46631</v>
      </c>
      <c r="BB154" s="8">
        <f t="shared" ca="1" si="477"/>
        <v>497</v>
      </c>
      <c r="BC154" s="5" t="str">
        <f t="shared" ca="1" si="478"/>
        <v>VIGENTE</v>
      </c>
      <c r="BD154" s="3"/>
      <c r="BE154" s="4">
        <v>45880</v>
      </c>
      <c r="BF154" s="4">
        <f t="shared" si="600"/>
        <v>46610</v>
      </c>
      <c r="BG154" s="8">
        <f t="shared" ca="1" si="479"/>
        <v>476</v>
      </c>
      <c r="BH154" s="5" t="str">
        <f t="shared" ca="1" si="480"/>
        <v>VIGENTE</v>
      </c>
      <c r="BI154" s="3"/>
      <c r="BJ154" s="4">
        <v>45699</v>
      </c>
      <c r="BK154" s="4">
        <f>DATE(YEAR(BJ154)+2,MONTH(BJ154),DAY(BJ154)-1)</f>
        <v>46428</v>
      </c>
      <c r="BL154" s="8">
        <f t="shared" ca="1" si="481"/>
        <v>294</v>
      </c>
      <c r="BM154" s="5" t="str">
        <f t="shared" ca="1" si="482"/>
        <v>VIGENTE</v>
      </c>
      <c r="BN154" s="3"/>
      <c r="BO154" s="4">
        <v>45981</v>
      </c>
      <c r="BP154" s="4">
        <f>DATE(YEAR(BO154)+2,MONTH(BO154),DAY(BO154))</f>
        <v>46711</v>
      </c>
      <c r="BQ154" s="8">
        <f t="shared" ca="1" si="483"/>
        <v>577</v>
      </c>
      <c r="BR154" s="5" t="str">
        <f t="shared" ca="1" si="484"/>
        <v>VIGENTE</v>
      </c>
      <c r="BS154" s="3"/>
      <c r="BT154" s="4">
        <v>45871</v>
      </c>
      <c r="BU154" s="4">
        <f>DATE(YEAR(BT154)+2,MONTH(BT154),DAY(BT154))</f>
        <v>46601</v>
      </c>
      <c r="BV154" s="8">
        <f t="shared" ca="1" si="485"/>
        <v>467</v>
      </c>
      <c r="BW154" s="5" t="str">
        <f t="shared" ca="1" si="486"/>
        <v>VIGENTE</v>
      </c>
      <c r="BX154" s="3"/>
      <c r="BY154" s="4">
        <v>45944</v>
      </c>
      <c r="BZ154" s="4">
        <f t="shared" si="592"/>
        <v>46674</v>
      </c>
      <c r="CA154" s="8">
        <f t="shared" ca="1" si="487"/>
        <v>540</v>
      </c>
      <c r="CB154" s="5" t="str">
        <f t="shared" ca="1" si="488"/>
        <v>VIGENTE</v>
      </c>
      <c r="CC154" s="6" t="s">
        <v>73</v>
      </c>
      <c r="CD154" s="4">
        <v>45241</v>
      </c>
      <c r="CE154" s="4">
        <f t="shared" si="428"/>
        <v>46702</v>
      </c>
      <c r="CF154" s="8">
        <f t="shared" ca="1" si="429"/>
        <v>568</v>
      </c>
      <c r="CG154" s="5" t="str">
        <f t="shared" ca="1" si="591"/>
        <v>VIGENTE</v>
      </c>
      <c r="CH154" s="4"/>
      <c r="CI154" s="4">
        <v>45895</v>
      </c>
      <c r="CJ154" s="4">
        <f>DATE(YEAR(CI154)+2,MONTH(CI154),DAY(CI154))</f>
        <v>46625</v>
      </c>
      <c r="CK154" s="8">
        <f t="shared" ca="1" si="489"/>
        <v>491</v>
      </c>
      <c r="CL154" s="5" t="str">
        <f t="shared" ca="1" si="490"/>
        <v>VIGENTE</v>
      </c>
      <c r="CM154" s="3"/>
      <c r="CN154" s="4">
        <v>45898</v>
      </c>
      <c r="CO154" s="4">
        <f>DATE(YEAR(CN154)+2,MONTH(CN154),DAY(CN154))</f>
        <v>46628</v>
      </c>
      <c r="CP154" s="8">
        <f t="shared" ca="1" si="491"/>
        <v>494</v>
      </c>
      <c r="CQ154" s="5" t="str">
        <f t="shared" ca="1" si="492"/>
        <v>VIGENTE</v>
      </c>
      <c r="CR154" s="3"/>
      <c r="CS154" s="4">
        <v>45905</v>
      </c>
      <c r="CT154" s="4">
        <f>DATE(YEAR(CS154)+2,MONTH(CS154),DAY(CS154))</f>
        <v>46635</v>
      </c>
      <c r="CU154" s="8">
        <f t="shared" ca="1" si="493"/>
        <v>501</v>
      </c>
      <c r="CV154" s="5" t="str">
        <f t="shared" ca="1" si="494"/>
        <v>VIGENTE</v>
      </c>
      <c r="CW154" s="3"/>
      <c r="CX154" s="4">
        <v>45924</v>
      </c>
      <c r="CY154" s="4">
        <f>DATE(YEAR(CX154)+2,MONTH(CX154),DAY(CX154))</f>
        <v>46654</v>
      </c>
      <c r="CZ154" s="8">
        <f t="shared" ca="1" si="495"/>
        <v>520</v>
      </c>
      <c r="DA154" s="5" t="str">
        <f t="shared" ca="1" si="496"/>
        <v>VIGENTE</v>
      </c>
      <c r="DB154" s="3"/>
      <c r="DC154" s="4">
        <v>45713</v>
      </c>
      <c r="DD154" s="4">
        <f>DATE(YEAR(DC154)+2,MONTH(DC154),DAY(DC154)-1)</f>
        <v>46442</v>
      </c>
      <c r="DE154" s="8">
        <f t="shared" ca="1" si="497"/>
        <v>308</v>
      </c>
      <c r="DF154" s="5" t="str">
        <f t="shared" ca="1" si="498"/>
        <v>VIGENTE</v>
      </c>
      <c r="DG154" s="3"/>
      <c r="DH154" s="4">
        <v>45899</v>
      </c>
      <c r="DI154" s="4">
        <f>DATE(YEAR(DH154)+2,MONTH(DH154),DAY(DH154))</f>
        <v>46629</v>
      </c>
      <c r="DJ154" s="8">
        <f t="shared" ca="1" si="499"/>
        <v>495</v>
      </c>
      <c r="DK154" s="5" t="str">
        <f t="shared" ca="1" si="500"/>
        <v>VIGENTE</v>
      </c>
      <c r="DL154" s="3"/>
      <c r="DM154" s="4">
        <v>46007</v>
      </c>
      <c r="DN154" s="4">
        <f>DATE(YEAR(DM154)+2,MONTH(DM154),DAY(DM154))</f>
        <v>46737</v>
      </c>
      <c r="DO154" s="8">
        <f t="shared" ca="1" si="501"/>
        <v>603</v>
      </c>
      <c r="DP154" s="5" t="str">
        <f t="shared" ca="1" si="502"/>
        <v>VIGENTE</v>
      </c>
      <c r="DQ154" s="3"/>
      <c r="DR154" s="4">
        <v>45918</v>
      </c>
      <c r="DS154" s="4">
        <f>DATE(YEAR(DR154)+2,MONTH(DR154),DAY(DR154))</f>
        <v>46648</v>
      </c>
      <c r="DT154" s="8">
        <f t="shared" ca="1" si="503"/>
        <v>514</v>
      </c>
      <c r="DU154" s="5" t="str">
        <f t="shared" ca="1" si="504"/>
        <v>VIGENTE</v>
      </c>
      <c r="DV154" s="3"/>
      <c r="DW154" s="4">
        <v>46020</v>
      </c>
      <c r="DX154" s="4">
        <f>DATE(YEAR(DW154)+2,MONTH(DW154),DAY(DW154))</f>
        <v>46750</v>
      </c>
      <c r="DY154" s="8">
        <f t="shared" ca="1" si="505"/>
        <v>616</v>
      </c>
      <c r="DZ154" s="5" t="str">
        <f t="shared" ca="1" si="506"/>
        <v>VIGENTE</v>
      </c>
      <c r="EA154" s="3"/>
      <c r="EB154" s="4">
        <v>45913</v>
      </c>
      <c r="EC154" s="4">
        <f>DATE(YEAR(EB154)+2,MONTH(EB154),DAY(EB154))</f>
        <v>46643</v>
      </c>
      <c r="ED154" s="8">
        <f t="shared" ca="1" si="507"/>
        <v>509</v>
      </c>
      <c r="EE154" s="5" t="str">
        <f t="shared" ca="1" si="508"/>
        <v>VIGENTE</v>
      </c>
      <c r="EF154" s="3"/>
      <c r="EG154" s="4">
        <v>45948</v>
      </c>
      <c r="EH154" s="4">
        <f t="shared" si="575"/>
        <v>46313</v>
      </c>
      <c r="EI154" s="8">
        <f t="shared" ca="1" si="509"/>
        <v>179</v>
      </c>
      <c r="EJ154" s="5" t="str">
        <f t="shared" ca="1" si="510"/>
        <v>VIGENTE</v>
      </c>
      <c r="EK154" s="3"/>
      <c r="EL154" s="4">
        <v>45940</v>
      </c>
      <c r="EM154" s="4">
        <f>DATE(YEAR(EL154)+2,MONTH(EL154),DAY(EL154))</f>
        <v>46670</v>
      </c>
      <c r="EN154" s="8">
        <f t="shared" ca="1" si="511"/>
        <v>536</v>
      </c>
      <c r="EO154" s="5" t="str">
        <f t="shared" ca="1" si="512"/>
        <v>VIGENTE</v>
      </c>
      <c r="EP154" s="3"/>
      <c r="EQ154" s="4">
        <v>45824</v>
      </c>
      <c r="ER154" s="4">
        <f>DATE(YEAR(EQ154)+2,MONTH(EQ154),DAY(EQ154))</f>
        <v>46554</v>
      </c>
      <c r="ES154" s="8">
        <f t="shared" ca="1" si="513"/>
        <v>420</v>
      </c>
      <c r="ET154" s="5" t="str">
        <f t="shared" ca="1" si="514"/>
        <v>VIGENTE</v>
      </c>
      <c r="EU154" s="3"/>
      <c r="EV154" s="4">
        <v>45917</v>
      </c>
      <c r="EW154" s="4">
        <f t="shared" si="593"/>
        <v>46647</v>
      </c>
      <c r="EX154" s="8">
        <f t="shared" ca="1" si="515"/>
        <v>513</v>
      </c>
      <c r="EY154" s="5" t="str">
        <f t="shared" ca="1" si="516"/>
        <v>VIGENTE</v>
      </c>
      <c r="EZ154" s="3"/>
      <c r="FA154" s="4">
        <v>45931</v>
      </c>
      <c r="FB154" s="4">
        <f t="shared" si="594"/>
        <v>46661</v>
      </c>
      <c r="FC154" s="8">
        <f t="shared" ca="1" si="517"/>
        <v>527</v>
      </c>
      <c r="FD154" s="5" t="str">
        <f t="shared" ca="1" si="518"/>
        <v>VIGENTE</v>
      </c>
      <c r="FE154" s="3"/>
      <c r="FF154" s="4">
        <v>45919</v>
      </c>
      <c r="FG154" s="4">
        <f>DATE(YEAR(FF154)+2,MONTH(FF154),DAY(FF154))</f>
        <v>46649</v>
      </c>
      <c r="FH154" s="8">
        <f t="shared" ca="1" si="519"/>
        <v>515</v>
      </c>
      <c r="FI154" s="5" t="str">
        <f t="shared" ca="1" si="520"/>
        <v>VIGENTE</v>
      </c>
      <c r="FJ154" s="3"/>
      <c r="FK154" s="4">
        <v>45920</v>
      </c>
      <c r="FL154" s="4">
        <f>DATE(YEAR(FK154)+2,MONTH(FK154),DAY(FK154))</f>
        <v>46650</v>
      </c>
      <c r="FM154" s="8">
        <f t="shared" ca="1" si="521"/>
        <v>516</v>
      </c>
      <c r="FN154" s="5" t="str">
        <f t="shared" ca="1" si="522"/>
        <v>VIGENTE</v>
      </c>
      <c r="FO154" s="3"/>
      <c r="FP154" s="4">
        <v>45957</v>
      </c>
      <c r="FQ154" s="4">
        <f>DATE(YEAR(FP154)+2,MONTH(FP154),DAY(FP154))</f>
        <v>46687</v>
      </c>
      <c r="FR154" s="8">
        <f t="shared" ca="1" si="523"/>
        <v>553</v>
      </c>
      <c r="FS154" s="5" t="str">
        <f t="shared" ca="1" si="524"/>
        <v>VIGENTE</v>
      </c>
      <c r="FT154" s="3"/>
      <c r="FU154" s="4">
        <v>45700</v>
      </c>
      <c r="FV154" s="4">
        <f>DATE(YEAR(FU154)+2,MONTH(FU154),DAY(FU154)-1)</f>
        <v>46429</v>
      </c>
      <c r="FW154" s="8">
        <f t="shared" ca="1" si="525"/>
        <v>295</v>
      </c>
      <c r="FX154" s="5" t="str">
        <f t="shared" ca="1" si="526"/>
        <v>VIGENTE</v>
      </c>
      <c r="FY154" s="3"/>
      <c r="FZ154" s="4">
        <v>45715</v>
      </c>
      <c r="GA154" s="4">
        <f>DATE(YEAR(FZ154)+2,MONTH(FZ154),DAY(FZ154)-1)</f>
        <v>46444</v>
      </c>
      <c r="GB154" s="8">
        <f t="shared" ca="1" si="527"/>
        <v>310</v>
      </c>
      <c r="GC154" s="5" t="str">
        <f t="shared" ca="1" si="528"/>
        <v>VIGENTE</v>
      </c>
      <c r="GD154" s="3"/>
      <c r="GE154" s="4">
        <v>45912</v>
      </c>
      <c r="GF154" s="4">
        <f>DATE(YEAR(GE154)+2,MONTH(GE154),DAY(GE154))</f>
        <v>46642</v>
      </c>
      <c r="GG154" s="8">
        <f t="shared" ca="1" si="529"/>
        <v>508</v>
      </c>
      <c r="GH154" s="5" t="str">
        <f t="shared" ca="1" si="530"/>
        <v>VIGENTE</v>
      </c>
      <c r="GI154" s="3"/>
      <c r="GJ154" s="4">
        <v>45945</v>
      </c>
      <c r="GK154" s="4">
        <f>DATE(YEAR(GJ154)+2,MONTH(GJ154),DAY(GJ154))</f>
        <v>46675</v>
      </c>
      <c r="GL154" s="8">
        <f t="shared" ca="1" si="531"/>
        <v>541</v>
      </c>
      <c r="GM154" s="5" t="str">
        <f t="shared" ca="1" si="532"/>
        <v>VIGENTE</v>
      </c>
      <c r="GN154" s="4"/>
      <c r="GO154" s="4">
        <v>45244</v>
      </c>
      <c r="GP154" s="4">
        <f t="shared" si="533"/>
        <v>47071</v>
      </c>
      <c r="GQ154" s="8">
        <f t="shared" ca="1" si="418"/>
        <v>937</v>
      </c>
      <c r="GR154" s="5" t="str">
        <f t="shared" ca="1" si="431"/>
        <v>VIGENTE</v>
      </c>
      <c r="GS154" s="3"/>
      <c r="GT154" s="4">
        <v>45252</v>
      </c>
      <c r="GU154" s="4">
        <f t="shared" si="534"/>
        <v>47079</v>
      </c>
      <c r="GV154" s="8">
        <f t="shared" ca="1" si="535"/>
        <v>945</v>
      </c>
      <c r="GW154" s="5" t="str">
        <f t="shared" ca="1" si="438"/>
        <v>VIGENTE</v>
      </c>
      <c r="GX154" s="3"/>
      <c r="GY154" s="4">
        <v>45251</v>
      </c>
      <c r="GZ154" s="4">
        <f t="shared" si="536"/>
        <v>47078</v>
      </c>
      <c r="HA154" s="8">
        <f t="shared" ca="1" si="537"/>
        <v>944</v>
      </c>
      <c r="HB154" s="5" t="str">
        <f t="shared" ca="1" si="433"/>
        <v>VIGENTE</v>
      </c>
      <c r="HC154" s="6"/>
      <c r="HD154" s="4">
        <v>45121</v>
      </c>
      <c r="HE154" s="4">
        <f t="shared" ref="HE154:HE162" si="601">DATE(YEAR(HD154)+5,MONTH(HD154),DAY(HD154))</f>
        <v>46948</v>
      </c>
      <c r="HF154" s="8">
        <f t="shared" ref="HF154:HF162" ca="1" si="602">HE154-TODAY()</f>
        <v>814</v>
      </c>
      <c r="HG154" s="5" t="str">
        <f t="shared" ca="1" si="439"/>
        <v>VIGENTE</v>
      </c>
      <c r="HH154" s="2"/>
      <c r="HI154" s="6"/>
      <c r="HJ154" s="4"/>
      <c r="HK154" s="8"/>
      <c r="HL154" s="5" t="str">
        <f t="shared" si="457"/>
        <v>NO APLICA</v>
      </c>
      <c r="HM154" s="2"/>
      <c r="HN154" s="5"/>
      <c r="HO154" s="4"/>
      <c r="HP154" s="5"/>
      <c r="HQ154" s="5" t="str">
        <f t="shared" si="538"/>
        <v>NO APLICA</v>
      </c>
      <c r="HR154" s="3"/>
      <c r="HS154" s="4">
        <v>45208</v>
      </c>
      <c r="HT154" s="4">
        <f>DATE(YEAR(HS154)+5,MONTH(HS154),DAY(HS154))</f>
        <v>47035</v>
      </c>
      <c r="HU154" s="8">
        <f ca="1">HT154-TODAY()</f>
        <v>901</v>
      </c>
      <c r="HV154" s="5" t="str">
        <f t="shared" ca="1" si="539"/>
        <v>VIGENTE</v>
      </c>
      <c r="HW154" s="3"/>
      <c r="HX154" s="4">
        <v>45234</v>
      </c>
      <c r="HY154" s="4">
        <f>DATE(YEAR(HX154)+5,MONTH(HX154),DAY(HX154))</f>
        <v>47061</v>
      </c>
      <c r="HZ154" s="8">
        <f ca="1">HY154-TODAY()</f>
        <v>927</v>
      </c>
      <c r="IA154" s="5" t="str">
        <f t="shared" ca="1" si="540"/>
        <v>VIGENTE</v>
      </c>
      <c r="IB154" s="3"/>
      <c r="IC154" s="3">
        <v>45230</v>
      </c>
      <c r="ID154" s="4">
        <f>DATE(YEAR(IC154)+5,MONTH(IC154),DAY(IC154))</f>
        <v>47057</v>
      </c>
      <c r="IE154" s="8">
        <f ca="1">ID154-TODAY()</f>
        <v>923</v>
      </c>
      <c r="IF154" s="5" t="str">
        <f t="shared" ca="1" si="541"/>
        <v>VIGENTE</v>
      </c>
      <c r="IG154" s="4"/>
      <c r="IH154" s="4">
        <v>45225</v>
      </c>
      <c r="II154" s="4">
        <f>DATE(YEAR(IH154)+5,MONTH(IH154),DAY(IH154))</f>
        <v>47052</v>
      </c>
      <c r="IJ154" s="8">
        <f ca="1">II154-TODAY()</f>
        <v>918</v>
      </c>
      <c r="IK154" s="5" t="str">
        <f t="shared" ca="1" si="542"/>
        <v>VIGENTE</v>
      </c>
      <c r="IL154" s="3"/>
      <c r="IM154" s="4">
        <v>45239</v>
      </c>
      <c r="IN154" s="4">
        <f>DATE(YEAR(IM154)+5,MONTH(IM154),DAY(IM154))</f>
        <v>47066</v>
      </c>
      <c r="IO154" s="8">
        <f ca="1">IN154-TODAY()</f>
        <v>932</v>
      </c>
      <c r="IP154" s="5" t="str">
        <f t="shared" ca="1" si="543"/>
        <v>VIGENTE</v>
      </c>
      <c r="IQ154" s="3"/>
      <c r="IR154" s="4">
        <v>45233</v>
      </c>
      <c r="IS154" s="4">
        <f>DATE(YEAR(IR154)+5,MONTH(IR154),DAY(IR154))</f>
        <v>47060</v>
      </c>
      <c r="IT154" s="8">
        <f ca="1">IS154-TODAY()</f>
        <v>926</v>
      </c>
      <c r="IU154" s="5" t="str">
        <f t="shared" ca="1" si="544"/>
        <v>VIGENTE</v>
      </c>
      <c r="IV154" s="3"/>
      <c r="IW154" s="4">
        <v>45224</v>
      </c>
      <c r="IX154" s="4">
        <f>DATE(YEAR(IW154)+5,MONTH(IW154),DAY(IW154))</f>
        <v>47051</v>
      </c>
      <c r="IY154" s="8">
        <f ca="1">IX154-TODAY()</f>
        <v>917</v>
      </c>
      <c r="IZ154" s="5" t="str">
        <f t="shared" ca="1" si="545"/>
        <v>VIGENTE</v>
      </c>
      <c r="JA154" s="3"/>
      <c r="JB154" s="3"/>
      <c r="JC154" s="4"/>
      <c r="JD154" s="8"/>
      <c r="JE154" s="5" t="str">
        <f t="shared" si="546"/>
        <v>NO APLICA</v>
      </c>
      <c r="JF154" s="6"/>
      <c r="JG154" s="6"/>
      <c r="JH154" s="6"/>
      <c r="JI154" s="6"/>
      <c r="JJ154" s="5" t="str">
        <f t="shared" si="547"/>
        <v>NO APLICA</v>
      </c>
      <c r="JK154" s="6"/>
      <c r="JL154" s="6"/>
      <c r="JM154" s="6"/>
      <c r="JN154" s="6"/>
      <c r="JO154" s="5" t="str">
        <f t="shared" si="548"/>
        <v>NO APLICA</v>
      </c>
      <c r="JP154" s="6"/>
      <c r="JQ154" s="6"/>
      <c r="JR154" s="6"/>
      <c r="JS154" s="6"/>
      <c r="JT154" s="5" t="str">
        <f t="shared" si="549"/>
        <v>NO APLICA</v>
      </c>
      <c r="JU154" s="5"/>
      <c r="JV154" s="5"/>
      <c r="JW154" s="5"/>
      <c r="JX154" s="5"/>
      <c r="JY154" s="5" t="str">
        <f t="shared" si="550"/>
        <v>NO APLICA</v>
      </c>
      <c r="JZ154" s="5"/>
      <c r="KA154" s="5"/>
      <c r="KB154" s="4"/>
      <c r="KC154" s="8"/>
      <c r="KD154" s="5" t="str">
        <f t="shared" si="551"/>
        <v>NO APLICA</v>
      </c>
      <c r="KE154" s="5"/>
      <c r="KF154" s="3">
        <v>45328</v>
      </c>
      <c r="KG154" s="4">
        <f>DATE(YEAR(KF154)+5,MONTH(KF154),DAY(KF154)-1)</f>
        <v>47154</v>
      </c>
      <c r="KH154" s="8">
        <f ca="1">KG154-TODAY()</f>
        <v>1020</v>
      </c>
      <c r="KI154" s="5" t="str">
        <f t="shared" ca="1" si="576"/>
        <v>VIGENTE</v>
      </c>
      <c r="KJ154" s="5"/>
      <c r="KK154" s="5"/>
      <c r="KL154" s="4"/>
      <c r="KM154" s="8"/>
      <c r="KN154" s="5" t="str">
        <f t="shared" si="552"/>
        <v>NO APLICA</v>
      </c>
      <c r="KO154" s="5"/>
      <c r="KP154" s="2"/>
      <c r="KQ154" s="4"/>
      <c r="KR154" s="8"/>
      <c r="KS154" s="5" t="str">
        <f t="shared" si="577"/>
        <v>NO APLICA</v>
      </c>
      <c r="KT154" s="2"/>
      <c r="KU154" s="6"/>
      <c r="KV154" s="4"/>
      <c r="KW154" s="8"/>
      <c r="KX154" s="5" t="str">
        <f t="shared" si="583"/>
        <v>NO APLICA</v>
      </c>
      <c r="KY154" s="5"/>
      <c r="KZ154" s="4">
        <v>44614</v>
      </c>
      <c r="LA154" s="4">
        <f>DATE(YEAR(KZ154)+5,MONTH(KZ154),DAY(KZ154))</f>
        <v>46440</v>
      </c>
      <c r="LB154" s="8">
        <f ca="1">LA154-TODAY()</f>
        <v>306</v>
      </c>
      <c r="LC154" s="5" t="str">
        <f t="shared" ca="1" si="578"/>
        <v>VIGENTE</v>
      </c>
      <c r="LD154" s="4"/>
      <c r="LE154" s="4"/>
      <c r="LF154" s="4"/>
      <c r="LG154" s="8"/>
      <c r="LH154" s="5" t="str">
        <f t="shared" si="585"/>
        <v>NO APLICA</v>
      </c>
      <c r="LI154" s="5"/>
      <c r="LJ154" s="5"/>
      <c r="LK154" s="5"/>
      <c r="LL154" s="5"/>
      <c r="LM154" s="5" t="str">
        <f t="shared" si="584"/>
        <v>NO APLICA</v>
      </c>
      <c r="LN154" s="5"/>
      <c r="LO154" s="6"/>
      <c r="LP154" s="4"/>
      <c r="LQ154" s="8"/>
      <c r="LR154" s="5" t="str">
        <f t="shared" si="579"/>
        <v>NO APLICA</v>
      </c>
      <c r="LS154" s="6"/>
      <c r="LT154" s="6"/>
      <c r="LU154" s="4"/>
      <c r="LV154" s="8"/>
      <c r="LW154" s="5" t="str">
        <f t="shared" si="580"/>
        <v>NO APLICA</v>
      </c>
      <c r="LX154" s="6"/>
      <c r="LY154" s="6"/>
      <c r="LZ154" s="4"/>
      <c r="MA154" s="8"/>
      <c r="MB154" s="5" t="str">
        <f t="shared" si="581"/>
        <v>NO APLICA</v>
      </c>
      <c r="MC154" s="5"/>
      <c r="MD154" s="5"/>
      <c r="ME154" s="5"/>
      <c r="MF154" s="5"/>
      <c r="MG154" s="5" t="str">
        <f t="shared" si="554"/>
        <v>NO APLICA</v>
      </c>
      <c r="MH154" s="5"/>
      <c r="MI154" s="5"/>
      <c r="MJ154" s="4"/>
      <c r="MK154" s="8"/>
      <c r="ML154" s="5" t="str">
        <f t="shared" si="555"/>
        <v>NO APLICA</v>
      </c>
      <c r="MM154" s="5"/>
      <c r="MN154" s="3">
        <v>45154</v>
      </c>
      <c r="MO154" s="4">
        <f>DATE(YEAR(MN154)+5,MONTH(MN154),DAY(MN154))</f>
        <v>46981</v>
      </c>
      <c r="MP154" s="8">
        <f ca="1">MO154-TODAY()</f>
        <v>847</v>
      </c>
      <c r="MQ154" s="5" t="str">
        <f t="shared" ca="1" si="556"/>
        <v>VIGENTE</v>
      </c>
      <c r="MR154" s="5"/>
      <c r="MS154" s="3">
        <v>45155</v>
      </c>
      <c r="MT154" s="4">
        <f>DATE(YEAR(MS154)+5,MONTH(MS154),DAY(MS154))</f>
        <v>46982</v>
      </c>
      <c r="MU154" s="8">
        <f ca="1">MT154-TODAY()</f>
        <v>848</v>
      </c>
      <c r="MV154" s="5" t="str">
        <f t="shared" ca="1" si="557"/>
        <v>VIGENTE</v>
      </c>
      <c r="MW154" s="5"/>
      <c r="MX154" s="6"/>
      <c r="MY154" s="4"/>
      <c r="MZ154" s="8"/>
      <c r="NA154" s="5" t="str">
        <f t="shared" si="558"/>
        <v>NO APLICA</v>
      </c>
      <c r="NB154" s="5"/>
      <c r="NC154" s="6"/>
      <c r="ND154" s="4"/>
      <c r="NE154" s="8"/>
      <c r="NF154" s="5" t="str">
        <f t="shared" si="559"/>
        <v>NO APLICA</v>
      </c>
      <c r="NG154" s="5"/>
      <c r="NH154" s="6"/>
      <c r="NI154" s="4"/>
      <c r="NJ154" s="8"/>
      <c r="NK154" s="5" t="str">
        <f t="shared" si="560"/>
        <v>NO APLICA</v>
      </c>
      <c r="NL154" s="5"/>
      <c r="NM154" s="5"/>
      <c r="NN154" s="5"/>
      <c r="NO154" s="5"/>
      <c r="NP154" s="5" t="str">
        <f t="shared" si="561"/>
        <v>NO APLICA</v>
      </c>
      <c r="NQ154" s="5"/>
      <c r="NR154" s="5"/>
      <c r="NS154" s="5"/>
      <c r="NT154" s="5"/>
      <c r="NU154" s="5" t="str">
        <f t="shared" si="562"/>
        <v>NO APLICA</v>
      </c>
      <c r="NV154" s="6"/>
      <c r="NW154" s="6"/>
      <c r="NX154" s="6"/>
      <c r="NY154" s="6"/>
      <c r="NZ154" s="5" t="str">
        <f t="shared" si="563"/>
        <v>NO APLICA</v>
      </c>
      <c r="OA154" s="6"/>
      <c r="OB154" s="6"/>
      <c r="OC154" s="6"/>
      <c r="OD154" s="6"/>
      <c r="OE154" s="5" t="str">
        <f t="shared" si="564"/>
        <v>NO APLICA</v>
      </c>
      <c r="OF154" s="6"/>
      <c r="OG154" s="6"/>
      <c r="OH154" s="4"/>
      <c r="OI154" s="8"/>
      <c r="OJ154" s="5" t="str">
        <f t="shared" si="565"/>
        <v>NO APLICA</v>
      </c>
      <c r="OK154" s="6"/>
      <c r="OL154" s="6"/>
      <c r="OM154" s="6"/>
      <c r="ON154" s="6"/>
      <c r="OO154" s="5" t="str">
        <f t="shared" si="566"/>
        <v>NO APLICA</v>
      </c>
      <c r="OP154" s="6"/>
      <c r="OQ154" s="6"/>
      <c r="OR154" s="6"/>
      <c r="OS154" s="6"/>
      <c r="OT154" s="5" t="str">
        <f t="shared" si="567"/>
        <v>NO APLICA</v>
      </c>
      <c r="OU154" s="6"/>
      <c r="OV154" s="6"/>
      <c r="OW154" s="6"/>
      <c r="OX154" s="6"/>
      <c r="OY154" s="5" t="str">
        <f t="shared" si="568"/>
        <v>NO APLICA</v>
      </c>
      <c r="OZ154" s="6"/>
      <c r="PA154" s="6"/>
      <c r="PB154" s="6"/>
      <c r="PC154" s="6"/>
      <c r="PD154" s="5" t="str">
        <f t="shared" si="569"/>
        <v>NO APLICA</v>
      </c>
      <c r="PE154" s="6"/>
      <c r="PF154" s="6"/>
      <c r="PG154" s="6"/>
      <c r="PH154" s="6"/>
      <c r="PI154" s="5" t="str">
        <f t="shared" si="570"/>
        <v>NO APLICA</v>
      </c>
      <c r="PJ154" s="5"/>
      <c r="PK154" s="6"/>
      <c r="PL154" s="4"/>
      <c r="PM154" s="8"/>
      <c r="PN154" s="5" t="str">
        <f t="shared" si="571"/>
        <v>NO APLICA</v>
      </c>
      <c r="PO154" s="6"/>
      <c r="PP154" s="6"/>
      <c r="PQ154" s="6"/>
      <c r="PR154" s="6"/>
      <c r="PS154" s="5" t="str">
        <f t="shared" si="572"/>
        <v>NO APLICA</v>
      </c>
      <c r="PT154" s="5"/>
      <c r="PU154" s="6"/>
      <c r="PV154" s="6"/>
      <c r="PW154" s="6"/>
      <c r="PX154" s="5" t="str">
        <f t="shared" si="573"/>
        <v>NO APLICA</v>
      </c>
    </row>
    <row r="155" spans="1:440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192</v>
      </c>
      <c r="T155" s="5" t="str">
        <f t="shared" ca="1" si="574"/>
        <v>VIGENTE</v>
      </c>
      <c r="U155" s="6" t="s">
        <v>505</v>
      </c>
      <c r="V155" s="4">
        <v>45309</v>
      </c>
      <c r="W155" s="4">
        <f t="shared" si="421"/>
        <v>47136</v>
      </c>
      <c r="X155" s="8">
        <f t="shared" ca="1" si="422"/>
        <v>1002</v>
      </c>
      <c r="Y155" s="5" t="str">
        <f t="shared" ca="1" si="423"/>
        <v>VIGENTE</v>
      </c>
      <c r="Z155" s="6"/>
      <c r="AA155" s="6"/>
      <c r="AB155" s="4"/>
      <c r="AC155" s="8"/>
      <c r="AD155" s="23" t="str">
        <f>IF(AC155&gt;=91,"VIGENTE",IF(AC155&gt;=1,"POR VENCER",IF(AC155&lt;=-1,"VENCIDA",IF(AA155=0,"PENDIENTE"))))</f>
        <v>PENDIENTE</v>
      </c>
      <c r="AE155" s="6"/>
      <c r="AF155" s="4">
        <v>45936</v>
      </c>
      <c r="AG155" s="4">
        <f>DATE(YEAR(AF155)+2,MONTH(AF155),DAY(AF155))</f>
        <v>46666</v>
      </c>
      <c r="AH155" s="8">
        <f t="shared" ca="1" si="470"/>
        <v>532</v>
      </c>
      <c r="AI155" s="5" t="str">
        <f t="shared" ca="1" si="419"/>
        <v>VIGENTE</v>
      </c>
      <c r="AJ155" s="6"/>
      <c r="AK155" s="4">
        <v>45937</v>
      </c>
      <c r="AL155" s="4">
        <f t="shared" si="590"/>
        <v>46667</v>
      </c>
      <c r="AM155" s="8">
        <f t="shared" ca="1" si="471"/>
        <v>533</v>
      </c>
      <c r="AN155" s="5" t="str">
        <f t="shared" ca="1" si="472"/>
        <v>VIGENTE</v>
      </c>
      <c r="AO155" s="4"/>
      <c r="AP155" s="4">
        <v>45989</v>
      </c>
      <c r="AQ155" s="4">
        <f>DATE(YEAR(AP155)+2,MONTH(AP155),DAY(AP155))</f>
        <v>46719</v>
      </c>
      <c r="AR155" s="8">
        <f t="shared" ca="1" si="473"/>
        <v>585</v>
      </c>
      <c r="AS155" s="5" t="str">
        <f t="shared" ca="1" si="474"/>
        <v>VIGENTE</v>
      </c>
      <c r="AT155" s="4"/>
      <c r="AU155" s="4">
        <v>45972</v>
      </c>
      <c r="AV155" s="4">
        <f>DATE(YEAR(AU155)+2,MONTH(AU155),DAY(AU155))</f>
        <v>46702</v>
      </c>
      <c r="AW155" s="8">
        <f t="shared" ca="1" si="475"/>
        <v>568</v>
      </c>
      <c r="AX155" s="5" t="str">
        <f t="shared" ca="1" si="476"/>
        <v>VIGENTE</v>
      </c>
      <c r="AY155" s="3"/>
      <c r="AZ155" s="4">
        <v>46041</v>
      </c>
      <c r="BA155" s="4">
        <f>DATE(YEAR(AZ155)+2,MONTH(AZ155),DAY(AZ155))</f>
        <v>46771</v>
      </c>
      <c r="BB155" s="8">
        <f t="shared" ca="1" si="477"/>
        <v>637</v>
      </c>
      <c r="BC155" s="5" t="str">
        <f t="shared" ca="1" si="478"/>
        <v>VIGENTE</v>
      </c>
      <c r="BD155" s="6"/>
      <c r="BE155" s="4">
        <v>45997</v>
      </c>
      <c r="BF155" s="4">
        <f t="shared" si="600"/>
        <v>46727</v>
      </c>
      <c r="BG155" s="8">
        <f t="shared" ca="1" si="479"/>
        <v>593</v>
      </c>
      <c r="BH155" s="5" t="str">
        <f t="shared" ca="1" si="480"/>
        <v>VIGENTE</v>
      </c>
      <c r="BI155" s="4"/>
      <c r="BJ155" s="4">
        <v>46017</v>
      </c>
      <c r="BK155" s="4">
        <f>DATE(YEAR(BJ155)+2,MONTH(BJ155),DAY(BJ155))</f>
        <v>46747</v>
      </c>
      <c r="BL155" s="8">
        <f t="shared" ca="1" si="481"/>
        <v>613</v>
      </c>
      <c r="BM155" s="5" t="str">
        <f t="shared" ca="1" si="482"/>
        <v>VIGENTE</v>
      </c>
      <c r="BN155" s="4"/>
      <c r="BO155" s="4">
        <v>46050</v>
      </c>
      <c r="BP155" s="4">
        <f>DATE(YEAR(BO155)+2,MONTH(BO155),DAY(BO155))</f>
        <v>46780</v>
      </c>
      <c r="BQ155" s="8">
        <f t="shared" ca="1" si="483"/>
        <v>646</v>
      </c>
      <c r="BR155" s="5" t="str">
        <f t="shared" ca="1" si="484"/>
        <v>VIGENTE</v>
      </c>
      <c r="BS155" s="3"/>
      <c r="BT155" s="4">
        <v>46031</v>
      </c>
      <c r="BU155" s="4">
        <f>DATE(YEAR(BT155)+2,MONTH(BT155),DAY(BT155))</f>
        <v>46761</v>
      </c>
      <c r="BV155" s="8">
        <f t="shared" ca="1" si="485"/>
        <v>627</v>
      </c>
      <c r="BW155" s="5" t="str">
        <f t="shared" ca="1" si="486"/>
        <v>VIGENTE</v>
      </c>
      <c r="BX155" s="6"/>
      <c r="BY155" s="4">
        <v>45986</v>
      </c>
      <c r="BZ155" s="4">
        <f t="shared" si="592"/>
        <v>46716</v>
      </c>
      <c r="CA155" s="8">
        <f t="shared" ca="1" si="487"/>
        <v>582</v>
      </c>
      <c r="CB155" s="5" t="str">
        <f t="shared" ca="1" si="488"/>
        <v>VIGENTE</v>
      </c>
      <c r="CC155" s="6" t="s">
        <v>68</v>
      </c>
      <c r="CD155" s="4">
        <v>45723</v>
      </c>
      <c r="CE155" s="4">
        <f t="shared" si="428"/>
        <v>47184</v>
      </c>
      <c r="CF155" s="8">
        <f t="shared" ca="1" si="429"/>
        <v>1050</v>
      </c>
      <c r="CG155" s="5" t="str">
        <f t="shared" ca="1" si="591"/>
        <v>VIGENTE</v>
      </c>
      <c r="CH155" s="4"/>
      <c r="CI155" s="4">
        <v>46018</v>
      </c>
      <c r="CJ155" s="4">
        <f>DATE(YEAR(CI155)+2,MONTH(CI155),DAY(CI155))</f>
        <v>46748</v>
      </c>
      <c r="CK155" s="8">
        <f t="shared" ca="1" si="489"/>
        <v>614</v>
      </c>
      <c r="CL155" s="5" t="str">
        <f t="shared" ca="1" si="490"/>
        <v>VIGENTE</v>
      </c>
      <c r="CM155" s="4"/>
      <c r="CN155" s="4">
        <v>45979</v>
      </c>
      <c r="CO155" s="4">
        <f>DATE(YEAR(CN155)+2,MONTH(CN155),DAY(CN155))</f>
        <v>46709</v>
      </c>
      <c r="CP155" s="8">
        <f t="shared" ca="1" si="491"/>
        <v>575</v>
      </c>
      <c r="CQ155" s="5" t="str">
        <f t="shared" ca="1" si="492"/>
        <v>VIGENTE</v>
      </c>
      <c r="CR155" s="4"/>
      <c r="CS155" s="4">
        <v>46043</v>
      </c>
      <c r="CT155" s="4">
        <f>DATE(YEAR(CS155)+2,MONTH(CS155),DAY(CS155))</f>
        <v>46773</v>
      </c>
      <c r="CU155" s="8">
        <f t="shared" ca="1" si="493"/>
        <v>639</v>
      </c>
      <c r="CV155" s="5" t="str">
        <f t="shared" ca="1" si="494"/>
        <v>VIGENTE</v>
      </c>
      <c r="CW155" s="4"/>
      <c r="CX155" s="4">
        <v>46000</v>
      </c>
      <c r="CY155" s="4">
        <f>DATE(YEAR(CX155)+2,MONTH(CX155),DAY(CX155))</f>
        <v>46730</v>
      </c>
      <c r="CZ155" s="8">
        <f t="shared" ca="1" si="495"/>
        <v>596</v>
      </c>
      <c r="DA155" s="5" t="str">
        <f t="shared" ca="1" si="496"/>
        <v>VIGENTE</v>
      </c>
      <c r="DB155" s="3"/>
      <c r="DC155" s="4">
        <v>45996</v>
      </c>
      <c r="DD155" s="4">
        <f>DATE(YEAR(DC155)+2,MONTH(DC155),DAY(DC155))</f>
        <v>46726</v>
      </c>
      <c r="DE155" s="8">
        <f t="shared" ca="1" si="497"/>
        <v>592</v>
      </c>
      <c r="DF155" s="5" t="str">
        <f t="shared" ca="1" si="498"/>
        <v>VIGENTE</v>
      </c>
      <c r="DG155" s="4"/>
      <c r="DH155" s="4">
        <v>45975</v>
      </c>
      <c r="DI155" s="4">
        <f>DATE(YEAR(DH155)+2,MONTH(DH155),DAY(DH155))</f>
        <v>46705</v>
      </c>
      <c r="DJ155" s="8">
        <f t="shared" ca="1" si="499"/>
        <v>571</v>
      </c>
      <c r="DK155" s="5" t="str">
        <f t="shared" ca="1" si="500"/>
        <v>VIGENTE</v>
      </c>
      <c r="DL155" s="4"/>
      <c r="DM155" s="4">
        <v>45982</v>
      </c>
      <c r="DN155" s="4">
        <f>DATE(YEAR(DM155)+2,MONTH(DM155),DAY(DM155))</f>
        <v>46712</v>
      </c>
      <c r="DO155" s="8">
        <f t="shared" ca="1" si="501"/>
        <v>578</v>
      </c>
      <c r="DP155" s="5" t="str">
        <f t="shared" ca="1" si="502"/>
        <v>VIGENTE</v>
      </c>
      <c r="DQ155" s="4"/>
      <c r="DR155" s="3">
        <v>46009</v>
      </c>
      <c r="DS155" s="4">
        <f>DATE(YEAR(DR155)+2,MONTH(DR155),DAY(DR155))</f>
        <v>46739</v>
      </c>
      <c r="DT155" s="8">
        <f t="shared" ca="1" si="503"/>
        <v>605</v>
      </c>
      <c r="DU155" s="5" t="str">
        <f t="shared" ca="1" si="504"/>
        <v>VIGENTE</v>
      </c>
      <c r="DV155" s="4"/>
      <c r="DW155" s="4">
        <v>46032</v>
      </c>
      <c r="DX155" s="4">
        <f>DATE(YEAR(DW155)+2,MONTH(DW155),DAY(DW155))</f>
        <v>46762</v>
      </c>
      <c r="DY155" s="8">
        <f t="shared" ca="1" si="505"/>
        <v>628</v>
      </c>
      <c r="DZ155" s="5" t="str">
        <f t="shared" ca="1" si="506"/>
        <v>VIGENTE</v>
      </c>
      <c r="EA155" s="4"/>
      <c r="EB155" s="4">
        <v>45994</v>
      </c>
      <c r="EC155" s="4">
        <f>DATE(YEAR(EB155)+2,MONTH(EB155),DAY(EB155))</f>
        <v>46724</v>
      </c>
      <c r="ED155" s="8">
        <f t="shared" ca="1" si="507"/>
        <v>590</v>
      </c>
      <c r="EE155" s="5" t="str">
        <f t="shared" ca="1" si="508"/>
        <v>VIGENTE</v>
      </c>
      <c r="EF155" s="3"/>
      <c r="EG155" s="3">
        <v>46015</v>
      </c>
      <c r="EH155" s="4">
        <f t="shared" si="575"/>
        <v>46380</v>
      </c>
      <c r="EI155" s="8">
        <f t="shared" ca="1" si="509"/>
        <v>246</v>
      </c>
      <c r="EJ155" s="5" t="str">
        <f t="shared" ca="1" si="510"/>
        <v>VIGENTE</v>
      </c>
      <c r="EK155" s="3"/>
      <c r="EL155" s="4">
        <v>45983</v>
      </c>
      <c r="EM155" s="4">
        <f>DATE(YEAR(EL155)+2,MONTH(EL155),DAY(EL155))</f>
        <v>46713</v>
      </c>
      <c r="EN155" s="8">
        <f t="shared" ca="1" si="511"/>
        <v>579</v>
      </c>
      <c r="EO155" s="5" t="str">
        <f t="shared" ca="1" si="512"/>
        <v>VIGENTE</v>
      </c>
      <c r="EP155" s="6"/>
      <c r="EQ155" s="4">
        <v>45999</v>
      </c>
      <c r="ER155" s="4">
        <f>DATE(YEAR(EQ155)+2,MONTH(EQ155),DAY(EQ155))</f>
        <v>46729</v>
      </c>
      <c r="ES155" s="8">
        <f t="shared" ca="1" si="513"/>
        <v>595</v>
      </c>
      <c r="ET155" s="5" t="str">
        <f t="shared" ca="1" si="514"/>
        <v>VIGENTE</v>
      </c>
      <c r="EU155" s="4"/>
      <c r="EV155" s="4">
        <v>45964</v>
      </c>
      <c r="EW155" s="4">
        <f t="shared" si="593"/>
        <v>46694</v>
      </c>
      <c r="EX155" s="8">
        <f t="shared" ca="1" si="515"/>
        <v>560</v>
      </c>
      <c r="EY155" s="5" t="str">
        <f t="shared" ca="1" si="516"/>
        <v>VIGENTE</v>
      </c>
      <c r="EZ155" s="6"/>
      <c r="FA155" s="4">
        <v>45988</v>
      </c>
      <c r="FB155" s="4">
        <f t="shared" si="594"/>
        <v>46718</v>
      </c>
      <c r="FC155" s="8">
        <f t="shared" ca="1" si="517"/>
        <v>584</v>
      </c>
      <c r="FD155" s="5" t="str">
        <f t="shared" ca="1" si="518"/>
        <v>VIGENTE</v>
      </c>
      <c r="FE155" s="4"/>
      <c r="FF155" s="4">
        <v>45962</v>
      </c>
      <c r="FG155" s="4">
        <f>DATE(YEAR(FF155)+2,MONTH(FF155),DAY(FF155))</f>
        <v>46692</v>
      </c>
      <c r="FH155" s="8">
        <f t="shared" ca="1" si="519"/>
        <v>558</v>
      </c>
      <c r="FI155" s="5" t="str">
        <f t="shared" ca="1" si="520"/>
        <v>VIGENTE</v>
      </c>
      <c r="FJ155" s="4"/>
      <c r="FK155" s="4">
        <v>46039</v>
      </c>
      <c r="FL155" s="4">
        <f>DATE(YEAR(FK155)+2,MONTH(FK155),DAY(FK155))</f>
        <v>46769</v>
      </c>
      <c r="FM155" s="8">
        <f t="shared" ca="1" si="521"/>
        <v>635</v>
      </c>
      <c r="FN155" s="5" t="str">
        <f t="shared" ca="1" si="522"/>
        <v>VIGENTE</v>
      </c>
      <c r="FO155" s="4"/>
      <c r="FP155" s="4">
        <v>46034</v>
      </c>
      <c r="FQ155" s="4">
        <f>DATE(YEAR(FP155)+2,MONTH(FP155),DAY(FP155))</f>
        <v>46764</v>
      </c>
      <c r="FR155" s="8">
        <f t="shared" ca="1" si="523"/>
        <v>630</v>
      </c>
      <c r="FS155" s="5" t="str">
        <f t="shared" ca="1" si="524"/>
        <v>VIGENTE</v>
      </c>
      <c r="FT155" s="4"/>
      <c r="FU155" s="4">
        <v>46004</v>
      </c>
      <c r="FV155" s="4">
        <f>DATE(YEAR(FU155)+2,MONTH(FU155),DAY(FU155))</f>
        <v>46734</v>
      </c>
      <c r="FW155" s="8">
        <f t="shared" ca="1" si="525"/>
        <v>600</v>
      </c>
      <c r="FX155" s="5" t="str">
        <f t="shared" ca="1" si="526"/>
        <v>VIGENTE</v>
      </c>
      <c r="FY155" s="4"/>
      <c r="FZ155" s="4">
        <v>45925</v>
      </c>
      <c r="GA155" s="4">
        <f>DATE(YEAR(FZ155)+2,MONTH(FZ155),DAY(FZ155))</f>
        <v>46655</v>
      </c>
      <c r="GB155" s="8">
        <f t="shared" ca="1" si="527"/>
        <v>521</v>
      </c>
      <c r="GC155" s="5" t="str">
        <f t="shared" ca="1" si="528"/>
        <v>VIGENTE</v>
      </c>
      <c r="GD155" s="4"/>
      <c r="GE155" s="4">
        <v>45960</v>
      </c>
      <c r="GF155" s="4">
        <f>DATE(YEAR(GE155)+2,MONTH(GE155),DAY(GE155))</f>
        <v>46690</v>
      </c>
      <c r="GG155" s="8">
        <f t="shared" ca="1" si="529"/>
        <v>556</v>
      </c>
      <c r="GH155" s="5" t="str">
        <f t="shared" ca="1" si="530"/>
        <v>VIGENTE</v>
      </c>
      <c r="GI155" s="4"/>
      <c r="GJ155" s="4">
        <v>45499</v>
      </c>
      <c r="GK155" s="4">
        <f>DATE(YEAR(GJ155)+2,MONTH(GJ155),DAY(GJ155)-1)</f>
        <v>46228</v>
      </c>
      <c r="GL155" s="8">
        <f t="shared" ca="1" si="531"/>
        <v>94</v>
      </c>
      <c r="GM155" s="5" t="str">
        <f t="shared" ca="1" si="532"/>
        <v>VIGENTE</v>
      </c>
      <c r="GN155" s="4"/>
      <c r="GO155" s="4">
        <v>45299</v>
      </c>
      <c r="GP155" s="4">
        <f t="shared" si="533"/>
        <v>47126</v>
      </c>
      <c r="GQ155" s="8">
        <f t="shared" ca="1" si="418"/>
        <v>992</v>
      </c>
      <c r="GR155" s="5" t="str">
        <f t="shared" ca="1" si="431"/>
        <v>VIGENTE</v>
      </c>
      <c r="GS155" s="4"/>
      <c r="GT155" s="4">
        <v>45329</v>
      </c>
      <c r="GU155" s="4">
        <f t="shared" si="534"/>
        <v>47156</v>
      </c>
      <c r="GV155" s="8">
        <f t="shared" ca="1" si="535"/>
        <v>1022</v>
      </c>
      <c r="GW155" s="5" t="str">
        <f t="shared" ca="1" si="438"/>
        <v>VIGENTE</v>
      </c>
      <c r="GX155" s="6"/>
      <c r="GY155" s="4">
        <v>45343</v>
      </c>
      <c r="GZ155" s="4">
        <f t="shared" si="536"/>
        <v>47170</v>
      </c>
      <c r="HA155" s="8">
        <f t="shared" ca="1" si="537"/>
        <v>1036</v>
      </c>
      <c r="HB155" s="5" t="str">
        <f t="shared" ca="1" si="433"/>
        <v>VIGENTE</v>
      </c>
      <c r="HC155" s="6"/>
      <c r="HD155" s="4">
        <v>45317</v>
      </c>
      <c r="HE155" s="4">
        <f t="shared" si="601"/>
        <v>47144</v>
      </c>
      <c r="HF155" s="8">
        <f t="shared" ca="1" si="602"/>
        <v>1010</v>
      </c>
      <c r="HG155" s="5" t="str">
        <f t="shared" ca="1" si="439"/>
        <v>VIGENTE</v>
      </c>
      <c r="HH155" s="6"/>
      <c r="HI155" s="6"/>
      <c r="HJ155" s="4"/>
      <c r="HK155" s="8"/>
      <c r="HL155" s="5" t="str">
        <f t="shared" si="457"/>
        <v>NO APLICA</v>
      </c>
      <c r="HM155" s="2"/>
      <c r="HN155" s="2"/>
      <c r="HO155" s="4"/>
      <c r="HP155" s="2"/>
      <c r="HQ155" s="5" t="str">
        <f t="shared" si="538"/>
        <v>NO APLICA</v>
      </c>
      <c r="HR155" s="6"/>
      <c r="HS155" s="6"/>
      <c r="HT155" s="4"/>
      <c r="HU155" s="8"/>
      <c r="HV155" s="5" t="str">
        <f t="shared" si="539"/>
        <v>NO APLICA</v>
      </c>
      <c r="HW155" s="6"/>
      <c r="HX155" s="6"/>
      <c r="HY155" s="4"/>
      <c r="HZ155" s="8"/>
      <c r="IA155" s="5" t="str">
        <f t="shared" si="540"/>
        <v>NO APLICA</v>
      </c>
      <c r="IB155" s="6"/>
      <c r="IC155" s="6"/>
      <c r="ID155" s="4"/>
      <c r="IE155" s="8"/>
      <c r="IF155" s="5" t="str">
        <f t="shared" si="541"/>
        <v>NO APLICA</v>
      </c>
      <c r="IG155" s="6"/>
      <c r="IH155" s="6"/>
      <c r="II155" s="4"/>
      <c r="IJ155" s="6"/>
      <c r="IK155" s="5" t="str">
        <f t="shared" si="542"/>
        <v>NO APLICA</v>
      </c>
      <c r="IL155" s="6"/>
      <c r="IM155" s="6"/>
      <c r="IN155" s="4"/>
      <c r="IO155" s="8"/>
      <c r="IP155" s="5" t="str">
        <f t="shared" si="543"/>
        <v>NO APLICA</v>
      </c>
      <c r="IQ155" s="6"/>
      <c r="IR155" s="6"/>
      <c r="IS155" s="4"/>
      <c r="IT155" s="8"/>
      <c r="IU155" s="5" t="str">
        <f t="shared" si="544"/>
        <v>NO APLICA</v>
      </c>
      <c r="IV155" s="6"/>
      <c r="IW155" s="6"/>
      <c r="IX155" s="4"/>
      <c r="IY155" s="8"/>
      <c r="IZ155" s="5" t="str">
        <f t="shared" si="545"/>
        <v>NO APLICA</v>
      </c>
      <c r="JA155" s="3"/>
      <c r="JB155" s="3"/>
      <c r="JC155" s="4"/>
      <c r="JD155" s="8"/>
      <c r="JE155" s="5" t="str">
        <f t="shared" si="546"/>
        <v>NO APLICA</v>
      </c>
      <c r="JF155" s="6"/>
      <c r="JG155" s="6"/>
      <c r="JH155" s="6"/>
      <c r="JI155" s="6"/>
      <c r="JJ155" s="5" t="str">
        <f t="shared" si="547"/>
        <v>NO APLICA</v>
      </c>
      <c r="JK155" s="6"/>
      <c r="JL155" s="6"/>
      <c r="JM155" s="6"/>
      <c r="JN155" s="6"/>
      <c r="JO155" s="5" t="str">
        <f t="shared" si="548"/>
        <v>NO APLICA</v>
      </c>
      <c r="JP155" s="6"/>
      <c r="JQ155" s="6"/>
      <c r="JR155" s="6"/>
      <c r="JS155" s="6"/>
      <c r="JT155" s="5" t="str">
        <f t="shared" si="549"/>
        <v>NO APLICA</v>
      </c>
      <c r="JU155" s="5"/>
      <c r="JV155" s="5"/>
      <c r="JW155" s="5"/>
      <c r="JX155" s="5"/>
      <c r="JY155" s="5" t="str">
        <f t="shared" si="550"/>
        <v>NO APLICA</v>
      </c>
      <c r="JZ155" s="5"/>
      <c r="KA155" s="2"/>
      <c r="KB155" s="4"/>
      <c r="KC155" s="8"/>
      <c r="KD155" s="5" t="str">
        <f t="shared" si="551"/>
        <v>NO APLICA</v>
      </c>
      <c r="KE155" s="5"/>
      <c r="KF155" s="2"/>
      <c r="KG155" s="4"/>
      <c r="KH155" s="8"/>
      <c r="KI155" s="5" t="str">
        <f t="shared" si="576"/>
        <v>NO APLICA</v>
      </c>
      <c r="KJ155" s="5"/>
      <c r="KK155" s="2"/>
      <c r="KL155" s="4"/>
      <c r="KM155" s="8"/>
      <c r="KN155" s="5" t="str">
        <f t="shared" si="552"/>
        <v>NO APLICA</v>
      </c>
      <c r="KO155" s="5"/>
      <c r="KP155" s="3">
        <v>45346</v>
      </c>
      <c r="KQ155" s="4">
        <f>DATE(YEAR(KP155)+5,MONTH(KP155),DAY(KP155))</f>
        <v>47173</v>
      </c>
      <c r="KR155" s="8">
        <f ca="1">KQ155-TODAY()</f>
        <v>1039</v>
      </c>
      <c r="KS155" s="5" t="str">
        <f t="shared" ca="1" si="577"/>
        <v>VIGENTE</v>
      </c>
      <c r="KT155" s="6"/>
      <c r="KU155" s="6"/>
      <c r="KV155" s="4"/>
      <c r="KW155" s="6"/>
      <c r="KX155" s="5" t="str">
        <f t="shared" si="583"/>
        <v>NO APLICA</v>
      </c>
      <c r="KY155" s="5"/>
      <c r="KZ155" s="6"/>
      <c r="LA155" s="4"/>
      <c r="LB155" s="6"/>
      <c r="LC155" s="5" t="str">
        <f t="shared" si="578"/>
        <v>NO APLICA</v>
      </c>
      <c r="LD155" s="6"/>
      <c r="LE155" s="6"/>
      <c r="LF155" s="6"/>
      <c r="LG155" s="6"/>
      <c r="LH155" s="5" t="str">
        <f t="shared" si="585"/>
        <v>NO APLICA</v>
      </c>
      <c r="LI155" s="5"/>
      <c r="LJ155" s="5"/>
      <c r="LK155" s="4"/>
      <c r="LL155" s="8"/>
      <c r="LM155" s="5" t="str">
        <f t="shared" si="584"/>
        <v>NO APLICA</v>
      </c>
      <c r="LN155" s="6"/>
      <c r="LO155" s="6"/>
      <c r="LP155" s="4"/>
      <c r="LQ155" s="8"/>
      <c r="LR155" s="5" t="str">
        <f t="shared" si="579"/>
        <v>NO APLICA</v>
      </c>
      <c r="LS155" s="6"/>
      <c r="LT155" s="6"/>
      <c r="LU155" s="4"/>
      <c r="LV155" s="6"/>
      <c r="LW155" s="5" t="str">
        <f t="shared" si="580"/>
        <v>NO APLICA</v>
      </c>
      <c r="LX155" s="6"/>
      <c r="LY155" s="6"/>
      <c r="LZ155" s="4"/>
      <c r="MA155" s="6"/>
      <c r="MB155" s="5" t="str">
        <f t="shared" si="581"/>
        <v>NO APLICA</v>
      </c>
      <c r="MC155" s="6"/>
      <c r="MD155" s="6"/>
      <c r="ME155" s="4"/>
      <c r="MF155" s="6"/>
      <c r="MG155" s="5" t="str">
        <f t="shared" si="554"/>
        <v>NO APLICA</v>
      </c>
      <c r="MH155" s="6"/>
      <c r="MI155" s="6"/>
      <c r="MJ155" s="4"/>
      <c r="MK155" s="6"/>
      <c r="ML155" s="5" t="str">
        <f t="shared" si="555"/>
        <v>NO APLICA</v>
      </c>
      <c r="MM155" s="5"/>
      <c r="MN155" s="6"/>
      <c r="MO155" s="4"/>
      <c r="MP155" s="6"/>
      <c r="MQ155" s="5" t="str">
        <f t="shared" si="556"/>
        <v>NO APLICA</v>
      </c>
      <c r="MR155" s="5"/>
      <c r="MS155" s="6"/>
      <c r="MT155" s="6"/>
      <c r="MU155" s="6"/>
      <c r="MV155" s="5" t="str">
        <f t="shared" si="557"/>
        <v>NO APLICA</v>
      </c>
      <c r="MW155" s="6"/>
      <c r="MX155" s="6"/>
      <c r="MY155" s="4"/>
      <c r="MZ155" s="6"/>
      <c r="NA155" s="5" t="str">
        <f t="shared" si="558"/>
        <v>NO APLICA</v>
      </c>
      <c r="NB155" s="6"/>
      <c r="NC155" s="6"/>
      <c r="ND155" s="4"/>
      <c r="NE155" s="6"/>
      <c r="NF155" s="5" t="str">
        <f t="shared" si="559"/>
        <v>NO APLICA</v>
      </c>
      <c r="NG155" s="6"/>
      <c r="NH155" s="6"/>
      <c r="NI155" s="4"/>
      <c r="NJ155" s="6"/>
      <c r="NK155" s="5" t="str">
        <f t="shared" si="560"/>
        <v>NO APLICA</v>
      </c>
      <c r="NL155" s="6"/>
      <c r="NM155" s="6"/>
      <c r="NN155" s="4"/>
      <c r="NO155" s="6"/>
      <c r="NP155" s="5" t="str">
        <f t="shared" si="561"/>
        <v>NO APLICA</v>
      </c>
      <c r="NQ155" s="6"/>
      <c r="NR155" s="6"/>
      <c r="NS155" s="4"/>
      <c r="NT155" s="6"/>
      <c r="NU155" s="5" t="str">
        <f t="shared" si="562"/>
        <v>NO APLICA</v>
      </c>
      <c r="NV155" s="6"/>
      <c r="NW155" s="4">
        <v>45320</v>
      </c>
      <c r="NX155" s="4">
        <f>DATE(YEAR(NW155)+2,MONTH(NW155),DAY(NW155))</f>
        <v>46051</v>
      </c>
      <c r="NY155" s="8">
        <f ca="1">NX155-TODAY()</f>
        <v>-83</v>
      </c>
      <c r="NZ155" s="5" t="str">
        <f t="shared" ca="1" si="563"/>
        <v>VENCIDA</v>
      </c>
      <c r="OA155" s="6"/>
      <c r="OB155" s="6"/>
      <c r="OC155" s="6"/>
      <c r="OD155" s="6"/>
      <c r="OE155" s="5" t="str">
        <f t="shared" si="564"/>
        <v>NO APLICA</v>
      </c>
      <c r="OF155" s="6"/>
      <c r="OG155" s="6"/>
      <c r="OH155" s="6"/>
      <c r="OI155" s="6"/>
      <c r="OJ155" s="5" t="str">
        <f t="shared" si="565"/>
        <v>NO APLICA</v>
      </c>
      <c r="OK155" s="6"/>
      <c r="OL155" s="6"/>
      <c r="OM155" s="6"/>
      <c r="ON155" s="6"/>
      <c r="OO155" s="5" t="str">
        <f t="shared" si="566"/>
        <v>NO APLICA</v>
      </c>
      <c r="OP155" s="6"/>
      <c r="OQ155" s="6"/>
      <c r="OR155" s="6"/>
      <c r="OS155" s="6"/>
      <c r="OT155" s="5" t="str">
        <f t="shared" si="567"/>
        <v>NO APLICA</v>
      </c>
      <c r="OU155" s="6"/>
      <c r="OV155" s="6"/>
      <c r="OW155" s="6"/>
      <c r="OX155" s="6"/>
      <c r="OY155" s="5" t="str">
        <f t="shared" si="568"/>
        <v>NO APLICA</v>
      </c>
      <c r="OZ155" s="6"/>
      <c r="PA155" s="6"/>
      <c r="PB155" s="6"/>
      <c r="PC155" s="6"/>
      <c r="PD155" s="5" t="str">
        <f t="shared" si="569"/>
        <v>NO APLICA</v>
      </c>
      <c r="PE155" s="6"/>
      <c r="PF155" s="6"/>
      <c r="PG155" s="6"/>
      <c r="PH155" s="6"/>
      <c r="PI155" s="5" t="str">
        <f t="shared" si="570"/>
        <v>NO APLICA</v>
      </c>
      <c r="PJ155" s="5"/>
      <c r="PK155" s="6"/>
      <c r="PL155" s="6"/>
      <c r="PM155" s="6"/>
      <c r="PN155" s="5" t="str">
        <f t="shared" si="571"/>
        <v>NO APLICA</v>
      </c>
      <c r="PO155" s="6"/>
      <c r="PP155" s="6"/>
      <c r="PQ155" s="6"/>
      <c r="PR155" s="6"/>
      <c r="PS155" s="5" t="str">
        <f t="shared" si="572"/>
        <v>NO APLICA</v>
      </c>
      <c r="PT155" s="5"/>
      <c r="PU155" s="6"/>
      <c r="PV155" s="6"/>
      <c r="PW155" s="6"/>
      <c r="PX155" s="5" t="str">
        <f t="shared" si="573"/>
        <v>NO APLICA</v>
      </c>
    </row>
    <row r="156" spans="1:440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507</v>
      </c>
      <c r="V156" s="4">
        <v>44764</v>
      </c>
      <c r="W156" s="4">
        <f t="shared" si="421"/>
        <v>46590</v>
      </c>
      <c r="X156" s="8">
        <f t="shared" ca="1" si="422"/>
        <v>456</v>
      </c>
      <c r="Y156" s="5" t="str">
        <f t="shared" ca="1" si="423"/>
        <v>VIGENTE</v>
      </c>
      <c r="Z156" s="2" t="s">
        <v>508</v>
      </c>
      <c r="AA156" s="4">
        <v>44988</v>
      </c>
      <c r="AB156" s="4">
        <f>DATE(YEAR(AA156)+5,MONTH(AA156),DAY(AA156))</f>
        <v>46815</v>
      </c>
      <c r="AC156" s="8">
        <f ca="1">AB156-TODAY()</f>
        <v>681</v>
      </c>
      <c r="AD156" s="5" t="str">
        <f t="shared" ref="AD156:AD175" ca="1" si="603">IF(AC156&gt;=91,"VIGENTE",IF(AC156&gt;=1,"POR VENCER",IF(AC156&lt;=-1,"VENCIDA",IF(AA156=0,"NO APLICA"))))</f>
        <v>VIGENTE</v>
      </c>
      <c r="AE156" s="3"/>
      <c r="AF156" s="4">
        <v>45589</v>
      </c>
      <c r="AG156" s="4">
        <f>DATE(YEAR(AF156)+2,MONTH(AF156),DAY(AF156)-1)</f>
        <v>46318</v>
      </c>
      <c r="AH156" s="8">
        <f t="shared" ca="1" si="470"/>
        <v>184</v>
      </c>
      <c r="AI156" s="5" t="str">
        <f t="shared" ca="1" si="419"/>
        <v>VIGENTE</v>
      </c>
      <c r="AJ156" s="3"/>
      <c r="AK156" s="4">
        <v>46062</v>
      </c>
      <c r="AL156" s="4">
        <f t="shared" si="590"/>
        <v>46792</v>
      </c>
      <c r="AM156" s="8">
        <f t="shared" ca="1" si="471"/>
        <v>658</v>
      </c>
      <c r="AN156" s="5" t="str">
        <f t="shared" ca="1" si="472"/>
        <v>VIGENTE</v>
      </c>
      <c r="AO156" s="3"/>
      <c r="AP156" s="4">
        <v>46048</v>
      </c>
      <c r="AQ156" s="4">
        <f>DATE(YEAR(AP156)+2,MONTH(AP156),DAY(AP156))</f>
        <v>46778</v>
      </c>
      <c r="AR156" s="8">
        <f t="shared" ca="1" si="473"/>
        <v>644</v>
      </c>
      <c r="AS156" s="5" t="str">
        <f t="shared" ca="1" si="474"/>
        <v>VIGENTE</v>
      </c>
      <c r="AT156" s="3"/>
      <c r="AU156" s="4">
        <v>46070</v>
      </c>
      <c r="AV156" s="4">
        <f>DATE(YEAR(AU156)+2,MONTH(AU156),DAY(AU156))</f>
        <v>46800</v>
      </c>
      <c r="AW156" s="8">
        <f t="shared" ca="1" si="475"/>
        <v>666</v>
      </c>
      <c r="AX156" s="5" t="str">
        <f t="shared" ca="1" si="476"/>
        <v>VIGENTE</v>
      </c>
      <c r="AY156" s="3"/>
      <c r="AZ156" s="4">
        <v>46041</v>
      </c>
      <c r="BA156" s="4">
        <f>DATE(YEAR(AZ156)+2,MONTH(AZ156),DAY(AZ156))</f>
        <v>46771</v>
      </c>
      <c r="BB156" s="8">
        <f t="shared" ca="1" si="477"/>
        <v>637</v>
      </c>
      <c r="BC156" s="5" t="str">
        <f t="shared" ca="1" si="478"/>
        <v>VIGENTE</v>
      </c>
      <c r="BD156" s="3"/>
      <c r="BE156" s="4">
        <v>45987</v>
      </c>
      <c r="BF156" s="4">
        <f t="shared" si="600"/>
        <v>46717</v>
      </c>
      <c r="BG156" s="8">
        <f t="shared" ca="1" si="479"/>
        <v>583</v>
      </c>
      <c r="BH156" s="5" t="str">
        <f t="shared" ca="1" si="480"/>
        <v>VIGENTE</v>
      </c>
      <c r="BI156" s="3"/>
      <c r="BJ156" s="4">
        <v>46056</v>
      </c>
      <c r="BK156" s="4">
        <f>DATE(YEAR(BJ156)+2,MONTH(BJ156),DAY(BJ156))</f>
        <v>46786</v>
      </c>
      <c r="BL156" s="8">
        <f t="shared" ca="1" si="481"/>
        <v>652</v>
      </c>
      <c r="BM156" s="5" t="str">
        <f t="shared" ca="1" si="482"/>
        <v>VIGENTE</v>
      </c>
      <c r="BN156" s="3"/>
      <c r="BO156" s="4">
        <v>46069</v>
      </c>
      <c r="BP156" s="4">
        <f>DATE(YEAR(BO156)+2,MONTH(BO156),DAY(BO156))</f>
        <v>46799</v>
      </c>
      <c r="BQ156" s="8">
        <f t="shared" ca="1" si="483"/>
        <v>665</v>
      </c>
      <c r="BR156" s="5" t="str">
        <f t="shared" ca="1" si="484"/>
        <v>VIGENTE</v>
      </c>
      <c r="BS156" s="3"/>
      <c r="BT156" s="4">
        <v>46063</v>
      </c>
      <c r="BU156" s="4">
        <f>DATE(YEAR(BT156)+2,MONTH(BT156),DAY(BT156))</f>
        <v>46793</v>
      </c>
      <c r="BV156" s="8">
        <f t="shared" ca="1" si="485"/>
        <v>659</v>
      </c>
      <c r="BW156" s="5" t="str">
        <f t="shared" ca="1" si="486"/>
        <v>VIGENTE</v>
      </c>
      <c r="BX156" s="3"/>
      <c r="BY156" s="4">
        <v>46065</v>
      </c>
      <c r="BZ156" s="4">
        <f t="shared" si="592"/>
        <v>46795</v>
      </c>
      <c r="CA156" s="8">
        <f t="shared" ca="1" si="487"/>
        <v>661</v>
      </c>
      <c r="CB156" s="5" t="str">
        <f t="shared" ca="1" si="488"/>
        <v>VIGENTE</v>
      </c>
      <c r="CC156" s="6" t="s">
        <v>73</v>
      </c>
      <c r="CD156" s="4">
        <v>45241</v>
      </c>
      <c r="CE156" s="4">
        <f t="shared" si="428"/>
        <v>46702</v>
      </c>
      <c r="CF156" s="8">
        <f t="shared" ca="1" si="429"/>
        <v>568</v>
      </c>
      <c r="CG156" s="5" t="str">
        <f t="shared" ca="1" si="591"/>
        <v>VIGENTE</v>
      </c>
      <c r="CH156" s="4"/>
      <c r="CI156" s="4">
        <v>46064</v>
      </c>
      <c r="CJ156" s="4">
        <f>DATE(YEAR(CI156)+2,MONTH(CI156),DAY(CI156))</f>
        <v>46794</v>
      </c>
      <c r="CK156" s="8">
        <f t="shared" ca="1" si="489"/>
        <v>660</v>
      </c>
      <c r="CL156" s="5" t="str">
        <f t="shared" ca="1" si="490"/>
        <v>VIGENTE</v>
      </c>
      <c r="CM156" s="3"/>
      <c r="CN156" s="4">
        <v>46101</v>
      </c>
      <c r="CO156" s="4">
        <f>DATE(YEAR(CN156)+2,MONTH(CN156),DAY(CN156))</f>
        <v>46832</v>
      </c>
      <c r="CP156" s="8">
        <f t="shared" ca="1" si="491"/>
        <v>698</v>
      </c>
      <c r="CQ156" s="5" t="str">
        <f t="shared" ca="1" si="492"/>
        <v>VIGENTE</v>
      </c>
      <c r="CR156" s="3"/>
      <c r="CS156" s="4">
        <v>46043</v>
      </c>
      <c r="CT156" s="4">
        <f>DATE(YEAR(CS156)+2,MONTH(CS156),DAY(CS156))</f>
        <v>46773</v>
      </c>
      <c r="CU156" s="8">
        <f t="shared" ca="1" si="493"/>
        <v>639</v>
      </c>
      <c r="CV156" s="5" t="str">
        <f t="shared" ca="1" si="494"/>
        <v>VIGENTE</v>
      </c>
      <c r="CW156" s="3"/>
      <c r="CX156" s="4">
        <v>45661</v>
      </c>
      <c r="CY156" s="4">
        <f>DATE(YEAR(CX156)+2,MONTH(CX156),DAY(CX156)-1)</f>
        <v>46390</v>
      </c>
      <c r="CZ156" s="8">
        <f t="shared" ca="1" si="495"/>
        <v>256</v>
      </c>
      <c r="DA156" s="5" t="str">
        <f t="shared" ca="1" si="496"/>
        <v>VIGENTE</v>
      </c>
      <c r="DB156" s="3"/>
      <c r="DC156" s="4">
        <v>45689</v>
      </c>
      <c r="DD156" s="4">
        <f>DATE(YEAR(DC156)+2,MONTH(DC156),DAY(DC156)-1)</f>
        <v>46418</v>
      </c>
      <c r="DE156" s="8">
        <f t="shared" ca="1" si="497"/>
        <v>284</v>
      </c>
      <c r="DF156" s="5" t="str">
        <f t="shared" ca="1" si="498"/>
        <v>VIGENTE</v>
      </c>
      <c r="DG156" s="3"/>
      <c r="DH156" s="4">
        <v>46029</v>
      </c>
      <c r="DI156" s="4">
        <f>DATE(YEAR(DH156)+2,MONTH(DH156),DAY(DH156))</f>
        <v>46759</v>
      </c>
      <c r="DJ156" s="8">
        <f t="shared" ca="1" si="499"/>
        <v>625</v>
      </c>
      <c r="DK156" s="5" t="str">
        <f t="shared" ca="1" si="500"/>
        <v>VIGENTE</v>
      </c>
      <c r="DL156" s="3"/>
      <c r="DM156" s="4">
        <v>46088</v>
      </c>
      <c r="DN156" s="4">
        <f>DATE(YEAR(DM156)+2,MONTH(DM156),DAY(DM156))</f>
        <v>46819</v>
      </c>
      <c r="DO156" s="8">
        <f t="shared" ca="1" si="501"/>
        <v>685</v>
      </c>
      <c r="DP156" s="5" t="str">
        <f t="shared" ca="1" si="502"/>
        <v>VIGENTE</v>
      </c>
      <c r="DQ156" s="3"/>
      <c r="DR156" s="4">
        <v>46072</v>
      </c>
      <c r="DS156" s="4">
        <f>DATE(YEAR(DR156)+2,MONTH(DR156),DAY(DR156))</f>
        <v>46802</v>
      </c>
      <c r="DT156" s="8">
        <f t="shared" ca="1" si="503"/>
        <v>668</v>
      </c>
      <c r="DU156" s="5" t="str">
        <f t="shared" ca="1" si="504"/>
        <v>VIGENTE</v>
      </c>
      <c r="DV156" s="3"/>
      <c r="DW156" s="4">
        <v>46099</v>
      </c>
      <c r="DX156" s="4">
        <f>DATE(YEAR(DW156)+2,MONTH(DW156),DAY(DW156))</f>
        <v>46830</v>
      </c>
      <c r="DY156" s="8">
        <f t="shared" ca="1" si="505"/>
        <v>696</v>
      </c>
      <c r="DZ156" s="5" t="str">
        <f t="shared" ca="1" si="506"/>
        <v>VIGENTE</v>
      </c>
      <c r="EA156" s="3"/>
      <c r="EB156" s="4">
        <v>46104</v>
      </c>
      <c r="EC156" s="4">
        <f>DATE(YEAR(EB156)+2,MONTH(EB156),DAY(EB156))</f>
        <v>46835</v>
      </c>
      <c r="ED156" s="8">
        <f t="shared" ca="1" si="507"/>
        <v>701</v>
      </c>
      <c r="EE156" s="5" t="str">
        <f t="shared" ca="1" si="508"/>
        <v>VIGENTE</v>
      </c>
      <c r="EF156" s="3"/>
      <c r="EG156" s="4">
        <v>45812</v>
      </c>
      <c r="EH156" s="4">
        <f t="shared" si="575"/>
        <v>46177</v>
      </c>
      <c r="EI156" s="8">
        <f t="shared" ca="1" si="509"/>
        <v>43</v>
      </c>
      <c r="EJ156" s="5" t="str">
        <f t="shared" ca="1" si="510"/>
        <v>POR VENCER</v>
      </c>
      <c r="EK156" s="3"/>
      <c r="EL156" s="4">
        <v>45460</v>
      </c>
      <c r="EM156" s="4">
        <f>DATE(YEAR(EL156)+2,MONTH(EL156),DAY(EL156)-1)</f>
        <v>46189</v>
      </c>
      <c r="EN156" s="8">
        <f t="shared" ca="1" si="511"/>
        <v>55</v>
      </c>
      <c r="EO156" s="5" t="str">
        <f t="shared" ca="1" si="512"/>
        <v>POR VENCER</v>
      </c>
      <c r="EP156" s="3"/>
      <c r="EQ156" s="4">
        <v>46094</v>
      </c>
      <c r="ER156" s="4">
        <f>DATE(YEAR(EQ156)+2,MONTH(EQ156),DAY(EQ156))</f>
        <v>46825</v>
      </c>
      <c r="ES156" s="8">
        <f t="shared" ca="1" si="513"/>
        <v>691</v>
      </c>
      <c r="ET156" s="5" t="str">
        <f t="shared" ca="1" si="514"/>
        <v>VIGENTE</v>
      </c>
      <c r="EU156" s="3"/>
      <c r="EV156" s="4">
        <v>46086</v>
      </c>
      <c r="EW156" s="4">
        <f t="shared" si="593"/>
        <v>46817</v>
      </c>
      <c r="EX156" s="8">
        <f t="shared" ca="1" si="515"/>
        <v>683</v>
      </c>
      <c r="EY156" s="5" t="str">
        <f t="shared" ca="1" si="516"/>
        <v>VIGENTE</v>
      </c>
      <c r="EZ156" s="3"/>
      <c r="FA156" s="4">
        <v>46091</v>
      </c>
      <c r="FB156" s="4">
        <f t="shared" si="594"/>
        <v>46822</v>
      </c>
      <c r="FC156" s="8">
        <f t="shared" ca="1" si="517"/>
        <v>688</v>
      </c>
      <c r="FD156" s="5" t="str">
        <f t="shared" ca="1" si="518"/>
        <v>VIGENTE</v>
      </c>
      <c r="FE156" s="3"/>
      <c r="FF156" s="4">
        <v>45969</v>
      </c>
      <c r="FG156" s="4">
        <f>DATE(YEAR(FF156)+2,MONTH(FF156),DAY(FF156))</f>
        <v>46699</v>
      </c>
      <c r="FH156" s="8">
        <f t="shared" ca="1" si="519"/>
        <v>565</v>
      </c>
      <c r="FI156" s="5" t="str">
        <f t="shared" ca="1" si="520"/>
        <v>VIGENTE</v>
      </c>
      <c r="FJ156" s="3"/>
      <c r="FK156" s="4">
        <v>46049</v>
      </c>
      <c r="FL156" s="4">
        <f>DATE(YEAR(FK156)+2,MONTH(FK156),DAY(FK156))</f>
        <v>46779</v>
      </c>
      <c r="FM156" s="8">
        <f t="shared" ca="1" si="521"/>
        <v>645</v>
      </c>
      <c r="FN156" s="5" t="str">
        <f t="shared" ca="1" si="522"/>
        <v>VIGENTE</v>
      </c>
      <c r="FO156" s="3"/>
      <c r="FP156" s="4">
        <v>45483</v>
      </c>
      <c r="FQ156" s="4">
        <f>DATE(YEAR(FP156)+2,MONTH(FP156),DAY(FP156)-1)</f>
        <v>46212</v>
      </c>
      <c r="FR156" s="8">
        <f t="shared" ca="1" si="523"/>
        <v>78</v>
      </c>
      <c r="FS156" s="5" t="str">
        <f t="shared" ca="1" si="524"/>
        <v>POR VENCER</v>
      </c>
      <c r="FT156" s="4"/>
      <c r="FU156" s="4">
        <v>45616</v>
      </c>
      <c r="FV156" s="4">
        <f>DATE(YEAR(FU156)+2,MONTH(FU156),DAY(FU156)-1)</f>
        <v>46345</v>
      </c>
      <c r="FW156" s="8">
        <f t="shared" ca="1" si="525"/>
        <v>211</v>
      </c>
      <c r="FX156" s="5" t="str">
        <f t="shared" ca="1" si="526"/>
        <v>VIGENTE</v>
      </c>
      <c r="FY156" s="3"/>
      <c r="FZ156" s="4">
        <v>46030</v>
      </c>
      <c r="GA156" s="4">
        <f>DATE(YEAR(FZ156)+2,MONTH(FZ156),DAY(FZ156))</f>
        <v>46760</v>
      </c>
      <c r="GB156" s="8">
        <f t="shared" ca="1" si="527"/>
        <v>626</v>
      </c>
      <c r="GC156" s="5" t="str">
        <f t="shared" ca="1" si="528"/>
        <v>VIGENTE</v>
      </c>
      <c r="GD156" s="3"/>
      <c r="GE156" s="4">
        <v>45498</v>
      </c>
      <c r="GF156" s="4">
        <f>DATE(YEAR(GE156)+2,MONTH(GE156),DAY(GE156)-1)</f>
        <v>46227</v>
      </c>
      <c r="GG156" s="8">
        <f t="shared" ca="1" si="529"/>
        <v>93</v>
      </c>
      <c r="GH156" s="5" t="str">
        <f t="shared" ca="1" si="530"/>
        <v>VIGENTE</v>
      </c>
      <c r="GI156" s="3"/>
      <c r="GJ156" s="4">
        <v>45499</v>
      </c>
      <c r="GK156" s="4">
        <f>DATE(YEAR(GJ156)+2,MONTH(GJ156),DAY(GJ156)-1)</f>
        <v>46228</v>
      </c>
      <c r="GL156" s="8">
        <f t="shared" ca="1" si="531"/>
        <v>94</v>
      </c>
      <c r="GM156" s="5" t="str">
        <f t="shared" ca="1" si="532"/>
        <v>VIGENTE</v>
      </c>
      <c r="GN156" s="4"/>
      <c r="GO156" s="4">
        <v>45468</v>
      </c>
      <c r="GP156" s="4">
        <f t="shared" si="533"/>
        <v>47294</v>
      </c>
      <c r="GQ156" s="8">
        <f t="shared" ca="1" si="418"/>
        <v>1160</v>
      </c>
      <c r="GR156" s="5" t="str">
        <f t="shared" ca="1" si="431"/>
        <v>VIGENTE</v>
      </c>
      <c r="GS156" s="3"/>
      <c r="GT156" s="4">
        <v>45478</v>
      </c>
      <c r="GU156" s="4">
        <f t="shared" si="534"/>
        <v>47304</v>
      </c>
      <c r="GV156" s="8">
        <f t="shared" ca="1" si="535"/>
        <v>1170</v>
      </c>
      <c r="GW156" s="5" t="str">
        <f t="shared" ca="1" si="438"/>
        <v>VIGENTE</v>
      </c>
      <c r="GX156" s="3"/>
      <c r="GY156" s="4">
        <v>45479</v>
      </c>
      <c r="GZ156" s="4">
        <f t="shared" si="536"/>
        <v>47305</v>
      </c>
      <c r="HA156" s="8">
        <f t="shared" ca="1" si="537"/>
        <v>1171</v>
      </c>
      <c r="HB156" s="5" t="str">
        <f t="shared" ca="1" si="433"/>
        <v>VIGENTE</v>
      </c>
      <c r="HC156" s="6"/>
      <c r="HD156" s="4">
        <v>44900</v>
      </c>
      <c r="HE156" s="4">
        <f t="shared" si="601"/>
        <v>46726</v>
      </c>
      <c r="HF156" s="8">
        <f t="shared" ca="1" si="602"/>
        <v>592</v>
      </c>
      <c r="HG156" s="5" t="str">
        <f t="shared" ca="1" si="439"/>
        <v>VIGENTE</v>
      </c>
      <c r="HH156" s="2"/>
      <c r="HI156" s="4">
        <v>45370</v>
      </c>
      <c r="HJ156" s="4">
        <f>DATE(YEAR(HI156)+5,MONTH(HI156),DAY(HI156))</f>
        <v>47196</v>
      </c>
      <c r="HK156" s="8">
        <f ca="1">HJ156-TODAY()</f>
        <v>1062</v>
      </c>
      <c r="HL156" s="5" t="str">
        <f t="shared" ca="1" si="457"/>
        <v>VIGENTE</v>
      </c>
      <c r="HM156" s="2"/>
      <c r="HN156" s="3">
        <v>45374</v>
      </c>
      <c r="HO156" s="4">
        <f>DATE(YEAR(HN156)+5,MONTH(HN156),DAY(HN156))</f>
        <v>47200</v>
      </c>
      <c r="HP156" s="8">
        <f ca="1">HO156-TODAY()</f>
        <v>1066</v>
      </c>
      <c r="HQ156" s="5" t="str">
        <f t="shared" ca="1" si="538"/>
        <v>VIGENTE</v>
      </c>
      <c r="HR156" s="3"/>
      <c r="HS156" s="4">
        <v>45469</v>
      </c>
      <c r="HT156" s="4">
        <f>DATE(YEAR(HS156)+5,MONTH(HS156),DAY(HS156))</f>
        <v>47295</v>
      </c>
      <c r="HU156" s="8">
        <f ca="1">HT156-TODAY()</f>
        <v>1161</v>
      </c>
      <c r="HV156" s="5" t="str">
        <f t="shared" ca="1" si="539"/>
        <v>VIGENTE</v>
      </c>
      <c r="HW156" s="3"/>
      <c r="HX156" s="4">
        <v>45475</v>
      </c>
      <c r="HY156" s="4">
        <f>DATE(YEAR(HX156)+5,MONTH(HX156),DAY(HX156))</f>
        <v>47301</v>
      </c>
      <c r="HZ156" s="8">
        <f ca="1">HY156-TODAY()</f>
        <v>1167</v>
      </c>
      <c r="IA156" s="5" t="str">
        <f t="shared" ca="1" si="540"/>
        <v>VIGENTE</v>
      </c>
      <c r="IB156" s="3"/>
      <c r="IC156" s="4">
        <v>45505</v>
      </c>
      <c r="ID156" s="4">
        <f>DATE(YEAR(IC156)+5,MONTH(IC156),DAY(IC156))</f>
        <v>47331</v>
      </c>
      <c r="IE156" s="8">
        <f ca="1">ID156-TODAY()</f>
        <v>1197</v>
      </c>
      <c r="IF156" s="5" t="str">
        <f t="shared" ca="1" si="541"/>
        <v>VIGENTE</v>
      </c>
      <c r="IG156" s="4"/>
      <c r="IH156" s="4">
        <v>45485</v>
      </c>
      <c r="II156" s="4">
        <f>DATE(YEAR(IH156)+5,MONTH(IH156),DAY(IH156))</f>
        <v>47311</v>
      </c>
      <c r="IJ156" s="8">
        <f ca="1">II156-TODAY()</f>
        <v>1177</v>
      </c>
      <c r="IK156" s="5" t="str">
        <f t="shared" ca="1" si="542"/>
        <v>VIGENTE</v>
      </c>
      <c r="IL156" s="3"/>
      <c r="IM156" s="4">
        <v>45433</v>
      </c>
      <c r="IN156" s="4">
        <f>DATE(YEAR(IM156)+5,MONTH(IM156),DAY(IM156))</f>
        <v>47259</v>
      </c>
      <c r="IO156" s="8">
        <f ca="1">IN156-TODAY()</f>
        <v>1125</v>
      </c>
      <c r="IP156" s="5" t="str">
        <f t="shared" ca="1" si="543"/>
        <v>VIGENTE</v>
      </c>
      <c r="IQ156" s="3"/>
      <c r="IR156" s="4">
        <v>45484</v>
      </c>
      <c r="IS156" s="4">
        <f>DATE(YEAR(IR156)+5,MONTH(IR156),DAY(IR156))</f>
        <v>47310</v>
      </c>
      <c r="IT156" s="8">
        <f ca="1">IS156-TODAY()</f>
        <v>1176</v>
      </c>
      <c r="IU156" s="5" t="str">
        <f t="shared" ca="1" si="544"/>
        <v>VIGENTE</v>
      </c>
      <c r="IV156" s="3"/>
      <c r="IW156" s="4">
        <v>45446</v>
      </c>
      <c r="IX156" s="4">
        <f>DATE(YEAR(IW156)+5,MONTH(IW156),DAY(IW156))</f>
        <v>47272</v>
      </c>
      <c r="IY156" s="8">
        <f ca="1">IX156-TODAY()</f>
        <v>1138</v>
      </c>
      <c r="IZ156" s="5" t="str">
        <f t="shared" ca="1" si="545"/>
        <v>VIGENTE</v>
      </c>
      <c r="JA156" s="3"/>
      <c r="JB156" s="3"/>
      <c r="JC156" s="4"/>
      <c r="JD156" s="8"/>
      <c r="JE156" s="5" t="str">
        <f t="shared" si="546"/>
        <v>NO APLICA</v>
      </c>
      <c r="JF156" s="6"/>
      <c r="JG156" s="6"/>
      <c r="JH156" s="6"/>
      <c r="JI156" s="6"/>
      <c r="JJ156" s="5" t="str">
        <f t="shared" si="547"/>
        <v>NO APLICA</v>
      </c>
      <c r="JK156" s="6"/>
      <c r="JL156" s="6"/>
      <c r="JM156" s="6"/>
      <c r="JN156" s="6"/>
      <c r="JO156" s="5" t="str">
        <f t="shared" si="548"/>
        <v>NO APLICA</v>
      </c>
      <c r="JP156" s="6"/>
      <c r="JQ156" s="6"/>
      <c r="JR156" s="6"/>
      <c r="JS156" s="6"/>
      <c r="JT156" s="5" t="str">
        <f t="shared" si="549"/>
        <v>NO APLICA</v>
      </c>
      <c r="JU156" s="5"/>
      <c r="JV156" s="5"/>
      <c r="JW156" s="5"/>
      <c r="JX156" s="5"/>
      <c r="JY156" s="5" t="str">
        <f t="shared" si="550"/>
        <v>NO APLICA</v>
      </c>
      <c r="JZ156" s="5"/>
      <c r="KA156" s="2"/>
      <c r="KB156" s="4"/>
      <c r="KC156" s="8"/>
      <c r="KD156" s="5" t="str">
        <f t="shared" si="551"/>
        <v>NO APLICA</v>
      </c>
      <c r="KE156" s="5"/>
      <c r="KF156" s="2"/>
      <c r="KG156" s="4"/>
      <c r="KH156" s="8"/>
      <c r="KI156" s="5" t="str">
        <f t="shared" si="576"/>
        <v>NO APLICA</v>
      </c>
      <c r="KJ156" s="5"/>
      <c r="KK156" s="2"/>
      <c r="KL156" s="4"/>
      <c r="KM156" s="8"/>
      <c r="KN156" s="5" t="str">
        <f t="shared" si="552"/>
        <v>NO APLICA</v>
      </c>
      <c r="KO156" s="5"/>
      <c r="KP156" s="2"/>
      <c r="KQ156" s="4"/>
      <c r="KR156" s="8"/>
      <c r="KS156" s="5" t="str">
        <f t="shared" si="577"/>
        <v>NO APLICA</v>
      </c>
      <c r="KT156" s="2"/>
      <c r="KU156" s="6"/>
      <c r="KV156" s="4"/>
      <c r="KW156" s="8"/>
      <c r="KX156" s="5" t="str">
        <f t="shared" si="583"/>
        <v>NO APLICA</v>
      </c>
      <c r="KY156" s="5"/>
      <c r="KZ156" s="6"/>
      <c r="LA156" s="4"/>
      <c r="LB156" s="8"/>
      <c r="LC156" s="5" t="str">
        <f t="shared" si="578"/>
        <v>NO APLICA</v>
      </c>
      <c r="LD156" s="6"/>
      <c r="LE156" s="6"/>
      <c r="LF156" s="4"/>
      <c r="LG156" s="8"/>
      <c r="LH156" s="5" t="str">
        <f t="shared" si="585"/>
        <v>NO APLICA</v>
      </c>
      <c r="LI156" s="5"/>
      <c r="LJ156" s="5"/>
      <c r="LK156" s="5"/>
      <c r="LL156" s="5"/>
      <c r="LM156" s="5" t="str">
        <f t="shared" si="584"/>
        <v>NO APLICA</v>
      </c>
      <c r="LN156" s="2"/>
      <c r="LO156" s="6"/>
      <c r="LP156" s="4"/>
      <c r="LQ156" s="8"/>
      <c r="LR156" s="5" t="str">
        <f t="shared" si="579"/>
        <v>NO APLICA</v>
      </c>
      <c r="LS156" s="6"/>
      <c r="LT156" s="6"/>
      <c r="LU156" s="4"/>
      <c r="LV156" s="8"/>
      <c r="LW156" s="5" t="str">
        <f t="shared" si="580"/>
        <v>NO APLICA</v>
      </c>
      <c r="LX156" s="6"/>
      <c r="LY156" s="6"/>
      <c r="LZ156" s="4"/>
      <c r="MA156" s="8"/>
      <c r="MB156" s="5" t="str">
        <f t="shared" si="581"/>
        <v>NO APLICA</v>
      </c>
      <c r="MC156" s="2"/>
      <c r="MD156" s="2"/>
      <c r="ME156" s="4"/>
      <c r="MF156" s="8"/>
      <c r="MG156" s="5" t="str">
        <f t="shared" si="554"/>
        <v>NO APLICA</v>
      </c>
      <c r="MH156" s="2"/>
      <c r="MI156" s="2"/>
      <c r="MJ156" s="4"/>
      <c r="MK156" s="8"/>
      <c r="ML156" s="5" t="str">
        <f t="shared" si="555"/>
        <v>NO APLICA</v>
      </c>
      <c r="MM156" s="5"/>
      <c r="MN156" s="2"/>
      <c r="MO156" s="4"/>
      <c r="MP156" s="8"/>
      <c r="MQ156" s="5" t="str">
        <f t="shared" si="556"/>
        <v>NO APLICA</v>
      </c>
      <c r="MR156" s="5"/>
      <c r="MS156" s="2"/>
      <c r="MT156" s="4"/>
      <c r="MU156" s="2"/>
      <c r="MV156" s="5" t="str">
        <f t="shared" si="557"/>
        <v>NO APLICA</v>
      </c>
      <c r="MW156" s="2"/>
      <c r="MX156" s="6"/>
      <c r="MY156" s="4"/>
      <c r="MZ156" s="8"/>
      <c r="NA156" s="5" t="str">
        <f t="shared" si="558"/>
        <v>NO APLICA</v>
      </c>
      <c r="NB156" s="2"/>
      <c r="NC156" s="6"/>
      <c r="ND156" s="4"/>
      <c r="NE156" s="8"/>
      <c r="NF156" s="5" t="str">
        <f t="shared" si="559"/>
        <v>NO APLICA</v>
      </c>
      <c r="NG156" s="2"/>
      <c r="NH156" s="6"/>
      <c r="NI156" s="4"/>
      <c r="NJ156" s="8"/>
      <c r="NK156" s="5" t="str">
        <f t="shared" si="560"/>
        <v>NO APLICA</v>
      </c>
      <c r="NL156" s="2"/>
      <c r="NM156" s="2"/>
      <c r="NN156" s="4"/>
      <c r="NO156" s="2"/>
      <c r="NP156" s="5" t="str">
        <f t="shared" si="561"/>
        <v>NO APLICA</v>
      </c>
      <c r="NQ156" s="2"/>
      <c r="NR156" s="2"/>
      <c r="NS156" s="4"/>
      <c r="NT156" s="2"/>
      <c r="NU156" s="5" t="str">
        <f t="shared" si="562"/>
        <v>NO APLICA</v>
      </c>
      <c r="NV156" s="6"/>
      <c r="NW156" s="6"/>
      <c r="NX156" s="4"/>
      <c r="NY156" s="8"/>
      <c r="NZ156" s="5" t="str">
        <f t="shared" si="563"/>
        <v>NO APLICA</v>
      </c>
      <c r="OA156" s="6"/>
      <c r="OB156" s="6"/>
      <c r="OC156" s="6"/>
      <c r="OD156" s="6"/>
      <c r="OE156" s="5" t="str">
        <f t="shared" si="564"/>
        <v>NO APLICA</v>
      </c>
      <c r="OF156" s="6"/>
      <c r="OG156" s="6"/>
      <c r="OH156" s="4"/>
      <c r="OI156" s="8"/>
      <c r="OJ156" s="5" t="str">
        <f t="shared" si="565"/>
        <v>NO APLICA</v>
      </c>
      <c r="OK156" s="6"/>
      <c r="OL156" s="6"/>
      <c r="OM156" s="6"/>
      <c r="ON156" s="6"/>
      <c r="OO156" s="5" t="str">
        <f t="shared" si="566"/>
        <v>NO APLICA</v>
      </c>
      <c r="OP156" s="6"/>
      <c r="OQ156" s="6"/>
      <c r="OR156" s="6"/>
      <c r="OS156" s="6"/>
      <c r="OT156" s="5" t="str">
        <f t="shared" si="567"/>
        <v>NO APLICA</v>
      </c>
      <c r="OU156" s="6"/>
      <c r="OV156" s="6"/>
      <c r="OW156" s="6"/>
      <c r="OX156" s="6"/>
      <c r="OY156" s="5" t="str">
        <f t="shared" si="568"/>
        <v>NO APLICA</v>
      </c>
      <c r="OZ156" s="6"/>
      <c r="PA156" s="6"/>
      <c r="PB156" s="6"/>
      <c r="PC156" s="6"/>
      <c r="PD156" s="5" t="str">
        <f t="shared" si="569"/>
        <v>NO APLICA</v>
      </c>
      <c r="PE156" s="6"/>
      <c r="PF156" s="6"/>
      <c r="PG156" s="6"/>
      <c r="PH156" s="6"/>
      <c r="PI156" s="5" t="str">
        <f t="shared" si="570"/>
        <v>NO APLICA</v>
      </c>
      <c r="PJ156" s="5"/>
      <c r="PK156" s="6"/>
      <c r="PL156" s="4"/>
      <c r="PM156" s="8"/>
      <c r="PN156" s="5" t="str">
        <f t="shared" si="571"/>
        <v>NO APLICA</v>
      </c>
      <c r="PO156" s="6"/>
      <c r="PP156" s="6"/>
      <c r="PQ156" s="6"/>
      <c r="PR156" s="6"/>
      <c r="PS156" s="5" t="str">
        <f t="shared" si="572"/>
        <v>NO APLICA</v>
      </c>
      <c r="PT156" s="5"/>
      <c r="PU156" s="6"/>
      <c r="PV156" s="6"/>
      <c r="PW156" s="6"/>
      <c r="PX156" s="5" t="str">
        <f t="shared" si="573"/>
        <v>NO APLICA</v>
      </c>
    </row>
    <row r="157" spans="1:440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510</v>
      </c>
      <c r="V157" s="4">
        <v>45309</v>
      </c>
      <c r="W157" s="4">
        <f t="shared" si="421"/>
        <v>47136</v>
      </c>
      <c r="X157" s="8">
        <f t="shared" ca="1" si="422"/>
        <v>1002</v>
      </c>
      <c r="Y157" s="5" t="str">
        <f t="shared" ca="1" si="423"/>
        <v>VIGENTE</v>
      </c>
      <c r="Z157" s="6" t="s">
        <v>511</v>
      </c>
      <c r="AA157" s="4">
        <v>45464</v>
      </c>
      <c r="AB157" s="4">
        <f>DATE(YEAR(AA157)+5,MONTH(AA157),DAY(AA157))</f>
        <v>47290</v>
      </c>
      <c r="AC157" s="8">
        <f ca="1">AB157-TODAY()</f>
        <v>1156</v>
      </c>
      <c r="AD157" s="5" t="str">
        <f t="shared" ca="1" si="603"/>
        <v>VIGENTE</v>
      </c>
      <c r="AE157" s="4"/>
      <c r="AF157" s="4">
        <v>46006</v>
      </c>
      <c r="AG157" s="4">
        <f>DATE(YEAR(AF157)+2,MONTH(AF157),DAY(AF157))</f>
        <v>46736</v>
      </c>
      <c r="AH157" s="8">
        <f t="shared" ca="1" si="470"/>
        <v>602</v>
      </c>
      <c r="AI157" s="5" t="str">
        <f t="shared" ca="1" si="419"/>
        <v>VIGENTE</v>
      </c>
      <c r="AJ157" s="4"/>
      <c r="AK157" s="4">
        <v>45959</v>
      </c>
      <c r="AL157" s="4">
        <f t="shared" si="590"/>
        <v>46689</v>
      </c>
      <c r="AM157" s="8">
        <f t="shared" ca="1" si="471"/>
        <v>555</v>
      </c>
      <c r="AN157" s="5" t="str">
        <f t="shared" ca="1" si="472"/>
        <v>VIGENTE</v>
      </c>
      <c r="AO157" s="4"/>
      <c r="AP157" s="4">
        <v>45989</v>
      </c>
      <c r="AQ157" s="4">
        <f>DATE(YEAR(AP157)+2,MONTH(AP157),DAY(AP157))</f>
        <v>46719</v>
      </c>
      <c r="AR157" s="8">
        <f t="shared" ca="1" si="473"/>
        <v>585</v>
      </c>
      <c r="AS157" s="5" t="str">
        <f t="shared" ca="1" si="474"/>
        <v>VIGENTE</v>
      </c>
      <c r="AT157" s="4"/>
      <c r="AU157" s="4">
        <v>45990</v>
      </c>
      <c r="AV157" s="4">
        <f>DATE(YEAR(AU157)+2,MONTH(AU157),DAY(AU157))</f>
        <v>46720</v>
      </c>
      <c r="AW157" s="8">
        <f t="shared" ca="1" si="475"/>
        <v>586</v>
      </c>
      <c r="AX157" s="5" t="str">
        <f t="shared" ca="1" si="476"/>
        <v>VIGENTE</v>
      </c>
      <c r="AY157" s="4"/>
      <c r="AZ157" s="4">
        <v>46041</v>
      </c>
      <c r="BA157" s="4">
        <f>DATE(YEAR(AZ157)+2,MONTH(AZ157),DAY(AZ157))</f>
        <v>46771</v>
      </c>
      <c r="BB157" s="8">
        <f t="shared" ca="1" si="477"/>
        <v>637</v>
      </c>
      <c r="BC157" s="5" t="str">
        <f t="shared" ca="1" si="478"/>
        <v>VIGENTE</v>
      </c>
      <c r="BD157" s="6"/>
      <c r="BE157" s="4">
        <v>45987</v>
      </c>
      <c r="BF157" s="4">
        <f t="shared" si="600"/>
        <v>46717</v>
      </c>
      <c r="BG157" s="8">
        <f t="shared" ca="1" si="479"/>
        <v>583</v>
      </c>
      <c r="BH157" s="5" t="str">
        <f t="shared" ca="1" si="480"/>
        <v>VIGENTE</v>
      </c>
      <c r="BI157" s="4"/>
      <c r="BJ157" s="4">
        <v>46035</v>
      </c>
      <c r="BK157" s="4">
        <f>DATE(YEAR(BJ157)+2,MONTH(BJ157),DAY(BJ157))</f>
        <v>46765</v>
      </c>
      <c r="BL157" s="8">
        <f t="shared" ca="1" si="481"/>
        <v>631</v>
      </c>
      <c r="BM157" s="5" t="str">
        <f t="shared" ca="1" si="482"/>
        <v>VIGENTE</v>
      </c>
      <c r="BN157" s="4"/>
      <c r="BO157" s="4">
        <v>45447</v>
      </c>
      <c r="BP157" s="4">
        <f>DATE(YEAR(BO157)+2,MONTH(BO157),DAY(BO157)-1)</f>
        <v>46176</v>
      </c>
      <c r="BQ157" s="8">
        <f t="shared" ca="1" si="483"/>
        <v>42</v>
      </c>
      <c r="BR157" s="5" t="str">
        <f t="shared" ca="1" si="484"/>
        <v>POR VENCER</v>
      </c>
      <c r="BS157" s="4"/>
      <c r="BT157" s="4">
        <v>46074</v>
      </c>
      <c r="BU157" s="4">
        <f>DATE(YEAR(BT157)+2,MONTH(BT157),DAY(BT157))</f>
        <v>46804</v>
      </c>
      <c r="BV157" s="8">
        <f t="shared" ca="1" si="485"/>
        <v>670</v>
      </c>
      <c r="BW157" s="5" t="str">
        <f t="shared" ca="1" si="486"/>
        <v>VIGENTE</v>
      </c>
      <c r="BX157" s="6"/>
      <c r="BY157" s="4">
        <v>45986</v>
      </c>
      <c r="BZ157" s="4">
        <f t="shared" si="592"/>
        <v>46716</v>
      </c>
      <c r="CA157" s="8">
        <f t="shared" ca="1" si="487"/>
        <v>582</v>
      </c>
      <c r="CB157" s="5" t="str">
        <f t="shared" ca="1" si="488"/>
        <v>VIGENTE</v>
      </c>
      <c r="CC157" s="6" t="s">
        <v>73</v>
      </c>
      <c r="CD157" s="4">
        <v>45301</v>
      </c>
      <c r="CE157" s="4">
        <f t="shared" si="428"/>
        <v>46762</v>
      </c>
      <c r="CF157" s="8">
        <f t="shared" ca="1" si="429"/>
        <v>628</v>
      </c>
      <c r="CG157" s="5" t="str">
        <f t="shared" ca="1" si="591"/>
        <v>VIGENTE</v>
      </c>
      <c r="CH157" s="4"/>
      <c r="CI157" s="4">
        <v>46018</v>
      </c>
      <c r="CJ157" s="4">
        <f>DATE(YEAR(CI157)+2,MONTH(CI157),DAY(CI157))</f>
        <v>46748</v>
      </c>
      <c r="CK157" s="8">
        <f t="shared" ca="1" si="489"/>
        <v>614</v>
      </c>
      <c r="CL157" s="5" t="str">
        <f t="shared" ca="1" si="490"/>
        <v>VIGENTE</v>
      </c>
      <c r="CM157" s="4"/>
      <c r="CN157" s="4">
        <v>45979</v>
      </c>
      <c r="CO157" s="4">
        <f>DATE(YEAR(CN157)+2,MONTH(CN157),DAY(CN157))</f>
        <v>46709</v>
      </c>
      <c r="CP157" s="8">
        <f t="shared" ca="1" si="491"/>
        <v>575</v>
      </c>
      <c r="CQ157" s="5" t="str">
        <f t="shared" ca="1" si="492"/>
        <v>VIGENTE</v>
      </c>
      <c r="CR157" s="4"/>
      <c r="CS157" s="4">
        <v>46081</v>
      </c>
      <c r="CT157" s="4">
        <f>DATE(YEAR(CS157)+2,MONTH(CS157),DAY(CS157))</f>
        <v>46811</v>
      </c>
      <c r="CU157" s="8">
        <f t="shared" ca="1" si="493"/>
        <v>677</v>
      </c>
      <c r="CV157" s="5" t="str">
        <f t="shared" ca="1" si="494"/>
        <v>VIGENTE</v>
      </c>
      <c r="CW157" s="4"/>
      <c r="CX157" s="4">
        <v>46098</v>
      </c>
      <c r="CY157" s="4">
        <f>DATE(YEAR(CX157)+2,MONTH(CX157),DAY(CX157))</f>
        <v>46829</v>
      </c>
      <c r="CZ157" s="8">
        <f t="shared" ca="1" si="495"/>
        <v>695</v>
      </c>
      <c r="DA157" s="5" t="str">
        <f t="shared" ca="1" si="496"/>
        <v>VIGENTE</v>
      </c>
      <c r="DB157" s="4"/>
      <c r="DC157" s="4">
        <v>46045</v>
      </c>
      <c r="DD157" s="4">
        <f>DATE(YEAR(DC157)+2,MONTH(DC157),DAY(DC157))</f>
        <v>46775</v>
      </c>
      <c r="DE157" s="8">
        <f t="shared" ca="1" si="497"/>
        <v>641</v>
      </c>
      <c r="DF157" s="5" t="str">
        <f t="shared" ca="1" si="498"/>
        <v>VIGENTE</v>
      </c>
      <c r="DG157" s="4"/>
      <c r="DH157" s="4">
        <v>46029</v>
      </c>
      <c r="DI157" s="4">
        <f>DATE(YEAR(DH157)+2,MONTH(DH157),DAY(DH157))</f>
        <v>46759</v>
      </c>
      <c r="DJ157" s="8">
        <f t="shared" ca="1" si="499"/>
        <v>625</v>
      </c>
      <c r="DK157" s="5" t="str">
        <f t="shared" ca="1" si="500"/>
        <v>VIGENTE</v>
      </c>
      <c r="DL157" s="4"/>
      <c r="DM157" s="4">
        <v>46088</v>
      </c>
      <c r="DN157" s="4">
        <f>DATE(YEAR(DM157)+2,MONTH(DM157),DAY(DM157))</f>
        <v>46819</v>
      </c>
      <c r="DO157" s="8">
        <f t="shared" ca="1" si="501"/>
        <v>685</v>
      </c>
      <c r="DP157" s="5" t="str">
        <f t="shared" ca="1" si="502"/>
        <v>VIGENTE</v>
      </c>
      <c r="DQ157" s="6"/>
      <c r="DR157" s="4">
        <v>46072</v>
      </c>
      <c r="DS157" s="4">
        <f>DATE(YEAR(DR157)+2,MONTH(DR157),DAY(DR157))</f>
        <v>46802</v>
      </c>
      <c r="DT157" s="8">
        <f t="shared" ca="1" si="503"/>
        <v>668</v>
      </c>
      <c r="DU157" s="5" t="str">
        <f t="shared" ca="1" si="504"/>
        <v>VIGENTE</v>
      </c>
      <c r="DV157" s="4"/>
      <c r="DW157" s="4">
        <v>46099</v>
      </c>
      <c r="DX157" s="4">
        <f>DATE(YEAR(DW157)+2,MONTH(DW157),DAY(DW157))</f>
        <v>46830</v>
      </c>
      <c r="DY157" s="8">
        <f t="shared" ca="1" si="505"/>
        <v>696</v>
      </c>
      <c r="DZ157" s="5" t="str">
        <f t="shared" ca="1" si="506"/>
        <v>VIGENTE</v>
      </c>
      <c r="EA157" s="4"/>
      <c r="EB157" s="4">
        <v>46112</v>
      </c>
      <c r="EC157" s="4">
        <f>DATE(YEAR(EB157)+2,MONTH(EB157),DAY(EB157))</f>
        <v>46843</v>
      </c>
      <c r="ED157" s="8">
        <f t="shared" ca="1" si="507"/>
        <v>709</v>
      </c>
      <c r="EE157" s="5" t="str">
        <f t="shared" ca="1" si="508"/>
        <v>VIGENTE</v>
      </c>
      <c r="EF157" s="4"/>
      <c r="EG157" s="4">
        <v>45808</v>
      </c>
      <c r="EH157" s="4">
        <f t="shared" si="575"/>
        <v>46173</v>
      </c>
      <c r="EI157" s="8">
        <f t="shared" ca="1" si="509"/>
        <v>39</v>
      </c>
      <c r="EJ157" s="5" t="str">
        <f t="shared" ca="1" si="510"/>
        <v>POR VENCER</v>
      </c>
      <c r="EK157" s="4"/>
      <c r="EL157" s="4">
        <v>46100</v>
      </c>
      <c r="EM157" s="4">
        <f>DATE(YEAR(EL157)+2,MONTH(EL157),DAY(EL157))</f>
        <v>46831</v>
      </c>
      <c r="EN157" s="8">
        <f t="shared" ca="1" si="511"/>
        <v>697</v>
      </c>
      <c r="EO157" s="5" t="str">
        <f t="shared" ca="1" si="512"/>
        <v>VIGENTE</v>
      </c>
      <c r="EP157" s="4"/>
      <c r="EQ157" s="4">
        <v>45993</v>
      </c>
      <c r="ER157" s="4">
        <f>DATE(YEAR(EQ157)+2,MONTH(EQ157),DAY(EQ157))</f>
        <v>46723</v>
      </c>
      <c r="ES157" s="8">
        <f t="shared" ca="1" si="513"/>
        <v>589</v>
      </c>
      <c r="ET157" s="5" t="str">
        <f t="shared" ca="1" si="514"/>
        <v>VIGENTE</v>
      </c>
      <c r="EU157" s="4"/>
      <c r="EV157" s="4">
        <v>46037</v>
      </c>
      <c r="EW157" s="4">
        <f t="shared" si="593"/>
        <v>46767</v>
      </c>
      <c r="EX157" s="8">
        <f t="shared" ca="1" si="515"/>
        <v>633</v>
      </c>
      <c r="EY157" s="5" t="str">
        <f t="shared" ca="1" si="516"/>
        <v>VIGENTE</v>
      </c>
      <c r="EZ157" s="6"/>
      <c r="FA157" s="4">
        <v>45988</v>
      </c>
      <c r="FB157" s="4">
        <f t="shared" si="594"/>
        <v>46718</v>
      </c>
      <c r="FC157" s="8">
        <f t="shared" ca="1" si="517"/>
        <v>584</v>
      </c>
      <c r="FD157" s="5" t="str">
        <f t="shared" ca="1" si="518"/>
        <v>VIGENTE</v>
      </c>
      <c r="FE157" s="6"/>
      <c r="FF157" s="4">
        <v>45992</v>
      </c>
      <c r="FG157" s="4">
        <f>DATE(YEAR(FF157)+2,MONTH(FF157),DAY(FF157))</f>
        <v>46722</v>
      </c>
      <c r="FH157" s="8">
        <f t="shared" ca="1" si="519"/>
        <v>588</v>
      </c>
      <c r="FI157" s="5" t="str">
        <f t="shared" ca="1" si="520"/>
        <v>VIGENTE</v>
      </c>
      <c r="FJ157" s="4"/>
      <c r="FK157" s="4">
        <v>46039</v>
      </c>
      <c r="FL157" s="4">
        <f>DATE(YEAR(FK157)+2,MONTH(FK157),DAY(FK157))</f>
        <v>46769</v>
      </c>
      <c r="FM157" s="8">
        <f t="shared" ca="1" si="521"/>
        <v>635</v>
      </c>
      <c r="FN157" s="5" t="str">
        <f t="shared" ca="1" si="522"/>
        <v>VIGENTE</v>
      </c>
      <c r="FO157" s="4"/>
      <c r="FP157" s="4">
        <v>45957</v>
      </c>
      <c r="FQ157" s="4">
        <f>DATE(YEAR(FP157)+2,MONTH(FP157),DAY(FP157))</f>
        <v>46687</v>
      </c>
      <c r="FR157" s="8">
        <f t="shared" ca="1" si="523"/>
        <v>553</v>
      </c>
      <c r="FS157" s="5" t="str">
        <f t="shared" ca="1" si="524"/>
        <v>VIGENTE</v>
      </c>
      <c r="FT157" s="4"/>
      <c r="FU157" s="4">
        <v>46014</v>
      </c>
      <c r="FV157" s="4">
        <f>DATE(YEAR(FU157)+2,MONTH(FU157),DAY(FU157))</f>
        <v>46744</v>
      </c>
      <c r="FW157" s="8">
        <f t="shared" ca="1" si="525"/>
        <v>610</v>
      </c>
      <c r="FX157" s="5" t="str">
        <f t="shared" ca="1" si="526"/>
        <v>VIGENTE</v>
      </c>
      <c r="FY157" s="4"/>
      <c r="FZ157" s="4">
        <v>46003</v>
      </c>
      <c r="GA157" s="4">
        <f>DATE(YEAR(FZ157)+2,MONTH(FZ157),DAY(FZ157))</f>
        <v>46733</v>
      </c>
      <c r="GB157" s="8">
        <f t="shared" ca="1" si="527"/>
        <v>599</v>
      </c>
      <c r="GC157" s="5" t="str">
        <f t="shared" ca="1" si="528"/>
        <v>VIGENTE</v>
      </c>
      <c r="GD157" s="4"/>
      <c r="GE157" s="4">
        <v>46036</v>
      </c>
      <c r="GF157" s="4">
        <f>DATE(YEAR(GE157)+2,MONTH(GE157),DAY(GE157))</f>
        <v>46766</v>
      </c>
      <c r="GG157" s="8">
        <f t="shared" ca="1" si="529"/>
        <v>632</v>
      </c>
      <c r="GH157" s="5" t="str">
        <f t="shared" ca="1" si="530"/>
        <v>VIGENTE</v>
      </c>
      <c r="GI157" s="3"/>
      <c r="GJ157" s="4">
        <v>46044</v>
      </c>
      <c r="GK157" s="4">
        <f>DATE(YEAR(GJ157)+2,MONTH(GJ157),DAY(GJ157))</f>
        <v>46774</v>
      </c>
      <c r="GL157" s="8">
        <f t="shared" ca="1" si="531"/>
        <v>640</v>
      </c>
      <c r="GM157" s="5" t="str">
        <f t="shared" ca="1" si="532"/>
        <v>VIGENTE</v>
      </c>
      <c r="GN157" s="4"/>
      <c r="GO157" s="4">
        <v>45367</v>
      </c>
      <c r="GP157" s="4">
        <f t="shared" si="533"/>
        <v>47193</v>
      </c>
      <c r="GQ157" s="8">
        <f t="shared" ca="1" si="418"/>
        <v>1059</v>
      </c>
      <c r="GR157" s="5" t="str">
        <f t="shared" ca="1" si="431"/>
        <v>VIGENTE</v>
      </c>
      <c r="GS157" s="4"/>
      <c r="GT157" s="4">
        <v>45329</v>
      </c>
      <c r="GU157" s="4">
        <f t="shared" si="534"/>
        <v>47156</v>
      </c>
      <c r="GV157" s="8">
        <f t="shared" ca="1" si="535"/>
        <v>1022</v>
      </c>
      <c r="GW157" s="5" t="str">
        <f t="shared" ca="1" si="438"/>
        <v>VIGENTE</v>
      </c>
      <c r="GX157" s="6"/>
      <c r="GY157" s="4">
        <v>45348</v>
      </c>
      <c r="GZ157" s="4">
        <f t="shared" si="536"/>
        <v>47175</v>
      </c>
      <c r="HA157" s="8">
        <f t="shared" ca="1" si="537"/>
        <v>1041</v>
      </c>
      <c r="HB157" s="5" t="str">
        <f t="shared" ca="1" si="433"/>
        <v>VIGENTE</v>
      </c>
      <c r="HC157" s="6"/>
      <c r="HD157" s="4">
        <v>45401</v>
      </c>
      <c r="HE157" s="4">
        <f t="shared" si="601"/>
        <v>47227</v>
      </c>
      <c r="HF157" s="8">
        <f t="shared" ca="1" si="602"/>
        <v>1093</v>
      </c>
      <c r="HG157" s="5" t="str">
        <f t="shared" ca="1" si="439"/>
        <v>VIGENTE</v>
      </c>
      <c r="HH157" s="6"/>
      <c r="HI157" s="4"/>
      <c r="HJ157" s="4"/>
      <c r="HK157" s="8"/>
      <c r="HL157" s="5" t="str">
        <f t="shared" si="457"/>
        <v>NO APLICA</v>
      </c>
      <c r="HM157" s="2"/>
      <c r="HN157" s="2"/>
      <c r="HO157" s="4"/>
      <c r="HP157" s="2"/>
      <c r="HQ157" s="5" t="str">
        <f t="shared" si="538"/>
        <v>NO APLICA</v>
      </c>
      <c r="HR157" s="6"/>
      <c r="HS157" s="6"/>
      <c r="HT157" s="4"/>
      <c r="HU157" s="8"/>
      <c r="HV157" s="5" t="str">
        <f t="shared" si="539"/>
        <v>NO APLICA</v>
      </c>
      <c r="HW157" s="6"/>
      <c r="HX157" s="6"/>
      <c r="HY157" s="4"/>
      <c r="HZ157" s="8"/>
      <c r="IA157" s="5" t="str">
        <f t="shared" si="540"/>
        <v>NO APLICA</v>
      </c>
      <c r="IB157" s="6"/>
      <c r="IC157" s="6"/>
      <c r="ID157" s="4"/>
      <c r="IE157" s="8"/>
      <c r="IF157" s="5" t="str">
        <f t="shared" si="541"/>
        <v>NO APLICA</v>
      </c>
      <c r="IG157" s="6"/>
      <c r="IH157" s="6"/>
      <c r="II157" s="4"/>
      <c r="IJ157" s="6"/>
      <c r="IK157" s="5" t="str">
        <f t="shared" si="542"/>
        <v>NO APLICA</v>
      </c>
      <c r="IL157" s="6"/>
      <c r="IM157" s="6"/>
      <c r="IN157" s="4"/>
      <c r="IO157" s="8"/>
      <c r="IP157" s="5" t="str">
        <f t="shared" si="543"/>
        <v>NO APLICA</v>
      </c>
      <c r="IQ157" s="6"/>
      <c r="IR157" s="4">
        <v>45402</v>
      </c>
      <c r="IS157" s="4">
        <f>DATE(YEAR(IR157)+5,MONTH(IR157),DAY(IR157))</f>
        <v>47228</v>
      </c>
      <c r="IT157" s="8">
        <f ca="1">IS157-TODAY()</f>
        <v>1094</v>
      </c>
      <c r="IU157" s="5" t="str">
        <f t="shared" ca="1" si="544"/>
        <v>VIGENTE</v>
      </c>
      <c r="IV157" s="6"/>
      <c r="IW157" s="6"/>
      <c r="IX157" s="4"/>
      <c r="IY157" s="8"/>
      <c r="IZ157" s="5" t="str">
        <f t="shared" si="545"/>
        <v>NO APLICA</v>
      </c>
      <c r="JA157" s="3"/>
      <c r="JB157" s="3"/>
      <c r="JC157" s="4"/>
      <c r="JD157" s="8"/>
      <c r="JE157" s="5" t="str">
        <f t="shared" si="546"/>
        <v>NO APLICA</v>
      </c>
      <c r="JF157" s="6"/>
      <c r="JG157" s="6"/>
      <c r="JH157" s="6"/>
      <c r="JI157" s="6"/>
      <c r="JJ157" s="5" t="str">
        <f t="shared" si="547"/>
        <v>NO APLICA</v>
      </c>
      <c r="JK157" s="6"/>
      <c r="JL157" s="6"/>
      <c r="JM157" s="6"/>
      <c r="JN157" s="6"/>
      <c r="JO157" s="5" t="str">
        <f t="shared" si="548"/>
        <v>NO APLICA</v>
      </c>
      <c r="JP157" s="6"/>
      <c r="JQ157" s="6"/>
      <c r="JR157" s="6"/>
      <c r="JS157" s="6"/>
      <c r="JT157" s="5" t="str">
        <f t="shared" si="549"/>
        <v>NO APLICA</v>
      </c>
      <c r="JU157" s="5"/>
      <c r="JV157" s="5"/>
      <c r="JW157" s="5"/>
      <c r="JX157" s="5"/>
      <c r="JY157" s="5" t="str">
        <f t="shared" si="550"/>
        <v>NO APLICA</v>
      </c>
      <c r="JZ157" s="5"/>
      <c r="KA157" s="2"/>
      <c r="KB157" s="4"/>
      <c r="KC157" s="8"/>
      <c r="KD157" s="5" t="str">
        <f t="shared" si="551"/>
        <v>NO APLICA</v>
      </c>
      <c r="KE157" s="5"/>
      <c r="KF157" s="3">
        <v>45328</v>
      </c>
      <c r="KG157" s="4">
        <f>DATE(YEAR(KF157)+5,MONTH(KF157),DAY(KF157)-1)</f>
        <v>47154</v>
      </c>
      <c r="KH157" s="8">
        <f ca="1">KG157-TODAY()</f>
        <v>1020</v>
      </c>
      <c r="KI157" s="5" t="str">
        <f t="shared" ca="1" si="576"/>
        <v>VIGENTE</v>
      </c>
      <c r="KJ157" s="5"/>
      <c r="KK157" s="2"/>
      <c r="KL157" s="4"/>
      <c r="KM157" s="8"/>
      <c r="KN157" s="5" t="str">
        <f t="shared" si="552"/>
        <v>NO APLICA</v>
      </c>
      <c r="KO157" s="5"/>
      <c r="KP157" s="3">
        <v>45346</v>
      </c>
      <c r="KQ157" s="4">
        <f>DATE(YEAR(KP157)+5,MONTH(KP157),DAY(KP157))</f>
        <v>47173</v>
      </c>
      <c r="KR157" s="8">
        <f ca="1">KQ157-TODAY()</f>
        <v>1039</v>
      </c>
      <c r="KS157" s="5" t="str">
        <f t="shared" ca="1" si="577"/>
        <v>VIGENTE</v>
      </c>
      <c r="KT157" s="6"/>
      <c r="KU157" s="6"/>
      <c r="KV157" s="4"/>
      <c r="KW157" s="6"/>
      <c r="KX157" s="5" t="str">
        <f t="shared" si="583"/>
        <v>NO APLICA</v>
      </c>
      <c r="KY157" s="5"/>
      <c r="KZ157" s="6"/>
      <c r="LA157" s="4"/>
      <c r="LB157" s="6"/>
      <c r="LC157" s="5" t="str">
        <f t="shared" si="578"/>
        <v>NO APLICA</v>
      </c>
      <c r="LD157" s="6"/>
      <c r="LE157" s="6"/>
      <c r="LF157" s="6"/>
      <c r="LG157" s="6"/>
      <c r="LH157" s="5" t="str">
        <f t="shared" si="585"/>
        <v>NO APLICA</v>
      </c>
      <c r="LI157" s="5"/>
      <c r="LJ157" s="5"/>
      <c r="LK157" s="4"/>
      <c r="LL157" s="8"/>
      <c r="LM157" s="5" t="str">
        <f t="shared" si="584"/>
        <v>NO APLICA</v>
      </c>
      <c r="LN157" s="6"/>
      <c r="LO157" s="6"/>
      <c r="LP157" s="4"/>
      <c r="LQ157" s="8"/>
      <c r="LR157" s="5" t="str">
        <f t="shared" si="579"/>
        <v>NO APLICA</v>
      </c>
      <c r="LS157" s="6"/>
      <c r="LT157" s="6"/>
      <c r="LU157" s="4"/>
      <c r="LV157" s="6"/>
      <c r="LW157" s="5" t="str">
        <f t="shared" si="580"/>
        <v>NO APLICA</v>
      </c>
      <c r="LX157" s="6"/>
      <c r="LY157" s="6"/>
      <c r="LZ157" s="4"/>
      <c r="MA157" s="6"/>
      <c r="MB157" s="5" t="str">
        <f t="shared" si="581"/>
        <v>NO APLICA</v>
      </c>
      <c r="MC157" s="6"/>
      <c r="MD157" s="6"/>
      <c r="ME157" s="4"/>
      <c r="MF157" s="6"/>
      <c r="MG157" s="5" t="str">
        <f t="shared" si="554"/>
        <v>NO APLICA</v>
      </c>
      <c r="MH157" s="6"/>
      <c r="MI157" s="6"/>
      <c r="MJ157" s="4"/>
      <c r="MK157" s="6"/>
      <c r="ML157" s="5" t="str">
        <f t="shared" si="555"/>
        <v>NO APLICA</v>
      </c>
      <c r="MM157" s="5"/>
      <c r="MN157" s="6"/>
      <c r="MO157" s="4"/>
      <c r="MP157" s="6"/>
      <c r="MQ157" s="5" t="str">
        <f t="shared" si="556"/>
        <v>NO APLICA</v>
      </c>
      <c r="MR157" s="5"/>
      <c r="MS157" s="6"/>
      <c r="MT157" s="6"/>
      <c r="MU157" s="6"/>
      <c r="MV157" s="5" t="str">
        <f t="shared" si="557"/>
        <v>NO APLICA</v>
      </c>
      <c r="MW157" s="6"/>
      <c r="MX157" s="6"/>
      <c r="MY157" s="4"/>
      <c r="MZ157" s="6"/>
      <c r="NA157" s="5" t="str">
        <f t="shared" si="558"/>
        <v>NO APLICA</v>
      </c>
      <c r="NB157" s="6"/>
      <c r="NC157" s="6"/>
      <c r="ND157" s="4"/>
      <c r="NE157" s="6"/>
      <c r="NF157" s="5" t="str">
        <f t="shared" si="559"/>
        <v>NO APLICA</v>
      </c>
      <c r="NG157" s="6"/>
      <c r="NH157" s="6"/>
      <c r="NI157" s="4"/>
      <c r="NJ157" s="6"/>
      <c r="NK157" s="5" t="str">
        <f t="shared" si="560"/>
        <v>NO APLICA</v>
      </c>
      <c r="NL157" s="6"/>
      <c r="NM157" s="6"/>
      <c r="NN157" s="4"/>
      <c r="NO157" s="6"/>
      <c r="NP157" s="5" t="str">
        <f t="shared" si="561"/>
        <v>NO APLICA</v>
      </c>
      <c r="NQ157" s="6"/>
      <c r="NR157" s="6"/>
      <c r="NS157" s="4"/>
      <c r="NT157" s="6"/>
      <c r="NU157" s="5" t="str">
        <f t="shared" si="562"/>
        <v>NO APLICA</v>
      </c>
      <c r="NV157" s="6"/>
      <c r="NW157" s="6"/>
      <c r="NX157" s="4"/>
      <c r="NY157" s="8"/>
      <c r="NZ157" s="5" t="str">
        <f t="shared" si="563"/>
        <v>NO APLICA</v>
      </c>
      <c r="OA157" s="6"/>
      <c r="OB157" s="6"/>
      <c r="OC157" s="6"/>
      <c r="OD157" s="6"/>
      <c r="OE157" s="5" t="str">
        <f t="shared" si="564"/>
        <v>NO APLICA</v>
      </c>
      <c r="OF157" s="6"/>
      <c r="OG157" s="6"/>
      <c r="OH157" s="6"/>
      <c r="OI157" s="6"/>
      <c r="OJ157" s="5" t="str">
        <f t="shared" si="565"/>
        <v>NO APLICA</v>
      </c>
      <c r="OK157" s="6"/>
      <c r="OL157" s="6"/>
      <c r="OM157" s="6"/>
      <c r="ON157" s="6"/>
      <c r="OO157" s="5" t="str">
        <f t="shared" si="566"/>
        <v>NO APLICA</v>
      </c>
      <c r="OP157" s="6"/>
      <c r="OQ157" s="6"/>
      <c r="OR157" s="6"/>
      <c r="OS157" s="6"/>
      <c r="OT157" s="5" t="str">
        <f t="shared" si="567"/>
        <v>NO APLICA</v>
      </c>
      <c r="OU157" s="6"/>
      <c r="OV157" s="6"/>
      <c r="OW157" s="6"/>
      <c r="OX157" s="6"/>
      <c r="OY157" s="5" t="str">
        <f t="shared" si="568"/>
        <v>NO APLICA</v>
      </c>
      <c r="OZ157" s="6"/>
      <c r="PA157" s="6"/>
      <c r="PB157" s="6"/>
      <c r="PC157" s="6"/>
      <c r="PD157" s="5" t="str">
        <f t="shared" si="569"/>
        <v>NO APLICA</v>
      </c>
      <c r="PE157" s="6"/>
      <c r="PF157" s="6"/>
      <c r="PG157" s="6"/>
      <c r="PH157" s="6"/>
      <c r="PI157" s="5" t="str">
        <f t="shared" si="570"/>
        <v>NO APLICA</v>
      </c>
      <c r="PJ157" s="5"/>
      <c r="PK157" s="6"/>
      <c r="PL157" s="6"/>
      <c r="PM157" s="6"/>
      <c r="PN157" s="5" t="str">
        <f t="shared" si="571"/>
        <v>NO APLICA</v>
      </c>
      <c r="PO157" s="6"/>
      <c r="PP157" s="6"/>
      <c r="PQ157" s="6"/>
      <c r="PR157" s="6"/>
      <c r="PS157" s="5" t="str">
        <f t="shared" si="572"/>
        <v>NO APLICA</v>
      </c>
      <c r="PT157" s="5"/>
      <c r="PU157" s="6"/>
      <c r="PV157" s="6"/>
      <c r="PW157" s="6"/>
      <c r="PX157" s="5" t="str">
        <f t="shared" si="573"/>
        <v>NO APLICA</v>
      </c>
    </row>
    <row r="158" spans="1:440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417</v>
      </c>
      <c r="T158" s="5" t="str">
        <f t="shared" ca="1" si="574"/>
        <v>VIGENTE</v>
      </c>
      <c r="U158" s="5"/>
      <c r="V158" s="4"/>
      <c r="W158" s="4"/>
      <c r="X158" s="8"/>
      <c r="Y158" s="5" t="str">
        <f t="shared" si="423"/>
        <v>NO APLICA</v>
      </c>
      <c r="Z158" s="2"/>
      <c r="AA158" s="6"/>
      <c r="AB158" s="4"/>
      <c r="AC158" s="8"/>
      <c r="AD158" s="5" t="str">
        <f t="shared" si="603"/>
        <v>NO APLICA</v>
      </c>
      <c r="AE158" s="4"/>
      <c r="AF158" s="4">
        <v>45721</v>
      </c>
      <c r="AG158" s="4">
        <f>DATE(YEAR(AF158)+2,MONTH(AF158),DAY(AF158)-1)</f>
        <v>46450</v>
      </c>
      <c r="AH158" s="8">
        <f t="shared" ca="1" si="470"/>
        <v>316</v>
      </c>
      <c r="AI158" s="5" t="str">
        <f t="shared" ca="1" si="419"/>
        <v>VIGENTE</v>
      </c>
      <c r="AJ158" s="4"/>
      <c r="AK158" s="4">
        <v>45710</v>
      </c>
      <c r="AL158" s="4">
        <f>DATE(YEAR(AK158)+2,MONTH(AK158),DAY(AK158)-1)</f>
        <v>46439</v>
      </c>
      <c r="AM158" s="8">
        <f t="shared" ca="1" si="471"/>
        <v>305</v>
      </c>
      <c r="AN158" s="5" t="str">
        <f t="shared" ca="1" si="472"/>
        <v>VIGENTE</v>
      </c>
      <c r="AO158" s="4"/>
      <c r="AP158" s="4">
        <v>45703</v>
      </c>
      <c r="AQ158" s="4">
        <f>DATE(YEAR(AP158)+2,MONTH(AP158),DAY(AP158)-1)</f>
        <v>46432</v>
      </c>
      <c r="AR158" s="8">
        <f t="shared" ca="1" si="473"/>
        <v>298</v>
      </c>
      <c r="AS158" s="5" t="str">
        <f t="shared" ca="1" si="474"/>
        <v>VIGENTE</v>
      </c>
      <c r="AT158" s="4"/>
      <c r="AU158" s="4">
        <v>45702</v>
      </c>
      <c r="AV158" s="4">
        <f>DATE(YEAR(AU158)+2,MONTH(AU158),DAY(AU158)-1)</f>
        <v>46431</v>
      </c>
      <c r="AW158" s="8">
        <f t="shared" ca="1" si="475"/>
        <v>297</v>
      </c>
      <c r="AX158" s="5" t="str">
        <f t="shared" ca="1" si="476"/>
        <v>VIGENTE</v>
      </c>
      <c r="AY158" s="4"/>
      <c r="AZ158" s="4">
        <v>45603</v>
      </c>
      <c r="BA158" s="4">
        <f>DATE(YEAR(AZ158)+2,MONTH(AZ158),DAY(AZ158)-1)</f>
        <v>46332</v>
      </c>
      <c r="BB158" s="8">
        <f t="shared" ca="1" si="477"/>
        <v>198</v>
      </c>
      <c r="BC158" s="5" t="str">
        <f t="shared" ca="1" si="478"/>
        <v>VIGENTE</v>
      </c>
      <c r="BD158" s="4"/>
      <c r="BE158" s="4">
        <v>45605</v>
      </c>
      <c r="BF158" s="4">
        <f>DATE(YEAR(BE158)+2,MONTH(BE158),DAY(BE158)-1)</f>
        <v>46334</v>
      </c>
      <c r="BG158" s="8">
        <f t="shared" ca="1" si="479"/>
        <v>200</v>
      </c>
      <c r="BH158" s="5" t="str">
        <f t="shared" ca="1" si="480"/>
        <v>VIGENTE</v>
      </c>
      <c r="BI158" s="4"/>
      <c r="BJ158" s="4">
        <v>45600</v>
      </c>
      <c r="BK158" s="4">
        <f>DATE(YEAR(BJ158)+2,MONTH(BJ158),DAY(BJ158)-1)</f>
        <v>46329</v>
      </c>
      <c r="BL158" s="8">
        <f t="shared" ca="1" si="481"/>
        <v>195</v>
      </c>
      <c r="BM158" s="5" t="str">
        <f t="shared" ca="1" si="482"/>
        <v>VIGENTE</v>
      </c>
      <c r="BN158" s="4"/>
      <c r="BO158" s="4">
        <v>45701</v>
      </c>
      <c r="BP158" s="4">
        <f>DATE(YEAR(BO158)+2,MONTH(BO158),DAY(BO158)-1)</f>
        <v>46430</v>
      </c>
      <c r="BQ158" s="8">
        <f t="shared" ca="1" si="483"/>
        <v>296</v>
      </c>
      <c r="BR158" s="5" t="str">
        <f t="shared" ca="1" si="484"/>
        <v>VIGENTE</v>
      </c>
      <c r="BS158" s="4"/>
      <c r="BT158" s="4">
        <v>45568</v>
      </c>
      <c r="BU158" s="4">
        <f t="shared" ref="BU158:BU163" si="604">DATE(YEAR(BT158)+2,MONTH(BT158),DAY(BT158)-1)</f>
        <v>46297</v>
      </c>
      <c r="BV158" s="8">
        <f t="shared" ca="1" si="485"/>
        <v>163</v>
      </c>
      <c r="BW158" s="5" t="str">
        <f t="shared" ca="1" si="486"/>
        <v>VIGENTE</v>
      </c>
      <c r="BX158" s="4"/>
      <c r="BY158" s="4">
        <v>45629</v>
      </c>
      <c r="BZ158" s="4">
        <f>DATE(YEAR(BY158)+2,MONTH(BY158),DAY(BY158)-1)</f>
        <v>46358</v>
      </c>
      <c r="CA158" s="8">
        <f t="shared" ca="1" si="487"/>
        <v>224</v>
      </c>
      <c r="CB158" s="5" t="str">
        <f t="shared" ca="1" si="488"/>
        <v>VIGENTE</v>
      </c>
      <c r="CC158" s="6"/>
      <c r="CD158" s="24"/>
      <c r="CE158" s="4"/>
      <c r="CF158" s="8"/>
      <c r="CG158" s="5" t="str">
        <f t="shared" si="591"/>
        <v>NO APLICA</v>
      </c>
      <c r="CH158" s="4"/>
      <c r="CI158" s="4">
        <v>45601</v>
      </c>
      <c r="CJ158" s="4">
        <f>DATE(YEAR(CI158)+2,MONTH(CI158),DAY(CI158)-1)</f>
        <v>46330</v>
      </c>
      <c r="CK158" s="8">
        <f t="shared" ca="1" si="489"/>
        <v>196</v>
      </c>
      <c r="CL158" s="5" t="str">
        <f t="shared" ca="1" si="490"/>
        <v>VIGENTE</v>
      </c>
      <c r="CM158" s="4"/>
      <c r="CN158" s="4">
        <v>45618</v>
      </c>
      <c r="CO158" s="4">
        <f t="shared" ref="CO158:CO163" si="605">DATE(YEAR(CN158)+2,MONTH(CN158),DAY(CN158)-1)</f>
        <v>46347</v>
      </c>
      <c r="CP158" s="8">
        <f t="shared" ca="1" si="491"/>
        <v>213</v>
      </c>
      <c r="CQ158" s="5" t="str">
        <f t="shared" ca="1" si="492"/>
        <v>VIGENTE</v>
      </c>
      <c r="CR158" s="4"/>
      <c r="CS158" s="4">
        <v>45727</v>
      </c>
      <c r="CT158" s="4">
        <f>DATE(YEAR(CS158)+2,MONTH(CS158),DAY(CS158)-1)</f>
        <v>46456</v>
      </c>
      <c r="CU158" s="8">
        <f t="shared" ca="1" si="493"/>
        <v>322</v>
      </c>
      <c r="CV158" s="5" t="str">
        <f t="shared" ca="1" si="494"/>
        <v>VIGENTE</v>
      </c>
      <c r="CW158" s="4"/>
      <c r="CX158" s="4">
        <v>45681</v>
      </c>
      <c r="CY158" s="4">
        <f>DATE(YEAR(CX158)+2,MONTH(CX158),DAY(CX158)-1)</f>
        <v>46410</v>
      </c>
      <c r="CZ158" s="8">
        <f t="shared" ca="1" si="495"/>
        <v>276</v>
      </c>
      <c r="DA158" s="5" t="str">
        <f t="shared" ca="1" si="496"/>
        <v>VIGENTE</v>
      </c>
      <c r="DB158" s="4"/>
      <c r="DC158" s="4">
        <v>45596</v>
      </c>
      <c r="DD158" s="4">
        <f>DATE(YEAR(DC158)+2,MONTH(DC158),DAY(DC158)-1)</f>
        <v>46325</v>
      </c>
      <c r="DE158" s="8">
        <f t="shared" ca="1" si="497"/>
        <v>191</v>
      </c>
      <c r="DF158" s="5" t="str">
        <f t="shared" ca="1" si="498"/>
        <v>VIGENTE</v>
      </c>
      <c r="DG158" s="4"/>
      <c r="DH158" s="4">
        <v>45696</v>
      </c>
      <c r="DI158" s="4">
        <f>DATE(YEAR(DH158)+2,MONTH(DH158),DAY(DH158)-1)</f>
        <v>46425</v>
      </c>
      <c r="DJ158" s="8">
        <f t="shared" ca="1" si="499"/>
        <v>291</v>
      </c>
      <c r="DK158" s="5" t="str">
        <f t="shared" ca="1" si="500"/>
        <v>VIGENTE</v>
      </c>
      <c r="DL158" s="4"/>
      <c r="DM158" s="4">
        <v>45577</v>
      </c>
      <c r="DN158" s="4">
        <f>DATE(YEAR(DM158)+2,MONTH(DM158),DAY(DM158)-1)</f>
        <v>46306</v>
      </c>
      <c r="DO158" s="8">
        <f t="shared" ca="1" si="501"/>
        <v>172</v>
      </c>
      <c r="DP158" s="5" t="str">
        <f t="shared" ca="1" si="502"/>
        <v>VIGENTE</v>
      </c>
      <c r="DQ158" s="4"/>
      <c r="DR158" s="4">
        <v>45685</v>
      </c>
      <c r="DS158" s="4">
        <f>DATE(YEAR(DR158)+2,MONTH(DR158),DAY(DR158)-1)</f>
        <v>46414</v>
      </c>
      <c r="DT158" s="8">
        <f t="shared" ca="1" si="503"/>
        <v>280</v>
      </c>
      <c r="DU158" s="5" t="str">
        <f t="shared" ca="1" si="504"/>
        <v>VIGENTE</v>
      </c>
      <c r="DV158" s="4"/>
      <c r="DW158" s="4">
        <v>45663</v>
      </c>
      <c r="DX158" s="4">
        <f>DATE(YEAR(DW158)+2,MONTH(DW158),DAY(DW158)-1)</f>
        <v>46392</v>
      </c>
      <c r="DY158" s="8">
        <f t="shared" ca="1" si="505"/>
        <v>258</v>
      </c>
      <c r="DZ158" s="5" t="str">
        <f t="shared" ca="1" si="506"/>
        <v>VIGENTE</v>
      </c>
      <c r="EA158" s="4"/>
      <c r="EB158" s="4">
        <v>45602</v>
      </c>
      <c r="EC158" s="4">
        <f>DATE(YEAR(EB158)+2,MONTH(EB158),DAY(EB158)-1)</f>
        <v>46331</v>
      </c>
      <c r="ED158" s="8">
        <f t="shared" ca="1" si="507"/>
        <v>197</v>
      </c>
      <c r="EE158" s="5" t="str">
        <f t="shared" ca="1" si="508"/>
        <v>VIGENTE</v>
      </c>
      <c r="EF158" s="3"/>
      <c r="EG158" s="3">
        <v>46107</v>
      </c>
      <c r="EH158" s="4">
        <f t="shared" si="575"/>
        <v>46472</v>
      </c>
      <c r="EI158" s="8">
        <f t="shared" ca="1" si="509"/>
        <v>338</v>
      </c>
      <c r="EJ158" s="5" t="str">
        <f t="shared" ca="1" si="510"/>
        <v>VIGENTE</v>
      </c>
      <c r="EK158" s="4"/>
      <c r="EL158" s="4">
        <v>45636</v>
      </c>
      <c r="EM158" s="4">
        <f>DATE(YEAR(EL158)+2,MONTH(EL158),DAY(EL158)-1)</f>
        <v>46365</v>
      </c>
      <c r="EN158" s="8">
        <f t="shared" ca="1" si="511"/>
        <v>231</v>
      </c>
      <c r="EO158" s="5" t="str">
        <f t="shared" ca="1" si="512"/>
        <v>VIGENTE</v>
      </c>
      <c r="EP158" s="4"/>
      <c r="EQ158" s="4">
        <v>45623</v>
      </c>
      <c r="ER158" s="4">
        <f>DATE(YEAR(EQ158)+2,MONTH(EQ158),DAY(EQ158)-1)</f>
        <v>46352</v>
      </c>
      <c r="ES158" s="8">
        <f t="shared" ca="1" si="513"/>
        <v>218</v>
      </c>
      <c r="ET158" s="5" t="str">
        <f t="shared" ca="1" si="514"/>
        <v>VIGENTE</v>
      </c>
      <c r="EU158" s="4"/>
      <c r="EV158" s="4">
        <v>45610</v>
      </c>
      <c r="EW158" s="4">
        <f>DATE(YEAR(EV158)+2,MONTH(EV158),DAY(EV158)-1)</f>
        <v>46339</v>
      </c>
      <c r="EX158" s="8">
        <f t="shared" ca="1" si="515"/>
        <v>205</v>
      </c>
      <c r="EY158" s="5" t="str">
        <f t="shared" ca="1" si="516"/>
        <v>VIGENTE</v>
      </c>
      <c r="EZ158" s="4"/>
      <c r="FA158" s="4">
        <v>45666</v>
      </c>
      <c r="FB158" s="4">
        <f>DATE(YEAR(FA158)+2,MONTH(FA158),DAY(FA158)-1)</f>
        <v>46395</v>
      </c>
      <c r="FC158" s="8">
        <f t="shared" ca="1" si="517"/>
        <v>261</v>
      </c>
      <c r="FD158" s="5" t="str">
        <f t="shared" ca="1" si="518"/>
        <v>VIGENTE</v>
      </c>
      <c r="FE158" s="4"/>
      <c r="FF158" s="4">
        <v>45668</v>
      </c>
      <c r="FG158" s="4">
        <f>DATE(YEAR(FF158)+2,MONTH(FF158),DAY(FF158)-1)</f>
        <v>46397</v>
      </c>
      <c r="FH158" s="8">
        <f t="shared" ca="1" si="519"/>
        <v>263</v>
      </c>
      <c r="FI158" s="5" t="str">
        <f t="shared" ca="1" si="520"/>
        <v>VIGENTE</v>
      </c>
      <c r="FJ158" s="4"/>
      <c r="FK158" s="4">
        <v>45588</v>
      </c>
      <c r="FL158" s="4">
        <f>DATE(YEAR(FK158)+2,MONTH(FK158),DAY(FK158)-1)</f>
        <v>46317</v>
      </c>
      <c r="FM158" s="8">
        <f t="shared" ca="1" si="521"/>
        <v>183</v>
      </c>
      <c r="FN158" s="5" t="str">
        <f t="shared" ca="1" si="522"/>
        <v>VIGENTE</v>
      </c>
      <c r="FO158" s="4"/>
      <c r="FP158" s="4">
        <v>45664</v>
      </c>
      <c r="FQ158" s="4">
        <f>DATE(YEAR(FP158)+2,MONTH(FP158),DAY(FP158)-1)</f>
        <v>46393</v>
      </c>
      <c r="FR158" s="8">
        <f t="shared" ca="1" si="523"/>
        <v>259</v>
      </c>
      <c r="FS158" s="5" t="str">
        <f t="shared" ca="1" si="524"/>
        <v>VIGENTE</v>
      </c>
      <c r="FT158" s="4"/>
      <c r="FU158" s="4">
        <v>45700</v>
      </c>
      <c r="FV158" s="4">
        <f>DATE(YEAR(FU158)+2,MONTH(FU158),DAY(FU158)-1)</f>
        <v>46429</v>
      </c>
      <c r="FW158" s="8">
        <f t="shared" ca="1" si="525"/>
        <v>295</v>
      </c>
      <c r="FX158" s="5" t="str">
        <f t="shared" ca="1" si="526"/>
        <v>VIGENTE</v>
      </c>
      <c r="FY158" s="4"/>
      <c r="FZ158" s="4">
        <v>45667</v>
      </c>
      <c r="GA158" s="4">
        <f>DATE(YEAR(FZ158)+2,MONTH(FZ158),DAY(FZ158)-1)</f>
        <v>46396</v>
      </c>
      <c r="GB158" s="8">
        <f t="shared" ca="1" si="527"/>
        <v>262</v>
      </c>
      <c r="GC158" s="5" t="str">
        <f t="shared" ca="1" si="528"/>
        <v>VIGENTE</v>
      </c>
      <c r="GD158" s="4"/>
      <c r="GE158" s="4">
        <v>45672</v>
      </c>
      <c r="GF158" s="4">
        <f>DATE(YEAR(GE158)+2,MONTH(GE158),DAY(GE158)-1)</f>
        <v>46401</v>
      </c>
      <c r="GG158" s="8">
        <f t="shared" ca="1" si="529"/>
        <v>267</v>
      </c>
      <c r="GH158" s="5" t="str">
        <f t="shared" ca="1" si="530"/>
        <v>VIGENTE</v>
      </c>
      <c r="GI158" s="4"/>
      <c r="GJ158" s="4">
        <v>45608</v>
      </c>
      <c r="GK158" s="4">
        <f>DATE(YEAR(GJ158)+2,MONTH(GJ158),DAY(GJ158)-1)</f>
        <v>46337</v>
      </c>
      <c r="GL158" s="8">
        <f t="shared" ca="1" si="531"/>
        <v>203</v>
      </c>
      <c r="GM158" s="5" t="str">
        <f t="shared" ca="1" si="532"/>
        <v>VIGENTE</v>
      </c>
      <c r="GN158" s="4"/>
      <c r="GO158" s="4">
        <v>44966</v>
      </c>
      <c r="GP158" s="4">
        <f t="shared" si="533"/>
        <v>46792</v>
      </c>
      <c r="GQ158" s="8">
        <f t="shared" ca="1" si="418"/>
        <v>658</v>
      </c>
      <c r="GR158" s="5" t="str">
        <f t="shared" ca="1" si="431"/>
        <v>VIGENTE</v>
      </c>
      <c r="GS158" s="4"/>
      <c r="GT158" s="4">
        <v>44952</v>
      </c>
      <c r="GU158" s="4">
        <f t="shared" si="534"/>
        <v>46778</v>
      </c>
      <c r="GV158" s="8">
        <f t="shared" ca="1" si="535"/>
        <v>644</v>
      </c>
      <c r="GW158" s="5" t="str">
        <f t="shared" ca="1" si="438"/>
        <v>VIGENTE</v>
      </c>
      <c r="GX158" s="6"/>
      <c r="GY158" s="4">
        <v>44980</v>
      </c>
      <c r="GZ158" s="4">
        <f t="shared" si="536"/>
        <v>46806</v>
      </c>
      <c r="HA158" s="8">
        <f t="shared" ca="1" si="537"/>
        <v>672</v>
      </c>
      <c r="HB158" s="5" t="str">
        <f t="shared" ca="1" si="433"/>
        <v>VIGENTE</v>
      </c>
      <c r="HC158" s="6"/>
      <c r="HD158" s="4">
        <v>44956</v>
      </c>
      <c r="HE158" s="4">
        <f t="shared" si="601"/>
        <v>46782</v>
      </c>
      <c r="HF158" s="8">
        <f t="shared" ca="1" si="602"/>
        <v>648</v>
      </c>
      <c r="HG158" s="5" t="str">
        <f t="shared" ca="1" si="439"/>
        <v>VIGENTE</v>
      </c>
      <c r="HH158" s="6"/>
      <c r="HI158" s="6"/>
      <c r="HJ158" s="4"/>
      <c r="HK158" s="8"/>
      <c r="HL158" s="5" t="str">
        <f t="shared" si="457"/>
        <v>NO APLICA</v>
      </c>
      <c r="HM158" s="2"/>
      <c r="HN158" s="5"/>
      <c r="HO158" s="4"/>
      <c r="HP158" s="5"/>
      <c r="HQ158" s="5" t="str">
        <f t="shared" si="538"/>
        <v>NO APLICA</v>
      </c>
      <c r="HR158" s="2"/>
      <c r="HS158" s="6"/>
      <c r="HT158" s="4"/>
      <c r="HU158" s="8"/>
      <c r="HV158" s="5" t="str">
        <f t="shared" si="539"/>
        <v>NO APLICA</v>
      </c>
      <c r="HW158" s="2"/>
      <c r="HX158" s="6"/>
      <c r="HY158" s="4"/>
      <c r="HZ158" s="8"/>
      <c r="IA158" s="5" t="str">
        <f t="shared" si="540"/>
        <v>NO APLICA</v>
      </c>
      <c r="IB158" s="2"/>
      <c r="IC158" s="6"/>
      <c r="ID158" s="4"/>
      <c r="IE158" s="8"/>
      <c r="IF158" s="5" t="str">
        <f t="shared" si="541"/>
        <v>NO APLICA</v>
      </c>
      <c r="IG158" s="6"/>
      <c r="IH158" s="6"/>
      <c r="II158" s="4"/>
      <c r="IJ158" s="8"/>
      <c r="IK158" s="5" t="str">
        <f t="shared" si="542"/>
        <v>NO APLICA</v>
      </c>
      <c r="IL158" s="6"/>
      <c r="IM158" s="6"/>
      <c r="IN158" s="4"/>
      <c r="IO158" s="8"/>
      <c r="IP158" s="5" t="str">
        <f t="shared" si="543"/>
        <v>NO APLICA</v>
      </c>
      <c r="IQ158" s="2"/>
      <c r="IR158" s="6"/>
      <c r="IS158" s="4"/>
      <c r="IT158" s="8"/>
      <c r="IU158" s="5" t="str">
        <f t="shared" si="544"/>
        <v>NO APLICA</v>
      </c>
      <c r="IV158" s="2"/>
      <c r="IW158" s="6"/>
      <c r="IX158" s="4"/>
      <c r="IY158" s="8"/>
      <c r="IZ158" s="5" t="str">
        <f t="shared" si="545"/>
        <v>NO APLICA</v>
      </c>
      <c r="JA158" s="3"/>
      <c r="JB158" s="3"/>
      <c r="JC158" s="4"/>
      <c r="JD158" s="8"/>
      <c r="JE158" s="5" t="str">
        <f t="shared" si="546"/>
        <v>NO APLICA</v>
      </c>
      <c r="JF158" s="6"/>
      <c r="JG158" s="6"/>
      <c r="JH158" s="6"/>
      <c r="JI158" s="6"/>
      <c r="JJ158" s="5" t="str">
        <f t="shared" si="547"/>
        <v>NO APLICA</v>
      </c>
      <c r="JK158" s="6"/>
      <c r="JL158" s="6"/>
      <c r="JM158" s="6"/>
      <c r="JN158" s="6"/>
      <c r="JO158" s="5" t="str">
        <f t="shared" si="548"/>
        <v>NO APLICA</v>
      </c>
      <c r="JP158" s="6"/>
      <c r="JQ158" s="6"/>
      <c r="JR158" s="6"/>
      <c r="JS158" s="6"/>
      <c r="JT158" s="5" t="str">
        <f t="shared" si="549"/>
        <v>NO APLICA</v>
      </c>
      <c r="JU158" s="5"/>
      <c r="JV158" s="5"/>
      <c r="JW158" s="5"/>
      <c r="JX158" s="5"/>
      <c r="JY158" s="5" t="str">
        <f t="shared" si="550"/>
        <v>NO APLICA</v>
      </c>
      <c r="JZ158" s="5"/>
      <c r="KA158" s="5"/>
      <c r="KB158" s="4"/>
      <c r="KC158" s="8"/>
      <c r="KD158" s="5" t="str">
        <f t="shared" si="551"/>
        <v>NO APLICA</v>
      </c>
      <c r="KE158" s="5"/>
      <c r="KF158" s="5"/>
      <c r="KG158" s="4"/>
      <c r="KH158" s="8"/>
      <c r="KI158" s="5" t="str">
        <f t="shared" si="576"/>
        <v>NO APLICA</v>
      </c>
      <c r="KJ158" s="5"/>
      <c r="KK158" s="5"/>
      <c r="KL158" s="4"/>
      <c r="KM158" s="8"/>
      <c r="KN158" s="5" t="str">
        <f t="shared" si="552"/>
        <v>NO APLICA</v>
      </c>
      <c r="KO158" s="5"/>
      <c r="KP158" s="2"/>
      <c r="KQ158" s="4"/>
      <c r="KR158" s="8"/>
      <c r="KS158" s="5" t="str">
        <f t="shared" si="577"/>
        <v>NO APLICA</v>
      </c>
      <c r="KT158" s="6"/>
      <c r="KU158" s="6"/>
      <c r="KV158" s="4"/>
      <c r="KW158" s="8"/>
      <c r="KX158" s="5" t="str">
        <f t="shared" si="583"/>
        <v>NO APLICA</v>
      </c>
      <c r="KY158" s="5"/>
      <c r="KZ158" s="6"/>
      <c r="LA158" s="4"/>
      <c r="LB158" s="8"/>
      <c r="LC158" s="5" t="str">
        <f t="shared" si="578"/>
        <v>NO APLICA</v>
      </c>
      <c r="LD158" s="6"/>
      <c r="LE158" s="6"/>
      <c r="LF158" s="4"/>
      <c r="LG158" s="8"/>
      <c r="LH158" s="5" t="str">
        <f t="shared" si="585"/>
        <v>NO APLICA</v>
      </c>
      <c r="LI158" s="5"/>
      <c r="LJ158" s="5"/>
      <c r="LK158" s="4"/>
      <c r="LL158" s="8"/>
      <c r="LM158" s="5" t="str">
        <f t="shared" si="584"/>
        <v>NO APLICA</v>
      </c>
      <c r="LN158" s="5"/>
      <c r="LO158" s="6"/>
      <c r="LP158" s="4"/>
      <c r="LQ158" s="8"/>
      <c r="LR158" s="5" t="str">
        <f t="shared" si="579"/>
        <v>NO APLICA</v>
      </c>
      <c r="LS158" s="6"/>
      <c r="LT158" s="6"/>
      <c r="LU158" s="4"/>
      <c r="LV158" s="8"/>
      <c r="LW158" s="5" t="str">
        <f t="shared" si="580"/>
        <v>NO APLICA</v>
      </c>
      <c r="LX158" s="6"/>
      <c r="LY158" s="6"/>
      <c r="LZ158" s="4"/>
      <c r="MA158" s="8"/>
      <c r="MB158" s="5" t="str">
        <f t="shared" si="581"/>
        <v>NO APLICA</v>
      </c>
      <c r="MC158" s="5"/>
      <c r="MD158" s="5"/>
      <c r="ME158" s="4"/>
      <c r="MF158" s="8"/>
      <c r="MG158" s="5" t="str">
        <f t="shared" si="554"/>
        <v>NO APLICA</v>
      </c>
      <c r="MH158" s="5"/>
      <c r="MI158" s="5"/>
      <c r="MJ158" s="4"/>
      <c r="MK158" s="8"/>
      <c r="ML158" s="5" t="str">
        <f t="shared" si="555"/>
        <v>NO APLICA</v>
      </c>
      <c r="MM158" s="5"/>
      <c r="MN158" s="5"/>
      <c r="MO158" s="4"/>
      <c r="MP158" s="8"/>
      <c r="MQ158" s="5" t="str">
        <f t="shared" si="556"/>
        <v>NO APLICA</v>
      </c>
      <c r="MR158" s="5"/>
      <c r="MS158" s="5"/>
      <c r="MT158" s="5"/>
      <c r="MU158" s="5"/>
      <c r="MV158" s="5" t="str">
        <f t="shared" si="557"/>
        <v>NO APLICA</v>
      </c>
      <c r="MW158" s="5"/>
      <c r="MX158" s="6"/>
      <c r="MY158" s="4"/>
      <c r="MZ158" s="8"/>
      <c r="NA158" s="5" t="str">
        <f t="shared" si="558"/>
        <v>NO APLICA</v>
      </c>
      <c r="NB158" s="5"/>
      <c r="NC158" s="6"/>
      <c r="ND158" s="4"/>
      <c r="NE158" s="8"/>
      <c r="NF158" s="5" t="str">
        <f t="shared" si="559"/>
        <v>NO APLICA</v>
      </c>
      <c r="NG158" s="5"/>
      <c r="NH158" s="6"/>
      <c r="NI158" s="4"/>
      <c r="NJ158" s="8"/>
      <c r="NK158" s="5" t="str">
        <f t="shared" si="560"/>
        <v>NO APLICA</v>
      </c>
      <c r="NL158" s="5"/>
      <c r="NM158" s="5"/>
      <c r="NN158" s="4"/>
      <c r="NO158" s="8"/>
      <c r="NP158" s="5" t="str">
        <f t="shared" si="561"/>
        <v>NO APLICA</v>
      </c>
      <c r="NQ158" s="5"/>
      <c r="NR158" s="5"/>
      <c r="NS158" s="4"/>
      <c r="NT158" s="5"/>
      <c r="NU158" s="5" t="str">
        <f t="shared" si="562"/>
        <v>NO APLICA</v>
      </c>
      <c r="NV158" s="6"/>
      <c r="NW158" s="6"/>
      <c r="NX158" s="4"/>
      <c r="NY158" s="8"/>
      <c r="NZ158" s="5" t="str">
        <f t="shared" si="563"/>
        <v>NO APLICA</v>
      </c>
      <c r="OA158" s="6"/>
      <c r="OB158" s="6"/>
      <c r="OC158" s="6"/>
      <c r="OD158" s="6"/>
      <c r="OE158" s="5" t="str">
        <f t="shared" si="564"/>
        <v>NO APLICA</v>
      </c>
      <c r="OF158" s="6"/>
      <c r="OG158" s="6"/>
      <c r="OH158" s="4"/>
      <c r="OI158" s="8"/>
      <c r="OJ158" s="5" t="str">
        <f t="shared" si="565"/>
        <v>NO APLICA</v>
      </c>
      <c r="OK158" s="6"/>
      <c r="OL158" s="6"/>
      <c r="OM158" s="6"/>
      <c r="ON158" s="6"/>
      <c r="OO158" s="5" t="str">
        <f t="shared" si="566"/>
        <v>NO APLICA</v>
      </c>
      <c r="OP158" s="6"/>
      <c r="OQ158" s="6"/>
      <c r="OR158" s="6"/>
      <c r="OS158" s="6"/>
      <c r="OT158" s="5" t="str">
        <f t="shared" si="567"/>
        <v>NO APLICA</v>
      </c>
      <c r="OU158" s="6"/>
      <c r="OV158" s="6"/>
      <c r="OW158" s="6"/>
      <c r="OX158" s="6"/>
      <c r="OY158" s="5" t="str">
        <f t="shared" si="568"/>
        <v>NO APLICA</v>
      </c>
      <c r="OZ158" s="6"/>
      <c r="PA158" s="6"/>
      <c r="PB158" s="6"/>
      <c r="PC158" s="6"/>
      <c r="PD158" s="5" t="str">
        <f t="shared" si="569"/>
        <v>NO APLICA</v>
      </c>
      <c r="PE158" s="6"/>
      <c r="PF158" s="6"/>
      <c r="PG158" s="6"/>
      <c r="PH158" s="6"/>
      <c r="PI158" s="5" t="str">
        <f t="shared" si="570"/>
        <v>NO APLICA</v>
      </c>
      <c r="PJ158" s="5"/>
      <c r="PK158" s="6"/>
      <c r="PL158" s="4"/>
      <c r="PM158" s="8"/>
      <c r="PN158" s="5" t="str">
        <f t="shared" si="571"/>
        <v>NO APLICA</v>
      </c>
      <c r="PO158" s="6"/>
      <c r="PP158" s="6"/>
      <c r="PQ158" s="6"/>
      <c r="PR158" s="6"/>
      <c r="PS158" s="5" t="str">
        <f t="shared" si="572"/>
        <v>NO APLICA</v>
      </c>
      <c r="PT158" s="5"/>
      <c r="PU158" s="6"/>
      <c r="PV158" s="6"/>
      <c r="PW158" s="6"/>
      <c r="PX158" s="5" t="str">
        <f t="shared" si="573"/>
        <v>NO APLICA</v>
      </c>
    </row>
    <row r="159" spans="1:440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517</v>
      </c>
      <c r="V159" s="4">
        <v>45426</v>
      </c>
      <c r="W159" s="4">
        <f t="shared" ref="W159:W191" si="606">DATE(YEAR(V159)+5,MONTH(V159),DAY(V159))</f>
        <v>47252</v>
      </c>
      <c r="X159" s="8">
        <f t="shared" ref="X159:X191" ca="1" si="607">W159-TODAY()</f>
        <v>1118</v>
      </c>
      <c r="Y159" s="5" t="str">
        <f t="shared" ca="1" si="423"/>
        <v>VIGENTE</v>
      </c>
      <c r="Z159" s="2" t="s">
        <v>518</v>
      </c>
      <c r="AA159" s="4">
        <v>45499</v>
      </c>
      <c r="AB159" s="4">
        <f>DATE(YEAR(AA159)+5,MONTH(AA159),DAY(AA159))</f>
        <v>47325</v>
      </c>
      <c r="AC159" s="8">
        <f ca="1">AB159-TODAY()</f>
        <v>1191</v>
      </c>
      <c r="AD159" s="5" t="str">
        <f t="shared" ca="1" si="603"/>
        <v>VIGENTE</v>
      </c>
      <c r="AE159" s="3"/>
      <c r="AF159" s="3">
        <v>45617</v>
      </c>
      <c r="AG159" s="4">
        <f>DATE(YEAR(AF159)+2,MONTH(AF159),DAY(AF159)-1)</f>
        <v>46346</v>
      </c>
      <c r="AH159" s="8">
        <f t="shared" ca="1" si="470"/>
        <v>212</v>
      </c>
      <c r="AI159" s="5" t="str">
        <f t="shared" ca="1" si="419"/>
        <v>VIGENTE</v>
      </c>
      <c r="AJ159" s="3"/>
      <c r="AK159" s="4">
        <v>45926</v>
      </c>
      <c r="AL159" s="4">
        <f>DATE(YEAR(AK159)+2,MONTH(AK159),DAY(AK159))</f>
        <v>46656</v>
      </c>
      <c r="AM159" s="8">
        <f t="shared" ca="1" si="471"/>
        <v>522</v>
      </c>
      <c r="AN159" s="5" t="str">
        <f t="shared" ca="1" si="472"/>
        <v>VIGENTE</v>
      </c>
      <c r="AO159" s="3"/>
      <c r="AP159" s="4">
        <v>45703</v>
      </c>
      <c r="AQ159" s="4">
        <f>DATE(YEAR(AP159)+2,MONTH(AP159),DAY(AP159)-1)</f>
        <v>46432</v>
      </c>
      <c r="AR159" s="8">
        <f t="shared" ca="1" si="473"/>
        <v>298</v>
      </c>
      <c r="AS159" s="5" t="str">
        <f t="shared" ca="1" si="474"/>
        <v>VIGENTE</v>
      </c>
      <c r="AT159" s="3"/>
      <c r="AU159" s="4">
        <v>45702</v>
      </c>
      <c r="AV159" s="4">
        <f>DATE(YEAR(AU159)+2,MONTH(AU159),DAY(AU159)-1)</f>
        <v>46431</v>
      </c>
      <c r="AW159" s="8">
        <f t="shared" ca="1" si="475"/>
        <v>297</v>
      </c>
      <c r="AX159" s="5" t="str">
        <f t="shared" ca="1" si="476"/>
        <v>VIGENTE</v>
      </c>
      <c r="AY159" s="3"/>
      <c r="AZ159" s="4">
        <v>45717</v>
      </c>
      <c r="BA159" s="4">
        <f>DATE(YEAR(AZ159)+2,MONTH(AZ159),DAY(AZ159)-1)</f>
        <v>46446</v>
      </c>
      <c r="BB159" s="8">
        <f t="shared" ca="1" si="477"/>
        <v>312</v>
      </c>
      <c r="BC159" s="5" t="str">
        <f t="shared" ca="1" si="478"/>
        <v>VIGENTE</v>
      </c>
      <c r="BD159" s="3"/>
      <c r="BE159" s="4">
        <v>45698</v>
      </c>
      <c r="BF159" s="4">
        <f>DATE(YEAR(BE159)+2,MONTH(BE159),DAY(BE159)-1)</f>
        <v>46427</v>
      </c>
      <c r="BG159" s="8">
        <f t="shared" ca="1" si="479"/>
        <v>293</v>
      </c>
      <c r="BH159" s="5" t="str">
        <f t="shared" ca="1" si="480"/>
        <v>VIGENTE</v>
      </c>
      <c r="BI159" s="3"/>
      <c r="BJ159" s="4">
        <v>46035</v>
      </c>
      <c r="BK159" s="4">
        <f>DATE(YEAR(BJ159)+2,MONTH(BJ159),DAY(BJ159))</f>
        <v>46765</v>
      </c>
      <c r="BL159" s="8">
        <f t="shared" ca="1" si="481"/>
        <v>631</v>
      </c>
      <c r="BM159" s="5" t="str">
        <f t="shared" ca="1" si="482"/>
        <v>VIGENTE</v>
      </c>
      <c r="BN159" s="3"/>
      <c r="BO159" s="4">
        <v>45701</v>
      </c>
      <c r="BP159" s="4">
        <f>DATE(YEAR(BO159)+2,MONTH(BO159),DAY(BO159)-1)</f>
        <v>46430</v>
      </c>
      <c r="BQ159" s="8">
        <f t="shared" ca="1" si="483"/>
        <v>296</v>
      </c>
      <c r="BR159" s="5" t="str">
        <f t="shared" ca="1" si="484"/>
        <v>VIGENTE</v>
      </c>
      <c r="BS159" s="3"/>
      <c r="BT159" s="4">
        <v>45695</v>
      </c>
      <c r="BU159" s="4">
        <f t="shared" si="604"/>
        <v>46424</v>
      </c>
      <c r="BV159" s="8">
        <f t="shared" ca="1" si="485"/>
        <v>290</v>
      </c>
      <c r="BW159" s="5" t="str">
        <f t="shared" ca="1" si="486"/>
        <v>VIGENTE</v>
      </c>
      <c r="BX159" s="3"/>
      <c r="BY159" s="4">
        <v>45954</v>
      </c>
      <c r="BZ159" s="4">
        <f t="shared" ref="BZ159:BZ166" si="608">DATE(YEAR(BY159)+2,MONTH(BY159),DAY(BY159))</f>
        <v>46684</v>
      </c>
      <c r="CA159" s="8">
        <f t="shared" ca="1" si="487"/>
        <v>550</v>
      </c>
      <c r="CB159" s="5" t="str">
        <f t="shared" ca="1" si="488"/>
        <v>VIGENTE</v>
      </c>
      <c r="CC159" s="6" t="s">
        <v>73</v>
      </c>
      <c r="CD159" s="4">
        <v>45227</v>
      </c>
      <c r="CE159" s="4">
        <f t="shared" ref="CE159:CE191" si="609">DATE(YEAR(CD159)+4,MONTH(CD159),DAY(CD159))</f>
        <v>46688</v>
      </c>
      <c r="CF159" s="8">
        <f t="shared" ref="CF159:CF191" ca="1" si="610">CE159-TODAY()</f>
        <v>554</v>
      </c>
      <c r="CG159" s="5" t="str">
        <f t="shared" ca="1" si="591"/>
        <v>VIGENTE</v>
      </c>
      <c r="CH159" s="4"/>
      <c r="CI159" s="4">
        <v>45723</v>
      </c>
      <c r="CJ159" s="4">
        <f>DATE(YEAR(CI159)+2,MONTH(CI159),DAY(CI159)-1)</f>
        <v>46452</v>
      </c>
      <c r="CK159" s="8">
        <f t="shared" ca="1" si="489"/>
        <v>318</v>
      </c>
      <c r="CL159" s="5" t="str">
        <f t="shared" ca="1" si="490"/>
        <v>VIGENTE</v>
      </c>
      <c r="CM159" s="4"/>
      <c r="CN159" s="4">
        <v>45726</v>
      </c>
      <c r="CO159" s="4">
        <f t="shared" si="605"/>
        <v>46455</v>
      </c>
      <c r="CP159" s="8">
        <f t="shared" ca="1" si="491"/>
        <v>321</v>
      </c>
      <c r="CQ159" s="5" t="str">
        <f t="shared" ca="1" si="492"/>
        <v>VIGENTE</v>
      </c>
      <c r="CR159" s="3"/>
      <c r="CS159" s="4">
        <v>45639</v>
      </c>
      <c r="CT159" s="4">
        <f>DATE(YEAR(CS159)+2,MONTH(CS159),DAY(CS159)-1)</f>
        <v>46368</v>
      </c>
      <c r="CU159" s="8">
        <f t="shared" ca="1" si="493"/>
        <v>234</v>
      </c>
      <c r="CV159" s="5" t="str">
        <f t="shared" ca="1" si="494"/>
        <v>VIGENTE</v>
      </c>
      <c r="CW159" s="3"/>
      <c r="CX159" s="4">
        <v>45661</v>
      </c>
      <c r="CY159" s="4">
        <f>DATE(YEAR(CX159)+2,MONTH(CX159),DAY(CX159)-1)</f>
        <v>46390</v>
      </c>
      <c r="CZ159" s="8">
        <f t="shared" ca="1" si="495"/>
        <v>256</v>
      </c>
      <c r="DA159" s="5" t="str">
        <f t="shared" ca="1" si="496"/>
        <v>VIGENTE</v>
      </c>
      <c r="DB159" s="3"/>
      <c r="DC159" s="4">
        <v>45689</v>
      </c>
      <c r="DD159" s="4">
        <f>DATE(YEAR(DC159)+2,MONTH(DC159),DAY(DC159)-1)</f>
        <v>46418</v>
      </c>
      <c r="DE159" s="8">
        <f t="shared" ca="1" si="497"/>
        <v>284</v>
      </c>
      <c r="DF159" s="5" t="str">
        <f t="shared" ca="1" si="498"/>
        <v>VIGENTE</v>
      </c>
      <c r="DG159" s="3"/>
      <c r="DH159" s="4">
        <v>45696</v>
      </c>
      <c r="DI159" s="4">
        <f>DATE(YEAR(DH159)+2,MONTH(DH159),DAY(DH159)-1)</f>
        <v>46425</v>
      </c>
      <c r="DJ159" s="8">
        <f t="shared" ca="1" si="499"/>
        <v>291</v>
      </c>
      <c r="DK159" s="5" t="str">
        <f t="shared" ca="1" si="500"/>
        <v>VIGENTE</v>
      </c>
      <c r="DL159" s="3"/>
      <c r="DM159" s="4">
        <v>46007</v>
      </c>
      <c r="DN159" s="4">
        <f>DATE(YEAR(DM159)+2,MONTH(DM159),DAY(DM159))</f>
        <v>46737</v>
      </c>
      <c r="DO159" s="8">
        <f t="shared" ca="1" si="501"/>
        <v>603</v>
      </c>
      <c r="DP159" s="5" t="str">
        <f t="shared" ca="1" si="502"/>
        <v>VIGENTE</v>
      </c>
      <c r="DQ159" s="3"/>
      <c r="DR159" s="4">
        <v>45685</v>
      </c>
      <c r="DS159" s="4">
        <f>DATE(YEAR(DR159)+2,MONTH(DR159),DAY(DR159)-1)</f>
        <v>46414</v>
      </c>
      <c r="DT159" s="8">
        <f t="shared" ca="1" si="503"/>
        <v>280</v>
      </c>
      <c r="DU159" s="5" t="str">
        <f t="shared" ca="1" si="504"/>
        <v>VIGENTE</v>
      </c>
      <c r="DV159" s="3"/>
      <c r="DW159" s="4">
        <v>45709</v>
      </c>
      <c r="DX159" s="4">
        <f>DATE(YEAR(DW159)+2,MONTH(DW159),DAY(DW159)-1)</f>
        <v>46438</v>
      </c>
      <c r="DY159" s="8">
        <f t="shared" ca="1" si="505"/>
        <v>304</v>
      </c>
      <c r="DZ159" s="5" t="str">
        <f t="shared" ca="1" si="506"/>
        <v>VIGENTE</v>
      </c>
      <c r="EA159" s="3"/>
      <c r="EB159" s="4">
        <v>45674</v>
      </c>
      <c r="EC159" s="4">
        <f>DATE(YEAR(EB159)+2,MONTH(EB159),DAY(EB159)-1)</f>
        <v>46403</v>
      </c>
      <c r="ED159" s="8">
        <f t="shared" ca="1" si="507"/>
        <v>269</v>
      </c>
      <c r="EE159" s="5" t="str">
        <f t="shared" ca="1" si="508"/>
        <v>VIGENTE</v>
      </c>
      <c r="EF159" s="3"/>
      <c r="EG159" s="4">
        <v>45948</v>
      </c>
      <c r="EH159" s="4">
        <f t="shared" si="575"/>
        <v>46313</v>
      </c>
      <c r="EI159" s="8">
        <f t="shared" ca="1" si="509"/>
        <v>179</v>
      </c>
      <c r="EJ159" s="5" t="str">
        <f t="shared" ca="1" si="510"/>
        <v>VIGENTE</v>
      </c>
      <c r="EK159" s="3"/>
      <c r="EL159" s="4">
        <v>45660</v>
      </c>
      <c r="EM159" s="4">
        <f>DATE(YEAR(EL159)+2,MONTH(EL159),DAY(EL159)-1)</f>
        <v>46389</v>
      </c>
      <c r="EN159" s="8">
        <f t="shared" ca="1" si="511"/>
        <v>255</v>
      </c>
      <c r="EO159" s="5" t="str">
        <f t="shared" ca="1" si="512"/>
        <v>VIGENTE</v>
      </c>
      <c r="EP159" s="3"/>
      <c r="EQ159" s="4">
        <v>45677</v>
      </c>
      <c r="ER159" s="4">
        <f>DATE(YEAR(EQ159)+2,MONTH(EQ159),DAY(EQ159)-1)</f>
        <v>46406</v>
      </c>
      <c r="ES159" s="8">
        <f t="shared" ca="1" si="513"/>
        <v>272</v>
      </c>
      <c r="ET159" s="5" t="str">
        <f t="shared" ca="1" si="514"/>
        <v>VIGENTE</v>
      </c>
      <c r="EU159" s="3"/>
      <c r="EV159" s="4">
        <v>45953</v>
      </c>
      <c r="EW159" s="4">
        <f t="shared" ref="EW159:EW166" si="611">DATE(YEAR(EV159)+2,MONTH(EV159),DAY(EV159))</f>
        <v>46683</v>
      </c>
      <c r="EX159" s="8">
        <f t="shared" ca="1" si="515"/>
        <v>549</v>
      </c>
      <c r="EY159" s="5" t="str">
        <f t="shared" ca="1" si="516"/>
        <v>VIGENTE</v>
      </c>
      <c r="EZ159" s="3"/>
      <c r="FA159" s="4">
        <v>45951</v>
      </c>
      <c r="FB159" s="4">
        <f t="shared" ref="FB159:FB166" si="612">DATE(YEAR(FA159)+2,MONTH(FA159),DAY(FA159))</f>
        <v>46681</v>
      </c>
      <c r="FC159" s="8">
        <f t="shared" ca="1" si="517"/>
        <v>547</v>
      </c>
      <c r="FD159" s="5" t="str">
        <f t="shared" ca="1" si="518"/>
        <v>VIGENTE</v>
      </c>
      <c r="FE159" s="3"/>
      <c r="FF159" s="4">
        <v>45962</v>
      </c>
      <c r="FG159" s="4">
        <f t="shared" ref="FG159:FG166" si="613">DATE(YEAR(FF159)+2,MONTH(FF159),DAY(FF159))</f>
        <v>46692</v>
      </c>
      <c r="FH159" s="8">
        <f t="shared" ca="1" si="519"/>
        <v>558</v>
      </c>
      <c r="FI159" s="5" t="str">
        <f t="shared" ca="1" si="520"/>
        <v>VIGENTE</v>
      </c>
      <c r="FJ159" s="3"/>
      <c r="FK159" s="4">
        <v>45738</v>
      </c>
      <c r="FL159" s="4">
        <f>DATE(YEAR(FK159)+2,MONTH(FK159),DAY(FK159)-1)</f>
        <v>46467</v>
      </c>
      <c r="FM159" s="8">
        <f t="shared" ca="1" si="521"/>
        <v>333</v>
      </c>
      <c r="FN159" s="5" t="str">
        <f t="shared" ca="1" si="522"/>
        <v>VIGENTE</v>
      </c>
      <c r="FO159" s="3"/>
      <c r="FP159" s="4">
        <v>45678</v>
      </c>
      <c r="FQ159" s="4">
        <f>DATE(YEAR(FP159)+2,MONTH(FP159),DAY(FP159)-1)</f>
        <v>46407</v>
      </c>
      <c r="FR159" s="8">
        <f t="shared" ca="1" si="523"/>
        <v>273</v>
      </c>
      <c r="FS159" s="5" t="str">
        <f t="shared" ca="1" si="524"/>
        <v>VIGENTE</v>
      </c>
      <c r="FT159" s="3"/>
      <c r="FU159" s="4">
        <v>45581</v>
      </c>
      <c r="FV159" s="4">
        <f>DATE(YEAR(FU159)+2,MONTH(FU159),DAY(FU159)-1)</f>
        <v>46310</v>
      </c>
      <c r="FW159" s="8">
        <f t="shared" ca="1" si="525"/>
        <v>176</v>
      </c>
      <c r="FX159" s="5" t="str">
        <f t="shared" ca="1" si="526"/>
        <v>VIGENTE</v>
      </c>
      <c r="FY159" s="3"/>
      <c r="FZ159" s="4">
        <v>45667</v>
      </c>
      <c r="GA159" s="4">
        <f>DATE(YEAR(FZ159)+2,MONTH(FZ159),DAY(FZ159)-1)</f>
        <v>46396</v>
      </c>
      <c r="GB159" s="8">
        <f t="shared" ca="1" si="527"/>
        <v>262</v>
      </c>
      <c r="GC159" s="5" t="str">
        <f t="shared" ca="1" si="528"/>
        <v>VIGENTE</v>
      </c>
      <c r="GD159" s="3"/>
      <c r="GE159" s="4">
        <v>45752</v>
      </c>
      <c r="GF159" s="4">
        <f>DATE(YEAR(GE159)+2,MONTH(GE159),DAY(GE159)-1)</f>
        <v>46481</v>
      </c>
      <c r="GG159" s="8">
        <f t="shared" ca="1" si="529"/>
        <v>347</v>
      </c>
      <c r="GH159" s="5" t="str">
        <f t="shared" ca="1" si="530"/>
        <v>VIGENTE</v>
      </c>
      <c r="GI159" s="3"/>
      <c r="GJ159" s="4">
        <v>45687</v>
      </c>
      <c r="GK159" s="4">
        <f>DATE(YEAR(GJ159)+2,MONTH(GJ159),DAY(GJ159)-1)</f>
        <v>46416</v>
      </c>
      <c r="GL159" s="8">
        <f t="shared" ca="1" si="531"/>
        <v>282</v>
      </c>
      <c r="GM159" s="5" t="str">
        <f t="shared" ca="1" si="532"/>
        <v>VIGENTE</v>
      </c>
      <c r="GN159" s="4"/>
      <c r="GO159" s="4">
        <v>45017</v>
      </c>
      <c r="GP159" s="4">
        <f t="shared" si="533"/>
        <v>46844</v>
      </c>
      <c r="GQ159" s="8">
        <f t="shared" ca="1" si="418"/>
        <v>710</v>
      </c>
      <c r="GR159" s="5" t="str">
        <f t="shared" ca="1" si="431"/>
        <v>VIGENTE</v>
      </c>
      <c r="GS159" s="3"/>
      <c r="GT159" s="4">
        <v>45245</v>
      </c>
      <c r="GU159" s="4">
        <f t="shared" si="534"/>
        <v>47072</v>
      </c>
      <c r="GV159" s="8">
        <f t="shared" ca="1" si="535"/>
        <v>938</v>
      </c>
      <c r="GW159" s="5" t="str">
        <f t="shared" ca="1" si="438"/>
        <v>VIGENTE</v>
      </c>
      <c r="GX159" s="3"/>
      <c r="GY159" s="4">
        <v>44980</v>
      </c>
      <c r="GZ159" s="4">
        <f t="shared" si="536"/>
        <v>46806</v>
      </c>
      <c r="HA159" s="8">
        <f t="shared" ca="1" si="537"/>
        <v>672</v>
      </c>
      <c r="HB159" s="5" t="str">
        <f t="shared" ca="1" si="433"/>
        <v>VIGENTE</v>
      </c>
      <c r="HC159" s="6"/>
      <c r="HD159" s="4">
        <v>44879</v>
      </c>
      <c r="HE159" s="4">
        <f t="shared" si="601"/>
        <v>46705</v>
      </c>
      <c r="HF159" s="8">
        <f t="shared" ca="1" si="602"/>
        <v>571</v>
      </c>
      <c r="HG159" s="5" t="str">
        <f t="shared" ca="1" si="439"/>
        <v>VIGENTE</v>
      </c>
      <c r="HH159" s="3"/>
      <c r="HI159" s="4">
        <v>45414</v>
      </c>
      <c r="HJ159" s="4">
        <f>DATE(YEAR(HI159)+5,MONTH(HI159),DAY(HI159))</f>
        <v>47240</v>
      </c>
      <c r="HK159" s="8">
        <f ca="1">HJ159-TODAY()</f>
        <v>1106</v>
      </c>
      <c r="HL159" s="5" t="str">
        <f t="shared" ca="1" si="457"/>
        <v>VIGENTE</v>
      </c>
      <c r="HM159" s="2"/>
      <c r="HN159" s="2"/>
      <c r="HO159" s="4"/>
      <c r="HP159" s="2"/>
      <c r="HQ159" s="5" t="str">
        <f t="shared" si="538"/>
        <v>NO APLICA</v>
      </c>
      <c r="HR159" s="3"/>
      <c r="HS159" s="4">
        <v>45243</v>
      </c>
      <c r="HT159" s="4">
        <f>DATE(YEAR(HS159)+5,MONTH(HS159),DAY(HS159))</f>
        <v>47070</v>
      </c>
      <c r="HU159" s="8">
        <f ca="1">HT159-TODAY()</f>
        <v>936</v>
      </c>
      <c r="HV159" s="5" t="str">
        <f t="shared" ca="1" si="539"/>
        <v>VIGENTE</v>
      </c>
      <c r="HW159" s="3"/>
      <c r="HX159" s="4">
        <v>45241</v>
      </c>
      <c r="HY159" s="4">
        <f>DATE(YEAR(HX159)+5,MONTH(HX159),DAY(HX159))</f>
        <v>47068</v>
      </c>
      <c r="HZ159" s="8">
        <f ca="1">HY159-TODAY()</f>
        <v>934</v>
      </c>
      <c r="IA159" s="5" t="str">
        <f t="shared" ca="1" si="540"/>
        <v>VIGENTE</v>
      </c>
      <c r="IB159" s="3"/>
      <c r="IC159" s="4">
        <v>45264</v>
      </c>
      <c r="ID159" s="4">
        <f>DATE(YEAR(IC159)+5,MONTH(IC159),DAY(IC159))</f>
        <v>47091</v>
      </c>
      <c r="IE159" s="8">
        <f ca="1">ID159-TODAY()</f>
        <v>957</v>
      </c>
      <c r="IF159" s="5" t="str">
        <f t="shared" ca="1" si="541"/>
        <v>VIGENTE</v>
      </c>
      <c r="IG159" s="4"/>
      <c r="IH159" s="4">
        <v>45262</v>
      </c>
      <c r="II159" s="4">
        <f>DATE(YEAR(IH159)+5,MONTH(IH159),DAY(IH159))</f>
        <v>47089</v>
      </c>
      <c r="IJ159" s="8">
        <f ca="1">II159-TODAY()</f>
        <v>955</v>
      </c>
      <c r="IK159" s="5" t="str">
        <f t="shared" ca="1" si="542"/>
        <v>VIGENTE</v>
      </c>
      <c r="IL159" s="3"/>
      <c r="IM159" s="4">
        <v>45239</v>
      </c>
      <c r="IN159" s="4">
        <f>DATE(YEAR(IM159)+5,MONTH(IM159),DAY(IM159))</f>
        <v>47066</v>
      </c>
      <c r="IO159" s="8">
        <f ca="1">IN159-TODAY()</f>
        <v>932</v>
      </c>
      <c r="IP159" s="5" t="str">
        <f t="shared" ca="1" si="543"/>
        <v>VIGENTE</v>
      </c>
      <c r="IQ159" s="3"/>
      <c r="IR159" s="4">
        <v>45240</v>
      </c>
      <c r="IS159" s="4">
        <f>DATE(YEAR(IR159)+5,MONTH(IR159),DAY(IR159))</f>
        <v>47067</v>
      </c>
      <c r="IT159" s="8">
        <f ca="1">IS159-TODAY()</f>
        <v>933</v>
      </c>
      <c r="IU159" s="5" t="str">
        <f t="shared" ca="1" si="544"/>
        <v>VIGENTE</v>
      </c>
      <c r="IV159" s="3"/>
      <c r="IW159" s="4">
        <v>45261</v>
      </c>
      <c r="IX159" s="4">
        <f>DATE(YEAR(IW159)+5,MONTH(IW159),DAY(IW159))</f>
        <v>47088</v>
      </c>
      <c r="IY159" s="8">
        <f ca="1">IX159-TODAY()</f>
        <v>954</v>
      </c>
      <c r="IZ159" s="5" t="str">
        <f t="shared" ca="1" si="545"/>
        <v>VIGENTE</v>
      </c>
      <c r="JA159" s="3"/>
      <c r="JB159" s="3"/>
      <c r="JC159" s="4"/>
      <c r="JD159" s="8"/>
      <c r="JE159" s="5" t="str">
        <f t="shared" si="546"/>
        <v>NO APLICA</v>
      </c>
      <c r="JF159" s="6"/>
      <c r="JG159" s="6"/>
      <c r="JH159" s="6"/>
      <c r="JI159" s="6"/>
      <c r="JJ159" s="5" t="str">
        <f t="shared" si="547"/>
        <v>NO APLICA</v>
      </c>
      <c r="JK159" s="6"/>
      <c r="JL159" s="6"/>
      <c r="JM159" s="6"/>
      <c r="JN159" s="6"/>
      <c r="JO159" s="5" t="str">
        <f t="shared" si="548"/>
        <v>NO APLICA</v>
      </c>
      <c r="JP159" s="6"/>
      <c r="JQ159" s="6"/>
      <c r="JR159" s="6"/>
      <c r="JS159" s="6"/>
      <c r="JT159" s="5" t="str">
        <f t="shared" si="549"/>
        <v>NO APLICA</v>
      </c>
      <c r="JU159" s="5"/>
      <c r="JV159" s="5"/>
      <c r="JW159" s="5"/>
      <c r="JX159" s="5"/>
      <c r="JY159" s="5" t="str">
        <f t="shared" si="550"/>
        <v>NO APLICA</v>
      </c>
      <c r="JZ159" s="5"/>
      <c r="KA159" s="2"/>
      <c r="KB159" s="4"/>
      <c r="KC159" s="8"/>
      <c r="KD159" s="5" t="str">
        <f t="shared" si="551"/>
        <v>NO APLICA</v>
      </c>
      <c r="KE159" s="5"/>
      <c r="KF159" s="2"/>
      <c r="KG159" s="4"/>
      <c r="KH159" s="8"/>
      <c r="KI159" s="5" t="str">
        <f t="shared" si="576"/>
        <v>NO APLICA</v>
      </c>
      <c r="KJ159" s="5"/>
      <c r="KK159" s="3">
        <v>45364</v>
      </c>
      <c r="KL159" s="4">
        <f>DATE(YEAR(KK159)+5,MONTH(KK159),DAY(KK159))</f>
        <v>47190</v>
      </c>
      <c r="KM159" s="8">
        <f ca="1">KL159-TODAY()</f>
        <v>1056</v>
      </c>
      <c r="KN159" s="5" t="str">
        <f t="shared" ca="1" si="552"/>
        <v>VIGENTE</v>
      </c>
      <c r="KO159" s="5"/>
      <c r="KP159" s="2"/>
      <c r="KQ159" s="4"/>
      <c r="KR159" s="8"/>
      <c r="KS159" s="5" t="str">
        <f t="shared" si="577"/>
        <v>NO APLICA</v>
      </c>
      <c r="KT159" s="2"/>
      <c r="KU159" s="6"/>
      <c r="KV159" s="4"/>
      <c r="KW159" s="8"/>
      <c r="KX159" s="5" t="str">
        <f t="shared" si="583"/>
        <v>NO APLICA</v>
      </c>
      <c r="KY159" s="5"/>
      <c r="KZ159" s="4">
        <v>44545</v>
      </c>
      <c r="LA159" s="4">
        <f>DATE(YEAR(KZ159)+5,MONTH(KZ159),DAY(KZ159))</f>
        <v>46371</v>
      </c>
      <c r="LB159" s="8">
        <f ca="1">LA159-TODAY()</f>
        <v>237</v>
      </c>
      <c r="LC159" s="5" t="str">
        <f t="shared" ca="1" si="578"/>
        <v>VIGENTE</v>
      </c>
      <c r="LD159" s="4"/>
      <c r="LE159" s="4"/>
      <c r="LF159" s="4"/>
      <c r="LG159" s="8"/>
      <c r="LH159" s="5" t="str">
        <f t="shared" si="585"/>
        <v>NO APLICA</v>
      </c>
      <c r="LI159" s="5"/>
      <c r="LJ159" s="21">
        <v>44086</v>
      </c>
      <c r="LK159" s="4">
        <f>DATE(YEAR(LJ159)+5,MONTH(LJ159),DAY(LJ159))</f>
        <v>45912</v>
      </c>
      <c r="LL159" s="8">
        <f ca="1">LK159-TODAY()</f>
        <v>-222</v>
      </c>
      <c r="LM159" s="5" t="str">
        <f t="shared" ca="1" si="584"/>
        <v>VENCIDA</v>
      </c>
      <c r="LN159" s="3"/>
      <c r="LO159" s="4">
        <v>44377</v>
      </c>
      <c r="LP159" s="4">
        <f>DATE(YEAR(LO159)+5,MONTH(LO159),DAY(LO159))</f>
        <v>46203</v>
      </c>
      <c r="LQ159" s="8">
        <f ca="1">LP159-TODAY()</f>
        <v>69</v>
      </c>
      <c r="LR159" s="5" t="str">
        <f t="shared" ca="1" si="579"/>
        <v>VIGENTE</v>
      </c>
      <c r="LS159" s="4"/>
      <c r="LT159" s="4">
        <v>44986</v>
      </c>
      <c r="LU159" s="4">
        <f>DATE(YEAR(LT159)+5,MONTH(LT159),DAY(LT159))</f>
        <v>46813</v>
      </c>
      <c r="LV159" s="8">
        <f ca="1">LU159-TODAY()</f>
        <v>679</v>
      </c>
      <c r="LW159" s="5" t="str">
        <f t="shared" ca="1" si="580"/>
        <v>VIGENTE</v>
      </c>
      <c r="LX159" s="4"/>
      <c r="LY159" s="4">
        <v>44988</v>
      </c>
      <c r="LZ159" s="4">
        <f>DATE(YEAR(LY159)+5,MONTH(LY159),DAY(LY159))</f>
        <v>46815</v>
      </c>
      <c r="MA159" s="8">
        <f ca="1">LZ159-TODAY()</f>
        <v>681</v>
      </c>
      <c r="MB159" s="5" t="str">
        <f t="shared" ca="1" si="581"/>
        <v>VIGENTE</v>
      </c>
      <c r="MC159" s="4"/>
      <c r="MD159" s="4">
        <v>45010</v>
      </c>
      <c r="ME159" s="4">
        <f>DATE(YEAR(MD159)+5,MONTH(MD159),DAY(MD159))</f>
        <v>46837</v>
      </c>
      <c r="MF159" s="8">
        <f ca="1">ME159-TODAY()</f>
        <v>703</v>
      </c>
      <c r="MG159" s="5" t="str">
        <f t="shared" ca="1" si="554"/>
        <v>VIGENTE</v>
      </c>
      <c r="MH159" s="2"/>
      <c r="MI159" s="2"/>
      <c r="MJ159" s="4"/>
      <c r="MK159" s="8"/>
      <c r="ML159" s="5" t="str">
        <f t="shared" si="555"/>
        <v>NO APLICA</v>
      </c>
      <c r="MM159" s="5"/>
      <c r="MN159" s="2"/>
      <c r="MO159" s="4"/>
      <c r="MP159" s="8"/>
      <c r="MQ159" s="5" t="str">
        <f t="shared" si="556"/>
        <v>NO APLICA</v>
      </c>
      <c r="MR159" s="5"/>
      <c r="MS159" s="2"/>
      <c r="MT159" s="4"/>
      <c r="MU159" s="2"/>
      <c r="MV159" s="5" t="str">
        <f t="shared" si="557"/>
        <v>NO APLICA</v>
      </c>
      <c r="MW159" s="2"/>
      <c r="MX159" s="6"/>
      <c r="MY159" s="4"/>
      <c r="MZ159" s="8"/>
      <c r="NA159" s="5" t="str">
        <f t="shared" si="558"/>
        <v>NO APLICA</v>
      </c>
      <c r="NB159" s="2"/>
      <c r="NC159" s="6"/>
      <c r="ND159" s="4"/>
      <c r="NE159" s="8"/>
      <c r="NF159" s="5" t="str">
        <f t="shared" si="559"/>
        <v>NO APLICA</v>
      </c>
      <c r="NG159" s="2"/>
      <c r="NH159" s="6"/>
      <c r="NI159" s="4"/>
      <c r="NJ159" s="8"/>
      <c r="NK159" s="5" t="str">
        <f t="shared" si="560"/>
        <v>NO APLICA</v>
      </c>
      <c r="NL159" s="2"/>
      <c r="NM159" s="2"/>
      <c r="NN159" s="4"/>
      <c r="NO159" s="2"/>
      <c r="NP159" s="5" t="str">
        <f t="shared" si="561"/>
        <v>NO APLICA</v>
      </c>
      <c r="NQ159" s="2"/>
      <c r="NR159" s="2"/>
      <c r="NS159" s="2"/>
      <c r="NT159" s="2"/>
      <c r="NU159" s="5" t="str">
        <f t="shared" si="562"/>
        <v>NO APLICA</v>
      </c>
      <c r="NV159" s="6"/>
      <c r="NW159" s="6"/>
      <c r="NX159" s="4"/>
      <c r="NY159" s="8"/>
      <c r="NZ159" s="5" t="str">
        <f t="shared" si="563"/>
        <v>NO APLICA</v>
      </c>
      <c r="OA159" s="6"/>
      <c r="OB159" s="6"/>
      <c r="OC159" s="6"/>
      <c r="OD159" s="6"/>
      <c r="OE159" s="5" t="str">
        <f t="shared" si="564"/>
        <v>NO APLICA</v>
      </c>
      <c r="OF159" s="6"/>
      <c r="OG159" s="6"/>
      <c r="OH159" s="4"/>
      <c r="OI159" s="8"/>
      <c r="OJ159" s="5" t="str">
        <f t="shared" si="565"/>
        <v>NO APLICA</v>
      </c>
      <c r="OK159" s="6"/>
      <c r="OL159" s="6"/>
      <c r="OM159" s="6"/>
      <c r="ON159" s="6"/>
      <c r="OO159" s="5" t="str">
        <f t="shared" si="566"/>
        <v>NO APLICA</v>
      </c>
      <c r="OP159" s="6"/>
      <c r="OQ159" s="6"/>
      <c r="OR159" s="6"/>
      <c r="OS159" s="6"/>
      <c r="OT159" s="5" t="str">
        <f t="shared" si="567"/>
        <v>NO APLICA</v>
      </c>
      <c r="OU159" s="6"/>
      <c r="OV159" s="6"/>
      <c r="OW159" s="6"/>
      <c r="OX159" s="6"/>
      <c r="OY159" s="5" t="str">
        <f t="shared" si="568"/>
        <v>NO APLICA</v>
      </c>
      <c r="OZ159" s="6"/>
      <c r="PA159" s="6"/>
      <c r="PB159" s="6"/>
      <c r="PC159" s="6"/>
      <c r="PD159" s="5" t="str">
        <f t="shared" si="569"/>
        <v>NO APLICA</v>
      </c>
      <c r="PE159" s="6"/>
      <c r="PF159" s="6"/>
      <c r="PG159" s="6"/>
      <c r="PH159" s="6"/>
      <c r="PI159" s="5" t="str">
        <f t="shared" si="570"/>
        <v>NO APLICA</v>
      </c>
      <c r="PJ159" s="5"/>
      <c r="PK159" s="6"/>
      <c r="PL159" s="4"/>
      <c r="PM159" s="8"/>
      <c r="PN159" s="5" t="str">
        <f t="shared" si="571"/>
        <v>NO APLICA</v>
      </c>
      <c r="PO159" s="6"/>
      <c r="PP159" s="6"/>
      <c r="PQ159" s="6"/>
      <c r="PR159" s="6"/>
      <c r="PS159" s="5" t="str">
        <f t="shared" si="572"/>
        <v>NO APLICA</v>
      </c>
      <c r="PT159" s="5"/>
      <c r="PU159" s="6"/>
      <c r="PV159" s="6"/>
      <c r="PW159" s="6"/>
      <c r="PX159" s="5" t="str">
        <f t="shared" si="573"/>
        <v>NO APLICA</v>
      </c>
    </row>
    <row r="160" spans="1:440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521</v>
      </c>
      <c r="V160" s="4">
        <v>45078</v>
      </c>
      <c r="W160" s="4">
        <f t="shared" si="606"/>
        <v>46905</v>
      </c>
      <c r="X160" s="8">
        <f t="shared" ca="1" si="607"/>
        <v>771</v>
      </c>
      <c r="Y160" s="5" t="str">
        <f t="shared" ca="1" si="423"/>
        <v>VIGENTE</v>
      </c>
      <c r="Z160" s="2" t="s">
        <v>522</v>
      </c>
      <c r="AA160" s="4">
        <v>45126</v>
      </c>
      <c r="AB160" s="4">
        <f>DATE(YEAR(AA160)+5,MONTH(AA160),DAY(AA160))</f>
        <v>46953</v>
      </c>
      <c r="AC160" s="8">
        <f ca="1">AB160-TODAY()</f>
        <v>819</v>
      </c>
      <c r="AD160" s="5" t="str">
        <f t="shared" ca="1" si="603"/>
        <v>VIGENTE</v>
      </c>
      <c r="AE160" s="3"/>
      <c r="AF160" s="4">
        <v>45902</v>
      </c>
      <c r="AG160" s="4">
        <f>DATE(YEAR(AF160)+2,MONTH(AF160),DAY(AF160))</f>
        <v>46632</v>
      </c>
      <c r="AH160" s="8">
        <f t="shared" ca="1" si="470"/>
        <v>498</v>
      </c>
      <c r="AI160" s="5" t="str">
        <f t="shared" ca="1" si="419"/>
        <v>VIGENTE</v>
      </c>
      <c r="AJ160" s="3"/>
      <c r="AK160" s="4">
        <v>45937</v>
      </c>
      <c r="AL160" s="4">
        <f>DATE(YEAR(AK160)+2,MONTH(AK160),DAY(AK160))</f>
        <v>46667</v>
      </c>
      <c r="AM160" s="8">
        <f t="shared" ca="1" si="471"/>
        <v>533</v>
      </c>
      <c r="AN160" s="5" t="str">
        <f t="shared" ca="1" si="472"/>
        <v>VIGENTE</v>
      </c>
      <c r="AO160" s="3"/>
      <c r="AP160" s="4">
        <v>45887</v>
      </c>
      <c r="AQ160" s="4">
        <f>DATE(YEAR(AP160)+2,MONTH(AP160),DAY(AP160))</f>
        <v>46617</v>
      </c>
      <c r="AR160" s="8">
        <f t="shared" ca="1" si="473"/>
        <v>483</v>
      </c>
      <c r="AS160" s="5" t="str">
        <f t="shared" ca="1" si="474"/>
        <v>VIGENTE</v>
      </c>
      <c r="AT160" s="3"/>
      <c r="AU160" s="4">
        <v>45927</v>
      </c>
      <c r="AV160" s="4">
        <f>DATE(YEAR(AU160)+2,MONTH(AU160),DAY(AU160))</f>
        <v>46657</v>
      </c>
      <c r="AW160" s="8">
        <f t="shared" ca="1" si="475"/>
        <v>523</v>
      </c>
      <c r="AX160" s="5" t="str">
        <f t="shared" ca="1" si="476"/>
        <v>VIGENTE</v>
      </c>
      <c r="AY160" s="3"/>
      <c r="AZ160" s="4">
        <v>45901</v>
      </c>
      <c r="BA160" s="4">
        <f>DATE(YEAR(AZ160)+2,MONTH(AZ160),DAY(AZ160))</f>
        <v>46631</v>
      </c>
      <c r="BB160" s="8">
        <f t="shared" ca="1" si="477"/>
        <v>497</v>
      </c>
      <c r="BC160" s="5" t="str">
        <f t="shared" ca="1" si="478"/>
        <v>VIGENTE</v>
      </c>
      <c r="BD160" s="3"/>
      <c r="BE160" s="4">
        <v>45997</v>
      </c>
      <c r="BF160" s="4">
        <f>DATE(YEAR(BE160)+2,MONTH(BE160),DAY(BE160))</f>
        <v>46727</v>
      </c>
      <c r="BG160" s="8">
        <f t="shared" ca="1" si="479"/>
        <v>593</v>
      </c>
      <c r="BH160" s="5" t="str">
        <f t="shared" ca="1" si="480"/>
        <v>VIGENTE</v>
      </c>
      <c r="BI160" s="3"/>
      <c r="BJ160" s="4">
        <v>45699</v>
      </c>
      <c r="BK160" s="4">
        <f>DATE(YEAR(BJ160)+2,MONTH(BJ160),DAY(BJ160)-1)</f>
        <v>46428</v>
      </c>
      <c r="BL160" s="8">
        <f t="shared" ca="1" si="481"/>
        <v>294</v>
      </c>
      <c r="BM160" s="5" t="str">
        <f t="shared" ca="1" si="482"/>
        <v>VIGENTE</v>
      </c>
      <c r="BN160" s="3"/>
      <c r="BO160" s="4">
        <v>45701</v>
      </c>
      <c r="BP160" s="4">
        <f>DATE(YEAR(BO160)+2,MONTH(BO160),DAY(BO160)-1)</f>
        <v>46430</v>
      </c>
      <c r="BQ160" s="8">
        <f t="shared" ca="1" si="483"/>
        <v>296</v>
      </c>
      <c r="BR160" s="5" t="str">
        <f t="shared" ca="1" si="484"/>
        <v>VIGENTE</v>
      </c>
      <c r="BS160" s="3"/>
      <c r="BT160" s="4">
        <v>45695</v>
      </c>
      <c r="BU160" s="4">
        <f t="shared" si="604"/>
        <v>46424</v>
      </c>
      <c r="BV160" s="8">
        <f t="shared" ca="1" si="485"/>
        <v>290</v>
      </c>
      <c r="BW160" s="5" t="str">
        <f t="shared" ca="1" si="486"/>
        <v>VIGENTE</v>
      </c>
      <c r="BX160" s="3"/>
      <c r="BY160" s="4">
        <v>45944</v>
      </c>
      <c r="BZ160" s="4">
        <f t="shared" si="608"/>
        <v>46674</v>
      </c>
      <c r="CA160" s="8">
        <f t="shared" ca="1" si="487"/>
        <v>540</v>
      </c>
      <c r="CB160" s="5" t="str">
        <f t="shared" ca="1" si="488"/>
        <v>VIGENTE</v>
      </c>
      <c r="CC160" s="6" t="s">
        <v>73</v>
      </c>
      <c r="CD160" s="4">
        <v>45616</v>
      </c>
      <c r="CE160" s="4">
        <f t="shared" si="609"/>
        <v>47077</v>
      </c>
      <c r="CF160" s="8">
        <f t="shared" ca="1" si="610"/>
        <v>943</v>
      </c>
      <c r="CG160" s="5" t="str">
        <f t="shared" ca="1" si="591"/>
        <v>VIGENTE</v>
      </c>
      <c r="CH160" s="4"/>
      <c r="CI160" s="4">
        <v>45929</v>
      </c>
      <c r="CJ160" s="4">
        <f>DATE(YEAR(CI160)+2,MONTH(CI160),DAY(CI160))</f>
        <v>46659</v>
      </c>
      <c r="CK160" s="8">
        <f t="shared" ca="1" si="489"/>
        <v>525</v>
      </c>
      <c r="CL160" s="5" t="str">
        <f t="shared" ca="1" si="490"/>
        <v>VIGENTE</v>
      </c>
      <c r="CM160" s="3"/>
      <c r="CN160" s="4">
        <v>45684</v>
      </c>
      <c r="CO160" s="4">
        <f t="shared" si="605"/>
        <v>46413</v>
      </c>
      <c r="CP160" s="8">
        <f t="shared" ca="1" si="491"/>
        <v>279</v>
      </c>
      <c r="CQ160" s="5" t="str">
        <f t="shared" ca="1" si="492"/>
        <v>VIGENTE</v>
      </c>
      <c r="CR160" s="3"/>
      <c r="CS160" s="4">
        <v>45905</v>
      </c>
      <c r="CT160" s="4">
        <f>DATE(YEAR(CS160)+2,MONTH(CS160),DAY(CS160))</f>
        <v>46635</v>
      </c>
      <c r="CU160" s="8">
        <f t="shared" ca="1" si="493"/>
        <v>501</v>
      </c>
      <c r="CV160" s="5" t="str">
        <f t="shared" ca="1" si="494"/>
        <v>VIGENTE</v>
      </c>
      <c r="CW160" s="3"/>
      <c r="CX160" s="4">
        <v>45681</v>
      </c>
      <c r="CY160" s="4">
        <f>DATE(YEAR(CX160)+2,MONTH(CX160),DAY(CX160)-1)</f>
        <v>46410</v>
      </c>
      <c r="CZ160" s="8">
        <f t="shared" ca="1" si="495"/>
        <v>276</v>
      </c>
      <c r="DA160" s="5" t="str">
        <f t="shared" ca="1" si="496"/>
        <v>VIGENTE</v>
      </c>
      <c r="DB160" s="3"/>
      <c r="DC160" s="4">
        <v>45896</v>
      </c>
      <c r="DD160" s="4">
        <f>DATE(YEAR(DC160)+2,MONTH(DC160),DAY(DC160))</f>
        <v>46626</v>
      </c>
      <c r="DE160" s="8">
        <f t="shared" ca="1" si="497"/>
        <v>492</v>
      </c>
      <c r="DF160" s="5" t="str">
        <f t="shared" ca="1" si="498"/>
        <v>VIGENTE</v>
      </c>
      <c r="DG160" s="3"/>
      <c r="DH160" s="4">
        <v>45899</v>
      </c>
      <c r="DI160" s="4">
        <f>DATE(YEAR(DH160)+2,MONTH(DH160),DAY(DH160))</f>
        <v>46629</v>
      </c>
      <c r="DJ160" s="8">
        <f t="shared" ca="1" si="499"/>
        <v>495</v>
      </c>
      <c r="DK160" s="5" t="str">
        <f t="shared" ca="1" si="500"/>
        <v>VIGENTE</v>
      </c>
      <c r="DL160" s="3"/>
      <c r="DM160" s="4">
        <v>45731</v>
      </c>
      <c r="DN160" s="4">
        <f>DATE(YEAR(DM160)+2,MONTH(DM160),DAY(DM160)-1)</f>
        <v>46460</v>
      </c>
      <c r="DO160" s="8">
        <f t="shared" ca="1" si="501"/>
        <v>326</v>
      </c>
      <c r="DP160" s="5" t="str">
        <f t="shared" ca="1" si="502"/>
        <v>VIGENTE</v>
      </c>
      <c r="DQ160" s="3"/>
      <c r="DR160" s="4">
        <v>45885</v>
      </c>
      <c r="DS160" s="4">
        <f>DATE(YEAR(DR160)+2,MONTH(DR160),DAY(DR160))</f>
        <v>46615</v>
      </c>
      <c r="DT160" s="8">
        <f t="shared" ca="1" si="503"/>
        <v>481</v>
      </c>
      <c r="DU160" s="5" t="str">
        <f t="shared" ca="1" si="504"/>
        <v>VIGENTE</v>
      </c>
      <c r="DV160" s="3"/>
      <c r="DW160" s="4">
        <v>45934</v>
      </c>
      <c r="DX160" s="4">
        <f>DATE(YEAR(DW160)+2,MONTH(DW160),DAY(DW160))</f>
        <v>46664</v>
      </c>
      <c r="DY160" s="8">
        <f t="shared" ca="1" si="505"/>
        <v>530</v>
      </c>
      <c r="DZ160" s="5" t="str">
        <f t="shared" ca="1" si="506"/>
        <v>VIGENTE</v>
      </c>
      <c r="EA160" s="3"/>
      <c r="EB160" s="4">
        <v>45913</v>
      </c>
      <c r="EC160" s="4">
        <f>DATE(YEAR(EB160)+2,MONTH(EB160),DAY(EB160))</f>
        <v>46643</v>
      </c>
      <c r="ED160" s="8">
        <f t="shared" ca="1" si="507"/>
        <v>509</v>
      </c>
      <c r="EE160" s="5" t="str">
        <f t="shared" ca="1" si="508"/>
        <v>VIGENTE</v>
      </c>
      <c r="EF160" s="3"/>
      <c r="EG160" s="3">
        <v>45911</v>
      </c>
      <c r="EH160" s="4">
        <f t="shared" si="575"/>
        <v>46276</v>
      </c>
      <c r="EI160" s="8">
        <f t="shared" ca="1" si="509"/>
        <v>142</v>
      </c>
      <c r="EJ160" s="5" t="str">
        <f t="shared" ca="1" si="510"/>
        <v>VIGENTE</v>
      </c>
      <c r="EK160" s="3"/>
      <c r="EL160" s="4">
        <v>45940</v>
      </c>
      <c r="EM160" s="4">
        <f>DATE(YEAR(EL160)+2,MONTH(EL160),DAY(EL160))</f>
        <v>46670</v>
      </c>
      <c r="EN160" s="8">
        <f t="shared" ca="1" si="511"/>
        <v>536</v>
      </c>
      <c r="EO160" s="5" t="str">
        <f t="shared" ca="1" si="512"/>
        <v>VIGENTE</v>
      </c>
      <c r="EP160" s="3"/>
      <c r="EQ160" s="4">
        <v>45922</v>
      </c>
      <c r="ER160" s="4">
        <f>DATE(YEAR(EQ160)+2,MONTH(EQ160),DAY(EQ160))</f>
        <v>46652</v>
      </c>
      <c r="ES160" s="8">
        <f t="shared" ca="1" si="513"/>
        <v>518</v>
      </c>
      <c r="ET160" s="5" t="str">
        <f t="shared" ca="1" si="514"/>
        <v>VIGENTE</v>
      </c>
      <c r="EU160" s="3"/>
      <c r="EV160" s="4">
        <v>45917</v>
      </c>
      <c r="EW160" s="4">
        <f t="shared" si="611"/>
        <v>46647</v>
      </c>
      <c r="EX160" s="8">
        <f t="shared" ca="1" si="515"/>
        <v>513</v>
      </c>
      <c r="EY160" s="5" t="str">
        <f t="shared" ca="1" si="516"/>
        <v>VIGENTE</v>
      </c>
      <c r="EZ160" s="3"/>
      <c r="FA160" s="4">
        <v>45931</v>
      </c>
      <c r="FB160" s="4">
        <f t="shared" si="612"/>
        <v>46661</v>
      </c>
      <c r="FC160" s="8">
        <f t="shared" ca="1" si="517"/>
        <v>527</v>
      </c>
      <c r="FD160" s="5" t="str">
        <f t="shared" ca="1" si="518"/>
        <v>VIGENTE</v>
      </c>
      <c r="FE160" s="3"/>
      <c r="FF160" s="4">
        <v>45919</v>
      </c>
      <c r="FG160" s="4">
        <f t="shared" si="613"/>
        <v>46649</v>
      </c>
      <c r="FH160" s="8">
        <f t="shared" ca="1" si="519"/>
        <v>515</v>
      </c>
      <c r="FI160" s="5" t="str">
        <f t="shared" ca="1" si="520"/>
        <v>VIGENTE</v>
      </c>
      <c r="FJ160" s="3"/>
      <c r="FK160" s="4">
        <v>45933</v>
      </c>
      <c r="FL160" s="4">
        <f>DATE(YEAR(FK160)+2,MONTH(FK160),DAY(FK160))</f>
        <v>46663</v>
      </c>
      <c r="FM160" s="8">
        <f t="shared" ca="1" si="521"/>
        <v>529</v>
      </c>
      <c r="FN160" s="5" t="str">
        <f t="shared" ca="1" si="522"/>
        <v>VIGENTE</v>
      </c>
      <c r="FO160" s="3"/>
      <c r="FP160" s="4">
        <v>45957</v>
      </c>
      <c r="FQ160" s="4">
        <f>DATE(YEAR(FP160)+2,MONTH(FP160),DAY(FP160))</f>
        <v>46687</v>
      </c>
      <c r="FR160" s="8">
        <f t="shared" ca="1" si="523"/>
        <v>553</v>
      </c>
      <c r="FS160" s="5" t="str">
        <f t="shared" ca="1" si="524"/>
        <v>VIGENTE</v>
      </c>
      <c r="FT160" s="3"/>
      <c r="FU160" s="4">
        <v>45941</v>
      </c>
      <c r="FV160" s="4">
        <f>DATE(YEAR(FU160)+2,MONTH(FU160),DAY(FU160))</f>
        <v>46671</v>
      </c>
      <c r="FW160" s="8">
        <f t="shared" ca="1" si="525"/>
        <v>537</v>
      </c>
      <c r="FX160" s="5" t="str">
        <f t="shared" ca="1" si="526"/>
        <v>VIGENTE</v>
      </c>
      <c r="FY160" s="3"/>
      <c r="FZ160" s="4">
        <v>45925</v>
      </c>
      <c r="GA160" s="4">
        <f>DATE(YEAR(FZ160)+2,MONTH(FZ160),DAY(FZ160))</f>
        <v>46655</v>
      </c>
      <c r="GB160" s="8">
        <f t="shared" ca="1" si="527"/>
        <v>521</v>
      </c>
      <c r="GC160" s="5" t="str">
        <f t="shared" ca="1" si="528"/>
        <v>VIGENTE</v>
      </c>
      <c r="GD160" s="3"/>
      <c r="GE160" s="4">
        <v>45912</v>
      </c>
      <c r="GF160" s="4">
        <f>DATE(YEAR(GE160)+2,MONTH(GE160),DAY(GE160))</f>
        <v>46642</v>
      </c>
      <c r="GG160" s="8">
        <f t="shared" ca="1" si="529"/>
        <v>508</v>
      </c>
      <c r="GH160" s="5" t="str">
        <f t="shared" ca="1" si="530"/>
        <v>VIGENTE</v>
      </c>
      <c r="GI160" s="3"/>
      <c r="GJ160" s="4">
        <v>45687</v>
      </c>
      <c r="GK160" s="4">
        <f>DATE(YEAR(GJ160)+2,MONTH(GJ160),DAY(GJ160)-1)</f>
        <v>46416</v>
      </c>
      <c r="GL160" s="8">
        <f t="shared" ca="1" si="531"/>
        <v>282</v>
      </c>
      <c r="GM160" s="5" t="str">
        <f t="shared" ca="1" si="532"/>
        <v>VIGENTE</v>
      </c>
      <c r="GN160" s="4"/>
      <c r="GO160" s="4">
        <v>45017</v>
      </c>
      <c r="GP160" s="4">
        <f t="shared" si="533"/>
        <v>46844</v>
      </c>
      <c r="GQ160" s="8">
        <f t="shared" ca="1" si="418"/>
        <v>710</v>
      </c>
      <c r="GR160" s="5" t="str">
        <f t="shared" ca="1" si="431"/>
        <v>VIGENTE</v>
      </c>
      <c r="GS160" s="3"/>
      <c r="GT160" s="4">
        <v>45010</v>
      </c>
      <c r="GU160" s="4">
        <f t="shared" si="534"/>
        <v>46837</v>
      </c>
      <c r="GV160" s="8">
        <f t="shared" ca="1" si="535"/>
        <v>703</v>
      </c>
      <c r="GW160" s="5" t="str">
        <f t="shared" ca="1" si="438"/>
        <v>VIGENTE</v>
      </c>
      <c r="GX160" s="3"/>
      <c r="GY160" s="4">
        <v>45268</v>
      </c>
      <c r="GZ160" s="4">
        <f t="shared" si="536"/>
        <v>47095</v>
      </c>
      <c r="HA160" s="8">
        <f t="shared" ca="1" si="537"/>
        <v>961</v>
      </c>
      <c r="HB160" s="5" t="str">
        <f t="shared" ca="1" si="433"/>
        <v>VIGENTE</v>
      </c>
      <c r="HC160" s="6"/>
      <c r="HD160" s="4">
        <v>45094</v>
      </c>
      <c r="HE160" s="4">
        <f t="shared" si="601"/>
        <v>46921</v>
      </c>
      <c r="HF160" s="8">
        <f t="shared" ca="1" si="602"/>
        <v>787</v>
      </c>
      <c r="HG160" s="5" t="str">
        <f t="shared" ca="1" si="439"/>
        <v>VIGENTE</v>
      </c>
      <c r="HH160" s="2"/>
      <c r="HI160" s="6"/>
      <c r="HJ160" s="4"/>
      <c r="HK160" s="8"/>
      <c r="HL160" s="5" t="str">
        <f t="shared" si="457"/>
        <v>NO APLICA</v>
      </c>
      <c r="HM160" s="2"/>
      <c r="HN160" s="2"/>
      <c r="HO160" s="4"/>
      <c r="HP160" s="2"/>
      <c r="HQ160" s="5" t="str">
        <f t="shared" si="538"/>
        <v>NO APLICA</v>
      </c>
      <c r="HR160" s="2"/>
      <c r="HS160" s="6"/>
      <c r="HT160" s="4"/>
      <c r="HU160" s="8"/>
      <c r="HV160" s="5" t="str">
        <f t="shared" si="539"/>
        <v>NO APLICA</v>
      </c>
      <c r="HW160" s="2"/>
      <c r="HX160" s="6"/>
      <c r="HY160" s="4"/>
      <c r="HZ160" s="8"/>
      <c r="IA160" s="5" t="str">
        <f t="shared" si="540"/>
        <v>NO APLICA</v>
      </c>
      <c r="IB160" s="2"/>
      <c r="IC160" s="6"/>
      <c r="ID160" s="4"/>
      <c r="IE160" s="8"/>
      <c r="IF160" s="5" t="str">
        <f t="shared" si="541"/>
        <v>NO APLICA</v>
      </c>
      <c r="IG160" s="6"/>
      <c r="IH160" s="6"/>
      <c r="II160" s="4"/>
      <c r="IJ160" s="8"/>
      <c r="IK160" s="5" t="str">
        <f t="shared" si="542"/>
        <v>NO APLICA</v>
      </c>
      <c r="IL160" s="2"/>
      <c r="IM160" s="6"/>
      <c r="IN160" s="4"/>
      <c r="IO160" s="8"/>
      <c r="IP160" s="5" t="str">
        <f t="shared" si="543"/>
        <v>NO APLICA</v>
      </c>
      <c r="IQ160" s="2"/>
      <c r="IR160" s="6"/>
      <c r="IS160" s="4"/>
      <c r="IT160" s="8"/>
      <c r="IU160" s="5" t="str">
        <f t="shared" si="544"/>
        <v>NO APLICA</v>
      </c>
      <c r="IV160" s="2"/>
      <c r="IW160" s="6"/>
      <c r="IX160" s="4"/>
      <c r="IY160" s="8"/>
      <c r="IZ160" s="5" t="str">
        <f t="shared" si="545"/>
        <v>NO APLICA</v>
      </c>
      <c r="JA160" s="3"/>
      <c r="JB160" s="3"/>
      <c r="JC160" s="4"/>
      <c r="JD160" s="8"/>
      <c r="JE160" s="5" t="str">
        <f t="shared" si="546"/>
        <v>NO APLICA</v>
      </c>
      <c r="JF160" s="6"/>
      <c r="JG160" s="6"/>
      <c r="JH160" s="6"/>
      <c r="JI160" s="6"/>
      <c r="JJ160" s="5" t="str">
        <f t="shared" si="547"/>
        <v>NO APLICA</v>
      </c>
      <c r="JK160" s="6"/>
      <c r="JL160" s="6"/>
      <c r="JM160" s="6"/>
      <c r="JN160" s="6"/>
      <c r="JO160" s="5" t="str">
        <f t="shared" si="548"/>
        <v>NO APLICA</v>
      </c>
      <c r="JP160" s="6"/>
      <c r="JQ160" s="6"/>
      <c r="JR160" s="6"/>
      <c r="JS160" s="6"/>
      <c r="JT160" s="5" t="str">
        <f t="shared" si="549"/>
        <v>NO APLICA</v>
      </c>
      <c r="JU160" s="5"/>
      <c r="JV160" s="5"/>
      <c r="JW160" s="5"/>
      <c r="JX160" s="5"/>
      <c r="JY160" s="5" t="str">
        <f t="shared" si="550"/>
        <v>NO APLICA</v>
      </c>
      <c r="JZ160" s="5"/>
      <c r="KA160" s="3">
        <v>45362</v>
      </c>
      <c r="KB160" s="4">
        <f>DATE(YEAR(KA160)+5,MONTH(KA160),DAY(KA160))</f>
        <v>47188</v>
      </c>
      <c r="KC160" s="8">
        <f ca="1">KB160-TODAY()</f>
        <v>1054</v>
      </c>
      <c r="KD160" s="5" t="str">
        <f t="shared" ca="1" si="551"/>
        <v>VIGENTE</v>
      </c>
      <c r="KE160" s="5"/>
      <c r="KF160" s="2"/>
      <c r="KG160" s="4"/>
      <c r="KH160" s="8"/>
      <c r="KI160" s="5" t="str">
        <f t="shared" si="576"/>
        <v>NO APLICA</v>
      </c>
      <c r="KJ160" s="5"/>
      <c r="KK160" s="2"/>
      <c r="KL160" s="4"/>
      <c r="KM160" s="8"/>
      <c r="KN160" s="5" t="str">
        <f t="shared" si="552"/>
        <v>NO APLICA</v>
      </c>
      <c r="KO160" s="5"/>
      <c r="KP160" s="3">
        <v>45346</v>
      </c>
      <c r="KQ160" s="4">
        <f>DATE(YEAR(KP160)+5,MONTH(KP160),DAY(KP160))</f>
        <v>47173</v>
      </c>
      <c r="KR160" s="8">
        <f ca="1">KQ160-TODAY()</f>
        <v>1039</v>
      </c>
      <c r="KS160" s="5" t="str">
        <f t="shared" ca="1" si="577"/>
        <v>VIGENTE</v>
      </c>
      <c r="KT160" s="2"/>
      <c r="KU160" s="6"/>
      <c r="KV160" s="4"/>
      <c r="KW160" s="8"/>
      <c r="KX160" s="5" t="str">
        <f t="shared" si="583"/>
        <v>NO APLICA</v>
      </c>
      <c r="KY160" s="5"/>
      <c r="KZ160" s="4">
        <v>44608</v>
      </c>
      <c r="LA160" s="4">
        <f>DATE(YEAR(KZ160)+5,MONTH(KZ160),DAY(KZ160))</f>
        <v>46434</v>
      </c>
      <c r="LB160" s="8">
        <f ca="1">LA160-TODAY()</f>
        <v>300</v>
      </c>
      <c r="LC160" s="5" t="str">
        <f t="shared" ca="1" si="578"/>
        <v>VIGENTE</v>
      </c>
      <c r="LD160" s="6"/>
      <c r="LE160" s="6"/>
      <c r="LF160" s="4"/>
      <c r="LG160" s="8"/>
      <c r="LH160" s="5" t="str">
        <f t="shared" si="585"/>
        <v>NO APLICA</v>
      </c>
      <c r="LI160" s="5"/>
      <c r="LJ160" s="5"/>
      <c r="LK160" s="4"/>
      <c r="LL160" s="8"/>
      <c r="LM160" s="5" t="str">
        <f t="shared" si="584"/>
        <v>NO APLICA</v>
      </c>
      <c r="LN160" s="3"/>
      <c r="LO160" s="4">
        <v>44377</v>
      </c>
      <c r="LP160" s="4">
        <f>DATE(YEAR(LO160)+5,MONTH(LO160),DAY(LO160))</f>
        <v>46203</v>
      </c>
      <c r="LQ160" s="8">
        <f ca="1">LP160-TODAY()</f>
        <v>69</v>
      </c>
      <c r="LR160" s="5" t="str">
        <f t="shared" ca="1" si="579"/>
        <v>VIGENTE</v>
      </c>
      <c r="LS160" s="6"/>
      <c r="LT160" s="6"/>
      <c r="LU160" s="4"/>
      <c r="LV160" s="8"/>
      <c r="LW160" s="5" t="str">
        <f t="shared" si="580"/>
        <v>NO APLICA</v>
      </c>
      <c r="LX160" s="6"/>
      <c r="LY160" s="6"/>
      <c r="LZ160" s="4"/>
      <c r="MA160" s="8"/>
      <c r="MB160" s="5" t="str">
        <f t="shared" si="581"/>
        <v>NO APLICA</v>
      </c>
      <c r="MC160" s="2"/>
      <c r="MD160" s="2"/>
      <c r="ME160" s="4"/>
      <c r="MF160" s="8"/>
      <c r="MG160" s="5" t="str">
        <f t="shared" si="554"/>
        <v>NO APLICA</v>
      </c>
      <c r="MH160" s="2"/>
      <c r="MI160" s="2"/>
      <c r="MJ160" s="4"/>
      <c r="MK160" s="8"/>
      <c r="ML160" s="5" t="str">
        <f t="shared" si="555"/>
        <v>NO APLICA</v>
      </c>
      <c r="MM160" s="5"/>
      <c r="MN160" s="2"/>
      <c r="MO160" s="4"/>
      <c r="MP160" s="8"/>
      <c r="MQ160" s="5" t="str">
        <f t="shared" si="556"/>
        <v>NO APLICA</v>
      </c>
      <c r="MR160" s="5"/>
      <c r="MS160" s="2"/>
      <c r="MT160" s="4"/>
      <c r="MU160" s="2"/>
      <c r="MV160" s="5" t="str">
        <f t="shared" si="557"/>
        <v>NO APLICA</v>
      </c>
      <c r="MW160" s="2"/>
      <c r="MX160" s="4">
        <v>44834</v>
      </c>
      <c r="MY160" s="4">
        <f>DATE(YEAR(MX160)+5,MONTH(MX160),DAY(MX160))</f>
        <v>46660</v>
      </c>
      <c r="MZ160" s="8">
        <f ca="1">MY160-TODAY()</f>
        <v>526</v>
      </c>
      <c r="NA160" s="5" t="str">
        <f t="shared" ca="1" si="558"/>
        <v>VIGENTE</v>
      </c>
      <c r="NB160" s="2"/>
      <c r="NC160" s="4">
        <v>44835</v>
      </c>
      <c r="ND160" s="4">
        <f>DATE(YEAR(NC160)+5,MONTH(NC160),DAY(NC160))</f>
        <v>46661</v>
      </c>
      <c r="NE160" s="8">
        <f ca="1">ND160-TODAY()</f>
        <v>527</v>
      </c>
      <c r="NF160" s="5" t="str">
        <f t="shared" ca="1" si="559"/>
        <v>VIGENTE</v>
      </c>
      <c r="NG160" s="2"/>
      <c r="NH160" s="4">
        <v>44751</v>
      </c>
      <c r="NI160" s="4">
        <f>DATE(YEAR(NH160)+5,MONTH(NH160),DAY(NH160))</f>
        <v>46577</v>
      </c>
      <c r="NJ160" s="8">
        <f ca="1">NI160-TODAY()</f>
        <v>443</v>
      </c>
      <c r="NK160" s="5" t="str">
        <f t="shared" ca="1" si="560"/>
        <v>VIGENTE</v>
      </c>
      <c r="NL160" s="4"/>
      <c r="NM160" s="4">
        <v>45002</v>
      </c>
      <c r="NN160" s="4">
        <f>DATE(YEAR(NM160)+5,MONTH(NM160),DAY(NM160))</f>
        <v>46829</v>
      </c>
      <c r="NO160" s="8">
        <f ca="1">NN160-TODAY()</f>
        <v>695</v>
      </c>
      <c r="NP160" s="5" t="str">
        <f t="shared" ca="1" si="561"/>
        <v>VIGENTE</v>
      </c>
      <c r="NQ160" s="4"/>
      <c r="NR160" s="4">
        <v>45103</v>
      </c>
      <c r="NS160" s="4">
        <f>DATE(YEAR(NR160)+5,MONTH(NR160),DAY(NR160))</f>
        <v>46930</v>
      </c>
      <c r="NT160" s="8">
        <f ca="1">NS160-TODAY()</f>
        <v>796</v>
      </c>
      <c r="NU160" s="5" t="str">
        <f t="shared" ca="1" si="562"/>
        <v>VIGENTE</v>
      </c>
      <c r="NV160" s="6"/>
      <c r="NW160" s="6"/>
      <c r="NX160" s="4"/>
      <c r="NY160" s="8"/>
      <c r="NZ160" s="5" t="str">
        <f t="shared" si="563"/>
        <v>NO APLICA</v>
      </c>
      <c r="OA160" s="6"/>
      <c r="OB160" s="6"/>
      <c r="OC160" s="6"/>
      <c r="OD160" s="6"/>
      <c r="OE160" s="5" t="str">
        <f t="shared" si="564"/>
        <v>NO APLICA</v>
      </c>
      <c r="OF160" s="2"/>
      <c r="OG160" s="2"/>
      <c r="OH160" s="4"/>
      <c r="OI160" s="8"/>
      <c r="OJ160" s="5" t="str">
        <f t="shared" si="565"/>
        <v>NO APLICA</v>
      </c>
      <c r="OK160" s="6"/>
      <c r="OL160" s="6"/>
      <c r="OM160" s="6"/>
      <c r="ON160" s="6"/>
      <c r="OO160" s="5" t="str">
        <f t="shared" si="566"/>
        <v>NO APLICA</v>
      </c>
      <c r="OP160" s="6"/>
      <c r="OQ160" s="6"/>
      <c r="OR160" s="6"/>
      <c r="OS160" s="6"/>
      <c r="OT160" s="5" t="str">
        <f t="shared" si="567"/>
        <v>NO APLICA</v>
      </c>
      <c r="OU160" s="4"/>
      <c r="OV160" s="4">
        <v>44770</v>
      </c>
      <c r="OW160" s="4">
        <f>DATE(YEAR(OV160)+5,MONTH(OV160),DAY(OV160))</f>
        <v>46596</v>
      </c>
      <c r="OX160" s="8">
        <f ca="1">OW160-TODAY()</f>
        <v>462</v>
      </c>
      <c r="OY160" s="5" t="str">
        <f t="shared" ca="1" si="568"/>
        <v>VIGENTE</v>
      </c>
      <c r="OZ160" s="6"/>
      <c r="PA160" s="6"/>
      <c r="PB160" s="6"/>
      <c r="PC160" s="6"/>
      <c r="PD160" s="5" t="str">
        <f t="shared" si="569"/>
        <v>NO APLICA</v>
      </c>
      <c r="PE160" s="6"/>
      <c r="PF160" s="6"/>
      <c r="PG160" s="6"/>
      <c r="PH160" s="6"/>
      <c r="PI160" s="5" t="str">
        <f t="shared" si="570"/>
        <v>NO APLICA</v>
      </c>
      <c r="PJ160" s="5"/>
      <c r="PK160" s="4">
        <v>44627</v>
      </c>
      <c r="PL160" s="4">
        <f>DATE(YEAR(PK160)+5,MONTH(PK160),DAY(PK160))</f>
        <v>46453</v>
      </c>
      <c r="PM160" s="8">
        <f ca="1">PL160-TODAY()</f>
        <v>319</v>
      </c>
      <c r="PN160" s="5" t="str">
        <f t="shared" ca="1" si="571"/>
        <v>VIGENTE</v>
      </c>
      <c r="PO160" s="6"/>
      <c r="PP160" s="6"/>
      <c r="PQ160" s="6"/>
      <c r="PR160" s="6"/>
      <c r="PS160" s="5" t="str">
        <f t="shared" si="572"/>
        <v>NO APLICA</v>
      </c>
      <c r="PT160" s="5"/>
      <c r="PU160" s="6"/>
      <c r="PV160" s="6"/>
      <c r="PW160" s="6"/>
      <c r="PX160" s="5" t="str">
        <f t="shared" si="573"/>
        <v>NO APLICA</v>
      </c>
    </row>
    <row r="161" spans="1:440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524</v>
      </c>
      <c r="V161" s="4">
        <v>44829</v>
      </c>
      <c r="W161" s="4">
        <f t="shared" si="606"/>
        <v>46655</v>
      </c>
      <c r="X161" s="8">
        <f t="shared" ca="1" si="607"/>
        <v>521</v>
      </c>
      <c r="Y161" s="5" t="str">
        <f t="shared" ca="1" si="423"/>
        <v>VIGENTE</v>
      </c>
      <c r="Z161" s="2" t="s">
        <v>525</v>
      </c>
      <c r="AA161" s="4">
        <v>44831</v>
      </c>
      <c r="AB161" s="4">
        <f>DATE(YEAR(AA161)+5,MONTH(AA161),DAY(AA161))</f>
        <v>46657</v>
      </c>
      <c r="AC161" s="8">
        <f ca="1">AB161-TODAY()</f>
        <v>523</v>
      </c>
      <c r="AD161" s="5" t="str">
        <f t="shared" ca="1" si="603"/>
        <v>VIGENTE</v>
      </c>
      <c r="AE161" s="3"/>
      <c r="AF161" s="3">
        <v>45589</v>
      </c>
      <c r="AG161" s="4">
        <f>DATE(YEAR(AF161)+2,MONTH(AF161),DAY(AF161)-1)</f>
        <v>46318</v>
      </c>
      <c r="AH161" s="8">
        <f t="shared" ca="1" si="470"/>
        <v>184</v>
      </c>
      <c r="AI161" s="5" t="str">
        <f t="shared" ca="1" si="419"/>
        <v>VIGENTE</v>
      </c>
      <c r="AJ161" s="3"/>
      <c r="AK161" s="4">
        <v>45980</v>
      </c>
      <c r="AL161" s="4">
        <f>DATE(YEAR(AK161)+2,MONTH(AK161),DAY(AK161))</f>
        <v>46710</v>
      </c>
      <c r="AM161" s="8">
        <f t="shared" ca="1" si="471"/>
        <v>576</v>
      </c>
      <c r="AN161" s="5" t="str">
        <f t="shared" ca="1" si="472"/>
        <v>VIGENTE</v>
      </c>
      <c r="AO161" s="3"/>
      <c r="AP161" s="4">
        <v>45904</v>
      </c>
      <c r="AQ161" s="4">
        <f>DATE(YEAR(AP161)+2,MONTH(AP161),DAY(AP161))</f>
        <v>46634</v>
      </c>
      <c r="AR161" s="8">
        <f t="shared" ca="1" si="473"/>
        <v>500</v>
      </c>
      <c r="AS161" s="5" t="str">
        <f t="shared" ca="1" si="474"/>
        <v>VIGENTE</v>
      </c>
      <c r="AT161" s="3"/>
      <c r="AU161" s="4">
        <v>46070</v>
      </c>
      <c r="AV161" s="4">
        <f>DATE(YEAR(AU161)+2,MONTH(AU161),DAY(AU161))</f>
        <v>46800</v>
      </c>
      <c r="AW161" s="8">
        <f t="shared" ca="1" si="475"/>
        <v>666</v>
      </c>
      <c r="AX161" s="5" t="str">
        <f t="shared" ca="1" si="476"/>
        <v>VIGENTE</v>
      </c>
      <c r="AY161" s="3"/>
      <c r="AZ161" s="4">
        <v>45717</v>
      </c>
      <c r="BA161" s="4">
        <f>DATE(YEAR(AZ161)+2,MONTH(AZ161),DAY(AZ161)-1)</f>
        <v>46446</v>
      </c>
      <c r="BB161" s="8">
        <f t="shared" ca="1" si="477"/>
        <v>312</v>
      </c>
      <c r="BC161" s="5" t="str">
        <f t="shared" ca="1" si="478"/>
        <v>VIGENTE</v>
      </c>
      <c r="BD161" s="3"/>
      <c r="BE161" s="4">
        <v>45968</v>
      </c>
      <c r="BF161" s="4">
        <f>DATE(YEAR(BE161)+2,MONTH(BE161),DAY(BE161))</f>
        <v>46698</v>
      </c>
      <c r="BG161" s="8">
        <f t="shared" ca="1" si="479"/>
        <v>564</v>
      </c>
      <c r="BH161" s="5" t="str">
        <f t="shared" ca="1" si="480"/>
        <v>VIGENTE</v>
      </c>
      <c r="BI161" s="3"/>
      <c r="BJ161" s="4">
        <v>46035</v>
      </c>
      <c r="BK161" s="4">
        <f>DATE(YEAR(BJ161)+2,MONTH(BJ161),DAY(BJ161))</f>
        <v>46765</v>
      </c>
      <c r="BL161" s="8">
        <f t="shared" ca="1" si="481"/>
        <v>631</v>
      </c>
      <c r="BM161" s="5" t="str">
        <f t="shared" ca="1" si="482"/>
        <v>VIGENTE</v>
      </c>
      <c r="BN161" s="3"/>
      <c r="BO161" s="4">
        <v>46069</v>
      </c>
      <c r="BP161" s="4">
        <f>DATE(YEAR(BO161)+2,MONTH(BO161),DAY(BO161))</f>
        <v>46799</v>
      </c>
      <c r="BQ161" s="8">
        <f t="shared" ca="1" si="483"/>
        <v>665</v>
      </c>
      <c r="BR161" s="5" t="str">
        <f t="shared" ca="1" si="484"/>
        <v>VIGENTE</v>
      </c>
      <c r="BS161" s="3"/>
      <c r="BT161" s="4">
        <v>45449</v>
      </c>
      <c r="BU161" s="4">
        <f t="shared" si="604"/>
        <v>46178</v>
      </c>
      <c r="BV161" s="8">
        <f t="shared" ca="1" si="485"/>
        <v>44</v>
      </c>
      <c r="BW161" s="5" t="str">
        <f t="shared" ca="1" si="486"/>
        <v>POR VENCER</v>
      </c>
      <c r="BX161" s="3"/>
      <c r="BY161" s="4">
        <v>45954</v>
      </c>
      <c r="BZ161" s="4">
        <f t="shared" si="608"/>
        <v>46684</v>
      </c>
      <c r="CA161" s="8">
        <f t="shared" ca="1" si="487"/>
        <v>550</v>
      </c>
      <c r="CB161" s="5" t="str">
        <f t="shared" ca="1" si="488"/>
        <v>VIGENTE</v>
      </c>
      <c r="CC161" s="6" t="s">
        <v>73</v>
      </c>
      <c r="CD161" s="4">
        <v>45262</v>
      </c>
      <c r="CE161" s="4">
        <f t="shared" si="609"/>
        <v>46723</v>
      </c>
      <c r="CF161" s="8">
        <f t="shared" ca="1" si="610"/>
        <v>589</v>
      </c>
      <c r="CG161" s="5" t="str">
        <f t="shared" ca="1" si="591"/>
        <v>VIGENTE</v>
      </c>
      <c r="CH161" s="4"/>
      <c r="CI161" s="4">
        <v>45500</v>
      </c>
      <c r="CJ161" s="4">
        <f>DATE(YEAR(CI161)+2,MONTH(CI161),DAY(CI161)-1)</f>
        <v>46229</v>
      </c>
      <c r="CK161" s="8">
        <f t="shared" ca="1" si="489"/>
        <v>95</v>
      </c>
      <c r="CL161" s="5" t="str">
        <f t="shared" ca="1" si="490"/>
        <v>VIGENTE</v>
      </c>
      <c r="CM161" s="3"/>
      <c r="CN161" s="4">
        <v>45517</v>
      </c>
      <c r="CO161" s="4">
        <f t="shared" si="605"/>
        <v>46246</v>
      </c>
      <c r="CP161" s="8">
        <f t="shared" ca="1" si="491"/>
        <v>112</v>
      </c>
      <c r="CQ161" s="5" t="str">
        <f t="shared" ca="1" si="492"/>
        <v>VIGENTE</v>
      </c>
      <c r="CR161" s="3"/>
      <c r="CS161" s="4">
        <v>45631</v>
      </c>
      <c r="CT161" s="4">
        <f>DATE(YEAR(CS161)+2,MONTH(CS161),DAY(CS161)-1)</f>
        <v>46360</v>
      </c>
      <c r="CU161" s="8">
        <f t="shared" ca="1" si="493"/>
        <v>226</v>
      </c>
      <c r="CV161" s="5" t="str">
        <f t="shared" ca="1" si="494"/>
        <v>VIGENTE</v>
      </c>
      <c r="CW161" s="3"/>
      <c r="CX161" s="4">
        <v>45665</v>
      </c>
      <c r="CY161" s="4">
        <f>DATE(YEAR(CX161)+2,MONTH(CX161),DAY(CX161)-1)</f>
        <v>46394</v>
      </c>
      <c r="CZ161" s="8">
        <f t="shared" ca="1" si="495"/>
        <v>260</v>
      </c>
      <c r="DA161" s="5" t="str">
        <f t="shared" ca="1" si="496"/>
        <v>VIGENTE</v>
      </c>
      <c r="DB161" s="3"/>
      <c r="DC161" s="4">
        <v>45689</v>
      </c>
      <c r="DD161" s="4">
        <f>DATE(YEAR(DC161)+2,MONTH(DC161),DAY(DC161)-1)</f>
        <v>46418</v>
      </c>
      <c r="DE161" s="8">
        <f t="shared" ca="1" si="497"/>
        <v>284</v>
      </c>
      <c r="DF161" s="5" t="str">
        <f t="shared" ca="1" si="498"/>
        <v>VIGENTE</v>
      </c>
      <c r="DG161" s="3"/>
      <c r="DH161" s="4">
        <v>45734</v>
      </c>
      <c r="DI161" s="4">
        <f>DATE(YEAR(DH161)+2,MONTH(DH161),DAY(DH161)-1)</f>
        <v>46463</v>
      </c>
      <c r="DJ161" s="8">
        <f t="shared" ca="1" si="499"/>
        <v>329</v>
      </c>
      <c r="DK161" s="5" t="str">
        <f t="shared" ca="1" si="500"/>
        <v>VIGENTE</v>
      </c>
      <c r="DL161" s="3"/>
      <c r="DM161" s="4">
        <v>45982</v>
      </c>
      <c r="DN161" s="4">
        <f>DATE(YEAR(DM161)+2,MONTH(DM161),DAY(DM161))</f>
        <v>46712</v>
      </c>
      <c r="DO161" s="8">
        <f t="shared" ca="1" si="501"/>
        <v>578</v>
      </c>
      <c r="DP161" s="5" t="str">
        <f t="shared" ca="1" si="502"/>
        <v>VIGENTE</v>
      </c>
      <c r="DQ161" s="3"/>
      <c r="DR161" s="4">
        <v>45728</v>
      </c>
      <c r="DS161" s="4">
        <f>DATE(YEAR(DR161)+2,MONTH(DR161),DAY(DR161)-1)</f>
        <v>46457</v>
      </c>
      <c r="DT161" s="8">
        <f t="shared" ca="1" si="503"/>
        <v>323</v>
      </c>
      <c r="DU161" s="5" t="str">
        <f t="shared" ca="1" si="504"/>
        <v>VIGENTE</v>
      </c>
      <c r="DV161" s="4"/>
      <c r="DW161" s="4">
        <v>45751</v>
      </c>
      <c r="DX161" s="4">
        <f>DATE(YEAR(DW161)+2,MONTH(DW161),DAY(DW161)-1)</f>
        <v>46480</v>
      </c>
      <c r="DY161" s="8">
        <f t="shared" ca="1" si="505"/>
        <v>346</v>
      </c>
      <c r="DZ161" s="5" t="str">
        <f t="shared" ca="1" si="506"/>
        <v>VIGENTE</v>
      </c>
      <c r="EA161" s="4"/>
      <c r="EB161" s="4">
        <v>45674</v>
      </c>
      <c r="EC161" s="4">
        <f>DATE(YEAR(EB161)+2,MONTH(EB161),DAY(EB161)-1)</f>
        <v>46403</v>
      </c>
      <c r="ED161" s="8">
        <f t="shared" ca="1" si="507"/>
        <v>269</v>
      </c>
      <c r="EE161" s="5" t="str">
        <f t="shared" ca="1" si="508"/>
        <v>VIGENTE</v>
      </c>
      <c r="EF161" s="4"/>
      <c r="EG161" s="4">
        <v>45808</v>
      </c>
      <c r="EH161" s="4">
        <f t="shared" si="575"/>
        <v>46173</v>
      </c>
      <c r="EI161" s="8">
        <f t="shared" ca="1" si="509"/>
        <v>39</v>
      </c>
      <c r="EJ161" s="5" t="str">
        <f t="shared" ca="1" si="510"/>
        <v>POR VENCER</v>
      </c>
      <c r="EK161" s="4"/>
      <c r="EL161" s="4">
        <v>45737</v>
      </c>
      <c r="EM161" s="4">
        <f>DATE(YEAR(EL161)+2,MONTH(EL161),DAY(EL161)-1)</f>
        <v>46466</v>
      </c>
      <c r="EN161" s="8">
        <f t="shared" ca="1" si="511"/>
        <v>332</v>
      </c>
      <c r="EO161" s="5" t="str">
        <f t="shared" ca="1" si="512"/>
        <v>VIGENTE</v>
      </c>
      <c r="EP161" s="4"/>
      <c r="EQ161" s="4">
        <v>45677</v>
      </c>
      <c r="ER161" s="4">
        <f>DATE(YEAR(EQ161)+2,MONTH(EQ161),DAY(EQ161)-1)</f>
        <v>46406</v>
      </c>
      <c r="ES161" s="8">
        <f t="shared" ca="1" si="513"/>
        <v>272</v>
      </c>
      <c r="ET161" s="5" t="str">
        <f t="shared" ca="1" si="514"/>
        <v>VIGENTE</v>
      </c>
      <c r="EU161" s="3"/>
      <c r="EV161" s="4">
        <v>45964</v>
      </c>
      <c r="EW161" s="4">
        <f t="shared" si="611"/>
        <v>46694</v>
      </c>
      <c r="EX161" s="8">
        <f t="shared" ca="1" si="515"/>
        <v>560</v>
      </c>
      <c r="EY161" s="5" t="str">
        <f t="shared" ca="1" si="516"/>
        <v>VIGENTE</v>
      </c>
      <c r="EZ161" s="3"/>
      <c r="FA161" s="4">
        <v>45931</v>
      </c>
      <c r="FB161" s="4">
        <f t="shared" si="612"/>
        <v>46661</v>
      </c>
      <c r="FC161" s="8">
        <f t="shared" ca="1" si="517"/>
        <v>527</v>
      </c>
      <c r="FD161" s="5" t="str">
        <f t="shared" ca="1" si="518"/>
        <v>VIGENTE</v>
      </c>
      <c r="FE161" s="3"/>
      <c r="FF161" s="4">
        <v>45969</v>
      </c>
      <c r="FG161" s="4">
        <f t="shared" si="613"/>
        <v>46699</v>
      </c>
      <c r="FH161" s="8">
        <f t="shared" ca="1" si="519"/>
        <v>565</v>
      </c>
      <c r="FI161" s="5" t="str">
        <f t="shared" ca="1" si="520"/>
        <v>VIGENTE</v>
      </c>
      <c r="FJ161" s="3"/>
      <c r="FK161" s="4">
        <v>45670</v>
      </c>
      <c r="FL161" s="4">
        <f>DATE(YEAR(FK161)+2,MONTH(FK161),DAY(FK161)-1)</f>
        <v>46399</v>
      </c>
      <c r="FM161" s="8">
        <f t="shared" ca="1" si="521"/>
        <v>265</v>
      </c>
      <c r="FN161" s="5" t="str">
        <f t="shared" ca="1" si="522"/>
        <v>VIGENTE</v>
      </c>
      <c r="FO161" s="4"/>
      <c r="FP161" s="4">
        <v>45724</v>
      </c>
      <c r="FQ161" s="4">
        <f>DATE(YEAR(FP161)+2,MONTH(FP161),DAY(FP161)-1)</f>
        <v>46453</v>
      </c>
      <c r="FR161" s="8">
        <f t="shared" ca="1" si="523"/>
        <v>319</v>
      </c>
      <c r="FS161" s="5" t="str">
        <f t="shared" ca="1" si="524"/>
        <v>VIGENTE</v>
      </c>
      <c r="FT161" s="3"/>
      <c r="FU161" s="4">
        <v>46014</v>
      </c>
      <c r="FV161" s="4">
        <f>DATE(YEAR(FU161)+2,MONTH(FU161),DAY(FU161))</f>
        <v>46744</v>
      </c>
      <c r="FW161" s="8">
        <f t="shared" ca="1" si="525"/>
        <v>610</v>
      </c>
      <c r="FX161" s="5" t="str">
        <f t="shared" ca="1" si="526"/>
        <v>VIGENTE</v>
      </c>
      <c r="FY161" s="4"/>
      <c r="FZ161" s="4">
        <v>45560</v>
      </c>
      <c r="GA161" s="4">
        <f>DATE(YEAR(FZ161)+2,MONTH(FZ161),DAY(FZ161)-1)</f>
        <v>46289</v>
      </c>
      <c r="GB161" s="8">
        <f t="shared" ca="1" si="527"/>
        <v>155</v>
      </c>
      <c r="GC161" s="5" t="str">
        <f t="shared" ca="1" si="528"/>
        <v>VIGENTE</v>
      </c>
      <c r="GD161" s="3"/>
      <c r="GE161" s="4">
        <v>45752</v>
      </c>
      <c r="GF161" s="4">
        <f>DATE(YEAR(GE161)+2,MONTH(GE161),DAY(GE161)-1)</f>
        <v>46481</v>
      </c>
      <c r="GG161" s="8">
        <f t="shared" ca="1" si="529"/>
        <v>347</v>
      </c>
      <c r="GH161" s="5" t="str">
        <f t="shared" ca="1" si="530"/>
        <v>VIGENTE</v>
      </c>
      <c r="GI161" s="3"/>
      <c r="GJ161" s="4">
        <v>45958</v>
      </c>
      <c r="GK161" s="4">
        <f>DATE(YEAR(GJ161)+2,MONTH(GJ161),DAY(GJ161))</f>
        <v>46688</v>
      </c>
      <c r="GL161" s="8">
        <f t="shared" ca="1" si="531"/>
        <v>554</v>
      </c>
      <c r="GM161" s="5" t="str">
        <f t="shared" ca="1" si="532"/>
        <v>VIGENTE</v>
      </c>
      <c r="GN161" s="4"/>
      <c r="GO161" s="4">
        <v>44912</v>
      </c>
      <c r="GP161" s="4">
        <f t="shared" si="533"/>
        <v>46738</v>
      </c>
      <c r="GQ161" s="8">
        <f t="shared" ca="1" si="418"/>
        <v>604</v>
      </c>
      <c r="GR161" s="5" t="str">
        <f t="shared" ca="1" si="431"/>
        <v>VIGENTE</v>
      </c>
      <c r="GS161" s="3"/>
      <c r="GT161" s="4">
        <v>44910</v>
      </c>
      <c r="GU161" s="4">
        <f t="shared" si="534"/>
        <v>46736</v>
      </c>
      <c r="GV161" s="8">
        <f t="shared" ca="1" si="535"/>
        <v>602</v>
      </c>
      <c r="GW161" s="5" t="str">
        <f t="shared" ca="1" si="438"/>
        <v>VIGENTE</v>
      </c>
      <c r="GX161" s="2"/>
      <c r="GY161" s="4">
        <v>44911</v>
      </c>
      <c r="GZ161" s="4">
        <f t="shared" si="536"/>
        <v>46737</v>
      </c>
      <c r="HA161" s="8">
        <f t="shared" ca="1" si="537"/>
        <v>603</v>
      </c>
      <c r="HB161" s="5" t="str">
        <f t="shared" ca="1" si="433"/>
        <v>VIGENTE</v>
      </c>
      <c r="HC161" s="6"/>
      <c r="HD161" s="4">
        <v>45020</v>
      </c>
      <c r="HE161" s="4">
        <f t="shared" si="601"/>
        <v>46847</v>
      </c>
      <c r="HF161" s="8">
        <f t="shared" ca="1" si="602"/>
        <v>713</v>
      </c>
      <c r="HG161" s="5" t="str">
        <f t="shared" ca="1" si="439"/>
        <v>VIGENTE</v>
      </c>
      <c r="HH161" s="2"/>
      <c r="HI161" s="4">
        <v>45341</v>
      </c>
      <c r="HJ161" s="4">
        <f>DATE(YEAR(HI161)+5,MONTH(HI161),DAY(HI161))</f>
        <v>47168</v>
      </c>
      <c r="HK161" s="8">
        <f ca="1">HJ161-TODAY()</f>
        <v>1034</v>
      </c>
      <c r="HL161" s="5" t="str">
        <f t="shared" ca="1" si="457"/>
        <v>VIGENTE</v>
      </c>
      <c r="HM161" s="2"/>
      <c r="HN161" s="3">
        <v>45374</v>
      </c>
      <c r="HO161" s="4">
        <f>DATE(YEAR(HN161)+5,MONTH(HN161),DAY(HN161))</f>
        <v>47200</v>
      </c>
      <c r="HP161" s="8">
        <f ca="1">HO161-TODAY()</f>
        <v>1066</v>
      </c>
      <c r="HQ161" s="5" t="str">
        <f t="shared" ca="1" si="538"/>
        <v>VIGENTE</v>
      </c>
      <c r="HR161" s="3"/>
      <c r="HS161" s="4">
        <v>45469</v>
      </c>
      <c r="HT161" s="4">
        <f>DATE(YEAR(HS161)+5,MONTH(HS161),DAY(HS161))</f>
        <v>47295</v>
      </c>
      <c r="HU161" s="8">
        <f ca="1">HT161-TODAY()</f>
        <v>1161</v>
      </c>
      <c r="HV161" s="5" t="str">
        <f t="shared" ca="1" si="539"/>
        <v>VIGENTE</v>
      </c>
      <c r="HW161" s="3"/>
      <c r="HX161" s="4">
        <v>45447</v>
      </c>
      <c r="HY161" s="4">
        <f>DATE(YEAR(HX161)+5,MONTH(HX161),DAY(HX161))</f>
        <v>47273</v>
      </c>
      <c r="HZ161" s="8">
        <f ca="1">HY161-TODAY()</f>
        <v>1139</v>
      </c>
      <c r="IA161" s="5" t="str">
        <f t="shared" ca="1" si="540"/>
        <v>VIGENTE</v>
      </c>
      <c r="IB161" s="3"/>
      <c r="IC161" s="4">
        <v>45470</v>
      </c>
      <c r="ID161" s="4">
        <f>DATE(YEAR(IC161)+5,MONTH(IC161),DAY(IC161))</f>
        <v>47296</v>
      </c>
      <c r="IE161" s="8">
        <f ca="1">ID161-TODAY()</f>
        <v>1162</v>
      </c>
      <c r="IF161" s="5" t="str">
        <f t="shared" ca="1" si="541"/>
        <v>VIGENTE</v>
      </c>
      <c r="IG161" s="4"/>
      <c r="IH161" s="4">
        <v>45452</v>
      </c>
      <c r="II161" s="4">
        <f>DATE(YEAR(IH161)+5,MONTH(IH161),DAY(IH161))</f>
        <v>47278</v>
      </c>
      <c r="IJ161" s="8">
        <f ca="1">II161-TODAY()</f>
        <v>1144</v>
      </c>
      <c r="IK161" s="5" t="str">
        <f t="shared" ca="1" si="542"/>
        <v>VIGENTE</v>
      </c>
      <c r="IL161" s="3"/>
      <c r="IM161" s="4">
        <v>45453</v>
      </c>
      <c r="IN161" s="4">
        <f>DATE(YEAR(IM161)+5,MONTH(IM161),DAY(IM161))</f>
        <v>47279</v>
      </c>
      <c r="IO161" s="8">
        <f ca="1">IN161-TODAY()</f>
        <v>1145</v>
      </c>
      <c r="IP161" s="5" t="str">
        <f t="shared" ca="1" si="543"/>
        <v>VIGENTE</v>
      </c>
      <c r="IQ161" s="3"/>
      <c r="IR161" s="4">
        <v>45288</v>
      </c>
      <c r="IS161" s="4">
        <f>DATE(YEAR(IR161)+5,MONTH(IR161),DAY(IR161))</f>
        <v>47115</v>
      </c>
      <c r="IT161" s="8">
        <f ca="1">IS161-TODAY()</f>
        <v>981</v>
      </c>
      <c r="IU161" s="5" t="str">
        <f t="shared" ca="1" si="544"/>
        <v>VIGENTE</v>
      </c>
      <c r="IV161" s="3"/>
      <c r="IW161" s="4">
        <v>45289</v>
      </c>
      <c r="IX161" s="4">
        <f>DATE(YEAR(IW161)+5,MONTH(IW161),DAY(IW161))</f>
        <v>47116</v>
      </c>
      <c r="IY161" s="8">
        <f ca="1">IX161-TODAY()</f>
        <v>982</v>
      </c>
      <c r="IZ161" s="5" t="str">
        <f t="shared" ca="1" si="545"/>
        <v>VIGENTE</v>
      </c>
      <c r="JA161" s="3"/>
      <c r="JB161" s="3"/>
      <c r="JC161" s="4"/>
      <c r="JD161" s="8"/>
      <c r="JE161" s="5" t="str">
        <f t="shared" si="546"/>
        <v>NO APLICA</v>
      </c>
      <c r="JF161" s="6"/>
      <c r="JG161" s="6"/>
      <c r="JH161" s="6"/>
      <c r="JI161" s="6"/>
      <c r="JJ161" s="5" t="str">
        <f t="shared" si="547"/>
        <v>NO APLICA</v>
      </c>
      <c r="JK161" s="6"/>
      <c r="JL161" s="6"/>
      <c r="JM161" s="6"/>
      <c r="JN161" s="6"/>
      <c r="JO161" s="5" t="str">
        <f t="shared" si="548"/>
        <v>NO APLICA</v>
      </c>
      <c r="JP161" s="6"/>
      <c r="JQ161" s="6"/>
      <c r="JR161" s="6"/>
      <c r="JS161" s="6"/>
      <c r="JT161" s="5" t="str">
        <f t="shared" si="549"/>
        <v>NO APLICA</v>
      </c>
      <c r="JU161" s="5"/>
      <c r="JV161" s="3"/>
      <c r="JW161" s="4"/>
      <c r="JX161" s="8"/>
      <c r="JY161" s="5" t="str">
        <f t="shared" si="550"/>
        <v>NO APLICA</v>
      </c>
      <c r="JZ161" s="5"/>
      <c r="KA161" s="2"/>
      <c r="KB161" s="4"/>
      <c r="KC161" s="8"/>
      <c r="KD161" s="5" t="str">
        <f t="shared" si="551"/>
        <v>NO APLICA</v>
      </c>
      <c r="KE161" s="5"/>
      <c r="KF161" s="2"/>
      <c r="KG161" s="4"/>
      <c r="KH161" s="8"/>
      <c r="KI161" s="5" t="str">
        <f t="shared" si="576"/>
        <v>NO APLICA</v>
      </c>
      <c r="KJ161" s="5"/>
      <c r="KK161" s="2"/>
      <c r="KL161" s="4"/>
      <c r="KM161" s="8"/>
      <c r="KN161" s="5" t="str">
        <f t="shared" si="552"/>
        <v>NO APLICA</v>
      </c>
      <c r="KO161" s="5"/>
      <c r="KP161" s="2"/>
      <c r="KQ161" s="4"/>
      <c r="KR161" s="8"/>
      <c r="KS161" s="5" t="str">
        <f t="shared" si="577"/>
        <v>NO APLICA</v>
      </c>
      <c r="KT161" s="3"/>
      <c r="KU161" s="4">
        <v>44656</v>
      </c>
      <c r="KV161" s="4">
        <f>DATE(YEAR(KU161)+5,MONTH(KU161),DAY(KU161))</f>
        <v>46482</v>
      </c>
      <c r="KW161" s="8">
        <f ca="1">KV161-TODAY()</f>
        <v>348</v>
      </c>
      <c r="KX161" s="5" t="str">
        <f t="shared" ca="1" si="583"/>
        <v>VIGENTE</v>
      </c>
      <c r="KY161" s="5"/>
      <c r="KZ161" s="4">
        <v>44603</v>
      </c>
      <c r="LA161" s="4">
        <f>DATE(YEAR(KZ161)+5,MONTH(KZ161),DAY(KZ161))</f>
        <v>46429</v>
      </c>
      <c r="LB161" s="8">
        <f ca="1">LA161-TODAY()</f>
        <v>295</v>
      </c>
      <c r="LC161" s="5" t="str">
        <f t="shared" ca="1" si="578"/>
        <v>VIGENTE</v>
      </c>
      <c r="LD161" s="4"/>
      <c r="LE161" s="4"/>
      <c r="LF161" s="4"/>
      <c r="LG161" s="8"/>
      <c r="LH161" s="5" t="str">
        <f t="shared" si="585"/>
        <v>NO APLICA</v>
      </c>
      <c r="LI161" s="5"/>
      <c r="LJ161" s="5"/>
      <c r="LK161" s="4"/>
      <c r="LL161" s="8"/>
      <c r="LM161" s="5" t="str">
        <f t="shared" si="584"/>
        <v>NO APLICA</v>
      </c>
      <c r="LN161" s="2"/>
      <c r="LO161" s="6"/>
      <c r="LP161" s="4"/>
      <c r="LQ161" s="8"/>
      <c r="LR161" s="5" t="str">
        <f t="shared" si="579"/>
        <v>NO APLICA</v>
      </c>
      <c r="LS161" s="6"/>
      <c r="LT161" s="6"/>
      <c r="LU161" s="4"/>
      <c r="LV161" s="8"/>
      <c r="LW161" s="5" t="str">
        <f t="shared" si="580"/>
        <v>NO APLICA</v>
      </c>
      <c r="LX161" s="6"/>
      <c r="LY161" s="6"/>
      <c r="LZ161" s="4"/>
      <c r="MA161" s="8"/>
      <c r="MB161" s="5" t="str">
        <f t="shared" si="581"/>
        <v>NO APLICA</v>
      </c>
      <c r="MC161" s="2"/>
      <c r="MD161" s="2"/>
      <c r="ME161" s="4"/>
      <c r="MF161" s="8"/>
      <c r="MG161" s="5" t="str">
        <f t="shared" si="554"/>
        <v>NO APLICA</v>
      </c>
      <c r="MH161" s="2"/>
      <c r="MI161" s="2"/>
      <c r="MJ161" s="4"/>
      <c r="MK161" s="8"/>
      <c r="ML161" s="5" t="str">
        <f t="shared" si="555"/>
        <v>NO APLICA</v>
      </c>
      <c r="MM161" s="5"/>
      <c r="MN161" s="2"/>
      <c r="MO161" s="4"/>
      <c r="MP161" s="8"/>
      <c r="MQ161" s="5" t="str">
        <f t="shared" si="556"/>
        <v>NO APLICA</v>
      </c>
      <c r="MR161" s="5"/>
      <c r="MS161" s="2"/>
      <c r="MT161" s="4"/>
      <c r="MU161" s="2"/>
      <c r="MV161" s="5" t="str">
        <f t="shared" si="557"/>
        <v>NO APLICA</v>
      </c>
      <c r="MW161" s="2"/>
      <c r="MX161" s="6"/>
      <c r="MY161" s="4"/>
      <c r="MZ161" s="8"/>
      <c r="NA161" s="5" t="str">
        <f t="shared" si="558"/>
        <v>NO APLICA</v>
      </c>
      <c r="NB161" s="2"/>
      <c r="NC161" s="6"/>
      <c r="ND161" s="4"/>
      <c r="NE161" s="8"/>
      <c r="NF161" s="5" t="str">
        <f t="shared" si="559"/>
        <v>NO APLICA</v>
      </c>
      <c r="NG161" s="2"/>
      <c r="NH161" s="6"/>
      <c r="NI161" s="4"/>
      <c r="NJ161" s="8"/>
      <c r="NK161" s="5" t="str">
        <f t="shared" si="560"/>
        <v>NO APLICA</v>
      </c>
      <c r="NL161" s="2"/>
      <c r="NM161" s="2"/>
      <c r="NN161" s="4"/>
      <c r="NO161" s="8"/>
      <c r="NP161" s="5" t="str">
        <f t="shared" si="561"/>
        <v>NO APLICA</v>
      </c>
      <c r="NQ161" s="2"/>
      <c r="NR161" s="2"/>
      <c r="NS161" s="4"/>
      <c r="NT161" s="2"/>
      <c r="NU161" s="5" t="str">
        <f t="shared" si="562"/>
        <v>NO APLICA</v>
      </c>
      <c r="NV161" s="6"/>
      <c r="NW161" s="6"/>
      <c r="NX161" s="4"/>
      <c r="NY161" s="8"/>
      <c r="NZ161" s="5" t="str">
        <f t="shared" si="563"/>
        <v>NO APLICA</v>
      </c>
      <c r="OA161" s="6"/>
      <c r="OB161" s="6"/>
      <c r="OC161" s="6"/>
      <c r="OD161" s="6"/>
      <c r="OE161" s="5" t="str">
        <f t="shared" si="564"/>
        <v>NO APLICA</v>
      </c>
      <c r="OF161" s="2"/>
      <c r="OG161" s="2"/>
      <c r="OH161" s="4"/>
      <c r="OI161" s="8"/>
      <c r="OJ161" s="5" t="str">
        <f t="shared" si="565"/>
        <v>NO APLICA</v>
      </c>
      <c r="OK161" s="6"/>
      <c r="OL161" s="6"/>
      <c r="OM161" s="6"/>
      <c r="ON161" s="6"/>
      <c r="OO161" s="5" t="str">
        <f t="shared" si="566"/>
        <v>NO APLICA</v>
      </c>
      <c r="OP161" s="6"/>
      <c r="OQ161" s="6"/>
      <c r="OR161" s="6"/>
      <c r="OS161" s="6"/>
      <c r="OT161" s="5" t="str">
        <f t="shared" si="567"/>
        <v>NO APLICA</v>
      </c>
      <c r="OU161" s="6"/>
      <c r="OV161" s="6"/>
      <c r="OW161" s="6"/>
      <c r="OX161" s="6"/>
      <c r="OY161" s="5" t="str">
        <f t="shared" si="568"/>
        <v>NO APLICA</v>
      </c>
      <c r="OZ161" s="6"/>
      <c r="PA161" s="6"/>
      <c r="PB161" s="6"/>
      <c r="PC161" s="6"/>
      <c r="PD161" s="5" t="str">
        <f t="shared" si="569"/>
        <v>NO APLICA</v>
      </c>
      <c r="PE161" s="6"/>
      <c r="PF161" s="6"/>
      <c r="PG161" s="6"/>
      <c r="PH161" s="6"/>
      <c r="PI161" s="5" t="str">
        <f t="shared" si="570"/>
        <v>NO APLICA</v>
      </c>
      <c r="PJ161" s="5"/>
      <c r="PK161" s="6"/>
      <c r="PL161" s="4"/>
      <c r="PM161" s="8"/>
      <c r="PN161" s="5" t="str">
        <f t="shared" si="571"/>
        <v>NO APLICA</v>
      </c>
      <c r="PO161" s="6"/>
      <c r="PP161" s="6"/>
      <c r="PQ161" s="6"/>
      <c r="PR161" s="6"/>
      <c r="PS161" s="5" t="str">
        <f t="shared" si="572"/>
        <v>NO APLICA</v>
      </c>
      <c r="PT161" s="5"/>
      <c r="PU161" s="6"/>
      <c r="PV161" s="6"/>
      <c r="PW161" s="6"/>
      <c r="PX161" s="5" t="str">
        <f t="shared" si="573"/>
        <v>NO APLICA</v>
      </c>
    </row>
    <row r="162" spans="1:440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185</v>
      </c>
      <c r="T162" s="5" t="str">
        <f t="shared" ca="1" si="574"/>
        <v>VIGENTE</v>
      </c>
      <c r="U162" s="2" t="s">
        <v>527</v>
      </c>
      <c r="V162" s="4">
        <v>45309</v>
      </c>
      <c r="W162" s="4">
        <f t="shared" si="606"/>
        <v>47136</v>
      </c>
      <c r="X162" s="8">
        <f t="shared" ca="1" si="607"/>
        <v>1002</v>
      </c>
      <c r="Y162" s="5" t="str">
        <f t="shared" ca="1" si="423"/>
        <v>VIGENTE</v>
      </c>
      <c r="Z162" s="22" t="s">
        <v>528</v>
      </c>
      <c r="AA162" s="4">
        <v>45190</v>
      </c>
      <c r="AB162" s="4">
        <f>DATE(YEAR(AA162)+5,MONTH(AA162),DAY(AA162))</f>
        <v>47017</v>
      </c>
      <c r="AC162" s="8">
        <f ca="1">AB162-TODAY()</f>
        <v>883</v>
      </c>
      <c r="AD162" s="5" t="str">
        <f t="shared" ca="1" si="603"/>
        <v>VIGENTE</v>
      </c>
      <c r="AE162" s="3"/>
      <c r="AF162" s="4">
        <v>45902</v>
      </c>
      <c r="AG162" s="4">
        <f>DATE(YEAR(AF162)+2,MONTH(AF162),DAY(AF162))</f>
        <v>46632</v>
      </c>
      <c r="AH162" s="8">
        <f t="shared" ca="1" si="470"/>
        <v>498</v>
      </c>
      <c r="AI162" s="5" t="str">
        <f t="shared" ca="1" si="419"/>
        <v>VIGENTE</v>
      </c>
      <c r="AJ162" s="3"/>
      <c r="AK162" s="4">
        <v>45710</v>
      </c>
      <c r="AL162" s="4">
        <f>DATE(YEAR(AK162)+2,MONTH(AK162),DAY(AK162)-1)</f>
        <v>46439</v>
      </c>
      <c r="AM162" s="8">
        <f t="shared" ca="1" si="471"/>
        <v>305</v>
      </c>
      <c r="AN162" s="5" t="str">
        <f t="shared" ca="1" si="472"/>
        <v>VIGENTE</v>
      </c>
      <c r="AO162" s="3"/>
      <c r="AP162" s="4">
        <v>45591</v>
      </c>
      <c r="AQ162" s="4">
        <f>DATE(YEAR(AP162)+2,MONTH(AP162),DAY(AP162)-1)</f>
        <v>46320</v>
      </c>
      <c r="AR162" s="8">
        <f t="shared" ca="1" si="473"/>
        <v>186</v>
      </c>
      <c r="AS162" s="5" t="str">
        <f t="shared" ca="1" si="474"/>
        <v>VIGENTE</v>
      </c>
      <c r="AT162" s="3"/>
      <c r="AU162" s="4">
        <v>45702</v>
      </c>
      <c r="AV162" s="4">
        <f>DATE(YEAR(AU162)+2,MONTH(AU162),DAY(AU162)-1)</f>
        <v>46431</v>
      </c>
      <c r="AW162" s="8">
        <f t="shared" ca="1" si="475"/>
        <v>297</v>
      </c>
      <c r="AX162" s="5" t="str">
        <f t="shared" ca="1" si="476"/>
        <v>VIGENTE</v>
      </c>
      <c r="AY162" s="3"/>
      <c r="AZ162" s="4">
        <v>45603</v>
      </c>
      <c r="BA162" s="4">
        <f>DATE(YEAR(AZ162)+2,MONTH(AZ162),DAY(AZ162)-1)</f>
        <v>46332</v>
      </c>
      <c r="BB162" s="8">
        <f t="shared" ca="1" si="477"/>
        <v>198</v>
      </c>
      <c r="BC162" s="5" t="str">
        <f t="shared" ca="1" si="478"/>
        <v>VIGENTE</v>
      </c>
      <c r="BD162" s="3"/>
      <c r="BE162" s="4">
        <v>45698</v>
      </c>
      <c r="BF162" s="4">
        <f>DATE(YEAR(BE162)+2,MONTH(BE162),DAY(BE162)-1)</f>
        <v>46427</v>
      </c>
      <c r="BG162" s="8">
        <f t="shared" ca="1" si="479"/>
        <v>293</v>
      </c>
      <c r="BH162" s="5" t="str">
        <f t="shared" ca="1" si="480"/>
        <v>VIGENTE</v>
      </c>
      <c r="BI162" s="3"/>
      <c r="BJ162" s="4">
        <v>45600</v>
      </c>
      <c r="BK162" s="4">
        <f>DATE(YEAR(BJ162)+2,MONTH(BJ162),DAY(BJ162)-1)</f>
        <v>46329</v>
      </c>
      <c r="BL162" s="8">
        <f t="shared" ca="1" si="481"/>
        <v>195</v>
      </c>
      <c r="BM162" s="5" t="str">
        <f t="shared" ca="1" si="482"/>
        <v>VIGENTE</v>
      </c>
      <c r="BN162" s="3"/>
      <c r="BO162" s="4">
        <v>45701</v>
      </c>
      <c r="BP162" s="4">
        <f>DATE(YEAR(BO162)+2,MONTH(BO162),DAY(BO162)-1)</f>
        <v>46430</v>
      </c>
      <c r="BQ162" s="8">
        <f t="shared" ca="1" si="483"/>
        <v>296</v>
      </c>
      <c r="BR162" s="5" t="str">
        <f t="shared" ca="1" si="484"/>
        <v>VIGENTE</v>
      </c>
      <c r="BS162" s="3"/>
      <c r="BT162" s="4">
        <v>45695</v>
      </c>
      <c r="BU162" s="4">
        <f t="shared" si="604"/>
        <v>46424</v>
      </c>
      <c r="BV162" s="8">
        <f t="shared" ca="1" si="485"/>
        <v>290</v>
      </c>
      <c r="BW162" s="5" t="str">
        <f t="shared" ca="1" si="486"/>
        <v>VIGENTE</v>
      </c>
      <c r="BX162" s="3"/>
      <c r="BY162" s="4">
        <v>45944</v>
      </c>
      <c r="BZ162" s="4">
        <f t="shared" si="608"/>
        <v>46674</v>
      </c>
      <c r="CA162" s="8">
        <f t="shared" ca="1" si="487"/>
        <v>540</v>
      </c>
      <c r="CB162" s="5" t="str">
        <f t="shared" ca="1" si="488"/>
        <v>VIGENTE</v>
      </c>
      <c r="CC162" s="6" t="s">
        <v>73</v>
      </c>
      <c r="CD162" s="4">
        <v>45533</v>
      </c>
      <c r="CE162" s="4">
        <f t="shared" si="609"/>
        <v>46994</v>
      </c>
      <c r="CF162" s="8">
        <f t="shared" ca="1" si="610"/>
        <v>860</v>
      </c>
      <c r="CG162" s="5" t="str">
        <f t="shared" ca="1" si="591"/>
        <v>VIGENTE</v>
      </c>
      <c r="CH162" s="4"/>
      <c r="CI162" s="4">
        <v>45601</v>
      </c>
      <c r="CJ162" s="4">
        <f>DATE(YEAR(CI162)+2,MONTH(CI162),DAY(CI162)-1)</f>
        <v>46330</v>
      </c>
      <c r="CK162" s="8">
        <f t="shared" ca="1" si="489"/>
        <v>196</v>
      </c>
      <c r="CL162" s="5" t="str">
        <f t="shared" ca="1" si="490"/>
        <v>VIGENTE</v>
      </c>
      <c r="CM162" s="3"/>
      <c r="CN162" s="4">
        <v>45684</v>
      </c>
      <c r="CO162" s="4">
        <f t="shared" si="605"/>
        <v>46413</v>
      </c>
      <c r="CP162" s="8">
        <f t="shared" ca="1" si="491"/>
        <v>279</v>
      </c>
      <c r="CQ162" s="5" t="str">
        <f t="shared" ca="1" si="492"/>
        <v>VIGENTE</v>
      </c>
      <c r="CR162" s="2"/>
      <c r="CS162" s="4">
        <v>45727</v>
      </c>
      <c r="CT162" s="4">
        <f>DATE(YEAR(CS162)+2,MONTH(CS162),DAY(CS162)-1)</f>
        <v>46456</v>
      </c>
      <c r="CU162" s="8">
        <f t="shared" ca="1" si="493"/>
        <v>322</v>
      </c>
      <c r="CV162" s="5" t="str">
        <f t="shared" ca="1" si="494"/>
        <v>VIGENTE</v>
      </c>
      <c r="CW162" s="3"/>
      <c r="CX162" s="4">
        <v>45665</v>
      </c>
      <c r="CY162" s="4">
        <f>DATE(YEAR(CX162)+2,MONTH(CX162),DAY(CX162)-1)</f>
        <v>46394</v>
      </c>
      <c r="CZ162" s="8">
        <f t="shared" ca="1" si="495"/>
        <v>260</v>
      </c>
      <c r="DA162" s="5" t="str">
        <f t="shared" ca="1" si="496"/>
        <v>VIGENTE</v>
      </c>
      <c r="DB162" s="3"/>
      <c r="DC162" s="4">
        <v>45596</v>
      </c>
      <c r="DD162" s="4">
        <f>DATE(YEAR(DC162)+2,MONTH(DC162),DAY(DC162)-1)</f>
        <v>46325</v>
      </c>
      <c r="DE162" s="8">
        <f t="shared" ca="1" si="497"/>
        <v>191</v>
      </c>
      <c r="DF162" s="5" t="str">
        <f t="shared" ca="1" si="498"/>
        <v>VIGENTE</v>
      </c>
      <c r="DG162" s="3"/>
      <c r="DH162" s="4">
        <v>45696</v>
      </c>
      <c r="DI162" s="4">
        <f>DATE(YEAR(DH162)+2,MONTH(DH162),DAY(DH162)-1)</f>
        <v>46425</v>
      </c>
      <c r="DJ162" s="8">
        <f t="shared" ca="1" si="499"/>
        <v>291</v>
      </c>
      <c r="DK162" s="5" t="str">
        <f t="shared" ca="1" si="500"/>
        <v>VIGENTE</v>
      </c>
      <c r="DL162" s="3"/>
      <c r="DM162" s="4">
        <v>45577</v>
      </c>
      <c r="DN162" s="4">
        <f>DATE(YEAR(DM162)+2,MONTH(DM162),DAY(DM162)-1)</f>
        <v>46306</v>
      </c>
      <c r="DO162" s="8">
        <f t="shared" ca="1" si="501"/>
        <v>172</v>
      </c>
      <c r="DP162" s="5" t="str">
        <f t="shared" ca="1" si="502"/>
        <v>VIGENTE</v>
      </c>
      <c r="DQ162" s="3"/>
      <c r="DR162" s="4">
        <v>45685</v>
      </c>
      <c r="DS162" s="4">
        <f>DATE(YEAR(DR162)+2,MONTH(DR162),DAY(DR162)-1)</f>
        <v>46414</v>
      </c>
      <c r="DT162" s="8">
        <f t="shared" ca="1" si="503"/>
        <v>280</v>
      </c>
      <c r="DU162" s="5" t="str">
        <f t="shared" ca="1" si="504"/>
        <v>VIGENTE</v>
      </c>
      <c r="DV162" s="3"/>
      <c r="DW162" s="4">
        <v>45663</v>
      </c>
      <c r="DX162" s="4">
        <f>DATE(YEAR(DW162)+2,MONTH(DW162),DAY(DW162)-1)</f>
        <v>46392</v>
      </c>
      <c r="DY162" s="8">
        <f t="shared" ca="1" si="505"/>
        <v>258</v>
      </c>
      <c r="DZ162" s="5" t="str">
        <f t="shared" ca="1" si="506"/>
        <v>VIGENTE</v>
      </c>
      <c r="EA162" s="3"/>
      <c r="EB162" s="4">
        <v>45583</v>
      </c>
      <c r="EC162" s="4">
        <f>DATE(YEAR(EB162)+2,MONTH(EB162),DAY(EB162)-1)</f>
        <v>46312</v>
      </c>
      <c r="ED162" s="8">
        <f t="shared" ca="1" si="507"/>
        <v>178</v>
      </c>
      <c r="EE162" s="5" t="str">
        <f t="shared" ca="1" si="508"/>
        <v>VIGENTE</v>
      </c>
      <c r="EF162" s="3"/>
      <c r="EG162" s="3">
        <v>46107</v>
      </c>
      <c r="EH162" s="4">
        <f t="shared" si="575"/>
        <v>46472</v>
      </c>
      <c r="EI162" s="8">
        <f t="shared" ca="1" si="509"/>
        <v>338</v>
      </c>
      <c r="EJ162" s="5" t="str">
        <f t="shared" ca="1" si="510"/>
        <v>VIGENTE</v>
      </c>
      <c r="EK162" s="3"/>
      <c r="EL162" s="4">
        <v>45636</v>
      </c>
      <c r="EM162" s="4">
        <f>DATE(YEAR(EL162)+2,MONTH(EL162),DAY(EL162)-1)</f>
        <v>46365</v>
      </c>
      <c r="EN162" s="8">
        <f t="shared" ca="1" si="511"/>
        <v>231</v>
      </c>
      <c r="EO162" s="5" t="str">
        <f t="shared" ca="1" si="512"/>
        <v>VIGENTE</v>
      </c>
      <c r="EP162" s="3"/>
      <c r="EQ162" s="4">
        <v>45623</v>
      </c>
      <c r="ER162" s="4">
        <f>DATE(YEAR(EQ162)+2,MONTH(EQ162),DAY(EQ162)-1)</f>
        <v>46352</v>
      </c>
      <c r="ES162" s="8">
        <f t="shared" ca="1" si="513"/>
        <v>218</v>
      </c>
      <c r="ET162" s="5" t="str">
        <f t="shared" ca="1" si="514"/>
        <v>VIGENTE</v>
      </c>
      <c r="EU162" s="3"/>
      <c r="EV162" s="4">
        <v>45917</v>
      </c>
      <c r="EW162" s="4">
        <f t="shared" si="611"/>
        <v>46647</v>
      </c>
      <c r="EX162" s="8">
        <f t="shared" ca="1" si="515"/>
        <v>513</v>
      </c>
      <c r="EY162" s="5" t="str">
        <f t="shared" ca="1" si="516"/>
        <v>VIGENTE</v>
      </c>
      <c r="EZ162" s="3"/>
      <c r="FA162" s="4">
        <v>45931</v>
      </c>
      <c r="FB162" s="4">
        <f t="shared" si="612"/>
        <v>46661</v>
      </c>
      <c r="FC162" s="8">
        <f t="shared" ca="1" si="517"/>
        <v>527</v>
      </c>
      <c r="FD162" s="5" t="str">
        <f t="shared" ca="1" si="518"/>
        <v>VIGENTE</v>
      </c>
      <c r="FE162" s="3"/>
      <c r="FF162" s="4">
        <v>45919</v>
      </c>
      <c r="FG162" s="4">
        <f t="shared" si="613"/>
        <v>46649</v>
      </c>
      <c r="FH162" s="8">
        <f t="shared" ca="1" si="519"/>
        <v>515</v>
      </c>
      <c r="FI162" s="5" t="str">
        <f t="shared" ca="1" si="520"/>
        <v>VIGENTE</v>
      </c>
      <c r="FJ162" s="3"/>
      <c r="FK162" s="4">
        <v>45588</v>
      </c>
      <c r="FL162" s="4">
        <f>DATE(YEAR(FK162)+2,MONTH(FK162),DAY(FK162)-1)</f>
        <v>46317</v>
      </c>
      <c r="FM162" s="8">
        <f t="shared" ca="1" si="521"/>
        <v>183</v>
      </c>
      <c r="FN162" s="5" t="str">
        <f t="shared" ca="1" si="522"/>
        <v>VIGENTE</v>
      </c>
      <c r="FO162" s="3"/>
      <c r="FP162" s="4">
        <v>45586</v>
      </c>
      <c r="FQ162" s="4">
        <f>DATE(YEAR(FP162)+2,MONTH(FP162),DAY(FP162)-1)</f>
        <v>46315</v>
      </c>
      <c r="FR162" s="8">
        <f t="shared" ca="1" si="523"/>
        <v>181</v>
      </c>
      <c r="FS162" s="5" t="str">
        <f t="shared" ca="1" si="524"/>
        <v>VIGENTE</v>
      </c>
      <c r="FT162" s="3"/>
      <c r="FU162" s="4">
        <v>45941</v>
      </c>
      <c r="FV162" s="4">
        <f>DATE(YEAR(FU162)+2,MONTH(FU162),DAY(FU162))</f>
        <v>46671</v>
      </c>
      <c r="FW162" s="8">
        <f t="shared" ca="1" si="525"/>
        <v>537</v>
      </c>
      <c r="FX162" s="5" t="str">
        <f t="shared" ca="1" si="526"/>
        <v>VIGENTE</v>
      </c>
      <c r="FY162" s="3"/>
      <c r="FZ162" s="4">
        <v>45667</v>
      </c>
      <c r="GA162" s="4">
        <f>DATE(YEAR(FZ162)+2,MONTH(FZ162),DAY(FZ162)-1)</f>
        <v>46396</v>
      </c>
      <c r="GB162" s="8">
        <f t="shared" ca="1" si="527"/>
        <v>262</v>
      </c>
      <c r="GC162" s="5" t="str">
        <f t="shared" ca="1" si="528"/>
        <v>VIGENTE</v>
      </c>
      <c r="GD162" s="3"/>
      <c r="GE162" s="4">
        <v>45579</v>
      </c>
      <c r="GF162" s="4">
        <f>DATE(YEAR(GE162)+2,MONTH(GE162),DAY(GE162)-1)</f>
        <v>46308</v>
      </c>
      <c r="GG162" s="8">
        <f t="shared" ca="1" si="529"/>
        <v>174</v>
      </c>
      <c r="GH162" s="5" t="str">
        <f t="shared" ca="1" si="530"/>
        <v>VIGENTE</v>
      </c>
      <c r="GI162" s="3"/>
      <c r="GJ162" s="4">
        <v>45608</v>
      </c>
      <c r="GK162" s="4">
        <f>DATE(YEAR(GJ162)+2,MONTH(GJ162),DAY(GJ162)-1)</f>
        <v>46337</v>
      </c>
      <c r="GL162" s="8">
        <f t="shared" ca="1" si="531"/>
        <v>203</v>
      </c>
      <c r="GM162" s="5" t="str">
        <f t="shared" ca="1" si="532"/>
        <v>VIGENTE</v>
      </c>
      <c r="GN162" s="4"/>
      <c r="GO162" s="4">
        <v>45017</v>
      </c>
      <c r="GP162" s="4">
        <f t="shared" si="533"/>
        <v>46844</v>
      </c>
      <c r="GQ162" s="8">
        <f t="shared" ca="1" si="418"/>
        <v>710</v>
      </c>
      <c r="GR162" s="5" t="str">
        <f t="shared" ca="1" si="431"/>
        <v>VIGENTE</v>
      </c>
      <c r="GS162" s="3"/>
      <c r="GT162" s="4">
        <v>44952</v>
      </c>
      <c r="GU162" s="4">
        <f t="shared" si="534"/>
        <v>46778</v>
      </c>
      <c r="GV162" s="8">
        <f t="shared" ca="1" si="535"/>
        <v>644</v>
      </c>
      <c r="GW162" s="5" t="str">
        <f t="shared" ca="1" si="438"/>
        <v>VIGENTE</v>
      </c>
      <c r="GX162" s="3"/>
      <c r="GY162" s="4">
        <v>45294</v>
      </c>
      <c r="GZ162" s="4">
        <f t="shared" si="536"/>
        <v>47121</v>
      </c>
      <c r="HA162" s="8">
        <f t="shared" ca="1" si="537"/>
        <v>987</v>
      </c>
      <c r="HB162" s="5" t="str">
        <f t="shared" ca="1" si="433"/>
        <v>VIGENTE</v>
      </c>
      <c r="HC162" s="6"/>
      <c r="HD162" s="4">
        <v>45020</v>
      </c>
      <c r="HE162" s="4">
        <f t="shared" si="601"/>
        <v>46847</v>
      </c>
      <c r="HF162" s="8">
        <f t="shared" ca="1" si="602"/>
        <v>713</v>
      </c>
      <c r="HG162" s="5" t="str">
        <f t="shared" ca="1" si="439"/>
        <v>VIGENTE</v>
      </c>
      <c r="HH162" s="2"/>
      <c r="HI162" s="6"/>
      <c r="HJ162" s="4"/>
      <c r="HK162" s="8"/>
      <c r="HL162" s="5" t="str">
        <f t="shared" si="457"/>
        <v>NO APLICA</v>
      </c>
      <c r="HM162" s="2"/>
      <c r="HN162" s="5"/>
      <c r="HO162" s="4"/>
      <c r="HP162" s="5"/>
      <c r="HQ162" s="5" t="str">
        <f t="shared" si="538"/>
        <v>NO APLICA</v>
      </c>
      <c r="HR162" s="2"/>
      <c r="HS162" s="6"/>
      <c r="HT162" s="4"/>
      <c r="HU162" s="8"/>
      <c r="HV162" s="5" t="str">
        <f t="shared" si="539"/>
        <v>NO APLICA</v>
      </c>
      <c r="HW162" s="2"/>
      <c r="HX162" s="6"/>
      <c r="HY162" s="4"/>
      <c r="HZ162" s="8"/>
      <c r="IA162" s="5" t="str">
        <f t="shared" si="540"/>
        <v>NO APLICA</v>
      </c>
      <c r="IB162" s="2"/>
      <c r="IC162" s="6"/>
      <c r="ID162" s="4"/>
      <c r="IE162" s="8"/>
      <c r="IF162" s="5" t="str">
        <f t="shared" si="541"/>
        <v>NO APLICA</v>
      </c>
      <c r="IG162" s="6"/>
      <c r="IH162" s="6"/>
      <c r="II162" s="4"/>
      <c r="IJ162" s="8"/>
      <c r="IK162" s="5" t="str">
        <f t="shared" si="542"/>
        <v>NO APLICA</v>
      </c>
      <c r="IL162" s="2"/>
      <c r="IM162" s="6"/>
      <c r="IN162" s="4"/>
      <c r="IO162" s="8"/>
      <c r="IP162" s="5" t="str">
        <f t="shared" si="543"/>
        <v>NO APLICA</v>
      </c>
      <c r="IQ162" s="2"/>
      <c r="IR162" s="6"/>
      <c r="IS162" s="4"/>
      <c r="IT162" s="8"/>
      <c r="IU162" s="5" t="str">
        <f t="shared" si="544"/>
        <v>NO APLICA</v>
      </c>
      <c r="IV162" s="2"/>
      <c r="IW162" s="6"/>
      <c r="IX162" s="4"/>
      <c r="IY162" s="8"/>
      <c r="IZ162" s="5" t="str">
        <f t="shared" si="545"/>
        <v>NO APLICA</v>
      </c>
      <c r="JA162" s="3"/>
      <c r="JB162" s="3"/>
      <c r="JC162" s="4"/>
      <c r="JD162" s="8"/>
      <c r="JE162" s="5" t="str">
        <f t="shared" si="546"/>
        <v>NO APLICA</v>
      </c>
      <c r="JF162" s="6"/>
      <c r="JG162" s="6"/>
      <c r="JH162" s="6"/>
      <c r="JI162" s="6"/>
      <c r="JJ162" s="5" t="str">
        <f t="shared" si="547"/>
        <v>NO APLICA</v>
      </c>
      <c r="JK162" s="6"/>
      <c r="JL162" s="6"/>
      <c r="JM162" s="6"/>
      <c r="JN162" s="6"/>
      <c r="JO162" s="5" t="str">
        <f t="shared" si="548"/>
        <v>NO APLICA</v>
      </c>
      <c r="JP162" s="6"/>
      <c r="JQ162" s="6"/>
      <c r="JR162" s="6"/>
      <c r="JS162" s="6"/>
      <c r="JT162" s="5" t="str">
        <f t="shared" si="549"/>
        <v>NO APLICA</v>
      </c>
      <c r="JU162" s="5"/>
      <c r="JV162" s="5"/>
      <c r="JW162" s="5"/>
      <c r="JX162" s="5"/>
      <c r="JY162" s="5" t="str">
        <f t="shared" si="550"/>
        <v>NO APLICA</v>
      </c>
      <c r="JZ162" s="5"/>
      <c r="KA162" s="5"/>
      <c r="KB162" s="4"/>
      <c r="KC162" s="8"/>
      <c r="KD162" s="5" t="str">
        <f t="shared" si="551"/>
        <v>NO APLICA</v>
      </c>
      <c r="KE162" s="5"/>
      <c r="KF162" s="5"/>
      <c r="KG162" s="4"/>
      <c r="KH162" s="8"/>
      <c r="KI162" s="5" t="str">
        <f t="shared" si="576"/>
        <v>NO APLICA</v>
      </c>
      <c r="KJ162" s="5"/>
      <c r="KK162" s="5"/>
      <c r="KL162" s="4"/>
      <c r="KM162" s="8"/>
      <c r="KN162" s="5" t="str">
        <f t="shared" si="552"/>
        <v>NO APLICA</v>
      </c>
      <c r="KO162" s="5"/>
      <c r="KP162" s="3">
        <v>45346</v>
      </c>
      <c r="KQ162" s="4">
        <f>DATE(YEAR(KP162)+5,MONTH(KP162),DAY(KP162))</f>
        <v>47173</v>
      </c>
      <c r="KR162" s="8">
        <f ca="1">KQ162-TODAY()</f>
        <v>1039</v>
      </c>
      <c r="KS162" s="5" t="str">
        <f t="shared" ca="1" si="577"/>
        <v>VIGENTE</v>
      </c>
      <c r="KT162" s="3"/>
      <c r="KU162" s="4">
        <v>44658</v>
      </c>
      <c r="KV162" s="4">
        <f>DATE(YEAR(KU162)+5,MONTH(KU162),DAY(KU162))</f>
        <v>46484</v>
      </c>
      <c r="KW162" s="8">
        <f ca="1">KV162-TODAY()</f>
        <v>350</v>
      </c>
      <c r="KX162" s="5" t="str">
        <f t="shared" ca="1" si="583"/>
        <v>VIGENTE</v>
      </c>
      <c r="KY162" s="5"/>
      <c r="KZ162" s="4">
        <v>44603</v>
      </c>
      <c r="LA162" s="4">
        <f>DATE(YEAR(KZ162)+5,MONTH(KZ162),DAY(KZ162))</f>
        <v>46429</v>
      </c>
      <c r="LB162" s="8">
        <f ca="1">LA162-TODAY()</f>
        <v>295</v>
      </c>
      <c r="LC162" s="5" t="str">
        <f t="shared" ca="1" si="578"/>
        <v>VIGENTE</v>
      </c>
      <c r="LD162" s="6"/>
      <c r="LE162" s="6"/>
      <c r="LF162" s="4"/>
      <c r="LG162" s="8"/>
      <c r="LH162" s="5" t="str">
        <f t="shared" si="585"/>
        <v>NO APLICA</v>
      </c>
      <c r="LI162" s="5"/>
      <c r="LJ162" s="5"/>
      <c r="LK162" s="5"/>
      <c r="LL162" s="5"/>
      <c r="LM162" s="5" t="str">
        <f t="shared" si="584"/>
        <v>NO APLICA</v>
      </c>
      <c r="LN162" s="5"/>
      <c r="LO162" s="6"/>
      <c r="LP162" s="4"/>
      <c r="LQ162" s="8"/>
      <c r="LR162" s="5" t="str">
        <f t="shared" si="579"/>
        <v>NO APLICA</v>
      </c>
      <c r="LS162" s="6"/>
      <c r="LT162" s="6"/>
      <c r="LU162" s="4"/>
      <c r="LV162" s="8"/>
      <c r="LW162" s="5" t="str">
        <f t="shared" si="580"/>
        <v>NO APLICA</v>
      </c>
      <c r="LX162" s="6"/>
      <c r="LY162" s="6"/>
      <c r="LZ162" s="4"/>
      <c r="MA162" s="8"/>
      <c r="MB162" s="5" t="str">
        <f t="shared" si="581"/>
        <v>NO APLICA</v>
      </c>
      <c r="MC162" s="5"/>
      <c r="MD162" s="5"/>
      <c r="ME162" s="4"/>
      <c r="MF162" s="8"/>
      <c r="MG162" s="5" t="str">
        <f t="shared" si="554"/>
        <v>NO APLICA</v>
      </c>
      <c r="MH162" s="5"/>
      <c r="MI162" s="5"/>
      <c r="MJ162" s="4"/>
      <c r="MK162" s="8"/>
      <c r="ML162" s="5" t="str">
        <f t="shared" si="555"/>
        <v>NO APLICA</v>
      </c>
      <c r="MM162" s="5"/>
      <c r="MN162" s="5"/>
      <c r="MO162" s="4"/>
      <c r="MP162" s="8"/>
      <c r="MQ162" s="5" t="str">
        <f t="shared" si="556"/>
        <v>NO APLICA</v>
      </c>
      <c r="MR162" s="5"/>
      <c r="MS162" s="5"/>
      <c r="MT162" s="4"/>
      <c r="MU162" s="5"/>
      <c r="MV162" s="5" t="str">
        <f t="shared" si="557"/>
        <v>NO APLICA</v>
      </c>
      <c r="MW162" s="5"/>
      <c r="MX162" s="6"/>
      <c r="MY162" s="4"/>
      <c r="MZ162" s="8"/>
      <c r="NA162" s="5" t="str">
        <f t="shared" si="558"/>
        <v>NO APLICA</v>
      </c>
      <c r="NB162" s="5"/>
      <c r="NC162" s="6"/>
      <c r="ND162" s="4"/>
      <c r="NE162" s="8"/>
      <c r="NF162" s="5" t="str">
        <f t="shared" si="559"/>
        <v>NO APLICA</v>
      </c>
      <c r="NG162" s="5"/>
      <c r="NH162" s="6"/>
      <c r="NI162" s="4"/>
      <c r="NJ162" s="8"/>
      <c r="NK162" s="5" t="str">
        <f t="shared" si="560"/>
        <v>NO APLICA</v>
      </c>
      <c r="NL162" s="5"/>
      <c r="NM162" s="5"/>
      <c r="NN162" s="5"/>
      <c r="NO162" s="5"/>
      <c r="NP162" s="5" t="str">
        <f t="shared" si="561"/>
        <v>NO APLICA</v>
      </c>
      <c r="NQ162" s="5"/>
      <c r="NR162" s="5"/>
      <c r="NS162" s="5"/>
      <c r="NT162" s="5"/>
      <c r="NU162" s="5" t="str">
        <f t="shared" si="562"/>
        <v>NO APLICA</v>
      </c>
      <c r="NV162" s="6"/>
      <c r="NW162" s="6"/>
      <c r="NX162" s="4"/>
      <c r="NY162" s="8"/>
      <c r="NZ162" s="5" t="str">
        <f t="shared" si="563"/>
        <v>NO APLICA</v>
      </c>
      <c r="OA162" s="6"/>
      <c r="OB162" s="6"/>
      <c r="OC162" s="6"/>
      <c r="OD162" s="6"/>
      <c r="OE162" s="5" t="str">
        <f t="shared" si="564"/>
        <v>NO APLICA</v>
      </c>
      <c r="OF162" s="6"/>
      <c r="OG162" s="6"/>
      <c r="OH162" s="4"/>
      <c r="OI162" s="8"/>
      <c r="OJ162" s="5" t="str">
        <f t="shared" si="565"/>
        <v>NO APLICA</v>
      </c>
      <c r="OK162" s="6"/>
      <c r="OL162" s="6"/>
      <c r="OM162" s="6"/>
      <c r="ON162" s="6"/>
      <c r="OO162" s="5" t="str">
        <f t="shared" si="566"/>
        <v>NO APLICA</v>
      </c>
      <c r="OP162" s="6"/>
      <c r="OQ162" s="6"/>
      <c r="OR162" s="6"/>
      <c r="OS162" s="6"/>
      <c r="OT162" s="5" t="str">
        <f t="shared" si="567"/>
        <v>NO APLICA</v>
      </c>
      <c r="OU162" s="6"/>
      <c r="OV162" s="6"/>
      <c r="OW162" s="6"/>
      <c r="OX162" s="6"/>
      <c r="OY162" s="5" t="str">
        <f t="shared" si="568"/>
        <v>NO APLICA</v>
      </c>
      <c r="OZ162" s="6"/>
      <c r="PA162" s="6"/>
      <c r="PB162" s="6"/>
      <c r="PC162" s="6"/>
      <c r="PD162" s="5" t="str">
        <f t="shared" si="569"/>
        <v>NO APLICA</v>
      </c>
      <c r="PE162" s="6"/>
      <c r="PF162" s="6"/>
      <c r="PG162" s="6"/>
      <c r="PH162" s="6"/>
      <c r="PI162" s="5" t="str">
        <f t="shared" si="570"/>
        <v>NO APLICA</v>
      </c>
      <c r="PJ162" s="5"/>
      <c r="PK162" s="6"/>
      <c r="PL162" s="4"/>
      <c r="PM162" s="8"/>
      <c r="PN162" s="5" t="str">
        <f t="shared" si="571"/>
        <v>NO APLICA</v>
      </c>
      <c r="PO162" s="6"/>
      <c r="PP162" s="6"/>
      <c r="PQ162" s="6"/>
      <c r="PR162" s="6"/>
      <c r="PS162" s="5" t="str">
        <f t="shared" si="572"/>
        <v>NO APLICA</v>
      </c>
      <c r="PT162" s="5"/>
      <c r="PU162" s="6"/>
      <c r="PV162" s="6"/>
      <c r="PW162" s="6"/>
      <c r="PX162" s="5" t="str">
        <f t="shared" si="573"/>
        <v>NO APLICA</v>
      </c>
    </row>
    <row r="163" spans="1:440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654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530</v>
      </c>
      <c r="V163" s="4">
        <v>44786</v>
      </c>
      <c r="W163" s="4">
        <f t="shared" si="606"/>
        <v>46612</v>
      </c>
      <c r="X163" s="8">
        <f t="shared" ca="1" si="607"/>
        <v>478</v>
      </c>
      <c r="Y163" s="5" t="str">
        <f t="shared" ca="1" si="423"/>
        <v>VIGENTE</v>
      </c>
      <c r="Z163" s="2"/>
      <c r="AA163" s="6"/>
      <c r="AB163" s="4"/>
      <c r="AC163" s="8"/>
      <c r="AD163" s="5" t="str">
        <f t="shared" si="603"/>
        <v>NO APLICA</v>
      </c>
      <c r="AE163" s="3"/>
      <c r="AF163" s="4">
        <v>45902</v>
      </c>
      <c r="AG163" s="4">
        <f>DATE(YEAR(AF163)+2,MONTH(AF163),DAY(AF163))</f>
        <v>46632</v>
      </c>
      <c r="AH163" s="8">
        <f t="shared" ca="1" si="470"/>
        <v>498</v>
      </c>
      <c r="AI163" s="5" t="str">
        <f t="shared" ca="1" si="419"/>
        <v>VIGENTE</v>
      </c>
      <c r="AJ163" s="3"/>
      <c r="AK163" s="4">
        <v>45903</v>
      </c>
      <c r="AL163" s="4">
        <f>DATE(YEAR(AK163)+2,MONTH(AK163),DAY(AK163))</f>
        <v>46633</v>
      </c>
      <c r="AM163" s="8">
        <f t="shared" ca="1" si="471"/>
        <v>499</v>
      </c>
      <c r="AN163" s="5" t="str">
        <f t="shared" ca="1" si="472"/>
        <v>VIGENTE</v>
      </c>
      <c r="AO163" s="3"/>
      <c r="AP163" s="4">
        <v>45967</v>
      </c>
      <c r="AQ163" s="4">
        <f>DATE(YEAR(AP163)+2,MONTH(AP163),DAY(AP163))</f>
        <v>46697</v>
      </c>
      <c r="AR163" s="8">
        <f t="shared" ca="1" si="473"/>
        <v>563</v>
      </c>
      <c r="AS163" s="5" t="str">
        <f t="shared" ca="1" si="474"/>
        <v>VIGENTE</v>
      </c>
      <c r="AT163" s="3"/>
      <c r="AU163" s="4">
        <v>45927</v>
      </c>
      <c r="AV163" s="4">
        <f>DATE(YEAR(AU163)+2,MONTH(AU163),DAY(AU163))</f>
        <v>46657</v>
      </c>
      <c r="AW163" s="8">
        <f t="shared" ca="1" si="475"/>
        <v>523</v>
      </c>
      <c r="AX163" s="5" t="str">
        <f t="shared" ca="1" si="476"/>
        <v>VIGENTE</v>
      </c>
      <c r="AY163" s="3"/>
      <c r="AZ163" s="4">
        <v>45717</v>
      </c>
      <c r="BA163" s="4">
        <f>DATE(YEAR(AZ163)+2,MONTH(AZ163),DAY(AZ163)-1)</f>
        <v>46446</v>
      </c>
      <c r="BB163" s="8">
        <f t="shared" ca="1" si="477"/>
        <v>312</v>
      </c>
      <c r="BC163" s="5" t="str">
        <f t="shared" ca="1" si="478"/>
        <v>VIGENTE</v>
      </c>
      <c r="BD163" s="3"/>
      <c r="BE163" s="4">
        <v>45698</v>
      </c>
      <c r="BF163" s="4">
        <f>DATE(YEAR(BE163)+2,MONTH(BE163),DAY(BE163)-1)</f>
        <v>46427</v>
      </c>
      <c r="BG163" s="8">
        <f t="shared" ca="1" si="479"/>
        <v>293</v>
      </c>
      <c r="BH163" s="5" t="str">
        <f t="shared" ca="1" si="480"/>
        <v>VIGENTE</v>
      </c>
      <c r="BI163" s="3"/>
      <c r="BJ163" s="4">
        <v>45699</v>
      </c>
      <c r="BK163" s="4">
        <f>DATE(YEAR(BJ163)+2,MONTH(BJ163),DAY(BJ163)-1)</f>
        <v>46428</v>
      </c>
      <c r="BL163" s="8">
        <f t="shared" ca="1" si="481"/>
        <v>294</v>
      </c>
      <c r="BM163" s="5" t="str">
        <f t="shared" ca="1" si="482"/>
        <v>VIGENTE</v>
      </c>
      <c r="BN163" s="3"/>
      <c r="BO163" s="4">
        <v>45701</v>
      </c>
      <c r="BP163" s="4">
        <f>DATE(YEAR(BO163)+2,MONTH(BO163),DAY(BO163)-1)</f>
        <v>46430</v>
      </c>
      <c r="BQ163" s="8">
        <f t="shared" ca="1" si="483"/>
        <v>296</v>
      </c>
      <c r="BR163" s="5" t="str">
        <f t="shared" ca="1" si="484"/>
        <v>VIGENTE</v>
      </c>
      <c r="BS163" s="3"/>
      <c r="BT163" s="4">
        <v>45455</v>
      </c>
      <c r="BU163" s="4">
        <f t="shared" si="604"/>
        <v>46184</v>
      </c>
      <c r="BV163" s="8">
        <f t="shared" ca="1" si="485"/>
        <v>50</v>
      </c>
      <c r="BW163" s="5" t="str">
        <f t="shared" ca="1" si="486"/>
        <v>POR VENCER</v>
      </c>
      <c r="BX163" s="3"/>
      <c r="BY163" s="4">
        <v>45911</v>
      </c>
      <c r="BZ163" s="4">
        <f t="shared" si="608"/>
        <v>46641</v>
      </c>
      <c r="CA163" s="8">
        <f t="shared" ca="1" si="487"/>
        <v>507</v>
      </c>
      <c r="CB163" s="5" t="str">
        <f t="shared" ca="1" si="488"/>
        <v>VIGENTE</v>
      </c>
      <c r="CC163" s="6" t="s">
        <v>73</v>
      </c>
      <c r="CD163" s="4">
        <v>45616</v>
      </c>
      <c r="CE163" s="4">
        <f t="shared" si="609"/>
        <v>47077</v>
      </c>
      <c r="CF163" s="8">
        <f t="shared" ca="1" si="610"/>
        <v>943</v>
      </c>
      <c r="CG163" s="5" t="str">
        <f t="shared" ca="1" si="591"/>
        <v>VIGENTE</v>
      </c>
      <c r="CH163" s="4"/>
      <c r="CI163" s="4">
        <v>45504</v>
      </c>
      <c r="CJ163" s="4">
        <f>DATE(YEAR(CI163)+2,MONTH(CI163),DAY(CI163)-1)</f>
        <v>46233</v>
      </c>
      <c r="CK163" s="8">
        <f t="shared" ca="1" si="489"/>
        <v>99</v>
      </c>
      <c r="CL163" s="5" t="str">
        <f t="shared" ca="1" si="490"/>
        <v>VIGENTE</v>
      </c>
      <c r="CM163" s="3"/>
      <c r="CN163" s="4">
        <v>45513</v>
      </c>
      <c r="CO163" s="4">
        <f t="shared" si="605"/>
        <v>46242</v>
      </c>
      <c r="CP163" s="8">
        <f t="shared" ca="1" si="491"/>
        <v>108</v>
      </c>
      <c r="CQ163" s="5" t="str">
        <f t="shared" ca="1" si="492"/>
        <v>VIGENTE</v>
      </c>
      <c r="CR163" s="3"/>
      <c r="CS163" s="4">
        <v>46043</v>
      </c>
      <c r="CT163" s="4">
        <f>DATE(YEAR(CS163)+2,MONTH(CS163),DAY(CS163))</f>
        <v>46773</v>
      </c>
      <c r="CU163" s="8">
        <f t="shared" ca="1" si="493"/>
        <v>639</v>
      </c>
      <c r="CV163" s="5" t="str">
        <f t="shared" ca="1" si="494"/>
        <v>VIGENTE</v>
      </c>
      <c r="CW163" s="3"/>
      <c r="CX163" s="4">
        <v>46000</v>
      </c>
      <c r="CY163" s="4">
        <f>DATE(YEAR(CX163)+2,MONTH(CX163),DAY(CX163))</f>
        <v>46730</v>
      </c>
      <c r="CZ163" s="8">
        <f t="shared" ca="1" si="495"/>
        <v>596</v>
      </c>
      <c r="DA163" s="5" t="str">
        <f t="shared" ca="1" si="496"/>
        <v>VIGENTE</v>
      </c>
      <c r="DB163" s="3"/>
      <c r="DC163" s="4">
        <v>45689</v>
      </c>
      <c r="DD163" s="4">
        <f>DATE(YEAR(DC163)+2,MONTH(DC163),DAY(DC163)-1)</f>
        <v>46418</v>
      </c>
      <c r="DE163" s="8">
        <f t="shared" ca="1" si="497"/>
        <v>284</v>
      </c>
      <c r="DF163" s="5" t="str">
        <f t="shared" ca="1" si="498"/>
        <v>VIGENTE</v>
      </c>
      <c r="DG163" s="3"/>
      <c r="DH163" s="4">
        <v>45834</v>
      </c>
      <c r="DI163" s="4">
        <f>DATE(YEAR(DH163)+2,MONTH(DH163),DAY(DH163))</f>
        <v>46564</v>
      </c>
      <c r="DJ163" s="8">
        <f t="shared" ca="1" si="499"/>
        <v>430</v>
      </c>
      <c r="DK163" s="5" t="str">
        <f t="shared" ca="1" si="500"/>
        <v>VIGENTE</v>
      </c>
      <c r="DL163" s="3"/>
      <c r="DM163" s="4">
        <v>45982</v>
      </c>
      <c r="DN163" s="4">
        <f>DATE(YEAR(DM163)+2,MONTH(DM163),DAY(DM163))</f>
        <v>46712</v>
      </c>
      <c r="DO163" s="8">
        <f t="shared" ca="1" si="501"/>
        <v>578</v>
      </c>
      <c r="DP163" s="5" t="str">
        <f t="shared" ca="1" si="502"/>
        <v>VIGENTE</v>
      </c>
      <c r="DQ163" s="3"/>
      <c r="DR163" s="4">
        <v>45685</v>
      </c>
      <c r="DS163" s="4">
        <f>DATE(YEAR(DR163)+2,MONTH(DR163),DAY(DR163)-1)</f>
        <v>46414</v>
      </c>
      <c r="DT163" s="8">
        <f t="shared" ca="1" si="503"/>
        <v>280</v>
      </c>
      <c r="DU163" s="5" t="str">
        <f t="shared" ca="1" si="504"/>
        <v>VIGENTE</v>
      </c>
      <c r="DV163" s="3"/>
      <c r="DW163" s="4">
        <v>45751</v>
      </c>
      <c r="DX163" s="4">
        <f>DATE(YEAR(DW163)+2,MONTH(DW163),DAY(DW163)-1)</f>
        <v>46480</v>
      </c>
      <c r="DY163" s="8">
        <f t="shared" ca="1" si="505"/>
        <v>346</v>
      </c>
      <c r="DZ163" s="5" t="str">
        <f t="shared" ca="1" si="506"/>
        <v>VIGENTE</v>
      </c>
      <c r="EA163" s="3"/>
      <c r="EB163" s="4">
        <v>45715</v>
      </c>
      <c r="EC163" s="4">
        <f>DATE(YEAR(EB163)+2,MONTH(EB163),DAY(EB163)-1)</f>
        <v>46444</v>
      </c>
      <c r="ED163" s="8">
        <f t="shared" ca="1" si="507"/>
        <v>310</v>
      </c>
      <c r="EE163" s="5" t="str">
        <f t="shared" ca="1" si="508"/>
        <v>VIGENTE</v>
      </c>
      <c r="EF163" s="3"/>
      <c r="EG163" s="3">
        <v>46085</v>
      </c>
      <c r="EH163" s="4">
        <f t="shared" si="575"/>
        <v>46450</v>
      </c>
      <c r="EI163" s="8">
        <f t="shared" ca="1" si="509"/>
        <v>316</v>
      </c>
      <c r="EJ163" s="5" t="str">
        <f t="shared" ca="1" si="510"/>
        <v>VIGENTE</v>
      </c>
      <c r="EK163" s="3"/>
      <c r="EL163" s="4">
        <v>45754</v>
      </c>
      <c r="EM163" s="4">
        <f>DATE(YEAR(EL163)+2,MONTH(EL163),DAY(EL163)-1)</f>
        <v>46483</v>
      </c>
      <c r="EN163" s="8">
        <f t="shared" ca="1" si="511"/>
        <v>349</v>
      </c>
      <c r="EO163" s="5" t="str">
        <f t="shared" ca="1" si="512"/>
        <v>VIGENTE</v>
      </c>
      <c r="EP163" s="2"/>
      <c r="EQ163" s="4">
        <v>45755</v>
      </c>
      <c r="ER163" s="4">
        <f>DATE(YEAR(EQ163)+2,MONTH(EQ163),DAY(EQ163)-1)</f>
        <v>46484</v>
      </c>
      <c r="ES163" s="8">
        <f t="shared" ca="1" si="513"/>
        <v>350</v>
      </c>
      <c r="ET163" s="5" t="str">
        <f t="shared" ca="1" si="514"/>
        <v>VIGENTE</v>
      </c>
      <c r="EU163" s="3"/>
      <c r="EV163" s="4">
        <v>45917</v>
      </c>
      <c r="EW163" s="4">
        <f t="shared" si="611"/>
        <v>46647</v>
      </c>
      <c r="EX163" s="8">
        <f t="shared" ca="1" si="515"/>
        <v>513</v>
      </c>
      <c r="EY163" s="5" t="str">
        <f t="shared" ca="1" si="516"/>
        <v>VIGENTE</v>
      </c>
      <c r="EZ163" s="3"/>
      <c r="FA163" s="4">
        <v>45951</v>
      </c>
      <c r="FB163" s="4">
        <f t="shared" si="612"/>
        <v>46681</v>
      </c>
      <c r="FC163" s="8">
        <f t="shared" ca="1" si="517"/>
        <v>547</v>
      </c>
      <c r="FD163" s="5" t="str">
        <f t="shared" ca="1" si="518"/>
        <v>VIGENTE</v>
      </c>
      <c r="FE163" s="3"/>
      <c r="FF163" s="4">
        <v>45832</v>
      </c>
      <c r="FG163" s="4">
        <f t="shared" si="613"/>
        <v>46562</v>
      </c>
      <c r="FH163" s="8">
        <f t="shared" ca="1" si="519"/>
        <v>428</v>
      </c>
      <c r="FI163" s="5" t="str">
        <f t="shared" ca="1" si="520"/>
        <v>VIGENTE</v>
      </c>
      <c r="FJ163" s="3"/>
      <c r="FK163" s="4">
        <v>45670</v>
      </c>
      <c r="FL163" s="4">
        <f>DATE(YEAR(FK163)+2,MONTH(FK163),DAY(FK163)-1)</f>
        <v>46399</v>
      </c>
      <c r="FM163" s="8">
        <f t="shared" ca="1" si="521"/>
        <v>265</v>
      </c>
      <c r="FN163" s="5" t="str">
        <f t="shared" ca="1" si="522"/>
        <v>VIGENTE</v>
      </c>
      <c r="FO163" s="3"/>
      <c r="FP163" s="4">
        <v>45747</v>
      </c>
      <c r="FQ163" s="4">
        <f>DATE(YEAR(FP163)+2,MONTH(FP163),DAY(FP163)-1)</f>
        <v>46476</v>
      </c>
      <c r="FR163" s="8">
        <f t="shared" ca="1" si="523"/>
        <v>342</v>
      </c>
      <c r="FS163" s="5" t="str">
        <f t="shared" ca="1" si="524"/>
        <v>VIGENTE</v>
      </c>
      <c r="FT163" s="4"/>
      <c r="FU163" s="4">
        <v>45574</v>
      </c>
      <c r="FV163" s="4">
        <f>DATE(YEAR(FU163)+2,MONTH(FU163),DAY(FU163)-1)</f>
        <v>46303</v>
      </c>
      <c r="FW163" s="8">
        <f t="shared" ca="1" si="525"/>
        <v>169</v>
      </c>
      <c r="FX163" s="5" t="str">
        <f t="shared" ca="1" si="526"/>
        <v>VIGENTE</v>
      </c>
      <c r="FY163" s="3"/>
      <c r="FZ163" s="4">
        <v>45722</v>
      </c>
      <c r="GA163" s="4">
        <f>DATE(YEAR(FZ163)+2,MONTH(FZ163),DAY(FZ163)-1)</f>
        <v>46451</v>
      </c>
      <c r="GB163" s="8">
        <f t="shared" ca="1" si="527"/>
        <v>317</v>
      </c>
      <c r="GC163" s="5" t="str">
        <f t="shared" ca="1" si="528"/>
        <v>VIGENTE</v>
      </c>
      <c r="GD163" s="3"/>
      <c r="GE163" s="4">
        <v>45729</v>
      </c>
      <c r="GF163" s="4">
        <f>DATE(YEAR(GE163)+2,MONTH(GE163),DAY(GE163)-1)</f>
        <v>46458</v>
      </c>
      <c r="GG163" s="8">
        <f t="shared" ca="1" si="529"/>
        <v>324</v>
      </c>
      <c r="GH163" s="5" t="str">
        <f t="shared" ca="1" si="530"/>
        <v>VIGENTE</v>
      </c>
      <c r="GI163" s="3"/>
      <c r="GJ163" s="4">
        <v>45848</v>
      </c>
      <c r="GK163" s="4">
        <f>DATE(YEAR(GJ163)+2,MONTH(GJ163),DAY(GJ163))</f>
        <v>46578</v>
      </c>
      <c r="GL163" s="8">
        <f t="shared" ca="1" si="531"/>
        <v>444</v>
      </c>
      <c r="GM163" s="5" t="str">
        <f t="shared" ca="1" si="532"/>
        <v>VIGENTE</v>
      </c>
      <c r="GN163" s="4"/>
      <c r="GO163" s="4">
        <v>45468</v>
      </c>
      <c r="GP163" s="4">
        <f t="shared" si="533"/>
        <v>47294</v>
      </c>
      <c r="GQ163" s="8">
        <f t="shared" ca="1" si="418"/>
        <v>1160</v>
      </c>
      <c r="GR163" s="5" t="str">
        <f t="shared" ca="1" si="431"/>
        <v>VIGENTE</v>
      </c>
      <c r="GS163" s="3"/>
      <c r="GT163" s="4">
        <v>45010</v>
      </c>
      <c r="GU163" s="4">
        <f t="shared" si="534"/>
        <v>46837</v>
      </c>
      <c r="GV163" s="8">
        <f t="shared" ca="1" si="535"/>
        <v>703</v>
      </c>
      <c r="GW163" s="5" t="str">
        <f t="shared" ca="1" si="438"/>
        <v>VIGENTE</v>
      </c>
      <c r="GX163" s="3"/>
      <c r="GY163" s="4">
        <v>45251</v>
      </c>
      <c r="GZ163" s="4">
        <f t="shared" si="536"/>
        <v>47078</v>
      </c>
      <c r="HA163" s="8">
        <f t="shared" ca="1" si="537"/>
        <v>944</v>
      </c>
      <c r="HB163" s="5" t="str">
        <f t="shared" ca="1" si="433"/>
        <v>VIGENTE</v>
      </c>
      <c r="HC163" s="6"/>
      <c r="HD163" s="6"/>
      <c r="HE163" s="4"/>
      <c r="HF163" s="8"/>
      <c r="HG163" s="5" t="str">
        <f t="shared" si="439"/>
        <v>NO APLICA</v>
      </c>
      <c r="HH163" s="2"/>
      <c r="HI163" s="6"/>
      <c r="HJ163" s="4"/>
      <c r="HK163" s="8"/>
      <c r="HL163" s="5" t="str">
        <f t="shared" si="457"/>
        <v>NO APLICA</v>
      </c>
      <c r="HM163" s="2"/>
      <c r="HN163" s="2"/>
      <c r="HO163" s="4"/>
      <c r="HP163" s="2"/>
      <c r="HQ163" s="5" t="str">
        <f t="shared" si="538"/>
        <v>NO APLICA</v>
      </c>
      <c r="HR163" s="2"/>
      <c r="HS163" s="6"/>
      <c r="HT163" s="4"/>
      <c r="HU163" s="8"/>
      <c r="HV163" s="5" t="str">
        <f t="shared" si="539"/>
        <v>NO APLICA</v>
      </c>
      <c r="HW163" s="2"/>
      <c r="HX163" s="6"/>
      <c r="HY163" s="4"/>
      <c r="HZ163" s="8"/>
      <c r="IA163" s="5" t="str">
        <f t="shared" si="540"/>
        <v>NO APLICA</v>
      </c>
      <c r="IB163" s="2"/>
      <c r="IC163" s="6"/>
      <c r="ID163" s="4"/>
      <c r="IE163" s="8"/>
      <c r="IF163" s="5" t="str">
        <f t="shared" si="541"/>
        <v>NO APLICA</v>
      </c>
      <c r="IG163" s="6"/>
      <c r="IH163" s="6"/>
      <c r="II163" s="4"/>
      <c r="IJ163" s="8"/>
      <c r="IK163" s="5" t="str">
        <f t="shared" si="542"/>
        <v>NO APLICA</v>
      </c>
      <c r="IL163" s="2"/>
      <c r="IM163" s="6"/>
      <c r="IN163" s="4"/>
      <c r="IO163" s="8"/>
      <c r="IP163" s="5" t="str">
        <f t="shared" si="543"/>
        <v>NO APLICA</v>
      </c>
      <c r="IQ163" s="2"/>
      <c r="IR163" s="6"/>
      <c r="IS163" s="4"/>
      <c r="IT163" s="8"/>
      <c r="IU163" s="5" t="str">
        <f t="shared" si="544"/>
        <v>NO APLICA</v>
      </c>
      <c r="IV163" s="2"/>
      <c r="IW163" s="6"/>
      <c r="IX163" s="4"/>
      <c r="IY163" s="8"/>
      <c r="IZ163" s="5" t="str">
        <f t="shared" si="545"/>
        <v>NO APLICA</v>
      </c>
      <c r="JA163" s="3"/>
      <c r="JB163" s="3"/>
      <c r="JC163" s="4"/>
      <c r="JD163" s="8"/>
      <c r="JE163" s="5" t="str">
        <f t="shared" si="546"/>
        <v>NO APLICA</v>
      </c>
      <c r="JF163" s="6"/>
      <c r="JG163" s="6"/>
      <c r="JH163" s="6"/>
      <c r="JI163" s="6"/>
      <c r="JJ163" s="5" t="str">
        <f t="shared" si="547"/>
        <v>NO APLICA</v>
      </c>
      <c r="JK163" s="6"/>
      <c r="JL163" s="6"/>
      <c r="JM163" s="6"/>
      <c r="JN163" s="6"/>
      <c r="JO163" s="5" t="str">
        <f t="shared" si="548"/>
        <v>NO APLICA</v>
      </c>
      <c r="JP163" s="6"/>
      <c r="JQ163" s="6"/>
      <c r="JR163" s="6"/>
      <c r="JS163" s="6"/>
      <c r="JT163" s="5" t="str">
        <f t="shared" si="549"/>
        <v>NO APLICA</v>
      </c>
      <c r="JU163" s="5"/>
      <c r="JV163" s="5"/>
      <c r="JW163" s="5"/>
      <c r="JX163" s="5"/>
      <c r="JY163" s="5" t="str">
        <f t="shared" si="550"/>
        <v>NO APLICA</v>
      </c>
      <c r="JZ163" s="5"/>
      <c r="KA163" s="2"/>
      <c r="KB163" s="4"/>
      <c r="KC163" s="8"/>
      <c r="KD163" s="5" t="str">
        <f t="shared" si="551"/>
        <v>NO APLICA</v>
      </c>
      <c r="KE163" s="5"/>
      <c r="KF163" s="2"/>
      <c r="KG163" s="4"/>
      <c r="KH163" s="8"/>
      <c r="KI163" s="5" t="str">
        <f t="shared" si="576"/>
        <v>NO APLICA</v>
      </c>
      <c r="KJ163" s="5"/>
      <c r="KK163" s="2"/>
      <c r="KL163" s="4"/>
      <c r="KM163" s="8"/>
      <c r="KN163" s="5" t="str">
        <f t="shared" si="552"/>
        <v>NO APLICA</v>
      </c>
      <c r="KO163" s="5"/>
      <c r="KP163" s="3">
        <v>45346</v>
      </c>
      <c r="KQ163" s="4">
        <f>DATE(YEAR(KP163)+5,MONTH(KP163),DAY(KP163))</f>
        <v>47173</v>
      </c>
      <c r="KR163" s="8">
        <f ca="1">KQ163-TODAY()</f>
        <v>1039</v>
      </c>
      <c r="KS163" s="5" t="str">
        <f t="shared" ca="1" si="577"/>
        <v>VIGENTE</v>
      </c>
      <c r="KT163" s="2"/>
      <c r="KU163" s="6"/>
      <c r="KV163" s="4"/>
      <c r="KW163" s="8"/>
      <c r="KX163" s="5" t="str">
        <f t="shared" si="583"/>
        <v>NO APLICA</v>
      </c>
      <c r="KY163" s="5"/>
      <c r="KZ163" s="6"/>
      <c r="LA163" s="4"/>
      <c r="LB163" s="8"/>
      <c r="LC163" s="5" t="str">
        <f t="shared" si="578"/>
        <v>NO APLICA</v>
      </c>
      <c r="LD163" s="6"/>
      <c r="LE163" s="6"/>
      <c r="LF163" s="4"/>
      <c r="LG163" s="8"/>
      <c r="LH163" s="5" t="str">
        <f t="shared" si="585"/>
        <v>NO APLICA</v>
      </c>
      <c r="LI163" s="5"/>
      <c r="LJ163" s="5"/>
      <c r="LK163" s="4"/>
      <c r="LL163" s="8"/>
      <c r="LM163" s="5" t="str">
        <f t="shared" si="584"/>
        <v>NO APLICA</v>
      </c>
      <c r="LN163" s="2"/>
      <c r="LO163" s="6"/>
      <c r="LP163" s="4"/>
      <c r="LQ163" s="8"/>
      <c r="LR163" s="5" t="str">
        <f t="shared" si="579"/>
        <v>NO APLICA</v>
      </c>
      <c r="LS163" s="6"/>
      <c r="LT163" s="6"/>
      <c r="LU163" s="4"/>
      <c r="LV163" s="8"/>
      <c r="LW163" s="5" t="str">
        <f t="shared" si="580"/>
        <v>NO APLICA</v>
      </c>
      <c r="LX163" s="6"/>
      <c r="LY163" s="6"/>
      <c r="LZ163" s="4"/>
      <c r="MA163" s="8"/>
      <c r="MB163" s="5" t="str">
        <f t="shared" si="581"/>
        <v>NO APLICA</v>
      </c>
      <c r="MC163" s="2"/>
      <c r="MD163" s="2"/>
      <c r="ME163" s="4"/>
      <c r="MF163" s="8"/>
      <c r="MG163" s="5" t="str">
        <f t="shared" si="554"/>
        <v>NO APLICA</v>
      </c>
      <c r="MH163" s="2"/>
      <c r="MI163" s="2"/>
      <c r="MJ163" s="4"/>
      <c r="MK163" s="8"/>
      <c r="ML163" s="5" t="str">
        <f t="shared" si="555"/>
        <v>NO APLICA</v>
      </c>
      <c r="MM163" s="5"/>
      <c r="MN163" s="2"/>
      <c r="MO163" s="4"/>
      <c r="MP163" s="8"/>
      <c r="MQ163" s="5" t="str">
        <f t="shared" si="556"/>
        <v>NO APLICA</v>
      </c>
      <c r="MR163" s="5"/>
      <c r="MS163" s="2"/>
      <c r="MT163" s="4"/>
      <c r="MU163" s="2"/>
      <c r="MV163" s="5" t="str">
        <f t="shared" si="557"/>
        <v>NO APLICA</v>
      </c>
      <c r="MW163" s="2"/>
      <c r="MX163" s="6"/>
      <c r="MY163" s="4"/>
      <c r="MZ163" s="8"/>
      <c r="NA163" s="5" t="str">
        <f t="shared" si="558"/>
        <v>NO APLICA</v>
      </c>
      <c r="NB163" s="2"/>
      <c r="NC163" s="6"/>
      <c r="ND163" s="4"/>
      <c r="NE163" s="8"/>
      <c r="NF163" s="5" t="str">
        <f t="shared" si="559"/>
        <v>NO APLICA</v>
      </c>
      <c r="NG163" s="2"/>
      <c r="NH163" s="6"/>
      <c r="NI163" s="4"/>
      <c r="NJ163" s="8"/>
      <c r="NK163" s="5" t="str">
        <f t="shared" si="560"/>
        <v>NO APLICA</v>
      </c>
      <c r="NL163" s="2"/>
      <c r="NM163" s="2"/>
      <c r="NN163" s="4"/>
      <c r="NO163" s="8"/>
      <c r="NP163" s="5" t="str">
        <f t="shared" si="561"/>
        <v>NO APLICA</v>
      </c>
      <c r="NQ163" s="2"/>
      <c r="NR163" s="2"/>
      <c r="NS163" s="4"/>
      <c r="NT163" s="2"/>
      <c r="NU163" s="5" t="str">
        <f t="shared" si="562"/>
        <v>NO APLICA</v>
      </c>
      <c r="NV163" s="6"/>
      <c r="NW163" s="6"/>
      <c r="NX163" s="4"/>
      <c r="NY163" s="8"/>
      <c r="NZ163" s="5" t="str">
        <f t="shared" si="563"/>
        <v>NO APLICA</v>
      </c>
      <c r="OA163" s="6"/>
      <c r="OB163" s="6"/>
      <c r="OC163" s="6"/>
      <c r="OD163" s="6"/>
      <c r="OE163" s="5" t="str">
        <f t="shared" si="564"/>
        <v>NO APLICA</v>
      </c>
      <c r="OF163" s="2"/>
      <c r="OG163" s="2"/>
      <c r="OH163" s="4"/>
      <c r="OI163" s="8"/>
      <c r="OJ163" s="5" t="str">
        <f t="shared" si="565"/>
        <v>NO APLICA</v>
      </c>
      <c r="OK163" s="6"/>
      <c r="OL163" s="6"/>
      <c r="OM163" s="6"/>
      <c r="ON163" s="6"/>
      <c r="OO163" s="5" t="str">
        <f t="shared" si="566"/>
        <v>NO APLICA</v>
      </c>
      <c r="OP163" s="6"/>
      <c r="OQ163" s="6"/>
      <c r="OR163" s="6"/>
      <c r="OS163" s="6"/>
      <c r="OT163" s="5" t="str">
        <f t="shared" si="567"/>
        <v>NO APLICA</v>
      </c>
      <c r="OU163" s="6"/>
      <c r="OV163" s="6"/>
      <c r="OW163" s="6"/>
      <c r="OX163" s="6"/>
      <c r="OY163" s="5" t="str">
        <f t="shared" si="568"/>
        <v>NO APLICA</v>
      </c>
      <c r="OZ163" s="6"/>
      <c r="PA163" s="6"/>
      <c r="PB163" s="6"/>
      <c r="PC163" s="6"/>
      <c r="PD163" s="5" t="str">
        <f t="shared" si="569"/>
        <v>NO APLICA</v>
      </c>
      <c r="PE163" s="6"/>
      <c r="PF163" s="6"/>
      <c r="PG163" s="6"/>
      <c r="PH163" s="6"/>
      <c r="PI163" s="5" t="str">
        <f t="shared" si="570"/>
        <v>NO APLICA</v>
      </c>
      <c r="PJ163" s="5"/>
      <c r="PK163" s="6"/>
      <c r="PL163" s="4"/>
      <c r="PM163" s="8"/>
      <c r="PN163" s="5" t="str">
        <f t="shared" si="571"/>
        <v>NO APLICA</v>
      </c>
      <c r="PO163" s="6"/>
      <c r="PP163" s="6"/>
      <c r="PQ163" s="6"/>
      <c r="PR163" s="6"/>
      <c r="PS163" s="5" t="str">
        <f t="shared" si="572"/>
        <v>NO APLICA</v>
      </c>
      <c r="PT163" s="5"/>
      <c r="PU163" s="6"/>
      <c r="PV163" s="6"/>
      <c r="PW163" s="6"/>
      <c r="PX163" s="5" t="str">
        <f t="shared" si="573"/>
        <v>NO APLICA</v>
      </c>
    </row>
    <row r="164" spans="1:440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2" t="s">
        <v>531</v>
      </c>
      <c r="V164" s="4">
        <v>45156</v>
      </c>
      <c r="W164" s="4">
        <f t="shared" si="606"/>
        <v>46983</v>
      </c>
      <c r="X164" s="8">
        <f t="shared" ca="1" si="607"/>
        <v>849</v>
      </c>
      <c r="Y164" s="5" t="str">
        <f t="shared" ca="1" si="423"/>
        <v>VIGENTE</v>
      </c>
      <c r="Z164" s="2" t="s">
        <v>532</v>
      </c>
      <c r="AA164" s="4">
        <v>45162</v>
      </c>
      <c r="AB164" s="4">
        <f>DATE(YEAR(AA164)+5,MONTH(AA164),DAY(AA164))</f>
        <v>46989</v>
      </c>
      <c r="AC164" s="8">
        <f ca="1">AB164-TODAY()</f>
        <v>855</v>
      </c>
      <c r="AD164" s="5" t="str">
        <f t="shared" ca="1" si="603"/>
        <v>VIGENTE</v>
      </c>
      <c r="AE164" s="3"/>
      <c r="AF164" s="4">
        <v>46006</v>
      </c>
      <c r="AG164" s="4">
        <f>DATE(YEAR(AF164)+2,MONTH(AF164),DAY(AF164))</f>
        <v>46736</v>
      </c>
      <c r="AH164" s="8">
        <f t="shared" ca="1" si="470"/>
        <v>602</v>
      </c>
      <c r="AI164" s="5" t="str">
        <f t="shared" ca="1" si="419"/>
        <v>VIGENTE</v>
      </c>
      <c r="AJ164" s="3"/>
      <c r="AK164" s="4">
        <v>45926</v>
      </c>
      <c r="AL164" s="4">
        <f>DATE(YEAR(AK164)+2,MONTH(AK164),DAY(AK164))</f>
        <v>46656</v>
      </c>
      <c r="AM164" s="8">
        <f t="shared" ca="1" si="471"/>
        <v>522</v>
      </c>
      <c r="AN164" s="5" t="str">
        <f t="shared" ca="1" si="472"/>
        <v>VIGENTE</v>
      </c>
      <c r="AO164" s="3"/>
      <c r="AP164" s="4">
        <v>45904</v>
      </c>
      <c r="AQ164" s="4">
        <f>DATE(YEAR(AP164)+2,MONTH(AP164),DAY(AP164))</f>
        <v>46634</v>
      </c>
      <c r="AR164" s="8">
        <f t="shared" ca="1" si="473"/>
        <v>500</v>
      </c>
      <c r="AS164" s="5" t="str">
        <f t="shared" ca="1" si="474"/>
        <v>VIGENTE</v>
      </c>
      <c r="AT164" s="3"/>
      <c r="AU164" s="4">
        <v>45972</v>
      </c>
      <c r="AV164" s="4">
        <f>DATE(YEAR(AU164)+2,MONTH(AU164),DAY(AU164))</f>
        <v>46702</v>
      </c>
      <c r="AW164" s="8">
        <f t="shared" ca="1" si="475"/>
        <v>568</v>
      </c>
      <c r="AX164" s="5" t="str">
        <f t="shared" ca="1" si="476"/>
        <v>VIGENTE</v>
      </c>
      <c r="AY164" s="3"/>
      <c r="AZ164" s="4">
        <v>45943</v>
      </c>
      <c r="BA164" s="4">
        <f>DATE(YEAR(AZ164)+2,MONTH(AZ164),DAY(AZ164))</f>
        <v>46673</v>
      </c>
      <c r="BB164" s="8">
        <f t="shared" ca="1" si="477"/>
        <v>539</v>
      </c>
      <c r="BC164" s="5" t="str">
        <f t="shared" ca="1" si="478"/>
        <v>VIGENTE</v>
      </c>
      <c r="BD164" s="3"/>
      <c r="BE164" s="4">
        <v>45842</v>
      </c>
      <c r="BF164" s="4">
        <f>DATE(YEAR(BE164)+2,MONTH(BE164),DAY(BE164))</f>
        <v>46572</v>
      </c>
      <c r="BG164" s="8">
        <f t="shared" ca="1" si="479"/>
        <v>438</v>
      </c>
      <c r="BH164" s="5" t="str">
        <f t="shared" ca="1" si="480"/>
        <v>VIGENTE</v>
      </c>
      <c r="BI164" s="3"/>
      <c r="BJ164" s="4">
        <v>45976</v>
      </c>
      <c r="BK164" s="4">
        <f>DATE(YEAR(BJ164)+2,MONTH(BJ164),DAY(BJ164))</f>
        <v>46706</v>
      </c>
      <c r="BL164" s="8">
        <f t="shared" ca="1" si="481"/>
        <v>572</v>
      </c>
      <c r="BM164" s="5" t="str">
        <f t="shared" ca="1" si="482"/>
        <v>VIGENTE</v>
      </c>
      <c r="BN164" s="3"/>
      <c r="BO164" s="4">
        <v>45841</v>
      </c>
      <c r="BP164" s="4">
        <f>DATE(YEAR(BO164)+2,MONTH(BO164),DAY(BO164))</f>
        <v>46571</v>
      </c>
      <c r="BQ164" s="8">
        <f t="shared" ca="1" si="483"/>
        <v>437</v>
      </c>
      <c r="BR164" s="5" t="str">
        <f t="shared" ca="1" si="484"/>
        <v>VIGENTE</v>
      </c>
      <c r="BS164" s="2"/>
      <c r="BT164" s="4">
        <v>45950</v>
      </c>
      <c r="BU164" s="4">
        <f>DATE(YEAR(BT164)+2,MONTH(BT164),DAY(BT164))</f>
        <v>46680</v>
      </c>
      <c r="BV164" s="8">
        <f t="shared" ca="1" si="485"/>
        <v>546</v>
      </c>
      <c r="BW164" s="5" t="str">
        <f t="shared" ca="1" si="486"/>
        <v>VIGENTE</v>
      </c>
      <c r="BX164" s="3"/>
      <c r="BY164" s="4">
        <v>45894</v>
      </c>
      <c r="BZ164" s="4">
        <f t="shared" si="608"/>
        <v>46624</v>
      </c>
      <c r="CA164" s="8">
        <f t="shared" ca="1" si="487"/>
        <v>490</v>
      </c>
      <c r="CB164" s="5" t="str">
        <f t="shared" ca="1" si="488"/>
        <v>VIGENTE</v>
      </c>
      <c r="CC164" s="6" t="s">
        <v>73</v>
      </c>
      <c r="CD164" s="4">
        <v>45164</v>
      </c>
      <c r="CE164" s="4">
        <f t="shared" si="609"/>
        <v>46625</v>
      </c>
      <c r="CF164" s="8">
        <f t="shared" ca="1" si="610"/>
        <v>491</v>
      </c>
      <c r="CG164" s="5" t="str">
        <f t="shared" ca="1" si="591"/>
        <v>VIGENTE</v>
      </c>
      <c r="CH164" s="6"/>
      <c r="CI164" s="4">
        <v>45929</v>
      </c>
      <c r="CJ164" s="4">
        <f>DATE(YEAR(CI164)+2,MONTH(CI164),DAY(CI164))</f>
        <v>46659</v>
      </c>
      <c r="CK164" s="8">
        <f t="shared" ca="1" si="489"/>
        <v>525</v>
      </c>
      <c r="CL164" s="5" t="str">
        <f t="shared" ca="1" si="490"/>
        <v>VIGENTE</v>
      </c>
      <c r="CM164" s="3"/>
      <c r="CN164" s="4">
        <v>45898</v>
      </c>
      <c r="CO164" s="4">
        <f>DATE(YEAR(CN164)+2,MONTH(CN164),DAY(CN164))</f>
        <v>46628</v>
      </c>
      <c r="CP164" s="8">
        <f t="shared" ca="1" si="491"/>
        <v>494</v>
      </c>
      <c r="CQ164" s="5" t="str">
        <f t="shared" ca="1" si="492"/>
        <v>VIGENTE</v>
      </c>
      <c r="CR164" s="3"/>
      <c r="CS164" s="4">
        <v>45965</v>
      </c>
      <c r="CT164" s="4">
        <f>DATE(YEAR(CS164)+2,MONTH(CS164),DAY(CS164))</f>
        <v>46695</v>
      </c>
      <c r="CU164" s="8">
        <f t="shared" ca="1" si="493"/>
        <v>561</v>
      </c>
      <c r="CV164" s="5" t="str">
        <f t="shared" ca="1" si="494"/>
        <v>VIGENTE</v>
      </c>
      <c r="CW164" s="3"/>
      <c r="CX164" s="4">
        <v>46000</v>
      </c>
      <c r="CY164" s="4">
        <f>DATE(YEAR(CX164)+2,MONTH(CX164),DAY(CX164))</f>
        <v>46730</v>
      </c>
      <c r="CZ164" s="8">
        <f t="shared" ca="1" si="495"/>
        <v>596</v>
      </c>
      <c r="DA164" s="5" t="str">
        <f t="shared" ca="1" si="496"/>
        <v>VIGENTE</v>
      </c>
      <c r="DB164" s="3"/>
      <c r="DC164" s="4">
        <v>45836</v>
      </c>
      <c r="DD164" s="4">
        <f>DATE(YEAR(DC164)+2,MONTH(DC164),DAY(DC164))</f>
        <v>46566</v>
      </c>
      <c r="DE164" s="8">
        <f t="shared" ca="1" si="497"/>
        <v>432</v>
      </c>
      <c r="DF164" s="5" t="str">
        <f t="shared" ca="1" si="498"/>
        <v>VIGENTE</v>
      </c>
      <c r="DG164" s="3"/>
      <c r="DH164" s="4">
        <v>45779</v>
      </c>
      <c r="DI164" s="4">
        <f>DATE(YEAR(DH164)+2,MONTH(DH164),DAY(DH164))</f>
        <v>46509</v>
      </c>
      <c r="DJ164" s="8">
        <f t="shared" ca="1" si="499"/>
        <v>375</v>
      </c>
      <c r="DK164" s="5" t="str">
        <f t="shared" ca="1" si="500"/>
        <v>VIGENTE</v>
      </c>
      <c r="DL164" s="3"/>
      <c r="DM164" s="4">
        <v>45982</v>
      </c>
      <c r="DN164" s="4">
        <f>DATE(YEAR(DM164)+2,MONTH(DM164),DAY(DM164))</f>
        <v>46712</v>
      </c>
      <c r="DO164" s="8">
        <f t="shared" ca="1" si="501"/>
        <v>578</v>
      </c>
      <c r="DP164" s="5" t="str">
        <f t="shared" ca="1" si="502"/>
        <v>VIGENTE</v>
      </c>
      <c r="DQ164" s="4"/>
      <c r="DR164" s="4">
        <v>46018</v>
      </c>
      <c r="DS164" s="4">
        <f>DATE(YEAR(DR164)+2,MONTH(DR164),DAY(DR164))</f>
        <v>46748</v>
      </c>
      <c r="DT164" s="8">
        <f t="shared" ca="1" si="503"/>
        <v>614</v>
      </c>
      <c r="DU164" s="5" t="str">
        <f t="shared" ca="1" si="504"/>
        <v>VIGENTE</v>
      </c>
      <c r="DV164" s="3"/>
      <c r="DW164" s="4">
        <v>45915</v>
      </c>
      <c r="DX164" s="4">
        <f>DATE(YEAR(DW164)+2,MONTH(DW164),DAY(DW164))</f>
        <v>46645</v>
      </c>
      <c r="DY164" s="8">
        <f t="shared" ca="1" si="505"/>
        <v>511</v>
      </c>
      <c r="DZ164" s="5" t="str">
        <f t="shared" ca="1" si="506"/>
        <v>VIGENTE</v>
      </c>
      <c r="EA164" s="3"/>
      <c r="EB164" s="4">
        <v>45913</v>
      </c>
      <c r="EC164" s="4">
        <f>DATE(YEAR(EB164)+2,MONTH(EB164),DAY(EB164))</f>
        <v>46643</v>
      </c>
      <c r="ED164" s="8">
        <f t="shared" ca="1" si="507"/>
        <v>509</v>
      </c>
      <c r="EE164" s="5" t="str">
        <f t="shared" ca="1" si="508"/>
        <v>VIGENTE</v>
      </c>
      <c r="EF164" s="3"/>
      <c r="EG164" s="4">
        <v>45812</v>
      </c>
      <c r="EH164" s="4">
        <f t="shared" si="575"/>
        <v>46177</v>
      </c>
      <c r="EI164" s="8">
        <f t="shared" ca="1" si="509"/>
        <v>43</v>
      </c>
      <c r="EJ164" s="5" t="str">
        <f t="shared" ca="1" si="510"/>
        <v>POR VENCER</v>
      </c>
      <c r="EK164" s="3"/>
      <c r="EL164" s="4">
        <v>45940</v>
      </c>
      <c r="EM164" s="4">
        <f>DATE(YEAR(EL164)+2,MONTH(EL164),DAY(EL164))</f>
        <v>46670</v>
      </c>
      <c r="EN164" s="8">
        <f t="shared" ca="1" si="511"/>
        <v>536</v>
      </c>
      <c r="EO164" s="5" t="str">
        <f t="shared" ca="1" si="512"/>
        <v>VIGENTE</v>
      </c>
      <c r="EP164" s="3"/>
      <c r="EQ164" s="4">
        <v>45824</v>
      </c>
      <c r="ER164" s="4">
        <f>DATE(YEAR(EQ164)+2,MONTH(EQ164),DAY(EQ164))</f>
        <v>46554</v>
      </c>
      <c r="ES164" s="8">
        <f t="shared" ca="1" si="513"/>
        <v>420</v>
      </c>
      <c r="ET164" s="5" t="str">
        <f t="shared" ca="1" si="514"/>
        <v>VIGENTE</v>
      </c>
      <c r="EU164" s="2"/>
      <c r="EV164" s="4">
        <v>45953</v>
      </c>
      <c r="EW164" s="4">
        <f t="shared" si="611"/>
        <v>46683</v>
      </c>
      <c r="EX164" s="8">
        <f t="shared" ca="1" si="515"/>
        <v>549</v>
      </c>
      <c r="EY164" s="5" t="str">
        <f t="shared" ca="1" si="516"/>
        <v>VIGENTE</v>
      </c>
      <c r="EZ164" s="3"/>
      <c r="FA164" s="4">
        <v>45931</v>
      </c>
      <c r="FB164" s="4">
        <f t="shared" si="612"/>
        <v>46661</v>
      </c>
      <c r="FC164" s="8">
        <f t="shared" ca="1" si="517"/>
        <v>527</v>
      </c>
      <c r="FD164" s="5" t="str">
        <f t="shared" ca="1" si="518"/>
        <v>VIGENTE</v>
      </c>
      <c r="FE164" s="3"/>
      <c r="FF164" s="4">
        <v>45969</v>
      </c>
      <c r="FG164" s="4">
        <f t="shared" si="613"/>
        <v>46699</v>
      </c>
      <c r="FH164" s="8">
        <f t="shared" ca="1" si="519"/>
        <v>565</v>
      </c>
      <c r="FI164" s="5" t="str">
        <f t="shared" ca="1" si="520"/>
        <v>VIGENTE</v>
      </c>
      <c r="FJ164" s="3"/>
      <c r="FK164" s="4">
        <v>45933</v>
      </c>
      <c r="FL164" s="4">
        <f>DATE(YEAR(FK164)+2,MONTH(FK164),DAY(FK164))</f>
        <v>46663</v>
      </c>
      <c r="FM164" s="8">
        <f t="shared" ca="1" si="521"/>
        <v>529</v>
      </c>
      <c r="FN164" s="5" t="str">
        <f t="shared" ca="1" si="522"/>
        <v>VIGENTE</v>
      </c>
      <c r="FO164" s="3"/>
      <c r="FP164" s="4">
        <v>45957</v>
      </c>
      <c r="FQ164" s="4">
        <f>DATE(YEAR(FP164)+2,MONTH(FP164),DAY(FP164))</f>
        <v>46687</v>
      </c>
      <c r="FR164" s="8">
        <f t="shared" ca="1" si="523"/>
        <v>553</v>
      </c>
      <c r="FS164" s="5" t="str">
        <f t="shared" ca="1" si="524"/>
        <v>VIGENTE</v>
      </c>
      <c r="FT164" s="3"/>
      <c r="FU164" s="4">
        <v>45993</v>
      </c>
      <c r="FV164" s="4">
        <f>DATE(YEAR(FU164)+2,MONTH(FU164),DAY(FU164))</f>
        <v>46723</v>
      </c>
      <c r="FW164" s="8">
        <f t="shared" ca="1" si="525"/>
        <v>589</v>
      </c>
      <c r="FX164" s="5" t="str">
        <f t="shared" ca="1" si="526"/>
        <v>VIGENTE</v>
      </c>
      <c r="FY164" s="3"/>
      <c r="FZ164" s="4">
        <v>45925</v>
      </c>
      <c r="GA164" s="4">
        <f>DATE(YEAR(FZ164)+2,MONTH(FZ164),DAY(FZ164))</f>
        <v>46655</v>
      </c>
      <c r="GB164" s="8">
        <f t="shared" ca="1" si="527"/>
        <v>521</v>
      </c>
      <c r="GC164" s="5" t="str">
        <f t="shared" ca="1" si="528"/>
        <v>VIGENTE</v>
      </c>
      <c r="GD164" s="3"/>
      <c r="GE164" s="4">
        <v>45960</v>
      </c>
      <c r="GF164" s="4">
        <f>DATE(YEAR(GE164)+2,MONTH(GE164),DAY(GE164))</f>
        <v>46690</v>
      </c>
      <c r="GG164" s="8">
        <f t="shared" ca="1" si="529"/>
        <v>556</v>
      </c>
      <c r="GH164" s="5" t="str">
        <f t="shared" ca="1" si="530"/>
        <v>VIGENTE</v>
      </c>
      <c r="GI164" s="3"/>
      <c r="GJ164" s="4">
        <v>45923</v>
      </c>
      <c r="GK164" s="4">
        <f>DATE(YEAR(GJ164)+2,MONTH(GJ164),DAY(GJ164))</f>
        <v>46653</v>
      </c>
      <c r="GL164" s="8">
        <f t="shared" ca="1" si="531"/>
        <v>519</v>
      </c>
      <c r="GM164" s="5" t="str">
        <f t="shared" ca="1" si="532"/>
        <v>VIGENTE</v>
      </c>
      <c r="GN164" s="4"/>
      <c r="GO164" s="4">
        <v>45265</v>
      </c>
      <c r="GP164" s="4">
        <f t="shared" si="533"/>
        <v>47092</v>
      </c>
      <c r="GQ164" s="8">
        <f t="shared" ca="1" si="418"/>
        <v>958</v>
      </c>
      <c r="GR164" s="5" t="str">
        <f t="shared" ca="1" si="431"/>
        <v>VIGENTE</v>
      </c>
      <c r="GS164" s="3"/>
      <c r="GT164" s="4">
        <v>45245</v>
      </c>
      <c r="GU164" s="4">
        <f t="shared" si="534"/>
        <v>47072</v>
      </c>
      <c r="GV164" s="8">
        <f t="shared" ca="1" si="535"/>
        <v>938</v>
      </c>
      <c r="GW164" s="5" t="str">
        <f t="shared" ca="1" si="438"/>
        <v>VIGENTE</v>
      </c>
      <c r="GX164" s="2"/>
      <c r="GY164" s="4">
        <v>45249</v>
      </c>
      <c r="GZ164" s="4">
        <f t="shared" si="536"/>
        <v>47076</v>
      </c>
      <c r="HA164" s="8">
        <f t="shared" ca="1" si="537"/>
        <v>942</v>
      </c>
      <c r="HB164" s="5" t="str">
        <f t="shared" ca="1" si="433"/>
        <v>VIGENTE</v>
      </c>
      <c r="HC164" s="6"/>
      <c r="HD164" s="4">
        <v>45222</v>
      </c>
      <c r="HE164" s="4">
        <f>DATE(YEAR(HD164)+5,MONTH(HD164),DAY(HD164))</f>
        <v>47049</v>
      </c>
      <c r="HF164" s="8">
        <f ca="1">HE164-TODAY()</f>
        <v>915</v>
      </c>
      <c r="HG164" s="5" t="str">
        <f t="shared" ca="1" si="439"/>
        <v>VIGENTE</v>
      </c>
      <c r="HH164" s="2"/>
      <c r="HI164" s="6"/>
      <c r="HJ164" s="4"/>
      <c r="HK164" s="8"/>
      <c r="HL164" s="5" t="str">
        <f t="shared" si="457"/>
        <v>NO APLICA</v>
      </c>
      <c r="HM164" s="2"/>
      <c r="HN164" s="2"/>
      <c r="HO164" s="4"/>
      <c r="HP164" s="2"/>
      <c r="HQ164" s="5" t="str">
        <f t="shared" si="538"/>
        <v>NO APLICA</v>
      </c>
      <c r="HR164" s="2"/>
      <c r="HS164" s="6"/>
      <c r="HT164" s="4"/>
      <c r="HU164" s="8"/>
      <c r="HV164" s="5" t="str">
        <f t="shared" si="539"/>
        <v>NO APLICA</v>
      </c>
      <c r="HW164" s="2"/>
      <c r="HX164" s="6"/>
      <c r="HY164" s="4"/>
      <c r="HZ164" s="8"/>
      <c r="IA164" s="5" t="str">
        <f t="shared" si="540"/>
        <v>NO APLICA</v>
      </c>
      <c r="IB164" s="2"/>
      <c r="IC164" s="6"/>
      <c r="ID164" s="4"/>
      <c r="IE164" s="8"/>
      <c r="IF164" s="5" t="str">
        <f t="shared" si="541"/>
        <v>NO APLICA</v>
      </c>
      <c r="IG164" s="6"/>
      <c r="IH164" s="6"/>
      <c r="II164" s="4"/>
      <c r="IJ164" s="8"/>
      <c r="IK164" s="5" t="str">
        <f t="shared" si="542"/>
        <v>NO APLICA</v>
      </c>
      <c r="IL164" s="2"/>
      <c r="IM164" s="6"/>
      <c r="IN164" s="4"/>
      <c r="IO164" s="8"/>
      <c r="IP164" s="5" t="str">
        <f t="shared" si="543"/>
        <v>NO APLICA</v>
      </c>
      <c r="IQ164" s="2"/>
      <c r="IR164" s="6"/>
      <c r="IS164" s="4"/>
      <c r="IT164" s="8"/>
      <c r="IU164" s="5" t="str">
        <f t="shared" si="544"/>
        <v>NO APLICA</v>
      </c>
      <c r="IV164" s="2"/>
      <c r="IW164" s="6"/>
      <c r="IX164" s="4"/>
      <c r="IY164" s="8"/>
      <c r="IZ164" s="5" t="str">
        <f t="shared" si="545"/>
        <v>NO APLICA</v>
      </c>
      <c r="JA164" s="3"/>
      <c r="JB164" s="3"/>
      <c r="JC164" s="4"/>
      <c r="JD164" s="8"/>
      <c r="JE164" s="5" t="str">
        <f t="shared" si="546"/>
        <v>NO APLICA</v>
      </c>
      <c r="JF164" s="6"/>
      <c r="JG164" s="6"/>
      <c r="JH164" s="6"/>
      <c r="JI164" s="6"/>
      <c r="JJ164" s="5" t="str">
        <f t="shared" si="547"/>
        <v>NO APLICA</v>
      </c>
      <c r="JK164" s="6"/>
      <c r="JL164" s="6"/>
      <c r="JM164" s="6"/>
      <c r="JN164" s="6"/>
      <c r="JO164" s="5" t="str">
        <f t="shared" si="548"/>
        <v>NO APLICA</v>
      </c>
      <c r="JP164" s="6"/>
      <c r="JQ164" s="6"/>
      <c r="JR164" s="6"/>
      <c r="JS164" s="6"/>
      <c r="JT164" s="5" t="str">
        <f t="shared" si="549"/>
        <v>NO APLICA</v>
      </c>
      <c r="JU164" s="5"/>
      <c r="JV164" s="5"/>
      <c r="JW164" s="5"/>
      <c r="JX164" s="5"/>
      <c r="JY164" s="5" t="str">
        <f t="shared" si="550"/>
        <v>NO APLICA</v>
      </c>
      <c r="JZ164" s="5"/>
      <c r="KA164" s="2"/>
      <c r="KB164" s="4"/>
      <c r="KC164" s="8"/>
      <c r="KD164" s="5" t="str">
        <f t="shared" si="551"/>
        <v>NO APLICA</v>
      </c>
      <c r="KE164" s="5"/>
      <c r="KF164" s="2"/>
      <c r="KG164" s="4"/>
      <c r="KH164" s="8"/>
      <c r="KI164" s="5" t="str">
        <f t="shared" si="576"/>
        <v>NO APLICA</v>
      </c>
      <c r="KJ164" s="5"/>
      <c r="KK164" s="2"/>
      <c r="KL164" s="4"/>
      <c r="KM164" s="8"/>
      <c r="KN164" s="5" t="str">
        <f t="shared" si="552"/>
        <v>NO APLICA</v>
      </c>
      <c r="KO164" s="5"/>
      <c r="KP164" s="2"/>
      <c r="KQ164" s="4"/>
      <c r="KR164" s="8"/>
      <c r="KS164" s="5" t="str">
        <f t="shared" si="577"/>
        <v>NO APLICA</v>
      </c>
      <c r="KT164" s="2"/>
      <c r="KU164" s="6"/>
      <c r="KV164" s="4"/>
      <c r="KW164" s="8"/>
      <c r="KX164" s="5" t="str">
        <f t="shared" si="583"/>
        <v>NO APLICA</v>
      </c>
      <c r="KY164" s="5"/>
      <c r="KZ164" s="6"/>
      <c r="LA164" s="4"/>
      <c r="LB164" s="8"/>
      <c r="LC164" s="5" t="str">
        <f t="shared" si="578"/>
        <v>NO APLICA</v>
      </c>
      <c r="LD164" s="6"/>
      <c r="LE164" s="4"/>
      <c r="LF164" s="4"/>
      <c r="LG164" s="8"/>
      <c r="LH164" s="5" t="str">
        <f t="shared" si="585"/>
        <v>NO APLICA</v>
      </c>
      <c r="LI164" s="5"/>
      <c r="LJ164" s="5"/>
      <c r="LK164" s="5"/>
      <c r="LL164" s="5"/>
      <c r="LM164" s="5" t="str">
        <f t="shared" si="584"/>
        <v>NO APLICA</v>
      </c>
      <c r="LN164" s="2"/>
      <c r="LO164" s="6"/>
      <c r="LP164" s="4"/>
      <c r="LQ164" s="8"/>
      <c r="LR164" s="5" t="str">
        <f t="shared" si="579"/>
        <v>NO APLICA</v>
      </c>
      <c r="LS164" s="6"/>
      <c r="LT164" s="6"/>
      <c r="LU164" s="4"/>
      <c r="LV164" s="8"/>
      <c r="LW164" s="5" t="str">
        <f t="shared" si="580"/>
        <v>NO APLICA</v>
      </c>
      <c r="LX164" s="6"/>
      <c r="LY164" s="6"/>
      <c r="LZ164" s="4"/>
      <c r="MA164" s="8"/>
      <c r="MB164" s="5" t="str">
        <f t="shared" si="581"/>
        <v>NO APLICA</v>
      </c>
      <c r="MC164" s="2"/>
      <c r="MD164" s="2"/>
      <c r="ME164" s="4"/>
      <c r="MF164" s="8"/>
      <c r="MG164" s="5" t="str">
        <f t="shared" si="554"/>
        <v>NO APLICA</v>
      </c>
      <c r="MH164" s="2"/>
      <c r="MI164" s="2"/>
      <c r="MJ164" s="4"/>
      <c r="MK164" s="8"/>
      <c r="ML164" s="5" t="str">
        <f t="shared" si="555"/>
        <v>NO APLICA</v>
      </c>
      <c r="MM164" s="5"/>
      <c r="MN164" s="2"/>
      <c r="MO164" s="4"/>
      <c r="MP164" s="8"/>
      <c r="MQ164" s="5" t="str">
        <f t="shared" si="556"/>
        <v>NO APLICA</v>
      </c>
      <c r="MR164" s="5"/>
      <c r="MS164" s="2"/>
      <c r="MT164" s="4"/>
      <c r="MU164" s="2"/>
      <c r="MV164" s="5" t="str">
        <f t="shared" si="557"/>
        <v>NO APLICA</v>
      </c>
      <c r="MW164" s="2"/>
      <c r="MX164" s="6"/>
      <c r="MY164" s="4"/>
      <c r="MZ164" s="8"/>
      <c r="NA164" s="5" t="str">
        <f t="shared" si="558"/>
        <v>NO APLICA</v>
      </c>
      <c r="NB164" s="2"/>
      <c r="NC164" s="6"/>
      <c r="ND164" s="4"/>
      <c r="NE164" s="8"/>
      <c r="NF164" s="5" t="str">
        <f t="shared" si="559"/>
        <v>NO APLICA</v>
      </c>
      <c r="NG164" s="2"/>
      <c r="NH164" s="6"/>
      <c r="NI164" s="4"/>
      <c r="NJ164" s="8"/>
      <c r="NK164" s="5" t="str">
        <f t="shared" si="560"/>
        <v>NO APLICA</v>
      </c>
      <c r="NL164" s="2"/>
      <c r="NM164" s="2"/>
      <c r="NN164" s="4"/>
      <c r="NO164" s="8"/>
      <c r="NP164" s="5" t="str">
        <f t="shared" si="561"/>
        <v>NO APLICA</v>
      </c>
      <c r="NQ164" s="2"/>
      <c r="NR164" s="2"/>
      <c r="NS164" s="4"/>
      <c r="NT164" s="2"/>
      <c r="NU164" s="5" t="str">
        <f t="shared" si="562"/>
        <v>NO APLICA</v>
      </c>
      <c r="NV164" s="6"/>
      <c r="NW164" s="6"/>
      <c r="NX164" s="4"/>
      <c r="NY164" s="8"/>
      <c r="NZ164" s="5" t="str">
        <f t="shared" si="563"/>
        <v>NO APLICA</v>
      </c>
      <c r="OA164" s="6"/>
      <c r="OB164" s="6"/>
      <c r="OC164" s="6"/>
      <c r="OD164" s="6"/>
      <c r="OE164" s="5" t="str">
        <f t="shared" si="564"/>
        <v>NO APLICA</v>
      </c>
      <c r="OF164" s="6"/>
      <c r="OG164" s="6"/>
      <c r="OH164" s="4"/>
      <c r="OI164" s="8"/>
      <c r="OJ164" s="5" t="str">
        <f t="shared" si="565"/>
        <v>NO APLICA</v>
      </c>
      <c r="OK164" s="6"/>
      <c r="OL164" s="6"/>
      <c r="OM164" s="6"/>
      <c r="ON164" s="6"/>
      <c r="OO164" s="5" t="str">
        <f t="shared" si="566"/>
        <v>NO APLICA</v>
      </c>
      <c r="OP164" s="6"/>
      <c r="OQ164" s="6"/>
      <c r="OR164" s="6"/>
      <c r="OS164" s="6"/>
      <c r="OT164" s="5" t="str">
        <f t="shared" si="567"/>
        <v>NO APLICA</v>
      </c>
      <c r="OU164" s="6"/>
      <c r="OV164" s="6"/>
      <c r="OW164" s="6"/>
      <c r="OX164" s="6"/>
      <c r="OY164" s="5" t="str">
        <f t="shared" si="568"/>
        <v>NO APLICA</v>
      </c>
      <c r="OZ164" s="6"/>
      <c r="PA164" s="6"/>
      <c r="PB164" s="6"/>
      <c r="PC164" s="6"/>
      <c r="PD164" s="5" t="str">
        <f t="shared" si="569"/>
        <v>NO APLICA</v>
      </c>
      <c r="PE164" s="6"/>
      <c r="PF164" s="6"/>
      <c r="PG164" s="6"/>
      <c r="PH164" s="6"/>
      <c r="PI164" s="5" t="str">
        <f t="shared" si="570"/>
        <v>NO APLICA</v>
      </c>
      <c r="PJ164" s="5"/>
      <c r="PK164" s="6"/>
      <c r="PL164" s="4"/>
      <c r="PM164" s="8"/>
      <c r="PN164" s="5" t="str">
        <f t="shared" si="571"/>
        <v>NO APLICA</v>
      </c>
      <c r="PO164" s="6"/>
      <c r="PP164" s="6"/>
      <c r="PQ164" s="6"/>
      <c r="PR164" s="6"/>
      <c r="PS164" s="5" t="str">
        <f t="shared" si="572"/>
        <v>NO APLICA</v>
      </c>
      <c r="PT164" s="5"/>
      <c r="PU164" s="6"/>
      <c r="PV164" s="6"/>
      <c r="PW164" s="6"/>
      <c r="PX164" s="5" t="str">
        <f t="shared" si="573"/>
        <v>NO APLICA</v>
      </c>
    </row>
    <row r="165" spans="1:440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656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534</v>
      </c>
      <c r="V165" s="4">
        <v>46069</v>
      </c>
      <c r="W165" s="4">
        <f t="shared" si="606"/>
        <v>47895</v>
      </c>
      <c r="X165" s="8">
        <f t="shared" ca="1" si="607"/>
        <v>1761</v>
      </c>
      <c r="Y165" s="5" t="str">
        <f t="shared" ca="1" si="423"/>
        <v>VIGENTE</v>
      </c>
      <c r="Z165" s="2"/>
      <c r="AA165" s="6"/>
      <c r="AB165" s="4"/>
      <c r="AC165" s="8"/>
      <c r="AD165" s="5" t="str">
        <f t="shared" si="603"/>
        <v>NO APLICA</v>
      </c>
      <c r="AE165" s="3"/>
      <c r="AF165" s="4">
        <v>46002</v>
      </c>
      <c r="AG165" s="4">
        <f>DATE(YEAR(AF165)+2,MONTH(AF165),DAY(AF165))</f>
        <v>46732</v>
      </c>
      <c r="AH165" s="8">
        <f t="shared" ca="1" si="470"/>
        <v>598</v>
      </c>
      <c r="AI165" s="5" t="str">
        <f t="shared" ca="1" si="419"/>
        <v>VIGENTE</v>
      </c>
      <c r="AJ165" s="3"/>
      <c r="AK165" s="4">
        <v>45903</v>
      </c>
      <c r="AL165" s="4">
        <f>DATE(YEAR(AK165)+2,MONTH(AK165),DAY(AK165))</f>
        <v>46633</v>
      </c>
      <c r="AM165" s="8">
        <f t="shared" ca="1" si="471"/>
        <v>499</v>
      </c>
      <c r="AN165" s="5" t="str">
        <f t="shared" ca="1" si="472"/>
        <v>VIGENTE</v>
      </c>
      <c r="AO165" s="3"/>
      <c r="AP165" s="4">
        <v>45887</v>
      </c>
      <c r="AQ165" s="4">
        <f>DATE(YEAR(AP165)+2,MONTH(AP165),DAY(AP165))</f>
        <v>46617</v>
      </c>
      <c r="AR165" s="8">
        <f t="shared" ca="1" si="473"/>
        <v>483</v>
      </c>
      <c r="AS165" s="5" t="str">
        <f t="shared" ca="1" si="474"/>
        <v>VIGENTE</v>
      </c>
      <c r="AT165" s="3"/>
      <c r="AU165" s="4">
        <v>45927</v>
      </c>
      <c r="AV165" s="4">
        <f>DATE(YEAR(AU165)+2,MONTH(AU165),DAY(AU165))</f>
        <v>46657</v>
      </c>
      <c r="AW165" s="8">
        <f t="shared" ca="1" si="475"/>
        <v>523</v>
      </c>
      <c r="AX165" s="5" t="str">
        <f t="shared" ca="1" si="476"/>
        <v>VIGENTE</v>
      </c>
      <c r="AY165" s="3"/>
      <c r="AZ165" s="4">
        <v>45773</v>
      </c>
      <c r="BA165" s="4">
        <f>DATE(YEAR(AZ165)+2,MONTH(AZ165),DAY(AZ165))</f>
        <v>46503</v>
      </c>
      <c r="BB165" s="8">
        <f t="shared" ca="1" si="477"/>
        <v>369</v>
      </c>
      <c r="BC165" s="5" t="str">
        <f t="shared" ca="1" si="478"/>
        <v>VIGENTE</v>
      </c>
      <c r="BD165" s="3"/>
      <c r="BE165" s="4">
        <v>45698</v>
      </c>
      <c r="BF165" s="4">
        <f>DATE(YEAR(BE165)+2,MONTH(BE165),DAY(BE165)-1)</f>
        <v>46427</v>
      </c>
      <c r="BG165" s="8">
        <f t="shared" ca="1" si="479"/>
        <v>293</v>
      </c>
      <c r="BH165" s="5" t="str">
        <f t="shared" ca="1" si="480"/>
        <v>VIGENTE</v>
      </c>
      <c r="BI165" s="3"/>
      <c r="BJ165" s="4">
        <v>45600</v>
      </c>
      <c r="BK165" s="4">
        <f>DATE(YEAR(BJ165)+2,MONTH(BJ165),DAY(BJ165)-1)</f>
        <v>46329</v>
      </c>
      <c r="BL165" s="8">
        <f t="shared" ca="1" si="481"/>
        <v>195</v>
      </c>
      <c r="BM165" s="5" t="str">
        <f t="shared" ca="1" si="482"/>
        <v>VIGENTE</v>
      </c>
      <c r="BN165" s="3"/>
      <c r="BO165" s="4">
        <v>45701</v>
      </c>
      <c r="BP165" s="4">
        <f>DATE(YEAR(BO165)+2,MONTH(BO165),DAY(BO165)-1)</f>
        <v>46430</v>
      </c>
      <c r="BQ165" s="8">
        <f t="shared" ca="1" si="483"/>
        <v>296</v>
      </c>
      <c r="BR165" s="5" t="str">
        <f t="shared" ca="1" si="484"/>
        <v>VIGENTE</v>
      </c>
      <c r="BS165" s="3"/>
      <c r="BT165" s="4">
        <v>45568</v>
      </c>
      <c r="BU165" s="4">
        <f>DATE(YEAR(BT165)+2,MONTH(BT165),DAY(BT165)-1)</f>
        <v>46297</v>
      </c>
      <c r="BV165" s="8">
        <f t="shared" ca="1" si="485"/>
        <v>163</v>
      </c>
      <c r="BW165" s="5" t="str">
        <f t="shared" ca="1" si="486"/>
        <v>VIGENTE</v>
      </c>
      <c r="BX165" s="3"/>
      <c r="BY165" s="4">
        <v>45979</v>
      </c>
      <c r="BZ165" s="4">
        <f t="shared" si="608"/>
        <v>46709</v>
      </c>
      <c r="CA165" s="8">
        <f t="shared" ca="1" si="487"/>
        <v>575</v>
      </c>
      <c r="CB165" s="5" t="str">
        <f t="shared" ca="1" si="488"/>
        <v>VIGENTE</v>
      </c>
      <c r="CC165" s="6" t="s">
        <v>68</v>
      </c>
      <c r="CD165" s="4">
        <v>45723</v>
      </c>
      <c r="CE165" s="4">
        <f t="shared" si="609"/>
        <v>47184</v>
      </c>
      <c r="CF165" s="8">
        <f t="shared" ca="1" si="610"/>
        <v>1050</v>
      </c>
      <c r="CG165" s="5" t="str">
        <f t="shared" ca="1" si="591"/>
        <v>VIGENTE</v>
      </c>
      <c r="CH165" s="4"/>
      <c r="CI165" s="4">
        <v>45688</v>
      </c>
      <c r="CJ165" s="4">
        <f>DATE(YEAR(CI165)+2,MONTH(CI165),DAY(CI165)-1)</f>
        <v>46417</v>
      </c>
      <c r="CK165" s="8">
        <f t="shared" ca="1" si="489"/>
        <v>283</v>
      </c>
      <c r="CL165" s="5" t="str">
        <f t="shared" ca="1" si="490"/>
        <v>VIGENTE</v>
      </c>
      <c r="CM165" s="3"/>
      <c r="CN165" s="4">
        <v>45684</v>
      </c>
      <c r="CO165" s="4">
        <f>DATE(YEAR(CN165)+2,MONTH(CN165),DAY(CN165)-1)</f>
        <v>46413</v>
      </c>
      <c r="CP165" s="8">
        <f t="shared" ca="1" si="491"/>
        <v>279</v>
      </c>
      <c r="CQ165" s="5" t="str">
        <f t="shared" ca="1" si="492"/>
        <v>VIGENTE</v>
      </c>
      <c r="CR165" s="3"/>
      <c r="CS165" s="4">
        <v>45905</v>
      </c>
      <c r="CT165" s="4">
        <f>DATE(YEAR(CS165)+2,MONTH(CS165),DAY(CS165))</f>
        <v>46635</v>
      </c>
      <c r="CU165" s="8">
        <f t="shared" ca="1" si="493"/>
        <v>501</v>
      </c>
      <c r="CV165" s="5" t="str">
        <f t="shared" ca="1" si="494"/>
        <v>VIGENTE</v>
      </c>
      <c r="CW165" s="3"/>
      <c r="CX165" s="4">
        <v>45835</v>
      </c>
      <c r="CY165" s="4">
        <f>DATE(YEAR(CX165)+2,MONTH(CX165),DAY(CX165))</f>
        <v>46565</v>
      </c>
      <c r="CZ165" s="8">
        <f t="shared" ca="1" si="495"/>
        <v>431</v>
      </c>
      <c r="DA165" s="5" t="str">
        <f t="shared" ca="1" si="496"/>
        <v>VIGENTE</v>
      </c>
      <c r="DB165" s="3"/>
      <c r="DC165" s="4">
        <v>45761</v>
      </c>
      <c r="DD165" s="4">
        <f>DATE(YEAR(DC165)+2,MONTH(DC165),DAY(DC165))</f>
        <v>46491</v>
      </c>
      <c r="DE165" s="8">
        <f t="shared" ca="1" si="497"/>
        <v>357</v>
      </c>
      <c r="DF165" s="5" t="str">
        <f t="shared" ca="1" si="498"/>
        <v>VIGENTE</v>
      </c>
      <c r="DG165" s="3"/>
      <c r="DH165" s="4">
        <v>45955</v>
      </c>
      <c r="DI165" s="4">
        <f>DATE(YEAR(DH165)+2,MONTH(DH165),DAY(DH165))</f>
        <v>46685</v>
      </c>
      <c r="DJ165" s="8">
        <f t="shared" ca="1" si="499"/>
        <v>551</v>
      </c>
      <c r="DK165" s="5" t="str">
        <f t="shared" ca="1" si="500"/>
        <v>VIGENTE</v>
      </c>
      <c r="DL165" s="3"/>
      <c r="DM165" s="4">
        <v>45982</v>
      </c>
      <c r="DN165" s="4">
        <f>DATE(YEAR(DM165)+2,MONTH(DM165),DAY(DM165))</f>
        <v>46712</v>
      </c>
      <c r="DO165" s="8">
        <f t="shared" ca="1" si="501"/>
        <v>578</v>
      </c>
      <c r="DP165" s="5" t="str">
        <f t="shared" ca="1" si="502"/>
        <v>VIGENTE</v>
      </c>
      <c r="DQ165" s="3"/>
      <c r="DR165" s="4">
        <v>45770</v>
      </c>
      <c r="DS165" s="4">
        <f>DATE(YEAR(DR165)+2,MONTH(DR165),DAY(DR165))</f>
        <v>46500</v>
      </c>
      <c r="DT165" s="8">
        <f t="shared" ca="1" si="503"/>
        <v>366</v>
      </c>
      <c r="DU165" s="5" t="str">
        <f t="shared" ca="1" si="504"/>
        <v>VIGENTE</v>
      </c>
      <c r="DV165" s="3"/>
      <c r="DW165" s="4">
        <v>45751</v>
      </c>
      <c r="DX165" s="4">
        <f t="shared" ref="DX165:DX171" si="614">DATE(YEAR(DW165)+2,MONTH(DW165),DAY(DW165)-1)</f>
        <v>46480</v>
      </c>
      <c r="DY165" s="8">
        <f t="shared" ca="1" si="505"/>
        <v>346</v>
      </c>
      <c r="DZ165" s="5" t="str">
        <f t="shared" ca="1" si="506"/>
        <v>VIGENTE</v>
      </c>
      <c r="EA165" s="3"/>
      <c r="EB165" s="4">
        <v>45674</v>
      </c>
      <c r="EC165" s="4">
        <f>DATE(YEAR(EB165)+2,MONTH(EB165),DAY(EB165)-1)</f>
        <v>46403</v>
      </c>
      <c r="ED165" s="8">
        <f t="shared" ca="1" si="507"/>
        <v>269</v>
      </c>
      <c r="EE165" s="5" t="str">
        <f t="shared" ca="1" si="508"/>
        <v>VIGENTE</v>
      </c>
      <c r="EF165" s="3"/>
      <c r="EG165" s="3">
        <v>46085</v>
      </c>
      <c r="EH165" s="4">
        <f t="shared" si="575"/>
        <v>46450</v>
      </c>
      <c r="EI165" s="8">
        <f t="shared" ca="1" si="509"/>
        <v>316</v>
      </c>
      <c r="EJ165" s="5" t="str">
        <f t="shared" ca="1" si="510"/>
        <v>VIGENTE</v>
      </c>
      <c r="EK165" s="3"/>
      <c r="EL165" s="4">
        <v>45671</v>
      </c>
      <c r="EM165" s="4">
        <f>DATE(YEAR(EL165)+2,MONTH(EL165),DAY(EL165)-1)</f>
        <v>46400</v>
      </c>
      <c r="EN165" s="8">
        <f t="shared" ca="1" si="511"/>
        <v>266</v>
      </c>
      <c r="EO165" s="5" t="str">
        <f t="shared" ca="1" si="512"/>
        <v>VIGENTE</v>
      </c>
      <c r="EP165" s="3"/>
      <c r="EQ165" s="4">
        <v>45677</v>
      </c>
      <c r="ER165" s="4">
        <f>DATE(YEAR(EQ165)+2,MONTH(EQ165),DAY(EQ165)-1)</f>
        <v>46406</v>
      </c>
      <c r="ES165" s="8">
        <f t="shared" ca="1" si="513"/>
        <v>272</v>
      </c>
      <c r="ET165" s="5" t="str">
        <f t="shared" ca="1" si="514"/>
        <v>VIGENTE</v>
      </c>
      <c r="EU165" s="3"/>
      <c r="EV165" s="4">
        <v>45917</v>
      </c>
      <c r="EW165" s="4">
        <f t="shared" si="611"/>
        <v>46647</v>
      </c>
      <c r="EX165" s="8">
        <f t="shared" ca="1" si="515"/>
        <v>513</v>
      </c>
      <c r="EY165" s="5" t="str">
        <f t="shared" ca="1" si="516"/>
        <v>VIGENTE</v>
      </c>
      <c r="EZ165" s="3"/>
      <c r="FA165" s="4">
        <v>45931</v>
      </c>
      <c r="FB165" s="4">
        <f t="shared" si="612"/>
        <v>46661</v>
      </c>
      <c r="FC165" s="8">
        <f t="shared" ca="1" si="517"/>
        <v>527</v>
      </c>
      <c r="FD165" s="5" t="str">
        <f t="shared" ca="1" si="518"/>
        <v>VIGENTE</v>
      </c>
      <c r="FE165" s="3"/>
      <c r="FF165" s="4">
        <v>45962</v>
      </c>
      <c r="FG165" s="4">
        <f t="shared" si="613"/>
        <v>46692</v>
      </c>
      <c r="FH165" s="8">
        <f t="shared" ca="1" si="519"/>
        <v>558</v>
      </c>
      <c r="FI165" s="5" t="str">
        <f t="shared" ca="1" si="520"/>
        <v>VIGENTE</v>
      </c>
      <c r="FJ165" s="3"/>
      <c r="FK165" s="4">
        <v>45738</v>
      </c>
      <c r="FL165" s="4">
        <f>DATE(YEAR(FK165)+2,MONTH(FK165),DAY(FK165)-1)</f>
        <v>46467</v>
      </c>
      <c r="FM165" s="8">
        <f t="shared" ca="1" si="521"/>
        <v>333</v>
      </c>
      <c r="FN165" s="5" t="str">
        <f t="shared" ca="1" si="522"/>
        <v>VIGENTE</v>
      </c>
      <c r="FO165" s="3"/>
      <c r="FP165" s="4">
        <v>45747</v>
      </c>
      <c r="FQ165" s="4">
        <f>DATE(YEAR(FP165)+2,MONTH(FP165),DAY(FP165)-1)</f>
        <v>46476</v>
      </c>
      <c r="FR165" s="8">
        <f t="shared" ca="1" si="523"/>
        <v>342</v>
      </c>
      <c r="FS165" s="5" t="str">
        <f t="shared" ca="1" si="524"/>
        <v>VIGENTE</v>
      </c>
      <c r="FT165" s="3"/>
      <c r="FU165" s="4">
        <v>45993</v>
      </c>
      <c r="FV165" s="4">
        <f>DATE(YEAR(FU165)+2,MONTH(FU165),DAY(FU165))</f>
        <v>46723</v>
      </c>
      <c r="FW165" s="8">
        <f t="shared" ca="1" si="525"/>
        <v>589</v>
      </c>
      <c r="FX165" s="5" t="str">
        <f t="shared" ca="1" si="526"/>
        <v>VIGENTE</v>
      </c>
      <c r="FY165" s="3"/>
      <c r="FZ165" s="4">
        <v>45715</v>
      </c>
      <c r="GA165" s="4">
        <f>DATE(YEAR(FZ165)+2,MONTH(FZ165),DAY(FZ165)-1)</f>
        <v>46444</v>
      </c>
      <c r="GB165" s="8">
        <f t="shared" ca="1" si="527"/>
        <v>310</v>
      </c>
      <c r="GC165" s="5" t="str">
        <f t="shared" ca="1" si="528"/>
        <v>VIGENTE</v>
      </c>
      <c r="GD165" s="3"/>
      <c r="GE165" s="4">
        <v>45731</v>
      </c>
      <c r="GF165" s="4">
        <f>DATE(YEAR(GE165)+2,MONTH(GE165),DAY(GE165)-1)</f>
        <v>46460</v>
      </c>
      <c r="GG165" s="8">
        <f t="shared" ca="1" si="529"/>
        <v>326</v>
      </c>
      <c r="GH165" s="5" t="str">
        <f t="shared" ca="1" si="530"/>
        <v>VIGENTE</v>
      </c>
      <c r="GI165" s="3"/>
      <c r="GJ165" s="4">
        <v>45687</v>
      </c>
      <c r="GK165" s="4">
        <f>DATE(YEAR(GJ165)+2,MONTH(GJ165),DAY(GJ165)-1)</f>
        <v>46416</v>
      </c>
      <c r="GL165" s="8">
        <f t="shared" ca="1" si="531"/>
        <v>282</v>
      </c>
      <c r="GM165" s="5" t="str">
        <f t="shared" ca="1" si="532"/>
        <v>VIGENTE</v>
      </c>
      <c r="GN165" s="4"/>
      <c r="GO165" s="4">
        <v>45072</v>
      </c>
      <c r="GP165" s="4">
        <f t="shared" si="533"/>
        <v>46899</v>
      </c>
      <c r="GQ165" s="8">
        <f t="shared" ca="1" si="418"/>
        <v>765</v>
      </c>
      <c r="GR165" s="5" t="str">
        <f t="shared" ca="1" si="431"/>
        <v>VIGENTE</v>
      </c>
      <c r="GS165" s="3"/>
      <c r="GT165" s="4">
        <v>45010</v>
      </c>
      <c r="GU165" s="4">
        <f t="shared" si="534"/>
        <v>46837</v>
      </c>
      <c r="GV165" s="8">
        <f t="shared" ca="1" si="535"/>
        <v>703</v>
      </c>
      <c r="GW165" s="5" t="str">
        <f t="shared" ca="1" si="438"/>
        <v>VIGENTE</v>
      </c>
      <c r="GX165" s="2"/>
      <c r="GY165" s="4">
        <v>45073</v>
      </c>
      <c r="GZ165" s="4">
        <f t="shared" si="536"/>
        <v>46900</v>
      </c>
      <c r="HA165" s="8">
        <f t="shared" ca="1" si="537"/>
        <v>766</v>
      </c>
      <c r="HB165" s="5" t="str">
        <f t="shared" ca="1" si="433"/>
        <v>VIGENTE</v>
      </c>
      <c r="HC165" s="6"/>
      <c r="HD165" s="6"/>
      <c r="HE165" s="4"/>
      <c r="HF165" s="8"/>
      <c r="HG165" s="5" t="str">
        <f t="shared" si="439"/>
        <v>NO APLICA</v>
      </c>
      <c r="HH165" s="2"/>
      <c r="HI165" s="6"/>
      <c r="HJ165" s="4"/>
      <c r="HK165" s="8"/>
      <c r="HL165" s="5" t="str">
        <f t="shared" si="457"/>
        <v>NO APLICA</v>
      </c>
      <c r="HM165" s="2"/>
      <c r="HN165" s="2"/>
      <c r="HO165" s="4"/>
      <c r="HP165" s="2"/>
      <c r="HQ165" s="5" t="str">
        <f t="shared" si="538"/>
        <v>NO APLICA</v>
      </c>
      <c r="HR165" s="2"/>
      <c r="HS165" s="6"/>
      <c r="HT165" s="4"/>
      <c r="HU165" s="8"/>
      <c r="HV165" s="5" t="str">
        <f t="shared" si="539"/>
        <v>NO APLICA</v>
      </c>
      <c r="HW165" s="2"/>
      <c r="HX165" s="6"/>
      <c r="HY165" s="4"/>
      <c r="HZ165" s="8"/>
      <c r="IA165" s="5" t="str">
        <f t="shared" si="540"/>
        <v>NO APLICA</v>
      </c>
      <c r="IB165" s="2"/>
      <c r="IC165" s="6"/>
      <c r="ID165" s="4"/>
      <c r="IE165" s="8"/>
      <c r="IF165" s="5" t="str">
        <f t="shared" si="541"/>
        <v>NO APLICA</v>
      </c>
      <c r="IG165" s="6"/>
      <c r="IH165" s="6"/>
      <c r="II165" s="4"/>
      <c r="IJ165" s="8"/>
      <c r="IK165" s="5" t="str">
        <f t="shared" si="542"/>
        <v>NO APLICA</v>
      </c>
      <c r="IL165" s="2"/>
      <c r="IM165" s="6"/>
      <c r="IN165" s="4"/>
      <c r="IO165" s="8"/>
      <c r="IP165" s="5" t="str">
        <f t="shared" si="543"/>
        <v>NO APLICA</v>
      </c>
      <c r="IQ165" s="2"/>
      <c r="IR165" s="6"/>
      <c r="IS165" s="4"/>
      <c r="IT165" s="8"/>
      <c r="IU165" s="5" t="str">
        <f t="shared" si="544"/>
        <v>NO APLICA</v>
      </c>
      <c r="IV165" s="2"/>
      <c r="IW165" s="6"/>
      <c r="IX165" s="4"/>
      <c r="IY165" s="8"/>
      <c r="IZ165" s="5" t="str">
        <f t="shared" si="545"/>
        <v>NO APLICA</v>
      </c>
      <c r="JA165" s="3"/>
      <c r="JB165" s="3"/>
      <c r="JC165" s="4"/>
      <c r="JD165" s="8"/>
      <c r="JE165" s="5" t="str">
        <f t="shared" si="546"/>
        <v>NO APLICA</v>
      </c>
      <c r="JF165" s="6"/>
      <c r="JG165" s="6"/>
      <c r="JH165" s="6"/>
      <c r="JI165" s="6"/>
      <c r="JJ165" s="5" t="str">
        <f t="shared" si="547"/>
        <v>NO APLICA</v>
      </c>
      <c r="JK165" s="6"/>
      <c r="JL165" s="6"/>
      <c r="JM165" s="6"/>
      <c r="JN165" s="6"/>
      <c r="JO165" s="5" t="str">
        <f t="shared" si="548"/>
        <v>NO APLICA</v>
      </c>
      <c r="JP165" s="6"/>
      <c r="JQ165" s="6"/>
      <c r="JR165" s="6"/>
      <c r="JS165" s="6"/>
      <c r="JT165" s="5" t="str">
        <f t="shared" si="549"/>
        <v>NO APLICA</v>
      </c>
      <c r="JU165" s="5"/>
      <c r="JV165" s="5"/>
      <c r="JW165" s="5"/>
      <c r="JX165" s="5"/>
      <c r="JY165" s="5" t="str">
        <f t="shared" si="550"/>
        <v>NO APLICA</v>
      </c>
      <c r="JZ165" s="5"/>
      <c r="KA165" s="2"/>
      <c r="KB165" s="4"/>
      <c r="KC165" s="8"/>
      <c r="KD165" s="5" t="str">
        <f t="shared" si="551"/>
        <v>NO APLICA</v>
      </c>
      <c r="KE165" s="5"/>
      <c r="KF165" s="2"/>
      <c r="KG165" s="4"/>
      <c r="KH165" s="8"/>
      <c r="KI165" s="5" t="str">
        <f t="shared" si="576"/>
        <v>NO APLICA</v>
      </c>
      <c r="KJ165" s="5"/>
      <c r="KK165" s="2"/>
      <c r="KL165" s="4"/>
      <c r="KM165" s="8"/>
      <c r="KN165" s="5" t="str">
        <f t="shared" si="552"/>
        <v>NO APLICA</v>
      </c>
      <c r="KO165" s="5"/>
      <c r="KP165" s="2"/>
      <c r="KQ165" s="4"/>
      <c r="KR165" s="8"/>
      <c r="KS165" s="5" t="str">
        <f t="shared" si="577"/>
        <v>NO APLICA</v>
      </c>
      <c r="KT165" s="2"/>
      <c r="KU165" s="6"/>
      <c r="KV165" s="4"/>
      <c r="KW165" s="8"/>
      <c r="KX165" s="5" t="str">
        <f t="shared" si="583"/>
        <v>NO APLICA</v>
      </c>
      <c r="KY165" s="5"/>
      <c r="KZ165" s="6"/>
      <c r="LA165" s="4"/>
      <c r="LB165" s="8"/>
      <c r="LC165" s="5" t="str">
        <f t="shared" si="578"/>
        <v>NO APLICA</v>
      </c>
      <c r="LD165" s="6"/>
      <c r="LE165" s="6"/>
      <c r="LF165" s="4"/>
      <c r="LG165" s="8"/>
      <c r="LH165" s="5" t="str">
        <f t="shared" si="585"/>
        <v>NO APLICA</v>
      </c>
      <c r="LI165" s="5"/>
      <c r="LJ165" s="5"/>
      <c r="LK165" s="5"/>
      <c r="LL165" s="5"/>
      <c r="LM165" s="5" t="str">
        <f t="shared" si="584"/>
        <v>NO APLICA</v>
      </c>
      <c r="LN165" s="2"/>
      <c r="LO165" s="6"/>
      <c r="LP165" s="4"/>
      <c r="LQ165" s="8"/>
      <c r="LR165" s="5" t="str">
        <f t="shared" si="579"/>
        <v>NO APLICA</v>
      </c>
      <c r="LS165" s="6"/>
      <c r="LT165" s="6"/>
      <c r="LU165" s="4"/>
      <c r="LV165" s="8"/>
      <c r="LW165" s="5" t="str">
        <f t="shared" si="580"/>
        <v>NO APLICA</v>
      </c>
      <c r="LX165" s="6"/>
      <c r="LY165" s="6"/>
      <c r="LZ165" s="4"/>
      <c r="MA165" s="8"/>
      <c r="MB165" s="5" t="str">
        <f t="shared" si="581"/>
        <v>NO APLICA</v>
      </c>
      <c r="MC165" s="2"/>
      <c r="MD165" s="2"/>
      <c r="ME165" s="4"/>
      <c r="MF165" s="2"/>
      <c r="MG165" s="5" t="str">
        <f t="shared" si="554"/>
        <v>NO APLICA</v>
      </c>
      <c r="MH165" s="2"/>
      <c r="MI165" s="2"/>
      <c r="MJ165" s="4"/>
      <c r="MK165" s="8"/>
      <c r="ML165" s="5" t="str">
        <f t="shared" si="555"/>
        <v>NO APLICA</v>
      </c>
      <c r="MM165" s="5"/>
      <c r="MN165" s="2"/>
      <c r="MO165" s="4"/>
      <c r="MP165" s="8"/>
      <c r="MQ165" s="5" t="str">
        <f t="shared" si="556"/>
        <v>NO APLICA</v>
      </c>
      <c r="MR165" s="5"/>
      <c r="MS165" s="2"/>
      <c r="MT165" s="4"/>
      <c r="MU165" s="2"/>
      <c r="MV165" s="5" t="str">
        <f t="shared" si="557"/>
        <v>NO APLICA</v>
      </c>
      <c r="MW165" s="2"/>
      <c r="MX165" s="6"/>
      <c r="MY165" s="4"/>
      <c r="MZ165" s="8"/>
      <c r="NA165" s="5" t="str">
        <f t="shared" si="558"/>
        <v>NO APLICA</v>
      </c>
      <c r="NB165" s="2"/>
      <c r="NC165" s="6"/>
      <c r="ND165" s="4"/>
      <c r="NE165" s="8"/>
      <c r="NF165" s="5" t="str">
        <f t="shared" si="559"/>
        <v>NO APLICA</v>
      </c>
      <c r="NG165" s="2"/>
      <c r="NH165" s="6"/>
      <c r="NI165" s="4"/>
      <c r="NJ165" s="8"/>
      <c r="NK165" s="5" t="str">
        <f t="shared" si="560"/>
        <v>NO APLICA</v>
      </c>
      <c r="NL165" s="2"/>
      <c r="NM165" s="2"/>
      <c r="NN165" s="4"/>
      <c r="NO165" s="2"/>
      <c r="NP165" s="5" t="str">
        <f t="shared" si="561"/>
        <v>NO APLICA</v>
      </c>
      <c r="NQ165" s="2"/>
      <c r="NR165" s="2"/>
      <c r="NS165" s="4"/>
      <c r="NT165" s="2"/>
      <c r="NU165" s="5" t="str">
        <f t="shared" si="562"/>
        <v>NO APLICA</v>
      </c>
      <c r="NV165" s="6"/>
      <c r="NW165" s="6"/>
      <c r="NX165" s="4"/>
      <c r="NY165" s="8"/>
      <c r="NZ165" s="5" t="str">
        <f t="shared" si="563"/>
        <v>NO APLICA</v>
      </c>
      <c r="OA165" s="6"/>
      <c r="OB165" s="6"/>
      <c r="OC165" s="6"/>
      <c r="OD165" s="6"/>
      <c r="OE165" s="5" t="str">
        <f t="shared" si="564"/>
        <v>NO APLICA</v>
      </c>
      <c r="OF165" s="6"/>
      <c r="OG165" s="6"/>
      <c r="OH165" s="4"/>
      <c r="OI165" s="8"/>
      <c r="OJ165" s="5" t="str">
        <f t="shared" si="565"/>
        <v>NO APLICA</v>
      </c>
      <c r="OK165" s="6"/>
      <c r="OL165" s="6"/>
      <c r="OM165" s="6"/>
      <c r="ON165" s="6"/>
      <c r="OO165" s="5" t="str">
        <f t="shared" si="566"/>
        <v>NO APLICA</v>
      </c>
      <c r="OP165" s="6"/>
      <c r="OQ165" s="6"/>
      <c r="OR165" s="6"/>
      <c r="OS165" s="6"/>
      <c r="OT165" s="5" t="str">
        <f t="shared" si="567"/>
        <v>NO APLICA</v>
      </c>
      <c r="OU165" s="6"/>
      <c r="OV165" s="6"/>
      <c r="OW165" s="6"/>
      <c r="OX165" s="6"/>
      <c r="OY165" s="5" t="str">
        <f t="shared" si="568"/>
        <v>NO APLICA</v>
      </c>
      <c r="OZ165" s="6"/>
      <c r="PA165" s="6"/>
      <c r="PB165" s="6"/>
      <c r="PC165" s="6"/>
      <c r="PD165" s="5" t="str">
        <f t="shared" si="569"/>
        <v>NO APLICA</v>
      </c>
      <c r="PE165" s="6"/>
      <c r="PF165" s="6"/>
      <c r="PG165" s="6"/>
      <c r="PH165" s="6"/>
      <c r="PI165" s="5" t="str">
        <f t="shared" si="570"/>
        <v>NO APLICA</v>
      </c>
      <c r="PJ165" s="5"/>
      <c r="PK165" s="6"/>
      <c r="PL165" s="4"/>
      <c r="PM165" s="8"/>
      <c r="PN165" s="5" t="str">
        <f t="shared" si="571"/>
        <v>NO APLICA</v>
      </c>
      <c r="PO165" s="6"/>
      <c r="PP165" s="6"/>
      <c r="PQ165" s="6"/>
      <c r="PR165" s="6"/>
      <c r="PS165" s="5" t="str">
        <f t="shared" si="572"/>
        <v>NO APLICA</v>
      </c>
      <c r="PT165" s="5"/>
      <c r="PU165" s="6"/>
      <c r="PV165" s="6"/>
      <c r="PW165" s="6"/>
      <c r="PX165" s="5" t="str">
        <f t="shared" si="573"/>
        <v>NO APLICA</v>
      </c>
    </row>
    <row r="166" spans="1:440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536</v>
      </c>
      <c r="V166" s="4">
        <v>45500</v>
      </c>
      <c r="W166" s="4">
        <f t="shared" si="606"/>
        <v>47326</v>
      </c>
      <c r="X166" s="8">
        <f t="shared" ca="1" si="607"/>
        <v>1192</v>
      </c>
      <c r="Y166" s="5" t="str">
        <f t="shared" ca="1" si="423"/>
        <v>VIGENTE</v>
      </c>
      <c r="Z166" s="2" t="s">
        <v>537</v>
      </c>
      <c r="AA166" s="4">
        <v>44579</v>
      </c>
      <c r="AB166" s="4">
        <f t="shared" ref="AB166:AB171" si="615">DATE(YEAR(AA166)+5,MONTH(AA166),DAY(AA166))</f>
        <v>46405</v>
      </c>
      <c r="AC166" s="8">
        <f t="shared" ref="AC166:AC171" ca="1" si="616">AB166-TODAY()</f>
        <v>271</v>
      </c>
      <c r="AD166" s="5" t="str">
        <f t="shared" ca="1" si="603"/>
        <v>VIGENTE</v>
      </c>
      <c r="AE166" s="3"/>
      <c r="AF166" s="3">
        <v>45594</v>
      </c>
      <c r="AG166" s="4">
        <f>DATE(YEAR(AF166)+2,MONTH(AF166),DAY(AF166)-1)</f>
        <v>46323</v>
      </c>
      <c r="AH166" s="8">
        <f t="shared" ca="1" si="470"/>
        <v>189</v>
      </c>
      <c r="AI166" s="5" t="str">
        <f t="shared" ca="1" si="419"/>
        <v>VIGENTE</v>
      </c>
      <c r="AJ166" s="3"/>
      <c r="AK166" s="4">
        <v>45926</v>
      </c>
      <c r="AL166" s="4">
        <f>DATE(YEAR(AK166)+2,MONTH(AK166),DAY(AK166))</f>
        <v>46656</v>
      </c>
      <c r="AM166" s="8">
        <f t="shared" ca="1" si="471"/>
        <v>522</v>
      </c>
      <c r="AN166" s="5" t="str">
        <f t="shared" ca="1" si="472"/>
        <v>VIGENTE</v>
      </c>
      <c r="AO166" s="3"/>
      <c r="AP166" s="4">
        <v>45904</v>
      </c>
      <c r="AQ166" s="4">
        <f>DATE(YEAR(AP166)+2,MONTH(AP166),DAY(AP166))</f>
        <v>46634</v>
      </c>
      <c r="AR166" s="8">
        <f t="shared" ca="1" si="473"/>
        <v>500</v>
      </c>
      <c r="AS166" s="5" t="str">
        <f t="shared" ca="1" si="474"/>
        <v>VIGENTE</v>
      </c>
      <c r="AT166" s="3"/>
      <c r="AU166" s="4">
        <v>45952</v>
      </c>
      <c r="AV166" s="4">
        <f>DATE(YEAR(AU166)+2,MONTH(AU166),DAY(AU166))</f>
        <v>46682</v>
      </c>
      <c r="AW166" s="8">
        <f t="shared" ca="1" si="475"/>
        <v>548</v>
      </c>
      <c r="AX166" s="5" t="str">
        <f t="shared" ca="1" si="476"/>
        <v>VIGENTE</v>
      </c>
      <c r="AY166" s="3"/>
      <c r="AZ166" s="4">
        <v>46041</v>
      </c>
      <c r="BA166" s="4">
        <f>DATE(YEAR(AZ166)+2,MONTH(AZ166),DAY(AZ166))</f>
        <v>46771</v>
      </c>
      <c r="BB166" s="8">
        <f t="shared" ca="1" si="477"/>
        <v>637</v>
      </c>
      <c r="BC166" s="5" t="str">
        <f t="shared" ca="1" si="478"/>
        <v>VIGENTE</v>
      </c>
      <c r="BD166" s="3"/>
      <c r="BE166" s="4">
        <v>45987</v>
      </c>
      <c r="BF166" s="4">
        <f>DATE(YEAR(BE166)+2,MONTH(BE166),DAY(BE166))</f>
        <v>46717</v>
      </c>
      <c r="BG166" s="8">
        <f t="shared" ca="1" si="479"/>
        <v>583</v>
      </c>
      <c r="BH166" s="5" t="str">
        <f t="shared" ca="1" si="480"/>
        <v>VIGENTE</v>
      </c>
      <c r="BI166" s="3"/>
      <c r="BJ166" s="4">
        <v>46017</v>
      </c>
      <c r="BK166" s="4">
        <f>DATE(YEAR(BJ166)+2,MONTH(BJ166),DAY(BJ166))</f>
        <v>46747</v>
      </c>
      <c r="BL166" s="8">
        <f t="shared" ca="1" si="481"/>
        <v>613</v>
      </c>
      <c r="BM166" s="5" t="str">
        <f t="shared" ca="1" si="482"/>
        <v>VIGENTE</v>
      </c>
      <c r="BN166" s="3"/>
      <c r="BO166" s="4">
        <v>46069</v>
      </c>
      <c r="BP166" s="4">
        <f>DATE(YEAR(BO166)+2,MONTH(BO166),DAY(BO166))</f>
        <v>46799</v>
      </c>
      <c r="BQ166" s="8">
        <f t="shared" ca="1" si="483"/>
        <v>665</v>
      </c>
      <c r="BR166" s="5" t="str">
        <f t="shared" ca="1" si="484"/>
        <v>VIGENTE</v>
      </c>
      <c r="BS166" s="3"/>
      <c r="BT166" s="4">
        <v>45449</v>
      </c>
      <c r="BU166" s="4">
        <f>DATE(YEAR(BT166)+2,MONTH(BT166),DAY(BT166)-1)</f>
        <v>46178</v>
      </c>
      <c r="BV166" s="8">
        <f t="shared" ca="1" si="485"/>
        <v>44</v>
      </c>
      <c r="BW166" s="5" t="str">
        <f t="shared" ca="1" si="486"/>
        <v>POR VENCER</v>
      </c>
      <c r="BX166" s="3"/>
      <c r="BY166" s="4">
        <v>45944</v>
      </c>
      <c r="BZ166" s="4">
        <f t="shared" si="608"/>
        <v>46674</v>
      </c>
      <c r="CA166" s="8">
        <f t="shared" ca="1" si="487"/>
        <v>540</v>
      </c>
      <c r="CB166" s="5" t="str">
        <f t="shared" ca="1" si="488"/>
        <v>VIGENTE</v>
      </c>
      <c r="CC166" s="6" t="s">
        <v>73</v>
      </c>
      <c r="CD166" s="4">
        <v>45301</v>
      </c>
      <c r="CE166" s="4">
        <f t="shared" si="609"/>
        <v>46762</v>
      </c>
      <c r="CF166" s="8">
        <f t="shared" ca="1" si="610"/>
        <v>628</v>
      </c>
      <c r="CG166" s="5" t="str">
        <f t="shared" ca="1" si="591"/>
        <v>VIGENTE</v>
      </c>
      <c r="CH166" s="4"/>
      <c r="CI166" s="4">
        <v>45895</v>
      </c>
      <c r="CJ166" s="4">
        <f>DATE(YEAR(CI166)+2,MONTH(CI166),DAY(CI166))</f>
        <v>46625</v>
      </c>
      <c r="CK166" s="8">
        <f t="shared" ca="1" si="489"/>
        <v>491</v>
      </c>
      <c r="CL166" s="5" t="str">
        <f t="shared" ca="1" si="490"/>
        <v>VIGENTE</v>
      </c>
      <c r="CM166" s="3"/>
      <c r="CN166" s="4">
        <v>46038</v>
      </c>
      <c r="CO166" s="4">
        <f>DATE(YEAR(CN166)+2,MONTH(CN166),DAY(CN166))</f>
        <v>46768</v>
      </c>
      <c r="CP166" s="8">
        <f t="shared" ca="1" si="491"/>
        <v>634</v>
      </c>
      <c r="CQ166" s="5" t="str">
        <f t="shared" ca="1" si="492"/>
        <v>VIGENTE</v>
      </c>
      <c r="CR166" s="3"/>
      <c r="CS166" s="4">
        <v>45639</v>
      </c>
      <c r="CT166" s="4">
        <f>DATE(YEAR(CS166)+2,MONTH(CS166),DAY(CS166)-1)</f>
        <v>46368</v>
      </c>
      <c r="CU166" s="8">
        <f t="shared" ca="1" si="493"/>
        <v>234</v>
      </c>
      <c r="CV166" s="5" t="str">
        <f t="shared" ca="1" si="494"/>
        <v>VIGENTE</v>
      </c>
      <c r="CW166" s="3"/>
      <c r="CX166" s="4">
        <v>45661</v>
      </c>
      <c r="CY166" s="4">
        <f>DATE(YEAR(CX166)+2,MONTH(CX166),DAY(CX166)-1)</f>
        <v>46390</v>
      </c>
      <c r="CZ166" s="8">
        <f t="shared" ca="1" si="495"/>
        <v>256</v>
      </c>
      <c r="DA166" s="5" t="str">
        <f t="shared" ca="1" si="496"/>
        <v>VIGENTE</v>
      </c>
      <c r="DB166" s="3"/>
      <c r="DC166" s="4">
        <v>45689</v>
      </c>
      <c r="DD166" s="4">
        <f>DATE(YEAR(DC166)+2,MONTH(DC166),DAY(DC166)-1)</f>
        <v>46418</v>
      </c>
      <c r="DE166" s="8">
        <f t="shared" ca="1" si="497"/>
        <v>284</v>
      </c>
      <c r="DF166" s="5" t="str">
        <f t="shared" ca="1" si="498"/>
        <v>VIGENTE</v>
      </c>
      <c r="DG166" s="3"/>
      <c r="DH166" s="4">
        <v>46029</v>
      </c>
      <c r="DI166" s="4">
        <f>DATE(YEAR(DH166)+2,MONTH(DH166),DAY(DH166))</f>
        <v>46759</v>
      </c>
      <c r="DJ166" s="8">
        <f t="shared" ca="1" si="499"/>
        <v>625</v>
      </c>
      <c r="DK166" s="5" t="str">
        <f t="shared" ca="1" si="500"/>
        <v>VIGENTE</v>
      </c>
      <c r="DL166" s="3"/>
      <c r="DM166" s="4">
        <v>46008</v>
      </c>
      <c r="DN166" s="4">
        <f>DATE(YEAR(DM166)+2,MONTH(DM166),DAY(DM166))</f>
        <v>46738</v>
      </c>
      <c r="DO166" s="8">
        <f t="shared" ca="1" si="501"/>
        <v>604</v>
      </c>
      <c r="DP166" s="5" t="str">
        <f t="shared" ca="1" si="502"/>
        <v>VIGENTE</v>
      </c>
      <c r="DQ166" s="3"/>
      <c r="DR166" s="4">
        <v>46053</v>
      </c>
      <c r="DS166" s="4">
        <f>DATE(YEAR(DR166)+2,MONTH(DR166),DAY(DR166))</f>
        <v>46783</v>
      </c>
      <c r="DT166" s="8">
        <f t="shared" ca="1" si="503"/>
        <v>649</v>
      </c>
      <c r="DU166" s="5" t="str">
        <f t="shared" ca="1" si="504"/>
        <v>VIGENTE</v>
      </c>
      <c r="DV166" s="3"/>
      <c r="DW166" s="4">
        <v>45663</v>
      </c>
      <c r="DX166" s="4">
        <f t="shared" si="614"/>
        <v>46392</v>
      </c>
      <c r="DY166" s="8">
        <f t="shared" ca="1" si="505"/>
        <v>258</v>
      </c>
      <c r="DZ166" s="5" t="str">
        <f t="shared" ca="1" si="506"/>
        <v>VIGENTE</v>
      </c>
      <c r="EA166" s="3"/>
      <c r="EB166" s="4">
        <v>45674</v>
      </c>
      <c r="EC166" s="4">
        <f>DATE(YEAR(EB166)+2,MONTH(EB166),DAY(EB166)-1)</f>
        <v>46403</v>
      </c>
      <c r="ED166" s="8">
        <f t="shared" ca="1" si="507"/>
        <v>269</v>
      </c>
      <c r="EE166" s="5" t="str">
        <f t="shared" ca="1" si="508"/>
        <v>VIGENTE</v>
      </c>
      <c r="EF166" s="3"/>
      <c r="EG166" s="4">
        <v>45812</v>
      </c>
      <c r="EH166" s="4">
        <f t="shared" si="575"/>
        <v>46177</v>
      </c>
      <c r="EI166" s="8">
        <f t="shared" ca="1" si="509"/>
        <v>43</v>
      </c>
      <c r="EJ166" s="5" t="str">
        <f t="shared" ca="1" si="510"/>
        <v>POR VENCER</v>
      </c>
      <c r="EK166" s="3"/>
      <c r="EL166" s="4">
        <v>45660</v>
      </c>
      <c r="EM166" s="4">
        <f>DATE(YEAR(EL166)+2,MONTH(EL166),DAY(EL166)-1)</f>
        <v>46389</v>
      </c>
      <c r="EN166" s="8">
        <f t="shared" ca="1" si="511"/>
        <v>255</v>
      </c>
      <c r="EO166" s="5" t="str">
        <f t="shared" ca="1" si="512"/>
        <v>VIGENTE</v>
      </c>
      <c r="EP166" s="3"/>
      <c r="EQ166" s="4">
        <v>46042</v>
      </c>
      <c r="ER166" s="4">
        <f>DATE(YEAR(EQ166)+2,MONTH(EQ166),DAY(EQ166))</f>
        <v>46772</v>
      </c>
      <c r="ES166" s="8">
        <f t="shared" ca="1" si="513"/>
        <v>638</v>
      </c>
      <c r="ET166" s="5" t="str">
        <f t="shared" ca="1" si="514"/>
        <v>VIGENTE</v>
      </c>
      <c r="EU166" s="3"/>
      <c r="EV166" s="4">
        <v>45953</v>
      </c>
      <c r="EW166" s="4">
        <f t="shared" si="611"/>
        <v>46683</v>
      </c>
      <c r="EX166" s="8">
        <f t="shared" ca="1" si="515"/>
        <v>549</v>
      </c>
      <c r="EY166" s="5" t="str">
        <f t="shared" ca="1" si="516"/>
        <v>VIGENTE</v>
      </c>
      <c r="EZ166" s="3"/>
      <c r="FA166" s="4">
        <v>45988</v>
      </c>
      <c r="FB166" s="4">
        <f t="shared" si="612"/>
        <v>46718</v>
      </c>
      <c r="FC166" s="8">
        <f t="shared" ca="1" si="517"/>
        <v>584</v>
      </c>
      <c r="FD166" s="5" t="str">
        <f t="shared" ca="1" si="518"/>
        <v>VIGENTE</v>
      </c>
      <c r="FE166" s="3"/>
      <c r="FF166" s="4">
        <v>45992</v>
      </c>
      <c r="FG166" s="4">
        <f t="shared" si="613"/>
        <v>46722</v>
      </c>
      <c r="FH166" s="8">
        <f t="shared" ca="1" si="519"/>
        <v>588</v>
      </c>
      <c r="FI166" s="5" t="str">
        <f t="shared" ca="1" si="520"/>
        <v>VIGENTE</v>
      </c>
      <c r="FJ166" s="3"/>
      <c r="FK166" s="4">
        <v>45670</v>
      </c>
      <c r="FL166" s="4">
        <f>DATE(YEAR(FK166)+2,MONTH(FK166),DAY(FK166)-1)</f>
        <v>46399</v>
      </c>
      <c r="FM166" s="8">
        <f t="shared" ca="1" si="521"/>
        <v>265</v>
      </c>
      <c r="FN166" s="5" t="str">
        <f t="shared" ca="1" si="522"/>
        <v>VIGENTE</v>
      </c>
      <c r="FO166" s="3"/>
      <c r="FP166" s="4">
        <v>45664</v>
      </c>
      <c r="FQ166" s="4">
        <f>DATE(YEAR(FP166)+2,MONTH(FP166),DAY(FP166)-1)</f>
        <v>46393</v>
      </c>
      <c r="FR166" s="8">
        <f t="shared" ca="1" si="523"/>
        <v>259</v>
      </c>
      <c r="FS166" s="5" t="str">
        <f t="shared" ca="1" si="524"/>
        <v>VIGENTE</v>
      </c>
      <c r="FT166" s="3"/>
      <c r="FU166" s="4">
        <v>46014</v>
      </c>
      <c r="FV166" s="4">
        <f>DATE(YEAR(FU166)+2,MONTH(FU166),DAY(FU166))</f>
        <v>46744</v>
      </c>
      <c r="FW166" s="8">
        <f t="shared" ca="1" si="525"/>
        <v>610</v>
      </c>
      <c r="FX166" s="5" t="str">
        <f t="shared" ca="1" si="526"/>
        <v>VIGENTE</v>
      </c>
      <c r="FY166" s="3"/>
      <c r="FZ166" s="4">
        <v>46073</v>
      </c>
      <c r="GA166" s="4">
        <f>DATE(YEAR(FZ166)+2,MONTH(FZ166),DAY(FZ166))</f>
        <v>46803</v>
      </c>
      <c r="GB166" s="8">
        <f t="shared" ca="1" si="527"/>
        <v>669</v>
      </c>
      <c r="GC166" s="5" t="str">
        <f t="shared" ca="1" si="528"/>
        <v>VIGENTE</v>
      </c>
      <c r="GD166" s="3"/>
      <c r="GE166" s="4">
        <v>45579</v>
      </c>
      <c r="GF166" s="4">
        <f>DATE(YEAR(GE166)+2,MONTH(GE166),DAY(GE166)-1)</f>
        <v>46308</v>
      </c>
      <c r="GG166" s="8">
        <f t="shared" ca="1" si="529"/>
        <v>174</v>
      </c>
      <c r="GH166" s="5" t="str">
        <f t="shared" ca="1" si="530"/>
        <v>VIGENTE</v>
      </c>
      <c r="GI166" s="3"/>
      <c r="GJ166" s="4">
        <v>45945</v>
      </c>
      <c r="GK166" s="4">
        <f>DATE(YEAR(GJ166)+2,MONTH(GJ166),DAY(GJ166))</f>
        <v>46675</v>
      </c>
      <c r="GL166" s="8">
        <f t="shared" ca="1" si="531"/>
        <v>541</v>
      </c>
      <c r="GM166" s="5" t="str">
        <f t="shared" ca="1" si="532"/>
        <v>VIGENTE</v>
      </c>
      <c r="GN166" s="4"/>
      <c r="GO166" s="4">
        <v>45283</v>
      </c>
      <c r="GP166" s="4">
        <f t="shared" si="533"/>
        <v>47110</v>
      </c>
      <c r="GQ166" s="8">
        <f t="shared" ca="1" si="418"/>
        <v>976</v>
      </c>
      <c r="GR166" s="5" t="str">
        <f t="shared" ca="1" si="431"/>
        <v>VIGENTE</v>
      </c>
      <c r="GS166" s="3"/>
      <c r="GT166" s="4">
        <v>45252</v>
      </c>
      <c r="GU166" s="4">
        <f t="shared" si="534"/>
        <v>47079</v>
      </c>
      <c r="GV166" s="8">
        <f t="shared" ca="1" si="535"/>
        <v>945</v>
      </c>
      <c r="GW166" s="5" t="str">
        <f t="shared" ca="1" si="438"/>
        <v>VIGENTE</v>
      </c>
      <c r="GX166" s="3"/>
      <c r="GY166" s="4">
        <v>45185</v>
      </c>
      <c r="GZ166" s="4">
        <f t="shared" si="536"/>
        <v>47012</v>
      </c>
      <c r="HA166" s="8">
        <f t="shared" ca="1" si="537"/>
        <v>878</v>
      </c>
      <c r="HB166" s="5" t="str">
        <f t="shared" ca="1" si="433"/>
        <v>VIGENTE</v>
      </c>
      <c r="HC166" s="6"/>
      <c r="HD166" s="4">
        <v>44879</v>
      </c>
      <c r="HE166" s="4">
        <f t="shared" ref="HE166:HE171" si="617">DATE(YEAR(HD166)+5,MONTH(HD166),DAY(HD166))</f>
        <v>46705</v>
      </c>
      <c r="HF166" s="8">
        <f t="shared" ref="HF166:HF171" ca="1" si="618">HE166-TODAY()</f>
        <v>571</v>
      </c>
      <c r="HG166" s="5" t="str">
        <f t="shared" ca="1" si="439"/>
        <v>VIGENTE</v>
      </c>
      <c r="HH166" s="3"/>
      <c r="HI166" s="4">
        <v>45370</v>
      </c>
      <c r="HJ166" s="4">
        <f>DATE(YEAR(HI166)+5,MONTH(HI166),DAY(HI166))</f>
        <v>47196</v>
      </c>
      <c r="HK166" s="8">
        <f ca="1">HJ166-TODAY()</f>
        <v>1062</v>
      </c>
      <c r="HL166" s="5" t="str">
        <f t="shared" ca="1" si="457"/>
        <v>VIGENTE</v>
      </c>
      <c r="HM166" s="2"/>
      <c r="HN166" s="3">
        <v>45374</v>
      </c>
      <c r="HO166" s="4">
        <f>DATE(YEAR(HN166)+5,MONTH(HN166),DAY(HN166))</f>
        <v>47200</v>
      </c>
      <c r="HP166" s="8">
        <f ca="1">HO166-TODAY()</f>
        <v>1066</v>
      </c>
      <c r="HQ166" s="5" t="str">
        <f t="shared" ca="1" si="538"/>
        <v>VIGENTE</v>
      </c>
      <c r="HR166" s="3"/>
      <c r="HS166" s="4">
        <v>45420</v>
      </c>
      <c r="HT166" s="4">
        <f>DATE(YEAR(HS166)+5,MONTH(HS166),DAY(HS166))</f>
        <v>47246</v>
      </c>
      <c r="HU166" s="8">
        <f ca="1">HT166-TODAY()</f>
        <v>1112</v>
      </c>
      <c r="HV166" s="5" t="str">
        <f t="shared" ca="1" si="539"/>
        <v>VIGENTE</v>
      </c>
      <c r="HW166" s="3"/>
      <c r="HX166" s="4">
        <v>45428</v>
      </c>
      <c r="HY166" s="4">
        <f>DATE(YEAR(HX166)+5,MONTH(HX166),DAY(HX166))</f>
        <v>47254</v>
      </c>
      <c r="HZ166" s="8">
        <f ca="1">HY166-TODAY()</f>
        <v>1120</v>
      </c>
      <c r="IA166" s="5" t="str">
        <f t="shared" ca="1" si="540"/>
        <v>VIGENTE</v>
      </c>
      <c r="IB166" s="3"/>
      <c r="IC166" s="4">
        <v>45444</v>
      </c>
      <c r="ID166" s="4">
        <f>DATE(YEAR(IC166)+5,MONTH(IC166),DAY(IC166))</f>
        <v>47270</v>
      </c>
      <c r="IE166" s="8">
        <f ca="1">ID166-TODAY()</f>
        <v>1136</v>
      </c>
      <c r="IF166" s="5" t="str">
        <f t="shared" ca="1" si="541"/>
        <v>VIGENTE</v>
      </c>
      <c r="IG166" s="4"/>
      <c r="IH166" s="4">
        <v>45276</v>
      </c>
      <c r="II166" s="4">
        <f>DATE(YEAR(IH166)+5,MONTH(IH166),DAY(IH166))</f>
        <v>47103</v>
      </c>
      <c r="IJ166" s="8">
        <f ca="1">II166-TODAY()</f>
        <v>969</v>
      </c>
      <c r="IK166" s="5" t="str">
        <f t="shared" ca="1" si="542"/>
        <v>VIGENTE</v>
      </c>
      <c r="IL166" s="3"/>
      <c r="IM166" s="4">
        <v>45259</v>
      </c>
      <c r="IN166" s="4">
        <f>DATE(YEAR(IM166)+5,MONTH(IM166),DAY(IM166))</f>
        <v>47086</v>
      </c>
      <c r="IO166" s="8">
        <f ca="1">IN166-TODAY()</f>
        <v>952</v>
      </c>
      <c r="IP166" s="5" t="str">
        <f t="shared" ca="1" si="543"/>
        <v>VIGENTE</v>
      </c>
      <c r="IQ166" s="3"/>
      <c r="IR166" s="4">
        <v>45385</v>
      </c>
      <c r="IS166" s="4">
        <f>DATE(YEAR(IR166)+5,MONTH(IR166),DAY(IR166))</f>
        <v>47211</v>
      </c>
      <c r="IT166" s="8">
        <f ca="1">IS166-TODAY()</f>
        <v>1077</v>
      </c>
      <c r="IU166" s="5" t="str">
        <f t="shared" ca="1" si="544"/>
        <v>VIGENTE</v>
      </c>
      <c r="IV166" s="3"/>
      <c r="IW166" s="4">
        <v>45374</v>
      </c>
      <c r="IX166" s="4">
        <f>DATE(YEAR(IW166)+5,MONTH(IW166),DAY(IW166))</f>
        <v>47200</v>
      </c>
      <c r="IY166" s="8">
        <f ca="1">IX166-TODAY()</f>
        <v>1066</v>
      </c>
      <c r="IZ166" s="5" t="str">
        <f t="shared" ca="1" si="545"/>
        <v>VIGENTE</v>
      </c>
      <c r="JA166" s="3"/>
      <c r="JB166" s="3"/>
      <c r="JC166" s="4"/>
      <c r="JD166" s="8"/>
      <c r="JE166" s="5" t="str">
        <f t="shared" si="546"/>
        <v>NO APLICA</v>
      </c>
      <c r="JF166" s="6"/>
      <c r="JG166" s="6"/>
      <c r="JH166" s="6"/>
      <c r="JI166" s="6"/>
      <c r="JJ166" s="5" t="str">
        <f t="shared" si="547"/>
        <v>NO APLICA</v>
      </c>
      <c r="JK166" s="6"/>
      <c r="JL166" s="6"/>
      <c r="JM166" s="6"/>
      <c r="JN166" s="6"/>
      <c r="JO166" s="5" t="str">
        <f t="shared" si="548"/>
        <v>NO APLICA</v>
      </c>
      <c r="JP166" s="6"/>
      <c r="JQ166" s="6"/>
      <c r="JR166" s="6"/>
      <c r="JS166" s="6"/>
      <c r="JT166" s="5" t="str">
        <f t="shared" si="549"/>
        <v>NO APLICA</v>
      </c>
      <c r="JU166" s="5"/>
      <c r="JV166" s="5"/>
      <c r="JW166" s="5"/>
      <c r="JX166" s="5"/>
      <c r="JY166" s="5" t="str">
        <f t="shared" si="550"/>
        <v>NO APLICA</v>
      </c>
      <c r="JZ166" s="5"/>
      <c r="KA166" s="5"/>
      <c r="KB166" s="4"/>
      <c r="KC166" s="8"/>
      <c r="KD166" s="5" t="str">
        <f t="shared" si="551"/>
        <v>NO APLICA</v>
      </c>
      <c r="KE166" s="5"/>
      <c r="KF166" s="5"/>
      <c r="KG166" s="4"/>
      <c r="KH166" s="8"/>
      <c r="KI166" s="5" t="str">
        <f t="shared" si="576"/>
        <v>NO APLICA</v>
      </c>
      <c r="KJ166" s="5"/>
      <c r="KK166" s="5"/>
      <c r="KL166" s="4"/>
      <c r="KM166" s="8"/>
      <c r="KN166" s="5" t="str">
        <f t="shared" si="552"/>
        <v>NO APLICA</v>
      </c>
      <c r="KO166" s="5"/>
      <c r="KP166" s="3">
        <v>45346</v>
      </c>
      <c r="KQ166" s="4">
        <f>DATE(YEAR(KP166)+5,MONTH(KP166),DAY(KP166))</f>
        <v>47173</v>
      </c>
      <c r="KR166" s="8">
        <f ca="1">KQ166-TODAY()</f>
        <v>1039</v>
      </c>
      <c r="KS166" s="5" t="str">
        <f t="shared" ca="1" si="577"/>
        <v>VIGENTE</v>
      </c>
      <c r="KT166" s="2"/>
      <c r="KU166" s="6"/>
      <c r="KV166" s="4"/>
      <c r="KW166" s="8"/>
      <c r="KX166" s="5" t="str">
        <f t="shared" si="583"/>
        <v>NO APLICA</v>
      </c>
      <c r="KY166" s="5"/>
      <c r="KZ166" s="4">
        <v>44608</v>
      </c>
      <c r="LA166" s="4">
        <f>DATE(YEAR(KZ166)+5,MONTH(KZ166),DAY(KZ166))</f>
        <v>46434</v>
      </c>
      <c r="LB166" s="8">
        <f ca="1">LA166-TODAY()</f>
        <v>300</v>
      </c>
      <c r="LC166" s="5" t="str">
        <f t="shared" ca="1" si="578"/>
        <v>VIGENTE</v>
      </c>
      <c r="LD166" s="6"/>
      <c r="LE166" s="6"/>
      <c r="LF166" s="4"/>
      <c r="LG166" s="8"/>
      <c r="LH166" s="5" t="str">
        <f t="shared" si="585"/>
        <v>NO APLICA</v>
      </c>
      <c r="LI166" s="5"/>
      <c r="LJ166" s="5"/>
      <c r="LK166" s="4"/>
      <c r="LL166" s="8"/>
      <c r="LM166" s="5" t="str">
        <f t="shared" si="584"/>
        <v>NO APLICA</v>
      </c>
      <c r="LN166" s="5"/>
      <c r="LO166" s="6"/>
      <c r="LP166" s="4"/>
      <c r="LQ166" s="8"/>
      <c r="LR166" s="5" t="str">
        <f t="shared" si="579"/>
        <v>NO APLICA</v>
      </c>
      <c r="LS166" s="4"/>
      <c r="LT166" s="4">
        <v>44986</v>
      </c>
      <c r="LU166" s="4">
        <f>DATE(YEAR(LT166)+5,MONTH(LT166),DAY(LT166))</f>
        <v>46813</v>
      </c>
      <c r="LV166" s="8">
        <f ca="1">LU166-TODAY()</f>
        <v>679</v>
      </c>
      <c r="LW166" s="5" t="str">
        <f t="shared" ca="1" si="580"/>
        <v>VIGENTE</v>
      </c>
      <c r="LX166" s="4"/>
      <c r="LY166" s="4">
        <v>44988</v>
      </c>
      <c r="LZ166" s="4">
        <f>DATE(YEAR(LY166)+5,MONTH(LY166),DAY(LY166))</f>
        <v>46815</v>
      </c>
      <c r="MA166" s="8">
        <f ca="1">LZ166-TODAY()</f>
        <v>681</v>
      </c>
      <c r="MB166" s="5" t="str">
        <f t="shared" ca="1" si="581"/>
        <v>VIGENTE</v>
      </c>
      <c r="MC166" s="5"/>
      <c r="MD166" s="5"/>
      <c r="ME166" s="4"/>
      <c r="MF166" s="8"/>
      <c r="MG166" s="5" t="str">
        <f t="shared" si="554"/>
        <v>NO APLICA</v>
      </c>
      <c r="MH166" s="5"/>
      <c r="MI166" s="5"/>
      <c r="MJ166" s="4"/>
      <c r="MK166" s="8"/>
      <c r="ML166" s="5" t="str">
        <f t="shared" si="555"/>
        <v>NO APLICA</v>
      </c>
      <c r="MM166" s="5"/>
      <c r="MN166" s="5"/>
      <c r="MO166" s="4"/>
      <c r="MP166" s="8"/>
      <c r="MQ166" s="5" t="str">
        <f t="shared" si="556"/>
        <v>NO APLICA</v>
      </c>
      <c r="MR166" s="5"/>
      <c r="MS166" s="5"/>
      <c r="MT166" s="4"/>
      <c r="MU166" s="5"/>
      <c r="MV166" s="5" t="str">
        <f t="shared" si="557"/>
        <v>NO APLICA</v>
      </c>
      <c r="MW166" s="5"/>
      <c r="MX166" s="6"/>
      <c r="MY166" s="4"/>
      <c r="MZ166" s="8"/>
      <c r="NA166" s="5" t="str">
        <f t="shared" si="558"/>
        <v>NO APLICA</v>
      </c>
      <c r="NB166" s="5"/>
      <c r="NC166" s="6"/>
      <c r="ND166" s="4"/>
      <c r="NE166" s="8"/>
      <c r="NF166" s="5" t="str">
        <f t="shared" si="559"/>
        <v>NO APLICA</v>
      </c>
      <c r="NG166" s="5"/>
      <c r="NH166" s="6"/>
      <c r="NI166" s="4"/>
      <c r="NJ166" s="8"/>
      <c r="NK166" s="5" t="str">
        <f t="shared" si="560"/>
        <v>NO APLICA</v>
      </c>
      <c r="NL166" s="5"/>
      <c r="NM166" s="5"/>
      <c r="NN166" s="5"/>
      <c r="NO166" s="5"/>
      <c r="NP166" s="5" t="str">
        <f t="shared" si="561"/>
        <v>NO APLICA</v>
      </c>
      <c r="NQ166" s="5"/>
      <c r="NR166" s="5"/>
      <c r="NS166" s="5"/>
      <c r="NT166" s="5"/>
      <c r="NU166" s="5" t="str">
        <f t="shared" si="562"/>
        <v>NO APLICA</v>
      </c>
      <c r="NV166" s="6"/>
      <c r="NW166" s="6"/>
      <c r="NX166" s="6"/>
      <c r="NY166" s="6"/>
      <c r="NZ166" s="5" t="str">
        <f t="shared" si="563"/>
        <v>NO APLICA</v>
      </c>
      <c r="OA166" s="6"/>
      <c r="OB166" s="6"/>
      <c r="OC166" s="6"/>
      <c r="OD166" s="6"/>
      <c r="OE166" s="5" t="str">
        <f t="shared" si="564"/>
        <v>NO APLICA</v>
      </c>
      <c r="OF166" s="5"/>
      <c r="OG166" s="4"/>
      <c r="OH166" s="4"/>
      <c r="OI166" s="8"/>
      <c r="OJ166" s="5" t="str">
        <f t="shared" si="565"/>
        <v>NO APLICA</v>
      </c>
      <c r="OK166" s="6"/>
      <c r="OL166" s="6"/>
      <c r="OM166" s="6"/>
      <c r="ON166" s="6"/>
      <c r="OO166" s="5" t="str">
        <f t="shared" si="566"/>
        <v>NO APLICA</v>
      </c>
      <c r="OP166" s="6"/>
      <c r="OQ166" s="6"/>
      <c r="OR166" s="6"/>
      <c r="OS166" s="6"/>
      <c r="OT166" s="5" t="str">
        <f t="shared" si="567"/>
        <v>NO APLICA</v>
      </c>
      <c r="OU166" s="6"/>
      <c r="OV166" s="6"/>
      <c r="OW166" s="6"/>
      <c r="OX166" s="6"/>
      <c r="OY166" s="5" t="str">
        <f t="shared" si="568"/>
        <v>NO APLICA</v>
      </c>
      <c r="OZ166" s="6"/>
      <c r="PA166" s="6"/>
      <c r="PB166" s="6"/>
      <c r="PC166" s="6"/>
      <c r="PD166" s="5" t="str">
        <f t="shared" si="569"/>
        <v>NO APLICA</v>
      </c>
      <c r="PE166" s="6"/>
      <c r="PF166" s="6"/>
      <c r="PG166" s="6"/>
      <c r="PH166" s="6"/>
      <c r="PI166" s="5" t="str">
        <f t="shared" si="570"/>
        <v>NO APLICA</v>
      </c>
      <c r="PJ166" s="5"/>
      <c r="PK166" s="6"/>
      <c r="PL166" s="4"/>
      <c r="PM166" s="8"/>
      <c r="PN166" s="5" t="str">
        <f t="shared" si="571"/>
        <v>NO APLICA</v>
      </c>
      <c r="PO166" s="6"/>
      <c r="PP166" s="6"/>
      <c r="PQ166" s="6"/>
      <c r="PR166" s="6"/>
      <c r="PS166" s="5" t="str">
        <f t="shared" si="572"/>
        <v>NO APLICA</v>
      </c>
      <c r="PT166" s="5"/>
      <c r="PU166" s="6"/>
      <c r="PV166" s="6"/>
      <c r="PW166" s="6"/>
      <c r="PX166" s="5" t="str">
        <f t="shared" si="573"/>
        <v>NO APLICA</v>
      </c>
    </row>
    <row r="167" spans="1:440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353</v>
      </c>
      <c r="T167" s="5" t="str">
        <f t="shared" ca="1" si="574"/>
        <v>VIGENTE</v>
      </c>
      <c r="U167" s="2" t="s">
        <v>540</v>
      </c>
      <c r="V167" s="4">
        <v>44688</v>
      </c>
      <c r="W167" s="4">
        <f t="shared" si="606"/>
        <v>46514</v>
      </c>
      <c r="X167" s="8">
        <f t="shared" ca="1" si="607"/>
        <v>380</v>
      </c>
      <c r="Y167" s="5" t="str">
        <f t="shared" ca="1" si="423"/>
        <v>VIGENTE</v>
      </c>
      <c r="Z167" s="2" t="s">
        <v>541</v>
      </c>
      <c r="AA167" s="4">
        <v>45190</v>
      </c>
      <c r="AB167" s="4">
        <f t="shared" si="615"/>
        <v>47017</v>
      </c>
      <c r="AC167" s="8">
        <f t="shared" ca="1" si="616"/>
        <v>883</v>
      </c>
      <c r="AD167" s="5" t="str">
        <f t="shared" ca="1" si="603"/>
        <v>VIGENTE</v>
      </c>
      <c r="AE167" s="3"/>
      <c r="AF167" s="4">
        <v>45512</v>
      </c>
      <c r="AG167" s="4">
        <f>DATE(YEAR(AF167)+2,MONTH(AF167),DAY(AF167)-1)</f>
        <v>46241</v>
      </c>
      <c r="AH167" s="8">
        <f t="shared" ca="1" si="470"/>
        <v>107</v>
      </c>
      <c r="AI167" s="5" t="str">
        <f t="shared" ca="1" si="419"/>
        <v>VIGENTE</v>
      </c>
      <c r="AJ167" s="3"/>
      <c r="AK167" s="4">
        <v>45490</v>
      </c>
      <c r="AL167" s="4">
        <f>DATE(YEAR(AK167)+2,MONTH(AK167),DAY(AK167)-1)</f>
        <v>46219</v>
      </c>
      <c r="AM167" s="8">
        <f t="shared" ca="1" si="471"/>
        <v>85</v>
      </c>
      <c r="AN167" s="5" t="str">
        <f t="shared" ca="1" si="472"/>
        <v>POR VENCER</v>
      </c>
      <c r="AO167" s="3"/>
      <c r="AP167" s="4">
        <v>45505</v>
      </c>
      <c r="AQ167" s="4">
        <f>DATE(YEAR(AP167)+2,MONTH(AP167),DAY(AP167)-1)</f>
        <v>46234</v>
      </c>
      <c r="AR167" s="8">
        <f t="shared" ca="1" si="473"/>
        <v>100</v>
      </c>
      <c r="AS167" s="5" t="str">
        <f t="shared" ca="1" si="474"/>
        <v>VIGENTE</v>
      </c>
      <c r="AT167" s="3"/>
      <c r="AU167" s="4">
        <v>45514</v>
      </c>
      <c r="AV167" s="4">
        <f>DATE(YEAR(AU167)+2,MONTH(AU167),DAY(AU167)-1)</f>
        <v>46243</v>
      </c>
      <c r="AW167" s="8">
        <f t="shared" ca="1" si="475"/>
        <v>109</v>
      </c>
      <c r="AX167" s="5" t="str">
        <f t="shared" ca="1" si="476"/>
        <v>VIGENTE</v>
      </c>
      <c r="AY167" s="3"/>
      <c r="AZ167" s="4">
        <v>45603</v>
      </c>
      <c r="BA167" s="4">
        <f>DATE(YEAR(AZ167)+2,MONTH(AZ167),DAY(AZ167)-1)</f>
        <v>46332</v>
      </c>
      <c r="BB167" s="8">
        <f t="shared" ca="1" si="477"/>
        <v>198</v>
      </c>
      <c r="BC167" s="5" t="str">
        <f t="shared" ca="1" si="478"/>
        <v>VIGENTE</v>
      </c>
      <c r="BD167" s="3"/>
      <c r="BE167" s="4">
        <v>45488</v>
      </c>
      <c r="BF167" s="4">
        <f>DATE(YEAR(BE167)+2,MONTH(BE167),DAY(BE167)-1)</f>
        <v>46217</v>
      </c>
      <c r="BG167" s="8">
        <f t="shared" ca="1" si="479"/>
        <v>83</v>
      </c>
      <c r="BH167" s="5" t="str">
        <f t="shared" ca="1" si="480"/>
        <v>POR VENCER</v>
      </c>
      <c r="BI167" s="3"/>
      <c r="BJ167" s="4">
        <v>46051</v>
      </c>
      <c r="BK167" s="4">
        <f>DATE(YEAR(BJ167)+2,MONTH(BJ167),DAY(BJ167))</f>
        <v>46781</v>
      </c>
      <c r="BL167" s="8">
        <f t="shared" ca="1" si="481"/>
        <v>647</v>
      </c>
      <c r="BM167" s="5" t="str">
        <f t="shared" ca="1" si="482"/>
        <v>VIGENTE</v>
      </c>
      <c r="BN167" s="3"/>
      <c r="BO167" s="4">
        <v>46050</v>
      </c>
      <c r="BP167" s="4">
        <f>DATE(YEAR(BO167)+2,MONTH(BO167),DAY(BO167))</f>
        <v>46780</v>
      </c>
      <c r="BQ167" s="8">
        <f t="shared" ca="1" si="483"/>
        <v>646</v>
      </c>
      <c r="BR167" s="5" t="str">
        <f t="shared" ca="1" si="484"/>
        <v>VIGENTE</v>
      </c>
      <c r="BS167" s="3"/>
      <c r="BT167" s="4">
        <v>45484</v>
      </c>
      <c r="BU167" s="4">
        <f>DATE(YEAR(BT167)+2,MONTH(BT167),DAY(BT167)-1)</f>
        <v>46213</v>
      </c>
      <c r="BV167" s="8">
        <f t="shared" ca="1" si="485"/>
        <v>79</v>
      </c>
      <c r="BW167" s="5" t="str">
        <f t="shared" ca="1" si="486"/>
        <v>POR VENCER</v>
      </c>
      <c r="BX167" s="3"/>
      <c r="BY167" s="4">
        <v>45546</v>
      </c>
      <c r="BZ167" s="4">
        <f>DATE(YEAR(BY167)+2,MONTH(BY167),DAY(BY167)-1)</f>
        <v>46275</v>
      </c>
      <c r="CA167" s="8">
        <f t="shared" ca="1" si="487"/>
        <v>141</v>
      </c>
      <c r="CB167" s="5" t="str">
        <f t="shared" ca="1" si="488"/>
        <v>VIGENTE</v>
      </c>
      <c r="CC167" s="6" t="s">
        <v>68</v>
      </c>
      <c r="CD167" s="4">
        <v>45828</v>
      </c>
      <c r="CE167" s="4">
        <f t="shared" si="609"/>
        <v>47289</v>
      </c>
      <c r="CF167" s="8">
        <f t="shared" ca="1" si="610"/>
        <v>1155</v>
      </c>
      <c r="CG167" s="5" t="str">
        <f t="shared" ca="1" si="591"/>
        <v>VIGENTE</v>
      </c>
      <c r="CH167" s="4"/>
      <c r="CI167" s="4">
        <v>45511</v>
      </c>
      <c r="CJ167" s="4">
        <f>DATE(YEAR(CI167)+2,MONTH(CI167),DAY(CI167)-1)</f>
        <v>46240</v>
      </c>
      <c r="CK167" s="8">
        <f t="shared" ca="1" si="489"/>
        <v>106</v>
      </c>
      <c r="CL167" s="5" t="str">
        <f t="shared" ca="1" si="490"/>
        <v>VIGENTE</v>
      </c>
      <c r="CM167" s="3"/>
      <c r="CN167" s="4">
        <v>45688</v>
      </c>
      <c r="CO167" s="4">
        <f>DATE(YEAR(CN167)+2,MONTH(CN167),DAY(CN167)-1)</f>
        <v>46417</v>
      </c>
      <c r="CP167" s="8">
        <f t="shared" ca="1" si="491"/>
        <v>283</v>
      </c>
      <c r="CQ167" s="5" t="str">
        <f t="shared" ca="1" si="492"/>
        <v>VIGENTE</v>
      </c>
      <c r="CR167" s="3"/>
      <c r="CS167" s="4">
        <v>45727</v>
      </c>
      <c r="CT167" s="4">
        <f>DATE(YEAR(CS167)+2,MONTH(CS167),DAY(CS167)-1)</f>
        <v>46456</v>
      </c>
      <c r="CU167" s="8">
        <f t="shared" ca="1" si="493"/>
        <v>322</v>
      </c>
      <c r="CV167" s="5" t="str">
        <f t="shared" ca="1" si="494"/>
        <v>VIGENTE</v>
      </c>
      <c r="CW167" s="3"/>
      <c r="CX167" s="4">
        <v>45665</v>
      </c>
      <c r="CY167" s="4">
        <f>DATE(YEAR(CX167)+2,MONTH(CX167),DAY(CX167)-1)</f>
        <v>46394</v>
      </c>
      <c r="CZ167" s="8">
        <f t="shared" ca="1" si="495"/>
        <v>260</v>
      </c>
      <c r="DA167" s="5" t="str">
        <f t="shared" ca="1" si="496"/>
        <v>VIGENTE</v>
      </c>
      <c r="DB167" s="3"/>
      <c r="DC167" s="4">
        <v>46066</v>
      </c>
      <c r="DD167" s="4">
        <f>DATE(YEAR(DC167)+2,MONTH(DC167),DAY(DC167))</f>
        <v>46796</v>
      </c>
      <c r="DE167" s="8">
        <f t="shared" ca="1" si="497"/>
        <v>662</v>
      </c>
      <c r="DF167" s="5" t="str">
        <f t="shared" ca="1" si="498"/>
        <v>VIGENTE</v>
      </c>
      <c r="DG167" s="3"/>
      <c r="DH167" s="4">
        <v>45509</v>
      </c>
      <c r="DI167" s="4">
        <f>DATE(YEAR(DH167)+2,MONTH(DH167),DAY(DH167)-1)</f>
        <v>46238</v>
      </c>
      <c r="DJ167" s="8">
        <f t="shared" ca="1" si="499"/>
        <v>104</v>
      </c>
      <c r="DK167" s="5" t="str">
        <f t="shared" ca="1" si="500"/>
        <v>VIGENTE</v>
      </c>
      <c r="DL167" s="3"/>
      <c r="DM167" s="4">
        <v>45731</v>
      </c>
      <c r="DN167" s="4">
        <f>DATE(YEAR(DM167)+2,MONTH(DM167),DAY(DM167)-1)</f>
        <v>46460</v>
      </c>
      <c r="DO167" s="8">
        <f t="shared" ca="1" si="501"/>
        <v>326</v>
      </c>
      <c r="DP167" s="5" t="str">
        <f t="shared" ca="1" si="502"/>
        <v>VIGENTE</v>
      </c>
      <c r="DQ167" s="3"/>
      <c r="DR167" s="4">
        <v>45608</v>
      </c>
      <c r="DS167" s="4">
        <f>DATE(YEAR(DR167)+2,MONTH(DR167),DAY(DR167)-1)</f>
        <v>46337</v>
      </c>
      <c r="DT167" s="8">
        <f t="shared" ca="1" si="503"/>
        <v>203</v>
      </c>
      <c r="DU167" s="5" t="str">
        <f t="shared" ca="1" si="504"/>
        <v>VIGENTE</v>
      </c>
      <c r="DV167" s="3"/>
      <c r="DW167" s="4">
        <v>45582</v>
      </c>
      <c r="DX167" s="4">
        <f t="shared" si="614"/>
        <v>46311</v>
      </c>
      <c r="DY167" s="8">
        <f t="shared" ca="1" si="505"/>
        <v>177</v>
      </c>
      <c r="DZ167" s="5" t="str">
        <f t="shared" ca="1" si="506"/>
        <v>VIGENTE</v>
      </c>
      <c r="EA167" s="3"/>
      <c r="EB167" s="4">
        <v>45602</v>
      </c>
      <c r="EC167" s="4">
        <f>DATE(YEAR(EB167)+2,MONTH(EB167),DAY(EB167)-1)</f>
        <v>46331</v>
      </c>
      <c r="ED167" s="8">
        <f t="shared" ca="1" si="507"/>
        <v>197</v>
      </c>
      <c r="EE167" s="5" t="str">
        <f t="shared" ca="1" si="508"/>
        <v>VIGENTE</v>
      </c>
      <c r="EF167" s="3"/>
      <c r="EG167" s="3">
        <v>46107</v>
      </c>
      <c r="EH167" s="4">
        <f t="shared" si="575"/>
        <v>46472</v>
      </c>
      <c r="EI167" s="8">
        <f t="shared" ca="1" si="509"/>
        <v>338</v>
      </c>
      <c r="EJ167" s="5" t="str">
        <f t="shared" ca="1" si="510"/>
        <v>VIGENTE</v>
      </c>
      <c r="EK167" s="3"/>
      <c r="EL167" s="4">
        <v>46100</v>
      </c>
      <c r="EM167" s="4">
        <f>DATE(YEAR(EL167)+2,MONTH(EL167),DAY(EL167))</f>
        <v>46831</v>
      </c>
      <c r="EN167" s="8">
        <f t="shared" ca="1" si="511"/>
        <v>697</v>
      </c>
      <c r="EO167" s="5" t="str">
        <f t="shared" ca="1" si="512"/>
        <v>VIGENTE</v>
      </c>
      <c r="EP167" s="3"/>
      <c r="EQ167" s="4">
        <v>45575</v>
      </c>
      <c r="ER167" s="4">
        <f>DATE(YEAR(EQ167)+2,MONTH(EQ167),DAY(EQ167)-1)</f>
        <v>46304</v>
      </c>
      <c r="ES167" s="8">
        <f t="shared" ca="1" si="513"/>
        <v>170</v>
      </c>
      <c r="ET167" s="5" t="str">
        <f t="shared" ca="1" si="514"/>
        <v>VIGENTE</v>
      </c>
      <c r="EU167" s="3"/>
      <c r="EV167" s="4">
        <v>45610</v>
      </c>
      <c r="EW167" s="4">
        <f>DATE(YEAR(EV167)+2,MONTH(EV167),DAY(EV167)-1)</f>
        <v>46339</v>
      </c>
      <c r="EX167" s="8">
        <f t="shared" ca="1" si="515"/>
        <v>205</v>
      </c>
      <c r="EY167" s="5" t="str">
        <f t="shared" ca="1" si="516"/>
        <v>VIGENTE</v>
      </c>
      <c r="EZ167" s="3"/>
      <c r="FA167" s="4">
        <v>45611</v>
      </c>
      <c r="FB167" s="4">
        <f>DATE(YEAR(FA167)+2,MONTH(FA167),DAY(FA167)-1)</f>
        <v>46340</v>
      </c>
      <c r="FC167" s="8">
        <f t="shared" ca="1" si="517"/>
        <v>206</v>
      </c>
      <c r="FD167" s="5" t="str">
        <f t="shared" ca="1" si="518"/>
        <v>VIGENTE</v>
      </c>
      <c r="FE167" s="3"/>
      <c r="FF167" s="4">
        <v>45506</v>
      </c>
      <c r="FG167" s="4">
        <f>DATE(YEAR(FF167)+2,MONTH(FF167),DAY(FF167)-1)</f>
        <v>46235</v>
      </c>
      <c r="FH167" s="8">
        <f t="shared" ca="1" si="519"/>
        <v>101</v>
      </c>
      <c r="FI167" s="5" t="str">
        <f t="shared" ca="1" si="520"/>
        <v>VIGENTE</v>
      </c>
      <c r="FJ167" s="3"/>
      <c r="FK167" s="4">
        <v>45933</v>
      </c>
      <c r="FL167" s="4">
        <f>DATE(YEAR(FK167)+2,MONTH(FK167),DAY(FK167))</f>
        <v>46663</v>
      </c>
      <c r="FM167" s="8">
        <f t="shared" ca="1" si="521"/>
        <v>529</v>
      </c>
      <c r="FN167" s="5" t="str">
        <f t="shared" ca="1" si="522"/>
        <v>VIGENTE</v>
      </c>
      <c r="FO167" s="3"/>
      <c r="FP167" s="4">
        <v>46077</v>
      </c>
      <c r="FQ167" s="4">
        <f>DATE(YEAR(FP167)+2,MONTH(FP167),DAY(FP167))</f>
        <v>46807</v>
      </c>
      <c r="FR167" s="8">
        <f t="shared" ca="1" si="523"/>
        <v>673</v>
      </c>
      <c r="FS167" s="5" t="str">
        <f t="shared" ca="1" si="524"/>
        <v>VIGENTE</v>
      </c>
      <c r="FT167" s="3"/>
      <c r="FU167" s="4">
        <v>45700</v>
      </c>
      <c r="FV167" s="4">
        <f>DATE(YEAR(FU167)+2,MONTH(FU167),DAY(FU167)-1)</f>
        <v>46429</v>
      </c>
      <c r="FW167" s="8">
        <f t="shared" ca="1" si="525"/>
        <v>295</v>
      </c>
      <c r="FX167" s="5" t="str">
        <f t="shared" ca="1" si="526"/>
        <v>VIGENTE</v>
      </c>
      <c r="FY167" s="3"/>
      <c r="FZ167" s="4">
        <v>45595</v>
      </c>
      <c r="GA167" s="4">
        <f>DATE(YEAR(FZ167)+2,MONTH(FZ167),DAY(FZ167)-1)</f>
        <v>46324</v>
      </c>
      <c r="GB167" s="8">
        <f t="shared" ca="1" si="527"/>
        <v>190</v>
      </c>
      <c r="GC167" s="5" t="str">
        <f t="shared" ca="1" si="528"/>
        <v>VIGENTE</v>
      </c>
      <c r="GD167" s="3"/>
      <c r="GE167" s="4">
        <v>46092</v>
      </c>
      <c r="GF167" s="4">
        <f>DATE(YEAR(GE167)+2,MONTH(GE167),DAY(GE167))</f>
        <v>46823</v>
      </c>
      <c r="GG167" s="8">
        <f t="shared" ca="1" si="529"/>
        <v>689</v>
      </c>
      <c r="GH167" s="5" t="str">
        <f t="shared" ca="1" si="530"/>
        <v>VIGENTE</v>
      </c>
      <c r="GI167" s="3"/>
      <c r="GJ167" s="4">
        <v>45567</v>
      </c>
      <c r="GK167" s="4">
        <f>DATE(YEAR(GJ167)+2,MONTH(GJ167),DAY(GJ167)-1)</f>
        <v>46296</v>
      </c>
      <c r="GL167" s="8">
        <f t="shared" ca="1" si="531"/>
        <v>162</v>
      </c>
      <c r="GM167" s="5" t="str">
        <f t="shared" ca="1" si="532"/>
        <v>VIGENTE</v>
      </c>
      <c r="GN167" s="4"/>
      <c r="GO167" s="4">
        <v>45495</v>
      </c>
      <c r="GP167" s="4">
        <f t="shared" si="533"/>
        <v>47321</v>
      </c>
      <c r="GQ167" s="8">
        <f t="shared" ca="1" si="418"/>
        <v>1187</v>
      </c>
      <c r="GR167" s="5" t="str">
        <f t="shared" ca="1" si="431"/>
        <v>VIGENTE</v>
      </c>
      <c r="GS167" s="3"/>
      <c r="GT167" s="4">
        <v>44910</v>
      </c>
      <c r="GU167" s="4">
        <f t="shared" si="534"/>
        <v>46736</v>
      </c>
      <c r="GV167" s="8">
        <f t="shared" ca="1" si="535"/>
        <v>602</v>
      </c>
      <c r="GW167" s="5" t="str">
        <f t="shared" ca="1" si="438"/>
        <v>VIGENTE</v>
      </c>
      <c r="GX167" s="2"/>
      <c r="GY167" s="4">
        <v>44883</v>
      </c>
      <c r="GZ167" s="4">
        <f t="shared" si="536"/>
        <v>46709</v>
      </c>
      <c r="HA167" s="8">
        <f t="shared" ca="1" si="537"/>
        <v>575</v>
      </c>
      <c r="HB167" s="5" t="str">
        <f t="shared" ca="1" si="433"/>
        <v>VIGENTE</v>
      </c>
      <c r="HC167" s="6"/>
      <c r="HD167" s="4">
        <v>44876</v>
      </c>
      <c r="HE167" s="4">
        <f t="shared" si="617"/>
        <v>46702</v>
      </c>
      <c r="HF167" s="8">
        <f t="shared" ca="1" si="618"/>
        <v>568</v>
      </c>
      <c r="HG167" s="5" t="str">
        <f t="shared" ca="1" si="439"/>
        <v>VIGENTE</v>
      </c>
      <c r="HH167" s="2"/>
      <c r="HI167" s="6"/>
      <c r="HJ167" s="4"/>
      <c r="HK167" s="8"/>
      <c r="HL167" s="5" t="str">
        <f t="shared" si="457"/>
        <v>NO APLICA</v>
      </c>
      <c r="HM167" s="2"/>
      <c r="HN167" s="2"/>
      <c r="HO167" s="4"/>
      <c r="HP167" s="2"/>
      <c r="HQ167" s="5" t="str">
        <f t="shared" si="538"/>
        <v>NO APLICA</v>
      </c>
      <c r="HR167" s="2"/>
      <c r="HS167" s="6"/>
      <c r="HT167" s="4"/>
      <c r="HU167" s="8"/>
      <c r="HV167" s="5" t="str">
        <f t="shared" si="539"/>
        <v>NO APLICA</v>
      </c>
      <c r="HW167" s="2"/>
      <c r="HX167" s="6"/>
      <c r="HY167" s="4"/>
      <c r="HZ167" s="8"/>
      <c r="IA167" s="5" t="str">
        <f t="shared" si="540"/>
        <v>NO APLICA</v>
      </c>
      <c r="IB167" s="2"/>
      <c r="IC167" s="6"/>
      <c r="ID167" s="4"/>
      <c r="IE167" s="8"/>
      <c r="IF167" s="5" t="str">
        <f t="shared" si="541"/>
        <v>NO APLICA</v>
      </c>
      <c r="IG167" s="6"/>
      <c r="IH167" s="6"/>
      <c r="II167" s="4"/>
      <c r="IJ167" s="8"/>
      <c r="IK167" s="5" t="str">
        <f t="shared" si="542"/>
        <v>NO APLICA</v>
      </c>
      <c r="IL167" s="2"/>
      <c r="IM167" s="6"/>
      <c r="IN167" s="4"/>
      <c r="IO167" s="8"/>
      <c r="IP167" s="5" t="str">
        <f t="shared" si="543"/>
        <v>NO APLICA</v>
      </c>
      <c r="IQ167" s="2"/>
      <c r="IR167" s="6"/>
      <c r="IS167" s="4"/>
      <c r="IT167" s="8"/>
      <c r="IU167" s="5" t="str">
        <f t="shared" si="544"/>
        <v>NO APLICA</v>
      </c>
      <c r="IV167" s="2"/>
      <c r="IW167" s="6"/>
      <c r="IX167" s="4"/>
      <c r="IY167" s="8"/>
      <c r="IZ167" s="5" t="str">
        <f t="shared" si="545"/>
        <v>NO APLICA</v>
      </c>
      <c r="JA167" s="3"/>
      <c r="JB167" s="3"/>
      <c r="JC167" s="4"/>
      <c r="JD167" s="8"/>
      <c r="JE167" s="5" t="str">
        <f t="shared" si="546"/>
        <v>NO APLICA</v>
      </c>
      <c r="JF167" s="6"/>
      <c r="JG167" s="6"/>
      <c r="JH167" s="6"/>
      <c r="JI167" s="6"/>
      <c r="JJ167" s="5" t="str">
        <f t="shared" si="547"/>
        <v>NO APLICA</v>
      </c>
      <c r="JK167" s="6"/>
      <c r="JL167" s="6"/>
      <c r="JM167" s="6"/>
      <c r="JN167" s="6"/>
      <c r="JO167" s="5" t="str">
        <f t="shared" si="548"/>
        <v>NO APLICA</v>
      </c>
      <c r="JP167" s="6"/>
      <c r="JQ167" s="6"/>
      <c r="JR167" s="6"/>
      <c r="JS167" s="6"/>
      <c r="JT167" s="5" t="str">
        <f t="shared" si="549"/>
        <v>NO APLICA</v>
      </c>
      <c r="JU167" s="5"/>
      <c r="JV167" s="5"/>
      <c r="JW167" s="5"/>
      <c r="JX167" s="5"/>
      <c r="JY167" s="5" t="str">
        <f t="shared" si="550"/>
        <v>NO APLICA</v>
      </c>
      <c r="JZ167" s="5"/>
      <c r="KA167" s="2"/>
      <c r="KB167" s="4"/>
      <c r="KC167" s="8"/>
      <c r="KD167" s="5" t="str">
        <f t="shared" si="551"/>
        <v>NO APLICA</v>
      </c>
      <c r="KE167" s="5"/>
      <c r="KF167" s="2"/>
      <c r="KG167" s="4"/>
      <c r="KH167" s="8"/>
      <c r="KI167" s="5" t="str">
        <f t="shared" si="576"/>
        <v>NO APLICA</v>
      </c>
      <c r="KJ167" s="5"/>
      <c r="KK167" s="3">
        <v>45364</v>
      </c>
      <c r="KL167" s="4">
        <f>DATE(YEAR(KK167)+5,MONTH(KK167),DAY(KK167))</f>
        <v>47190</v>
      </c>
      <c r="KM167" s="8">
        <f ca="1">KL167-TODAY()</f>
        <v>1056</v>
      </c>
      <c r="KN167" s="5" t="str">
        <f t="shared" ca="1" si="552"/>
        <v>VIGENTE</v>
      </c>
      <c r="KO167" s="5"/>
      <c r="KP167" s="3">
        <v>45346</v>
      </c>
      <c r="KQ167" s="4">
        <f>DATE(YEAR(KP167)+5,MONTH(KP167),DAY(KP167))</f>
        <v>47173</v>
      </c>
      <c r="KR167" s="8">
        <f ca="1">KQ167-TODAY()</f>
        <v>1039</v>
      </c>
      <c r="KS167" s="5" t="str">
        <f t="shared" ca="1" si="577"/>
        <v>VIGENTE</v>
      </c>
      <c r="KT167" s="2"/>
      <c r="KU167" s="6"/>
      <c r="KV167" s="4"/>
      <c r="KW167" s="8"/>
      <c r="KX167" s="5" t="str">
        <f t="shared" si="583"/>
        <v>NO APLICA</v>
      </c>
      <c r="KY167" s="5"/>
      <c r="KZ167" s="6"/>
      <c r="LA167" s="4"/>
      <c r="LB167" s="8"/>
      <c r="LC167" s="5" t="str">
        <f t="shared" si="578"/>
        <v>NO APLICA</v>
      </c>
      <c r="LD167" s="4"/>
      <c r="LE167" s="4"/>
      <c r="LF167" s="4"/>
      <c r="LG167" s="8"/>
      <c r="LH167" s="5" t="str">
        <f>IF(LG167&gt;=61,"VIGENTE",IF(LG167&gt;=1,"POR VENCER",IF(LG167&lt;=-1,"VENCIDA",IF(LG167=0,"NO APLICA"))))</f>
        <v>NO APLICA</v>
      </c>
      <c r="LI167" s="5"/>
      <c r="LJ167" s="5"/>
      <c r="LK167" s="5"/>
      <c r="LL167" s="5"/>
      <c r="LM167" s="5" t="str">
        <f t="shared" si="584"/>
        <v>NO APLICA</v>
      </c>
      <c r="LN167" s="2"/>
      <c r="LO167" s="6"/>
      <c r="LP167" s="4"/>
      <c r="LQ167" s="8"/>
      <c r="LR167" s="5" t="str">
        <f t="shared" si="579"/>
        <v>NO APLICA</v>
      </c>
      <c r="LS167" s="4"/>
      <c r="LT167" s="4">
        <v>44986</v>
      </c>
      <c r="LU167" s="4">
        <f>DATE(YEAR(LT167)+5,MONTH(LT167),DAY(LT167))</f>
        <v>46813</v>
      </c>
      <c r="LV167" s="8">
        <f ca="1">LU167-TODAY()</f>
        <v>679</v>
      </c>
      <c r="LW167" s="5" t="str">
        <f t="shared" ca="1" si="580"/>
        <v>VIGENTE</v>
      </c>
      <c r="LX167" s="4"/>
      <c r="LY167" s="4">
        <v>44988</v>
      </c>
      <c r="LZ167" s="4">
        <f>DATE(YEAR(LY167)+5,MONTH(LY167),DAY(LY167))</f>
        <v>46815</v>
      </c>
      <c r="MA167" s="8">
        <f ca="1">LZ167-TODAY()</f>
        <v>681</v>
      </c>
      <c r="MB167" s="5" t="str">
        <f t="shared" ca="1" si="581"/>
        <v>VIGENTE</v>
      </c>
      <c r="MC167" s="3"/>
      <c r="MD167" s="3">
        <v>44998</v>
      </c>
      <c r="ME167" s="4">
        <f>DATE(YEAR(MD167)+5,MONTH(MD167),DAY(MD167))</f>
        <v>46825</v>
      </c>
      <c r="MF167" s="8">
        <f ca="1">ME167-TODAY()</f>
        <v>691</v>
      </c>
      <c r="MG167" s="5" t="str">
        <f t="shared" ca="1" si="554"/>
        <v>VIGENTE</v>
      </c>
      <c r="MH167" s="3"/>
      <c r="MI167" s="3">
        <v>45231</v>
      </c>
      <c r="MJ167" s="4">
        <f>DATE(YEAR(MI167)+5,MONTH(MI167),DAY(MI167))</f>
        <v>47058</v>
      </c>
      <c r="MK167" s="8">
        <f ca="1">MJ167-TODAY()</f>
        <v>924</v>
      </c>
      <c r="ML167" s="5" t="str">
        <f t="shared" ca="1" si="555"/>
        <v>VIGENTE</v>
      </c>
      <c r="MM167" s="5"/>
      <c r="MN167" s="2"/>
      <c r="MO167" s="4"/>
      <c r="MP167" s="8"/>
      <c r="MQ167" s="5" t="str">
        <f t="shared" si="556"/>
        <v>NO APLICA</v>
      </c>
      <c r="MR167" s="5"/>
      <c r="MS167" s="2"/>
      <c r="MT167" s="4"/>
      <c r="MU167" s="2"/>
      <c r="MV167" s="5" t="str">
        <f t="shared" si="557"/>
        <v>NO APLICA</v>
      </c>
      <c r="MW167" s="2"/>
      <c r="MX167" s="6"/>
      <c r="MY167" s="4"/>
      <c r="MZ167" s="8"/>
      <c r="NA167" s="5" t="str">
        <f t="shared" si="558"/>
        <v>NO APLICA</v>
      </c>
      <c r="NB167" s="2"/>
      <c r="NC167" s="6"/>
      <c r="ND167" s="4"/>
      <c r="NE167" s="8"/>
      <c r="NF167" s="5" t="str">
        <f t="shared" si="559"/>
        <v>NO APLICA</v>
      </c>
      <c r="NG167" s="2"/>
      <c r="NH167" s="6"/>
      <c r="NI167" s="4"/>
      <c r="NJ167" s="8"/>
      <c r="NK167" s="5" t="str">
        <f t="shared" si="560"/>
        <v>NO APLICA</v>
      </c>
      <c r="NL167" s="3"/>
      <c r="NM167" s="3">
        <v>45002</v>
      </c>
      <c r="NN167" s="4">
        <f>DATE(YEAR(NM167)+5,MONTH(NM167),DAY(NM167))</f>
        <v>46829</v>
      </c>
      <c r="NO167" s="8">
        <f ca="1">NN167-TODAY()</f>
        <v>695</v>
      </c>
      <c r="NP167" s="5" t="str">
        <f t="shared" ca="1" si="561"/>
        <v>VIGENTE</v>
      </c>
      <c r="NQ167" s="2"/>
      <c r="NR167" s="2"/>
      <c r="NS167" s="4"/>
      <c r="NT167" s="2"/>
      <c r="NU167" s="5" t="str">
        <f t="shared" si="562"/>
        <v>NO APLICA</v>
      </c>
      <c r="NV167" s="6"/>
      <c r="NW167" s="6"/>
      <c r="NX167" s="4"/>
      <c r="NY167" s="8"/>
      <c r="NZ167" s="5" t="str">
        <f t="shared" si="563"/>
        <v>NO APLICA</v>
      </c>
      <c r="OA167" s="6"/>
      <c r="OB167" s="6"/>
      <c r="OC167" s="6"/>
      <c r="OD167" s="6"/>
      <c r="OE167" s="5" t="str">
        <f t="shared" si="564"/>
        <v>NO APLICA</v>
      </c>
      <c r="OF167" s="6"/>
      <c r="OG167" s="6"/>
      <c r="OH167" s="4"/>
      <c r="OI167" s="8"/>
      <c r="OJ167" s="5" t="str">
        <f t="shared" si="565"/>
        <v>NO APLICA</v>
      </c>
      <c r="OK167" s="6"/>
      <c r="OL167" s="6"/>
      <c r="OM167" s="6"/>
      <c r="ON167" s="6"/>
      <c r="OO167" s="5" t="str">
        <f t="shared" si="566"/>
        <v>NO APLICA</v>
      </c>
      <c r="OP167" s="6"/>
      <c r="OQ167" s="6"/>
      <c r="OR167" s="6"/>
      <c r="OS167" s="6"/>
      <c r="OT167" s="5" t="str">
        <f t="shared" si="567"/>
        <v>NO APLICA</v>
      </c>
      <c r="OU167" s="6"/>
      <c r="OV167" s="6"/>
      <c r="OW167" s="6"/>
      <c r="OX167" s="6"/>
      <c r="OY167" s="5" t="str">
        <f t="shared" si="568"/>
        <v>NO APLICA</v>
      </c>
      <c r="OZ167" s="6"/>
      <c r="PA167" s="6"/>
      <c r="PB167" s="6"/>
      <c r="PC167" s="6"/>
      <c r="PD167" s="5" t="str">
        <f t="shared" si="569"/>
        <v>NO APLICA</v>
      </c>
      <c r="PE167" s="6"/>
      <c r="PF167" s="6"/>
      <c r="PG167" s="6"/>
      <c r="PH167" s="6"/>
      <c r="PI167" s="5" t="str">
        <f t="shared" si="570"/>
        <v>NO APLICA</v>
      </c>
      <c r="PJ167" s="5"/>
      <c r="PK167" s="6"/>
      <c r="PL167" s="4"/>
      <c r="PM167" s="8"/>
      <c r="PN167" s="5" t="str">
        <f t="shared" si="571"/>
        <v>NO APLICA</v>
      </c>
      <c r="PO167" s="6"/>
      <c r="PP167" s="6"/>
      <c r="PQ167" s="6"/>
      <c r="PR167" s="6"/>
      <c r="PS167" s="5" t="str">
        <f t="shared" si="572"/>
        <v>NO APLICA</v>
      </c>
      <c r="PT167" s="5"/>
      <c r="PU167" s="6"/>
      <c r="PV167" s="6"/>
      <c r="PW167" s="6"/>
      <c r="PX167" s="5" t="str">
        <f t="shared" si="573"/>
        <v>NO APLICA</v>
      </c>
    </row>
    <row r="168" spans="1:440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185</v>
      </c>
      <c r="T168" s="5" t="str">
        <f t="shared" ca="1" si="574"/>
        <v>VIGENTE</v>
      </c>
      <c r="U168" s="2" t="s">
        <v>544</v>
      </c>
      <c r="V168" s="4">
        <v>45498</v>
      </c>
      <c r="W168" s="4">
        <f t="shared" si="606"/>
        <v>47324</v>
      </c>
      <c r="X168" s="8">
        <f t="shared" ca="1" si="607"/>
        <v>1190</v>
      </c>
      <c r="Y168" s="5" t="str">
        <f t="shared" ca="1" si="423"/>
        <v>VIGENTE</v>
      </c>
      <c r="Z168" s="2" t="s">
        <v>545</v>
      </c>
      <c r="AA168" s="4">
        <v>45113</v>
      </c>
      <c r="AB168" s="4">
        <f t="shared" si="615"/>
        <v>46940</v>
      </c>
      <c r="AC168" s="8">
        <f t="shared" ca="1" si="616"/>
        <v>806</v>
      </c>
      <c r="AD168" s="5" t="str">
        <f t="shared" ca="1" si="603"/>
        <v>VIGENTE</v>
      </c>
      <c r="AE168" s="3"/>
      <c r="AF168" s="4">
        <v>45902</v>
      </c>
      <c r="AG168" s="4">
        <f>DATE(YEAR(AF168)+2,MONTH(AF168),DAY(AF168))</f>
        <v>46632</v>
      </c>
      <c r="AH168" s="8">
        <f t="shared" ca="1" si="470"/>
        <v>498</v>
      </c>
      <c r="AI168" s="5" t="str">
        <f t="shared" ca="1" si="419"/>
        <v>VIGENTE</v>
      </c>
      <c r="AJ168" s="3"/>
      <c r="AK168" s="4">
        <v>45937</v>
      </c>
      <c r="AL168" s="4">
        <f>DATE(YEAR(AK168)+2,MONTH(AK168),DAY(AK168))</f>
        <v>46667</v>
      </c>
      <c r="AM168" s="8">
        <f t="shared" ca="1" si="471"/>
        <v>533</v>
      </c>
      <c r="AN168" s="5" t="str">
        <f t="shared" ca="1" si="472"/>
        <v>VIGENTE</v>
      </c>
      <c r="AO168" s="2"/>
      <c r="AP168" s="4">
        <v>45740</v>
      </c>
      <c r="AQ168" s="4">
        <f>DATE(YEAR(AP168)+2,MONTH(AP168),DAY(AP168)-1)</f>
        <v>46469</v>
      </c>
      <c r="AR168" s="8">
        <f t="shared" ca="1" si="473"/>
        <v>335</v>
      </c>
      <c r="AS168" s="5" t="str">
        <f t="shared" ca="1" si="474"/>
        <v>VIGENTE</v>
      </c>
      <c r="AT168" s="3"/>
      <c r="AU168" s="4">
        <v>45765</v>
      </c>
      <c r="AV168" s="4">
        <f>DATE(YEAR(AU168)+2,MONTH(AU168),DAY(AU168))</f>
        <v>46495</v>
      </c>
      <c r="AW168" s="8">
        <f t="shared" ca="1" si="475"/>
        <v>361</v>
      </c>
      <c r="AX168" s="5" t="str">
        <f t="shared" ca="1" si="476"/>
        <v>VIGENTE</v>
      </c>
      <c r="AY168" s="3"/>
      <c r="AZ168" s="4">
        <v>45717</v>
      </c>
      <c r="BA168" s="4">
        <f>DATE(YEAR(AZ168)+2,MONTH(AZ168),DAY(AZ168)-1)</f>
        <v>46446</v>
      </c>
      <c r="BB168" s="8">
        <f t="shared" ca="1" si="477"/>
        <v>312</v>
      </c>
      <c r="BC168" s="5" t="str">
        <f t="shared" ca="1" si="478"/>
        <v>VIGENTE</v>
      </c>
      <c r="BD168" s="2"/>
      <c r="BE168" s="4">
        <v>45762</v>
      </c>
      <c r="BF168" s="4">
        <f>DATE(YEAR(BE168)+2,MONTH(BE168),DAY(BE168))</f>
        <v>46492</v>
      </c>
      <c r="BG168" s="8">
        <f t="shared" ca="1" si="479"/>
        <v>358</v>
      </c>
      <c r="BH168" s="5" t="str">
        <f t="shared" ca="1" si="480"/>
        <v>VIGENTE</v>
      </c>
      <c r="BI168" s="3"/>
      <c r="BJ168" s="4">
        <v>45759</v>
      </c>
      <c r="BK168" s="4">
        <f>DATE(YEAR(BJ168)+2,MONTH(BJ168),DAY(BJ168)-1)</f>
        <v>46488</v>
      </c>
      <c r="BL168" s="8">
        <f t="shared" ca="1" si="481"/>
        <v>354</v>
      </c>
      <c r="BM168" s="5" t="str">
        <f t="shared" ca="1" si="482"/>
        <v>VIGENTE</v>
      </c>
      <c r="BN168" s="3"/>
      <c r="BO168" s="4">
        <v>45772</v>
      </c>
      <c r="BP168" s="4">
        <f>DATE(YEAR(BO168)+2,MONTH(BO168),DAY(BO168))</f>
        <v>46502</v>
      </c>
      <c r="BQ168" s="8">
        <f t="shared" ca="1" si="483"/>
        <v>368</v>
      </c>
      <c r="BR168" s="5" t="str">
        <f t="shared" ca="1" si="484"/>
        <v>VIGENTE</v>
      </c>
      <c r="BS168" s="3"/>
      <c r="BT168" s="4">
        <v>45736</v>
      </c>
      <c r="BU168" s="4">
        <f>DATE(YEAR(BT168)+2,MONTH(BT168),DAY(BT168)-1)</f>
        <v>46465</v>
      </c>
      <c r="BV168" s="8">
        <f t="shared" ca="1" si="485"/>
        <v>331</v>
      </c>
      <c r="BW168" s="5" t="str">
        <f t="shared" ca="1" si="486"/>
        <v>VIGENTE</v>
      </c>
      <c r="BX168" s="3"/>
      <c r="BY168" s="4">
        <v>45944</v>
      </c>
      <c r="BZ168" s="4">
        <f>DATE(YEAR(BY168)+2,MONTH(BY168),DAY(BY168))</f>
        <v>46674</v>
      </c>
      <c r="CA168" s="8">
        <f t="shared" ca="1" si="487"/>
        <v>540</v>
      </c>
      <c r="CB168" s="5" t="str">
        <f t="shared" ca="1" si="488"/>
        <v>VIGENTE</v>
      </c>
      <c r="CC168" s="6" t="s">
        <v>471</v>
      </c>
      <c r="CD168" s="4">
        <v>45104</v>
      </c>
      <c r="CE168" s="4">
        <f t="shared" si="609"/>
        <v>46565</v>
      </c>
      <c r="CF168" s="8">
        <f t="shared" ca="1" si="610"/>
        <v>431</v>
      </c>
      <c r="CG168" s="5" t="str">
        <f t="shared" ca="1" si="591"/>
        <v>VIGENTE</v>
      </c>
      <c r="CH168" s="4"/>
      <c r="CI168" s="4">
        <v>45723</v>
      </c>
      <c r="CJ168" s="4">
        <f>DATE(YEAR(CI168)+2,MONTH(CI168),DAY(CI168)-1)</f>
        <v>46452</v>
      </c>
      <c r="CK168" s="8">
        <f t="shared" ca="1" si="489"/>
        <v>318</v>
      </c>
      <c r="CL168" s="5" t="str">
        <f t="shared" ca="1" si="490"/>
        <v>VIGENTE</v>
      </c>
      <c r="CM168" s="3"/>
      <c r="CN168" s="4">
        <v>45726</v>
      </c>
      <c r="CO168" s="4">
        <f>DATE(YEAR(CN168)+2,MONTH(CN168),DAY(CN168)-1)</f>
        <v>46455</v>
      </c>
      <c r="CP168" s="8">
        <f t="shared" ca="1" si="491"/>
        <v>321</v>
      </c>
      <c r="CQ168" s="5" t="str">
        <f t="shared" ca="1" si="492"/>
        <v>VIGENTE</v>
      </c>
      <c r="CR168" s="3"/>
      <c r="CS168" s="4">
        <v>45639</v>
      </c>
      <c r="CT168" s="4">
        <f>DATE(YEAR(CS168)+2,MONTH(CS168),DAY(CS168)-1)</f>
        <v>46368</v>
      </c>
      <c r="CU168" s="8">
        <f t="shared" ca="1" si="493"/>
        <v>234</v>
      </c>
      <c r="CV168" s="5" t="str">
        <f t="shared" ca="1" si="494"/>
        <v>VIGENTE</v>
      </c>
      <c r="CW168" s="3"/>
      <c r="CX168" s="4">
        <v>45665</v>
      </c>
      <c r="CY168" s="4">
        <f>DATE(YEAR(CX168)+2,MONTH(CX168),DAY(CX168)-1)</f>
        <v>46394</v>
      </c>
      <c r="CZ168" s="8">
        <f t="shared" ca="1" si="495"/>
        <v>260</v>
      </c>
      <c r="DA168" s="5" t="str">
        <f t="shared" ca="1" si="496"/>
        <v>VIGENTE</v>
      </c>
      <c r="DB168" s="3"/>
      <c r="DC168" s="4">
        <v>45761</v>
      </c>
      <c r="DD168" s="4">
        <f>DATE(YEAR(DC168)+2,MONTH(DC168),DAY(DC168))</f>
        <v>46491</v>
      </c>
      <c r="DE168" s="8">
        <f t="shared" ca="1" si="497"/>
        <v>357</v>
      </c>
      <c r="DF168" s="5" t="str">
        <f t="shared" ca="1" si="498"/>
        <v>VIGENTE</v>
      </c>
      <c r="DG168" s="2"/>
      <c r="DH168" s="4">
        <v>45734</v>
      </c>
      <c r="DI168" s="4">
        <f>DATE(YEAR(DH168)+2,MONTH(DH168),DAY(DH168)-1)</f>
        <v>46463</v>
      </c>
      <c r="DJ168" s="8">
        <f t="shared" ca="1" si="499"/>
        <v>329</v>
      </c>
      <c r="DK168" s="5" t="str">
        <f t="shared" ca="1" si="500"/>
        <v>VIGENTE</v>
      </c>
      <c r="DL168" s="3"/>
      <c r="DM168" s="4">
        <v>45577</v>
      </c>
      <c r="DN168" s="4">
        <f>DATE(YEAR(DM168)+2,MONTH(DM168),DAY(DM168)-1)</f>
        <v>46306</v>
      </c>
      <c r="DO168" s="8">
        <f t="shared" ca="1" si="501"/>
        <v>172</v>
      </c>
      <c r="DP168" s="5" t="str">
        <f t="shared" ca="1" si="502"/>
        <v>VIGENTE</v>
      </c>
      <c r="DQ168" s="3"/>
      <c r="DR168" s="4">
        <v>45608</v>
      </c>
      <c r="DS168" s="4">
        <f>DATE(YEAR(DR168)+2,MONTH(DR168),DAY(DR168)-1)</f>
        <v>46337</v>
      </c>
      <c r="DT168" s="8">
        <f t="shared" ca="1" si="503"/>
        <v>203</v>
      </c>
      <c r="DU168" s="5" t="str">
        <f t="shared" ca="1" si="504"/>
        <v>VIGENTE</v>
      </c>
      <c r="DV168" s="3"/>
      <c r="DW168" s="4">
        <v>45663</v>
      </c>
      <c r="DX168" s="4">
        <f t="shared" si="614"/>
        <v>46392</v>
      </c>
      <c r="DY168" s="8">
        <f t="shared" ca="1" si="505"/>
        <v>258</v>
      </c>
      <c r="DZ168" s="5" t="str">
        <f t="shared" ca="1" si="506"/>
        <v>VIGENTE</v>
      </c>
      <c r="EA168" s="3"/>
      <c r="EB168" s="4">
        <v>45768</v>
      </c>
      <c r="EC168" s="4">
        <f>DATE(YEAR(EB168)+2,MONTH(EB168),DAY(EB168))</f>
        <v>46498</v>
      </c>
      <c r="ED168" s="8">
        <f t="shared" ca="1" si="507"/>
        <v>364</v>
      </c>
      <c r="EE168" s="5" t="str">
        <f t="shared" ca="1" si="508"/>
        <v>VIGENTE</v>
      </c>
      <c r="EF168" s="3"/>
      <c r="EG168" s="3">
        <v>46060</v>
      </c>
      <c r="EH168" s="4">
        <f t="shared" si="575"/>
        <v>46425</v>
      </c>
      <c r="EI168" s="8">
        <f t="shared" ca="1" si="509"/>
        <v>291</v>
      </c>
      <c r="EJ168" s="5" t="str">
        <f t="shared" ca="1" si="510"/>
        <v>VIGENTE</v>
      </c>
      <c r="EK168" s="3"/>
      <c r="EL168" s="4">
        <v>45737</v>
      </c>
      <c r="EM168" s="4">
        <f>DATE(YEAR(EL168)+2,MONTH(EL168),DAY(EL168)-1)</f>
        <v>46466</v>
      </c>
      <c r="EN168" s="8">
        <f t="shared" ca="1" si="511"/>
        <v>332</v>
      </c>
      <c r="EO168" s="5" t="str">
        <f t="shared" ca="1" si="512"/>
        <v>VIGENTE</v>
      </c>
      <c r="EP168" s="2"/>
      <c r="EQ168" s="4">
        <v>45749</v>
      </c>
      <c r="ER168" s="4">
        <f>DATE(YEAR(EQ168)+2,MONTH(EQ168),DAY(EQ168)-1)</f>
        <v>46478</v>
      </c>
      <c r="ES168" s="8">
        <f t="shared" ca="1" si="513"/>
        <v>344</v>
      </c>
      <c r="ET168" s="5" t="str">
        <f t="shared" ca="1" si="514"/>
        <v>VIGENTE</v>
      </c>
      <c r="EU168" s="3"/>
      <c r="EV168" s="4">
        <v>45953</v>
      </c>
      <c r="EW168" s="4">
        <f>DATE(YEAR(EV168)+2,MONTH(EV168),DAY(EV168))</f>
        <v>46683</v>
      </c>
      <c r="EX168" s="8">
        <f t="shared" ca="1" si="515"/>
        <v>549</v>
      </c>
      <c r="EY168" s="5" t="str">
        <f t="shared" ca="1" si="516"/>
        <v>VIGENTE</v>
      </c>
      <c r="EZ168" s="3"/>
      <c r="FA168" s="4">
        <v>45931</v>
      </c>
      <c r="FB168" s="4">
        <f>DATE(YEAR(FA168)+2,MONTH(FA168),DAY(FA168))</f>
        <v>46661</v>
      </c>
      <c r="FC168" s="8">
        <f t="shared" ca="1" si="517"/>
        <v>527</v>
      </c>
      <c r="FD168" s="5" t="str">
        <f t="shared" ca="1" si="518"/>
        <v>VIGENTE</v>
      </c>
      <c r="FE168" s="3"/>
      <c r="FF168" s="4">
        <v>45932</v>
      </c>
      <c r="FG168" s="4">
        <f>DATE(YEAR(FF168)+2,MONTH(FF168),DAY(FF168))</f>
        <v>46662</v>
      </c>
      <c r="FH168" s="8">
        <f t="shared" ca="1" si="519"/>
        <v>528</v>
      </c>
      <c r="FI168" s="5" t="str">
        <f t="shared" ca="1" si="520"/>
        <v>VIGENTE</v>
      </c>
      <c r="FJ168" s="3"/>
      <c r="FK168" s="4">
        <v>45670</v>
      </c>
      <c r="FL168" s="4">
        <f>DATE(YEAR(FK168)+2,MONTH(FK168),DAY(FK168)-1)</f>
        <v>46399</v>
      </c>
      <c r="FM168" s="8">
        <f t="shared" ca="1" si="521"/>
        <v>265</v>
      </c>
      <c r="FN168" s="5" t="str">
        <f t="shared" ca="1" si="522"/>
        <v>VIGENTE</v>
      </c>
      <c r="FO168" s="3"/>
      <c r="FP168" s="4">
        <v>45724</v>
      </c>
      <c r="FQ168" s="4">
        <f>DATE(YEAR(FP168)+2,MONTH(FP168),DAY(FP168)-1)</f>
        <v>46453</v>
      </c>
      <c r="FR168" s="8">
        <f t="shared" ca="1" si="523"/>
        <v>319</v>
      </c>
      <c r="FS168" s="5" t="str">
        <f t="shared" ca="1" si="524"/>
        <v>VIGENTE</v>
      </c>
      <c r="FT168" s="3"/>
      <c r="FU168" s="4">
        <v>45941</v>
      </c>
      <c r="FV168" s="4">
        <f>DATE(YEAR(FU168)+2,MONTH(FU168),DAY(FU168))</f>
        <v>46671</v>
      </c>
      <c r="FW168" s="8">
        <f t="shared" ca="1" si="525"/>
        <v>537</v>
      </c>
      <c r="FX168" s="5" t="str">
        <f t="shared" ca="1" si="526"/>
        <v>VIGENTE</v>
      </c>
      <c r="FY168" s="3"/>
      <c r="FZ168" s="4">
        <v>45667</v>
      </c>
      <c r="GA168" s="4">
        <f>DATE(YEAR(FZ168)+2,MONTH(FZ168),DAY(FZ168)-1)</f>
        <v>46396</v>
      </c>
      <c r="GB168" s="8">
        <f t="shared" ca="1" si="527"/>
        <v>262</v>
      </c>
      <c r="GC168" s="5" t="str">
        <f t="shared" ca="1" si="528"/>
        <v>VIGENTE</v>
      </c>
      <c r="GD168" s="3"/>
      <c r="GE168" s="4">
        <v>45731</v>
      </c>
      <c r="GF168" s="4">
        <f>DATE(YEAR(GE168)+2,MONTH(GE168),DAY(GE168)-1)</f>
        <v>46460</v>
      </c>
      <c r="GG168" s="8">
        <f t="shared" ca="1" si="529"/>
        <v>326</v>
      </c>
      <c r="GH168" s="5" t="str">
        <f t="shared" ca="1" si="530"/>
        <v>VIGENTE</v>
      </c>
      <c r="GI168" s="3"/>
      <c r="GJ168" s="4">
        <v>45567</v>
      </c>
      <c r="GK168" s="4">
        <f>DATE(YEAR(GJ168)+2,MONTH(GJ168),DAY(GJ168)-1)</f>
        <v>46296</v>
      </c>
      <c r="GL168" s="8">
        <f t="shared" ca="1" si="531"/>
        <v>162</v>
      </c>
      <c r="GM168" s="5" t="str">
        <f t="shared" ca="1" si="532"/>
        <v>VIGENTE</v>
      </c>
      <c r="GN168" s="4"/>
      <c r="GO168" s="4">
        <v>44912</v>
      </c>
      <c r="GP168" s="4">
        <f t="shared" si="533"/>
        <v>46738</v>
      </c>
      <c r="GQ168" s="8">
        <f t="shared" ca="1" si="418"/>
        <v>604</v>
      </c>
      <c r="GR168" s="5" t="str">
        <f t="shared" ca="1" si="431"/>
        <v>VIGENTE</v>
      </c>
      <c r="GS168" s="3"/>
      <c r="GT168" s="4">
        <v>44936</v>
      </c>
      <c r="GU168" s="4">
        <f t="shared" si="534"/>
        <v>46762</v>
      </c>
      <c r="GV168" s="8">
        <f t="shared" ca="1" si="535"/>
        <v>628</v>
      </c>
      <c r="GW168" s="5" t="str">
        <f t="shared" ca="1" si="438"/>
        <v>VIGENTE</v>
      </c>
      <c r="GX168" s="2"/>
      <c r="GY168" s="4">
        <v>44911</v>
      </c>
      <c r="GZ168" s="4">
        <f t="shared" si="536"/>
        <v>46737</v>
      </c>
      <c r="HA168" s="8">
        <f t="shared" ca="1" si="537"/>
        <v>603</v>
      </c>
      <c r="HB168" s="5" t="str">
        <f t="shared" ca="1" si="433"/>
        <v>VIGENTE</v>
      </c>
      <c r="HC168" s="6"/>
      <c r="HD168" s="4">
        <v>44921</v>
      </c>
      <c r="HE168" s="4">
        <f t="shared" si="617"/>
        <v>46747</v>
      </c>
      <c r="HF168" s="8">
        <f t="shared" ca="1" si="618"/>
        <v>613</v>
      </c>
      <c r="HG168" s="5" t="str">
        <f t="shared" ca="1" si="439"/>
        <v>VIGENTE</v>
      </c>
      <c r="HH168" s="2"/>
      <c r="HI168" s="6"/>
      <c r="HJ168" s="4"/>
      <c r="HK168" s="8"/>
      <c r="HL168" s="5" t="str">
        <f t="shared" si="457"/>
        <v>NO APLICA</v>
      </c>
      <c r="HM168" s="2"/>
      <c r="HN168" s="2"/>
      <c r="HO168" s="4"/>
      <c r="HP168" s="2"/>
      <c r="HQ168" s="5" t="str">
        <f t="shared" si="538"/>
        <v>NO APLICA</v>
      </c>
      <c r="HR168" s="2"/>
      <c r="HS168" s="4">
        <v>44931</v>
      </c>
      <c r="HT168" s="4">
        <f>DATE(YEAR(HS168)+5,MONTH(HS168),DAY(HS168))</f>
        <v>46757</v>
      </c>
      <c r="HU168" s="8">
        <f ca="1">HT168-TODAY()</f>
        <v>623</v>
      </c>
      <c r="HV168" s="5" t="str">
        <f t="shared" ca="1" si="539"/>
        <v>VIGENTE</v>
      </c>
      <c r="HW168" s="2"/>
      <c r="HX168" s="4">
        <v>44953</v>
      </c>
      <c r="HY168" s="4">
        <f>DATE(YEAR(HX168)+5,MONTH(HX168),DAY(HX168))</f>
        <v>46779</v>
      </c>
      <c r="HZ168" s="8">
        <f ca="1">HY168-TODAY()</f>
        <v>645</v>
      </c>
      <c r="IA168" s="5" t="str">
        <f t="shared" ca="1" si="540"/>
        <v>VIGENTE</v>
      </c>
      <c r="IB168" s="2"/>
      <c r="IC168" s="4">
        <v>44949</v>
      </c>
      <c r="ID168" s="4">
        <f>DATE(YEAR(IC168)+5,MONTH(IC168),DAY(IC168))</f>
        <v>46775</v>
      </c>
      <c r="IE168" s="8">
        <f ca="1">ID168-TODAY()</f>
        <v>641</v>
      </c>
      <c r="IF168" s="5" t="str">
        <f t="shared" ca="1" si="541"/>
        <v>VIGENTE</v>
      </c>
      <c r="IG168" s="6"/>
      <c r="IH168" s="4">
        <v>44942</v>
      </c>
      <c r="II168" s="4">
        <f>DATE(YEAR(IH168)+5,MONTH(IH168),DAY(IH168))</f>
        <v>46768</v>
      </c>
      <c r="IJ168" s="8">
        <f ca="1">II168-TODAY()</f>
        <v>634</v>
      </c>
      <c r="IK168" s="5" t="str">
        <f t="shared" ca="1" si="542"/>
        <v>VIGENTE</v>
      </c>
      <c r="IL168" s="2"/>
      <c r="IM168" s="4">
        <v>44945</v>
      </c>
      <c r="IN168" s="4">
        <f>DATE(YEAR(IM168)+5,MONTH(IM168),DAY(IM168))</f>
        <v>46771</v>
      </c>
      <c r="IO168" s="8">
        <f ca="1">IN168-TODAY()</f>
        <v>637</v>
      </c>
      <c r="IP168" s="5" t="str">
        <f t="shared" ca="1" si="543"/>
        <v>VIGENTE</v>
      </c>
      <c r="IQ168" s="2"/>
      <c r="IR168" s="4">
        <v>44956</v>
      </c>
      <c r="IS168" s="4">
        <f>DATE(YEAR(IR168)+5,MONTH(IR168),DAY(IR168))</f>
        <v>46782</v>
      </c>
      <c r="IT168" s="8">
        <f ca="1">IS168-TODAY()</f>
        <v>648</v>
      </c>
      <c r="IU168" s="5" t="str">
        <f t="shared" ca="1" si="544"/>
        <v>VIGENTE</v>
      </c>
      <c r="IV168" s="2"/>
      <c r="IW168" s="4">
        <v>44944</v>
      </c>
      <c r="IX168" s="4">
        <f>DATE(YEAR(IW168)+5,MONTH(IW168),DAY(IW168))</f>
        <v>46770</v>
      </c>
      <c r="IY168" s="8">
        <f ca="1">IX168-TODAY()</f>
        <v>636</v>
      </c>
      <c r="IZ168" s="5" t="str">
        <f t="shared" ca="1" si="545"/>
        <v>VIGENTE</v>
      </c>
      <c r="JA168" s="3"/>
      <c r="JB168" s="3"/>
      <c r="JC168" s="4"/>
      <c r="JD168" s="8"/>
      <c r="JE168" s="5" t="str">
        <f t="shared" si="546"/>
        <v>NO APLICA</v>
      </c>
      <c r="JF168" s="6"/>
      <c r="JG168" s="6"/>
      <c r="JH168" s="6"/>
      <c r="JI168" s="6"/>
      <c r="JJ168" s="5" t="str">
        <f t="shared" si="547"/>
        <v>NO APLICA</v>
      </c>
      <c r="JK168" s="6"/>
      <c r="JL168" s="6"/>
      <c r="JM168" s="6"/>
      <c r="JN168" s="6"/>
      <c r="JO168" s="5" t="str">
        <f t="shared" si="548"/>
        <v>NO APLICA</v>
      </c>
      <c r="JP168" s="6"/>
      <c r="JQ168" s="6"/>
      <c r="JR168" s="6"/>
      <c r="JS168" s="6"/>
      <c r="JT168" s="5" t="str">
        <f t="shared" si="549"/>
        <v>NO APLICA</v>
      </c>
      <c r="JU168" s="5"/>
      <c r="JV168" s="5"/>
      <c r="JW168" s="5"/>
      <c r="JX168" s="5"/>
      <c r="JY168" s="5" t="str">
        <f t="shared" si="550"/>
        <v>NO APLICA</v>
      </c>
      <c r="JZ168" s="5"/>
      <c r="KA168" s="2"/>
      <c r="KB168" s="4"/>
      <c r="KC168" s="8"/>
      <c r="KD168" s="5" t="str">
        <f t="shared" si="551"/>
        <v>NO APLICA</v>
      </c>
      <c r="KE168" s="5"/>
      <c r="KF168" s="3">
        <v>45328</v>
      </c>
      <c r="KG168" s="4">
        <f>DATE(YEAR(KF168)+5,MONTH(KF168),DAY(KF168)-1)</f>
        <v>47154</v>
      </c>
      <c r="KH168" s="8">
        <f ca="1">KG168-TODAY()</f>
        <v>1020</v>
      </c>
      <c r="KI168" s="5" t="str">
        <f t="shared" ca="1" si="576"/>
        <v>VIGENTE</v>
      </c>
      <c r="KJ168" s="5"/>
      <c r="KK168" s="2"/>
      <c r="KL168" s="4"/>
      <c r="KM168" s="8"/>
      <c r="KN168" s="5" t="str">
        <f t="shared" si="552"/>
        <v>NO APLICA</v>
      </c>
      <c r="KO168" s="5"/>
      <c r="KP168" s="2"/>
      <c r="KQ168" s="4"/>
      <c r="KR168" s="8"/>
      <c r="KS168" s="5" t="str">
        <f t="shared" si="577"/>
        <v>NO APLICA</v>
      </c>
      <c r="KT168" s="2"/>
      <c r="KU168" s="6"/>
      <c r="KV168" s="4"/>
      <c r="KW168" s="8"/>
      <c r="KX168" s="5" t="str">
        <f t="shared" si="583"/>
        <v>NO APLICA</v>
      </c>
      <c r="KY168" s="5"/>
      <c r="KZ168" s="4">
        <v>44603</v>
      </c>
      <c r="LA168" s="4">
        <f>DATE(YEAR(KZ168)+5,MONTH(KZ168),DAY(KZ168))</f>
        <v>46429</v>
      </c>
      <c r="LB168" s="8">
        <f ca="1">LA168-TODAY()</f>
        <v>295</v>
      </c>
      <c r="LC168" s="5" t="str">
        <f t="shared" ca="1" si="578"/>
        <v>VIGENTE</v>
      </c>
      <c r="LD168" s="4"/>
      <c r="LE168" s="4"/>
      <c r="LF168" s="4"/>
      <c r="LG168" s="8"/>
      <c r="LH168" s="5" t="str">
        <f t="shared" ref="LH168:LH231" si="619">IF(LG168&gt;=61,"VIGENTE",IF(LG168&gt;=1,"POR VENCER",IF(LG168&lt;=-1,"VENCIDA",IF(LE168=0,"NO APLICA"))))</f>
        <v>NO APLICA</v>
      </c>
      <c r="LI168" s="5"/>
      <c r="LJ168" s="5"/>
      <c r="LK168" s="5"/>
      <c r="LL168" s="5"/>
      <c r="LM168" s="5" t="str">
        <f t="shared" si="584"/>
        <v>NO APLICA</v>
      </c>
      <c r="LN168" s="2"/>
      <c r="LO168" s="6"/>
      <c r="LP168" s="4"/>
      <c r="LQ168" s="8"/>
      <c r="LR168" s="5" t="str">
        <f t="shared" si="579"/>
        <v>NO APLICA</v>
      </c>
      <c r="LS168" s="6"/>
      <c r="LT168" s="6"/>
      <c r="LU168" s="4"/>
      <c r="LV168" s="8"/>
      <c r="LW168" s="5" t="str">
        <f t="shared" si="580"/>
        <v>NO APLICA</v>
      </c>
      <c r="LX168" s="6"/>
      <c r="LY168" s="6"/>
      <c r="LZ168" s="4"/>
      <c r="MA168" s="8"/>
      <c r="MB168" s="5" t="str">
        <f t="shared" si="581"/>
        <v>NO APLICA</v>
      </c>
      <c r="MC168" s="2"/>
      <c r="MD168" s="2"/>
      <c r="ME168" s="4"/>
      <c r="MF168" s="8"/>
      <c r="MG168" s="5" t="str">
        <f t="shared" si="554"/>
        <v>NO APLICA</v>
      </c>
      <c r="MH168" s="2"/>
      <c r="MI168" s="2"/>
      <c r="MJ168" s="4"/>
      <c r="MK168" s="8"/>
      <c r="ML168" s="5" t="str">
        <f t="shared" si="555"/>
        <v>NO APLICA</v>
      </c>
      <c r="MM168" s="5"/>
      <c r="MN168" s="2"/>
      <c r="MO168" s="4"/>
      <c r="MP168" s="8"/>
      <c r="MQ168" s="5" t="str">
        <f t="shared" si="556"/>
        <v>NO APLICA</v>
      </c>
      <c r="MR168" s="5"/>
      <c r="MS168" s="2"/>
      <c r="MT168" s="4"/>
      <c r="MU168" s="2"/>
      <c r="MV168" s="5" t="str">
        <f t="shared" si="557"/>
        <v>NO APLICA</v>
      </c>
      <c r="MW168" s="2"/>
      <c r="MX168" s="6"/>
      <c r="MY168" s="4"/>
      <c r="MZ168" s="8"/>
      <c r="NA168" s="5" t="str">
        <f t="shared" si="558"/>
        <v>NO APLICA</v>
      </c>
      <c r="NB168" s="2"/>
      <c r="NC168" s="6"/>
      <c r="ND168" s="4"/>
      <c r="NE168" s="8"/>
      <c r="NF168" s="5" t="str">
        <f t="shared" si="559"/>
        <v>NO APLICA</v>
      </c>
      <c r="NG168" s="2"/>
      <c r="NH168" s="6"/>
      <c r="NI168" s="4"/>
      <c r="NJ168" s="8"/>
      <c r="NK168" s="5" t="str">
        <f t="shared" si="560"/>
        <v>NO APLICA</v>
      </c>
      <c r="NL168" s="2"/>
      <c r="NM168" s="2"/>
      <c r="NN168" s="4"/>
      <c r="NO168" s="2"/>
      <c r="NP168" s="5" t="str">
        <f t="shared" si="561"/>
        <v>NO APLICA</v>
      </c>
      <c r="NQ168" s="2"/>
      <c r="NR168" s="2"/>
      <c r="NS168" s="4"/>
      <c r="NT168" s="2"/>
      <c r="NU168" s="5" t="str">
        <f t="shared" si="562"/>
        <v>NO APLICA</v>
      </c>
      <c r="NV168" s="6"/>
      <c r="NW168" s="6"/>
      <c r="NX168" s="4"/>
      <c r="NY168" s="8"/>
      <c r="NZ168" s="5" t="str">
        <f t="shared" si="563"/>
        <v>NO APLICA</v>
      </c>
      <c r="OA168" s="6"/>
      <c r="OB168" s="6"/>
      <c r="OC168" s="6"/>
      <c r="OD168" s="6"/>
      <c r="OE168" s="5" t="str">
        <f t="shared" si="564"/>
        <v>NO APLICA</v>
      </c>
      <c r="OF168" s="6"/>
      <c r="OG168" s="6"/>
      <c r="OH168" s="4"/>
      <c r="OI168" s="8"/>
      <c r="OJ168" s="5" t="str">
        <f t="shared" si="565"/>
        <v>NO APLICA</v>
      </c>
      <c r="OK168" s="6"/>
      <c r="OL168" s="6"/>
      <c r="OM168" s="6"/>
      <c r="ON168" s="6"/>
      <c r="OO168" s="5" t="str">
        <f t="shared" si="566"/>
        <v>NO APLICA</v>
      </c>
      <c r="OP168" s="6"/>
      <c r="OQ168" s="6"/>
      <c r="OR168" s="6"/>
      <c r="OS168" s="6"/>
      <c r="OT168" s="5" t="str">
        <f t="shared" si="567"/>
        <v>NO APLICA</v>
      </c>
      <c r="OU168" s="6"/>
      <c r="OV168" s="6"/>
      <c r="OW168" s="6"/>
      <c r="OX168" s="6"/>
      <c r="OY168" s="5" t="str">
        <f t="shared" si="568"/>
        <v>NO APLICA</v>
      </c>
      <c r="OZ168" s="6"/>
      <c r="PA168" s="6"/>
      <c r="PB168" s="6"/>
      <c r="PC168" s="6"/>
      <c r="PD168" s="5" t="str">
        <f t="shared" si="569"/>
        <v>NO APLICA</v>
      </c>
      <c r="PE168" s="6"/>
      <c r="PF168" s="6"/>
      <c r="PG168" s="6"/>
      <c r="PH168" s="6"/>
      <c r="PI168" s="5" t="str">
        <f t="shared" si="570"/>
        <v>NO APLICA</v>
      </c>
      <c r="PJ168" s="5"/>
      <c r="PK168" s="6"/>
      <c r="PL168" s="4"/>
      <c r="PM168" s="8"/>
      <c r="PN168" s="5" t="str">
        <f t="shared" si="571"/>
        <v>NO APLICA</v>
      </c>
      <c r="PO168" s="6"/>
      <c r="PP168" s="6"/>
      <c r="PQ168" s="6"/>
      <c r="PR168" s="6"/>
      <c r="PS168" s="5" t="str">
        <f t="shared" si="572"/>
        <v>NO APLICA</v>
      </c>
      <c r="PT168" s="5"/>
      <c r="PU168" s="6"/>
      <c r="PV168" s="6"/>
      <c r="PW168" s="6"/>
      <c r="PX168" s="5" t="str">
        <f t="shared" si="573"/>
        <v>NO APLICA</v>
      </c>
    </row>
    <row r="169" spans="1:440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547</v>
      </c>
      <c r="V169" s="4">
        <v>45041</v>
      </c>
      <c r="W169" s="4">
        <f t="shared" si="606"/>
        <v>46868</v>
      </c>
      <c r="X169" s="8">
        <f t="shared" ca="1" si="607"/>
        <v>734</v>
      </c>
      <c r="Y169" s="5" t="str">
        <f t="shared" ca="1" si="423"/>
        <v>VIGENTE</v>
      </c>
      <c r="Z169" s="2" t="s">
        <v>548</v>
      </c>
      <c r="AA169" s="3">
        <v>45152</v>
      </c>
      <c r="AB169" s="4">
        <f t="shared" si="615"/>
        <v>46979</v>
      </c>
      <c r="AC169" s="8">
        <f t="shared" ca="1" si="616"/>
        <v>845</v>
      </c>
      <c r="AD169" s="5" t="str">
        <f t="shared" ca="1" si="603"/>
        <v>VIGENTE</v>
      </c>
      <c r="AE169" s="3"/>
      <c r="AF169" s="4">
        <v>45680</v>
      </c>
      <c r="AG169" s="4">
        <f>DATE(YEAR(AF169)+2,MONTH(AF169),DAY(AF169)-1)</f>
        <v>46409</v>
      </c>
      <c r="AH169" s="8">
        <f t="shared" ca="1" si="470"/>
        <v>275</v>
      </c>
      <c r="AI169" s="5" t="str">
        <f t="shared" ca="1" si="419"/>
        <v>VIGENTE</v>
      </c>
      <c r="AJ169" s="3"/>
      <c r="AK169" s="4">
        <v>45710</v>
      </c>
      <c r="AL169" s="4">
        <f>DATE(YEAR(AK169)+2,MONTH(AK169),DAY(AK169)-1)</f>
        <v>46439</v>
      </c>
      <c r="AM169" s="8">
        <f t="shared" ca="1" si="471"/>
        <v>305</v>
      </c>
      <c r="AN169" s="5" t="str">
        <f t="shared" ca="1" si="472"/>
        <v>VIGENTE</v>
      </c>
      <c r="AO169" s="3"/>
      <c r="AP169" s="4">
        <v>45703</v>
      </c>
      <c r="AQ169" s="4">
        <f>DATE(YEAR(AP169)+2,MONTH(AP169),DAY(AP169)-1)</f>
        <v>46432</v>
      </c>
      <c r="AR169" s="8">
        <f t="shared" ca="1" si="473"/>
        <v>298</v>
      </c>
      <c r="AS169" s="5" t="str">
        <f t="shared" ca="1" si="474"/>
        <v>VIGENTE</v>
      </c>
      <c r="AT169" s="3"/>
      <c r="AU169" s="4">
        <v>45702</v>
      </c>
      <c r="AV169" s="4">
        <f>DATE(YEAR(AU169)+2,MONTH(AU169),DAY(AU169)-1)</f>
        <v>46431</v>
      </c>
      <c r="AW169" s="8">
        <f t="shared" ca="1" si="475"/>
        <v>297</v>
      </c>
      <c r="AX169" s="5" t="str">
        <f t="shared" ca="1" si="476"/>
        <v>VIGENTE</v>
      </c>
      <c r="AY169" s="3"/>
      <c r="AZ169" s="4">
        <v>45742</v>
      </c>
      <c r="BA169" s="4">
        <f>DATE(YEAR(AZ169)+2,MONTH(AZ169),DAY(AZ169)-1)</f>
        <v>46471</v>
      </c>
      <c r="BB169" s="8">
        <f t="shared" ca="1" si="477"/>
        <v>337</v>
      </c>
      <c r="BC169" s="5" t="str">
        <f t="shared" ca="1" si="478"/>
        <v>VIGENTE</v>
      </c>
      <c r="BD169" s="3"/>
      <c r="BE169" s="4">
        <v>45698</v>
      </c>
      <c r="BF169" s="4">
        <f>DATE(YEAR(BE169)+2,MONTH(BE169),DAY(BE169)-1)</f>
        <v>46427</v>
      </c>
      <c r="BG169" s="8">
        <f t="shared" ca="1" si="479"/>
        <v>293</v>
      </c>
      <c r="BH169" s="5" t="str">
        <f t="shared" ca="1" si="480"/>
        <v>VIGENTE</v>
      </c>
      <c r="BI169" s="3"/>
      <c r="BJ169" s="4">
        <v>45699</v>
      </c>
      <c r="BK169" s="4">
        <f>DATE(YEAR(BJ169)+2,MONTH(BJ169),DAY(BJ169)-1)</f>
        <v>46428</v>
      </c>
      <c r="BL169" s="8">
        <f t="shared" ca="1" si="481"/>
        <v>294</v>
      </c>
      <c r="BM169" s="5" t="str">
        <f t="shared" ca="1" si="482"/>
        <v>VIGENTE</v>
      </c>
      <c r="BN169" s="3"/>
      <c r="BO169" s="4">
        <v>45701</v>
      </c>
      <c r="BP169" s="4">
        <f>DATE(YEAR(BO169)+2,MONTH(BO169),DAY(BO169)-1)</f>
        <v>46430</v>
      </c>
      <c r="BQ169" s="8">
        <f t="shared" ca="1" si="483"/>
        <v>296</v>
      </c>
      <c r="BR169" s="5" t="str">
        <f t="shared" ca="1" si="484"/>
        <v>VIGENTE</v>
      </c>
      <c r="BS169" s="3"/>
      <c r="BT169" s="4">
        <v>45695</v>
      </c>
      <c r="BU169" s="4">
        <f>DATE(YEAR(BT169)+2,MONTH(BT169),DAY(BT169)-1)</f>
        <v>46424</v>
      </c>
      <c r="BV169" s="8">
        <f t="shared" ca="1" si="485"/>
        <v>290</v>
      </c>
      <c r="BW169" s="5" t="str">
        <f t="shared" ca="1" si="486"/>
        <v>VIGENTE</v>
      </c>
      <c r="BX169" s="3"/>
      <c r="BY169" s="4">
        <v>45730</v>
      </c>
      <c r="BZ169" s="4">
        <f>DATE(YEAR(BY169)+2,MONTH(BY169),DAY(BY169)-1)</f>
        <v>46459</v>
      </c>
      <c r="CA169" s="8">
        <f t="shared" ca="1" si="487"/>
        <v>325</v>
      </c>
      <c r="CB169" s="5" t="str">
        <f t="shared" ca="1" si="488"/>
        <v>VIGENTE</v>
      </c>
      <c r="CC169" s="6" t="s">
        <v>73</v>
      </c>
      <c r="CD169" s="4">
        <v>45241</v>
      </c>
      <c r="CE169" s="4">
        <f t="shared" si="609"/>
        <v>46702</v>
      </c>
      <c r="CF169" s="8">
        <f t="shared" ca="1" si="610"/>
        <v>568</v>
      </c>
      <c r="CG169" s="5" t="str">
        <f t="shared" ca="1" si="591"/>
        <v>VIGENTE</v>
      </c>
      <c r="CH169" s="4"/>
      <c r="CI169" s="4">
        <v>45688</v>
      </c>
      <c r="CJ169" s="4">
        <f>DATE(YEAR(CI169)+2,MONTH(CI169),DAY(CI169)-1)</f>
        <v>46417</v>
      </c>
      <c r="CK169" s="8">
        <f t="shared" ca="1" si="489"/>
        <v>283</v>
      </c>
      <c r="CL169" s="5" t="str">
        <f t="shared" ca="1" si="490"/>
        <v>VIGENTE</v>
      </c>
      <c r="CM169" s="3"/>
      <c r="CN169" s="4">
        <v>45684</v>
      </c>
      <c r="CO169" s="4">
        <f>DATE(YEAR(CN169)+2,MONTH(CN169),DAY(CN169)-1)</f>
        <v>46413</v>
      </c>
      <c r="CP169" s="8">
        <f t="shared" ca="1" si="491"/>
        <v>279</v>
      </c>
      <c r="CQ169" s="5" t="str">
        <f t="shared" ca="1" si="492"/>
        <v>VIGENTE</v>
      </c>
      <c r="CR169" s="3"/>
      <c r="CS169" s="4">
        <v>45727</v>
      </c>
      <c r="CT169" s="4">
        <f>DATE(YEAR(CS169)+2,MONTH(CS169),DAY(CS169)-1)</f>
        <v>46456</v>
      </c>
      <c r="CU169" s="8">
        <f t="shared" ca="1" si="493"/>
        <v>322</v>
      </c>
      <c r="CV169" s="5" t="str">
        <f t="shared" ca="1" si="494"/>
        <v>VIGENTE</v>
      </c>
      <c r="CW169" s="3"/>
      <c r="CX169" s="4">
        <v>45681</v>
      </c>
      <c r="CY169" s="4">
        <f>DATE(YEAR(CX169)+2,MONTH(CX169),DAY(CX169)-1)</f>
        <v>46410</v>
      </c>
      <c r="CZ169" s="8">
        <f t="shared" ca="1" si="495"/>
        <v>276</v>
      </c>
      <c r="DA169" s="5" t="str">
        <f t="shared" ca="1" si="496"/>
        <v>VIGENTE</v>
      </c>
      <c r="DB169" s="3"/>
      <c r="DC169" s="4">
        <v>45689</v>
      </c>
      <c r="DD169" s="4">
        <f>DATE(YEAR(DC169)+2,MONTH(DC169),DAY(DC169)-1)</f>
        <v>46418</v>
      </c>
      <c r="DE169" s="8">
        <f t="shared" ca="1" si="497"/>
        <v>284</v>
      </c>
      <c r="DF169" s="5" t="str">
        <f t="shared" ca="1" si="498"/>
        <v>VIGENTE</v>
      </c>
      <c r="DG169" s="3"/>
      <c r="DH169" s="4">
        <v>45696</v>
      </c>
      <c r="DI169" s="4">
        <f>DATE(YEAR(DH169)+2,MONTH(DH169),DAY(DH169)-1)</f>
        <v>46425</v>
      </c>
      <c r="DJ169" s="8">
        <f t="shared" ca="1" si="499"/>
        <v>291</v>
      </c>
      <c r="DK169" s="5" t="str">
        <f t="shared" ca="1" si="500"/>
        <v>VIGENTE</v>
      </c>
      <c r="DL169" s="3"/>
      <c r="DM169" s="4">
        <v>45731</v>
      </c>
      <c r="DN169" s="4">
        <f>DATE(YEAR(DM169)+2,MONTH(DM169),DAY(DM169)-1)</f>
        <v>46460</v>
      </c>
      <c r="DO169" s="8">
        <f t="shared" ca="1" si="501"/>
        <v>326</v>
      </c>
      <c r="DP169" s="5" t="str">
        <f t="shared" ca="1" si="502"/>
        <v>VIGENTE</v>
      </c>
      <c r="DQ169" s="3"/>
      <c r="DR169" s="4">
        <v>45685</v>
      </c>
      <c r="DS169" s="4">
        <f>DATE(YEAR(DR169)+2,MONTH(DR169),DAY(DR169)-1)</f>
        <v>46414</v>
      </c>
      <c r="DT169" s="8">
        <f t="shared" ca="1" si="503"/>
        <v>280</v>
      </c>
      <c r="DU169" s="5" t="str">
        <f t="shared" ca="1" si="504"/>
        <v>VIGENTE</v>
      </c>
      <c r="DV169" s="3"/>
      <c r="DW169" s="4">
        <v>45663</v>
      </c>
      <c r="DX169" s="4">
        <f t="shared" si="614"/>
        <v>46392</v>
      </c>
      <c r="DY169" s="8">
        <f t="shared" ca="1" si="505"/>
        <v>258</v>
      </c>
      <c r="DZ169" s="5" t="str">
        <f t="shared" ca="1" si="506"/>
        <v>VIGENTE</v>
      </c>
      <c r="EA169" s="3"/>
      <c r="EB169" s="4">
        <v>45768</v>
      </c>
      <c r="EC169" s="4">
        <f>DATE(YEAR(EB169)+2,MONTH(EB169),DAY(EB169))</f>
        <v>46498</v>
      </c>
      <c r="ED169" s="8">
        <f t="shared" ca="1" si="507"/>
        <v>364</v>
      </c>
      <c r="EE169" s="5" t="str">
        <f t="shared" ca="1" si="508"/>
        <v>VIGENTE</v>
      </c>
      <c r="EF169" s="3"/>
      <c r="EG169" s="3">
        <v>46085</v>
      </c>
      <c r="EH169" s="4">
        <f t="shared" si="575"/>
        <v>46450</v>
      </c>
      <c r="EI169" s="8">
        <f t="shared" ca="1" si="509"/>
        <v>316</v>
      </c>
      <c r="EJ169" s="5" t="str">
        <f t="shared" ca="1" si="510"/>
        <v>VIGENTE</v>
      </c>
      <c r="EK169" s="3"/>
      <c r="EL169" s="4">
        <v>45671</v>
      </c>
      <c r="EM169" s="4">
        <f>DATE(YEAR(EL169)+2,MONTH(EL169),DAY(EL169)-1)</f>
        <v>46400</v>
      </c>
      <c r="EN169" s="8">
        <f t="shared" ca="1" si="511"/>
        <v>266</v>
      </c>
      <c r="EO169" s="5" t="str">
        <f t="shared" ca="1" si="512"/>
        <v>VIGENTE</v>
      </c>
      <c r="EP169" s="3"/>
      <c r="EQ169" s="4">
        <v>45677</v>
      </c>
      <c r="ER169" s="4">
        <f>DATE(YEAR(EQ169)+2,MONTH(EQ169),DAY(EQ169)-1)</f>
        <v>46406</v>
      </c>
      <c r="ES169" s="8">
        <f t="shared" ca="1" si="513"/>
        <v>272</v>
      </c>
      <c r="ET169" s="5" t="str">
        <f t="shared" ca="1" si="514"/>
        <v>VIGENTE</v>
      </c>
      <c r="EU169" s="3"/>
      <c r="EV169" s="4">
        <v>45694</v>
      </c>
      <c r="EW169" s="4">
        <f>DATE(YEAR(EV169)+2,MONTH(EV169),DAY(EV169)-1)</f>
        <v>46423</v>
      </c>
      <c r="EX169" s="8">
        <f t="shared" ca="1" si="515"/>
        <v>289</v>
      </c>
      <c r="EY169" s="5" t="str">
        <f t="shared" ca="1" si="516"/>
        <v>VIGENTE</v>
      </c>
      <c r="EZ169" s="3"/>
      <c r="FA169" s="4">
        <v>45666</v>
      </c>
      <c r="FB169" s="4">
        <f>DATE(YEAR(FA169)+2,MONTH(FA169),DAY(FA169)-1)</f>
        <v>46395</v>
      </c>
      <c r="FC169" s="8">
        <f t="shared" ca="1" si="517"/>
        <v>261</v>
      </c>
      <c r="FD169" s="5" t="str">
        <f t="shared" ca="1" si="518"/>
        <v>VIGENTE</v>
      </c>
      <c r="FE169" s="3"/>
      <c r="FF169" s="4">
        <v>45668</v>
      </c>
      <c r="FG169" s="4">
        <f>DATE(YEAR(FF169)+2,MONTH(FF169),DAY(FF169)-1)</f>
        <v>46397</v>
      </c>
      <c r="FH169" s="8">
        <f t="shared" ca="1" si="519"/>
        <v>263</v>
      </c>
      <c r="FI169" s="5" t="str">
        <f t="shared" ca="1" si="520"/>
        <v>VIGENTE</v>
      </c>
      <c r="FJ169" s="3"/>
      <c r="FK169" s="4">
        <v>45686</v>
      </c>
      <c r="FL169" s="4">
        <f>DATE(YEAR(FK169)+2,MONTH(FK169),DAY(FK169)-1)</f>
        <v>46415</v>
      </c>
      <c r="FM169" s="8">
        <f t="shared" ca="1" si="521"/>
        <v>281</v>
      </c>
      <c r="FN169" s="5" t="str">
        <f t="shared" ca="1" si="522"/>
        <v>VIGENTE</v>
      </c>
      <c r="FO169" s="3"/>
      <c r="FP169" s="4">
        <v>45664</v>
      </c>
      <c r="FQ169" s="4">
        <f>DATE(YEAR(FP169)+2,MONTH(FP169),DAY(FP169)-1)</f>
        <v>46393</v>
      </c>
      <c r="FR169" s="8">
        <f t="shared" ca="1" si="523"/>
        <v>259</v>
      </c>
      <c r="FS169" s="5" t="str">
        <f t="shared" ca="1" si="524"/>
        <v>VIGENTE</v>
      </c>
      <c r="FT169" s="3"/>
      <c r="FU169" s="4">
        <v>45700</v>
      </c>
      <c r="FV169" s="4">
        <f>DATE(YEAR(FU169)+2,MONTH(FU169),DAY(FU169)-1)</f>
        <v>46429</v>
      </c>
      <c r="FW169" s="8">
        <f t="shared" ca="1" si="525"/>
        <v>295</v>
      </c>
      <c r="FX169" s="5" t="str">
        <f t="shared" ca="1" si="526"/>
        <v>VIGENTE</v>
      </c>
      <c r="FY169" s="3"/>
      <c r="FZ169" s="4">
        <v>45667</v>
      </c>
      <c r="GA169" s="4">
        <f>DATE(YEAR(FZ169)+2,MONTH(FZ169),DAY(FZ169)-1)</f>
        <v>46396</v>
      </c>
      <c r="GB169" s="8">
        <f t="shared" ca="1" si="527"/>
        <v>262</v>
      </c>
      <c r="GC169" s="5" t="str">
        <f t="shared" ca="1" si="528"/>
        <v>VIGENTE</v>
      </c>
      <c r="GD169" s="3"/>
      <c r="GE169" s="4">
        <v>45672</v>
      </c>
      <c r="GF169" s="4">
        <f>DATE(YEAR(GE169)+2,MONTH(GE169),DAY(GE169)-1)</f>
        <v>46401</v>
      </c>
      <c r="GG169" s="8">
        <f t="shared" ca="1" si="529"/>
        <v>267</v>
      </c>
      <c r="GH169" s="5" t="str">
        <f t="shared" ca="1" si="530"/>
        <v>VIGENTE</v>
      </c>
      <c r="GI169" s="3"/>
      <c r="GJ169" s="4">
        <v>45687</v>
      </c>
      <c r="GK169" s="4">
        <f>DATE(YEAR(GJ169)+2,MONTH(GJ169),DAY(GJ169)-1)</f>
        <v>46416</v>
      </c>
      <c r="GL169" s="8">
        <f t="shared" ca="1" si="531"/>
        <v>282</v>
      </c>
      <c r="GM169" s="5" t="str">
        <f t="shared" ca="1" si="532"/>
        <v>VIGENTE</v>
      </c>
      <c r="GN169" s="4"/>
      <c r="GO169" s="4">
        <v>45048</v>
      </c>
      <c r="GP169" s="4">
        <f t="shared" si="533"/>
        <v>46875</v>
      </c>
      <c r="GQ169" s="8">
        <f t="shared" ca="1" si="418"/>
        <v>741</v>
      </c>
      <c r="GR169" s="5" t="str">
        <f t="shared" ca="1" si="431"/>
        <v>VIGENTE</v>
      </c>
      <c r="GS169" s="3"/>
      <c r="GT169" s="4">
        <v>45010</v>
      </c>
      <c r="GU169" s="4">
        <f t="shared" si="534"/>
        <v>46837</v>
      </c>
      <c r="GV169" s="8">
        <f t="shared" ca="1" si="535"/>
        <v>703</v>
      </c>
      <c r="GW169" s="5" t="str">
        <f t="shared" ca="1" si="438"/>
        <v>VIGENTE</v>
      </c>
      <c r="GX169" s="2"/>
      <c r="GY169" s="4">
        <v>45073</v>
      </c>
      <c r="GZ169" s="4">
        <f t="shared" si="536"/>
        <v>46900</v>
      </c>
      <c r="HA169" s="8">
        <f t="shared" ca="1" si="537"/>
        <v>766</v>
      </c>
      <c r="HB169" s="5" t="str">
        <f t="shared" ca="1" si="433"/>
        <v>VIGENTE</v>
      </c>
      <c r="HC169" s="6"/>
      <c r="HD169" s="4">
        <v>45020</v>
      </c>
      <c r="HE169" s="4">
        <f t="shared" si="617"/>
        <v>46847</v>
      </c>
      <c r="HF169" s="8">
        <f t="shared" ca="1" si="618"/>
        <v>713</v>
      </c>
      <c r="HG169" s="5" t="str">
        <f t="shared" ca="1" si="439"/>
        <v>VIGENTE</v>
      </c>
      <c r="HH169" s="2"/>
      <c r="HI169" s="6"/>
      <c r="HJ169" s="4"/>
      <c r="HK169" s="8"/>
      <c r="HL169" s="5" t="str">
        <f t="shared" si="457"/>
        <v>NO APLICA</v>
      </c>
      <c r="HM169" s="2"/>
      <c r="HN169" s="2"/>
      <c r="HO169" s="4"/>
      <c r="HP169" s="2"/>
      <c r="HQ169" s="5" t="str">
        <f t="shared" si="538"/>
        <v>NO APLICA</v>
      </c>
      <c r="HR169" s="2"/>
      <c r="HS169" s="4">
        <v>45193</v>
      </c>
      <c r="HT169" s="4">
        <f>DATE(YEAR(HS169)+5,MONTH(HS169),DAY(HS169))</f>
        <v>47020</v>
      </c>
      <c r="HU169" s="8">
        <f ca="1">HT169-TODAY()</f>
        <v>886</v>
      </c>
      <c r="HV169" s="5" t="str">
        <f t="shared" ca="1" si="539"/>
        <v>VIGENTE</v>
      </c>
      <c r="HW169" s="2"/>
      <c r="HX169" s="4">
        <v>45194</v>
      </c>
      <c r="HY169" s="4">
        <f>DATE(YEAR(HX169)+5,MONTH(HX169),DAY(HX169))</f>
        <v>47021</v>
      </c>
      <c r="HZ169" s="8">
        <f ca="1">HY169-TODAY()</f>
        <v>887</v>
      </c>
      <c r="IA169" s="5" t="str">
        <f t="shared" ca="1" si="540"/>
        <v>VIGENTE</v>
      </c>
      <c r="IB169" s="2"/>
      <c r="IC169" s="4">
        <v>45173</v>
      </c>
      <c r="ID169" s="4">
        <f>DATE(YEAR(IC169)+5,MONTH(IC169),DAY(IC169))</f>
        <v>47000</v>
      </c>
      <c r="IE169" s="8">
        <f ca="1">ID169-TODAY()</f>
        <v>866</v>
      </c>
      <c r="IF169" s="5" t="str">
        <f t="shared" ca="1" si="541"/>
        <v>VIGENTE</v>
      </c>
      <c r="IG169" s="6"/>
      <c r="IH169" s="4">
        <v>45201</v>
      </c>
      <c r="II169" s="4">
        <f>DATE(YEAR(IH169)+5,MONTH(IH169),DAY(IH169))</f>
        <v>47028</v>
      </c>
      <c r="IJ169" s="8">
        <f ca="1">II169-TODAY()</f>
        <v>894</v>
      </c>
      <c r="IK169" s="5" t="str">
        <f t="shared" ca="1" si="542"/>
        <v>VIGENTE</v>
      </c>
      <c r="IL169" s="2"/>
      <c r="IM169" s="4">
        <v>45164</v>
      </c>
      <c r="IN169" s="4">
        <f>DATE(YEAR(IM169)+5,MONTH(IM169),DAY(IM169))</f>
        <v>46991</v>
      </c>
      <c r="IO169" s="8">
        <f ca="1">IN169-TODAY()</f>
        <v>857</v>
      </c>
      <c r="IP169" s="5" t="str">
        <f t="shared" ca="1" si="543"/>
        <v>VIGENTE</v>
      </c>
      <c r="IQ169" s="2"/>
      <c r="IR169" s="4">
        <v>45191</v>
      </c>
      <c r="IS169" s="4">
        <f>DATE(YEAR(IR169)+5,MONTH(IR169),DAY(IR169))</f>
        <v>47018</v>
      </c>
      <c r="IT169" s="8">
        <f ca="1">IS169-TODAY()</f>
        <v>884</v>
      </c>
      <c r="IU169" s="5" t="str">
        <f t="shared" ca="1" si="544"/>
        <v>VIGENTE</v>
      </c>
      <c r="IV169" s="2"/>
      <c r="IW169" s="4">
        <v>45206</v>
      </c>
      <c r="IX169" s="4">
        <f>DATE(YEAR(IW169)+5,MONTH(IW169),DAY(IW169))</f>
        <v>47033</v>
      </c>
      <c r="IY169" s="8">
        <f ca="1">IX169-TODAY()</f>
        <v>899</v>
      </c>
      <c r="IZ169" s="5" t="str">
        <f t="shared" ca="1" si="545"/>
        <v>VIGENTE</v>
      </c>
      <c r="JA169" s="3"/>
      <c r="JB169" s="3"/>
      <c r="JC169" s="4"/>
      <c r="JD169" s="8"/>
      <c r="JE169" s="5" t="str">
        <f t="shared" si="546"/>
        <v>NO APLICA</v>
      </c>
      <c r="JF169" s="6"/>
      <c r="JG169" s="6"/>
      <c r="JH169" s="6"/>
      <c r="JI169" s="6"/>
      <c r="JJ169" s="5" t="str">
        <f t="shared" si="547"/>
        <v>NO APLICA</v>
      </c>
      <c r="JK169" s="6"/>
      <c r="JL169" s="6"/>
      <c r="JM169" s="6"/>
      <c r="JN169" s="6"/>
      <c r="JO169" s="5" t="str">
        <f t="shared" si="548"/>
        <v>NO APLICA</v>
      </c>
      <c r="JP169" s="6"/>
      <c r="JQ169" s="6"/>
      <c r="JR169" s="6"/>
      <c r="JS169" s="6"/>
      <c r="JT169" s="5" t="str">
        <f t="shared" si="549"/>
        <v>NO APLICA</v>
      </c>
      <c r="JU169" s="5"/>
      <c r="JV169" s="5"/>
      <c r="JW169" s="5"/>
      <c r="JX169" s="5"/>
      <c r="JY169" s="5" t="str">
        <f t="shared" si="550"/>
        <v>NO APLICA</v>
      </c>
      <c r="JZ169" s="5"/>
      <c r="KA169" s="2"/>
      <c r="KB169" s="4"/>
      <c r="KC169" s="8"/>
      <c r="KD169" s="5" t="str">
        <f t="shared" si="551"/>
        <v>NO APLICA</v>
      </c>
      <c r="KE169" s="5"/>
      <c r="KF169" s="2"/>
      <c r="KG169" s="4"/>
      <c r="KH169" s="8"/>
      <c r="KI169" s="5" t="str">
        <f t="shared" si="576"/>
        <v>NO APLICA</v>
      </c>
      <c r="KJ169" s="5"/>
      <c r="KK169" s="2"/>
      <c r="KL169" s="4"/>
      <c r="KM169" s="8"/>
      <c r="KN169" s="5" t="str">
        <f t="shared" si="552"/>
        <v>NO APLICA</v>
      </c>
      <c r="KO169" s="5"/>
      <c r="KP169" s="3">
        <v>45346</v>
      </c>
      <c r="KQ169" s="4">
        <f>DATE(YEAR(KP169)+5,MONTH(KP169),DAY(KP169))</f>
        <v>47173</v>
      </c>
      <c r="KR169" s="8">
        <f ca="1">KQ169-TODAY()</f>
        <v>1039</v>
      </c>
      <c r="KS169" s="5" t="str">
        <f t="shared" ca="1" si="577"/>
        <v>VIGENTE</v>
      </c>
      <c r="KT169" s="2"/>
      <c r="KU169" s="6"/>
      <c r="KV169" s="4"/>
      <c r="KW169" s="8"/>
      <c r="KX169" s="5" t="str">
        <f t="shared" si="583"/>
        <v>NO APLICA</v>
      </c>
      <c r="KY169" s="5"/>
      <c r="KZ169" s="6"/>
      <c r="LA169" s="4"/>
      <c r="LB169" s="8"/>
      <c r="LC169" s="5" t="str">
        <f t="shared" si="578"/>
        <v>NO APLICA</v>
      </c>
      <c r="LD169" s="6"/>
      <c r="LE169" s="4">
        <v>45611</v>
      </c>
      <c r="LF169" s="4">
        <f>DATE(YEAR(LE169)+2,MONTH(LE169),DAY(LE169))</f>
        <v>46341</v>
      </c>
      <c r="LG169" s="8">
        <f ca="1">LF169-TODAY()</f>
        <v>207</v>
      </c>
      <c r="LH169" s="5" t="str">
        <f t="shared" ca="1" si="619"/>
        <v>VIGENTE</v>
      </c>
      <c r="LI169" s="5"/>
      <c r="LJ169" s="5"/>
      <c r="LK169" s="5"/>
      <c r="LL169" s="5"/>
      <c r="LM169" s="5" t="str">
        <f t="shared" si="584"/>
        <v>NO APLICA</v>
      </c>
      <c r="LN169" s="2"/>
      <c r="LO169" s="6"/>
      <c r="LP169" s="4"/>
      <c r="LQ169" s="8"/>
      <c r="LR169" s="5" t="str">
        <f t="shared" si="579"/>
        <v>NO APLICA</v>
      </c>
      <c r="LS169" s="6"/>
      <c r="LT169" s="6"/>
      <c r="LU169" s="4"/>
      <c r="LV169" s="8"/>
      <c r="LW169" s="5" t="str">
        <f t="shared" si="580"/>
        <v>NO APLICA</v>
      </c>
      <c r="LX169" s="6"/>
      <c r="LY169" s="6"/>
      <c r="LZ169" s="4"/>
      <c r="MA169" s="8"/>
      <c r="MB169" s="5" t="str">
        <f t="shared" si="581"/>
        <v>NO APLICA</v>
      </c>
      <c r="MC169" s="3"/>
      <c r="MD169" s="4">
        <v>44998</v>
      </c>
      <c r="ME169" s="4">
        <f>DATE(YEAR(MD169)+5,MONTH(MD169),DAY(MD169))</f>
        <v>46825</v>
      </c>
      <c r="MF169" s="8">
        <f ca="1">ME169-TODAY()</f>
        <v>691</v>
      </c>
      <c r="MG169" s="5" t="str">
        <f t="shared" ca="1" si="554"/>
        <v>VIGENTE</v>
      </c>
      <c r="MH169" s="2"/>
      <c r="MI169" s="2"/>
      <c r="MJ169" s="4"/>
      <c r="MK169" s="8"/>
      <c r="ML169" s="5" t="str">
        <f t="shared" si="555"/>
        <v>NO APLICA</v>
      </c>
      <c r="MM169" s="5"/>
      <c r="MN169" s="2"/>
      <c r="MO169" s="4"/>
      <c r="MP169" s="8"/>
      <c r="MQ169" s="5" t="str">
        <f t="shared" si="556"/>
        <v>NO APLICA</v>
      </c>
      <c r="MR169" s="5"/>
      <c r="MS169" s="2"/>
      <c r="MT169" s="4"/>
      <c r="MU169" s="2"/>
      <c r="MV169" s="5" t="str">
        <f t="shared" si="557"/>
        <v>NO APLICA</v>
      </c>
      <c r="MW169" s="2"/>
      <c r="MX169" s="6"/>
      <c r="MY169" s="4"/>
      <c r="MZ169" s="8"/>
      <c r="NA169" s="5" t="str">
        <f t="shared" si="558"/>
        <v>NO APLICA</v>
      </c>
      <c r="NB169" s="2"/>
      <c r="NC169" s="6"/>
      <c r="ND169" s="4"/>
      <c r="NE169" s="8"/>
      <c r="NF169" s="5" t="str">
        <f t="shared" si="559"/>
        <v>NO APLICA</v>
      </c>
      <c r="NG169" s="2"/>
      <c r="NH169" s="6"/>
      <c r="NI169" s="4"/>
      <c r="NJ169" s="8"/>
      <c r="NK169" s="5" t="str">
        <f t="shared" si="560"/>
        <v>NO APLICA</v>
      </c>
      <c r="NL169" s="2"/>
      <c r="NM169" s="2"/>
      <c r="NN169" s="4"/>
      <c r="NO169" s="2"/>
      <c r="NP169" s="5" t="str">
        <f t="shared" si="561"/>
        <v>NO APLICA</v>
      </c>
      <c r="NQ169" s="2"/>
      <c r="NR169" s="2"/>
      <c r="NS169" s="4"/>
      <c r="NT169" s="2"/>
      <c r="NU169" s="5" t="str">
        <f t="shared" si="562"/>
        <v>NO APLICA</v>
      </c>
      <c r="NV169" s="6"/>
      <c r="NW169" s="6"/>
      <c r="NX169" s="4"/>
      <c r="NY169" s="8"/>
      <c r="NZ169" s="5" t="str">
        <f t="shared" si="563"/>
        <v>NO APLICA</v>
      </c>
      <c r="OA169" s="6"/>
      <c r="OB169" s="6"/>
      <c r="OC169" s="6"/>
      <c r="OD169" s="6"/>
      <c r="OE169" s="5" t="str">
        <f t="shared" si="564"/>
        <v>NO APLICA</v>
      </c>
      <c r="OF169" s="6"/>
      <c r="OG169" s="6"/>
      <c r="OH169" s="4"/>
      <c r="OI169" s="8"/>
      <c r="OJ169" s="5" t="str">
        <f t="shared" si="565"/>
        <v>NO APLICA</v>
      </c>
      <c r="OK169" s="6"/>
      <c r="OL169" s="6"/>
      <c r="OM169" s="6"/>
      <c r="ON169" s="6"/>
      <c r="OO169" s="5" t="str">
        <f t="shared" si="566"/>
        <v>NO APLICA</v>
      </c>
      <c r="OP169" s="6"/>
      <c r="OQ169" s="6"/>
      <c r="OR169" s="6"/>
      <c r="OS169" s="6"/>
      <c r="OT169" s="5" t="str">
        <f t="shared" si="567"/>
        <v>NO APLICA</v>
      </c>
      <c r="OU169" s="6"/>
      <c r="OV169" s="6"/>
      <c r="OW169" s="6"/>
      <c r="OX169" s="6"/>
      <c r="OY169" s="5" t="str">
        <f t="shared" si="568"/>
        <v>NO APLICA</v>
      </c>
      <c r="OZ169" s="6"/>
      <c r="PA169" s="6"/>
      <c r="PB169" s="6"/>
      <c r="PC169" s="6"/>
      <c r="PD169" s="5" t="str">
        <f t="shared" si="569"/>
        <v>NO APLICA</v>
      </c>
      <c r="PE169" s="6"/>
      <c r="PF169" s="6"/>
      <c r="PG169" s="6"/>
      <c r="PH169" s="6"/>
      <c r="PI169" s="5" t="str">
        <f t="shared" si="570"/>
        <v>NO APLICA</v>
      </c>
      <c r="PJ169" s="5"/>
      <c r="PK169" s="6"/>
      <c r="PL169" s="4"/>
      <c r="PM169" s="8"/>
      <c r="PN169" s="5" t="str">
        <f t="shared" si="571"/>
        <v>NO APLICA</v>
      </c>
      <c r="PO169" s="6"/>
      <c r="PP169" s="6"/>
      <c r="PQ169" s="6"/>
      <c r="PR169" s="6"/>
      <c r="PS169" s="5" t="str">
        <f t="shared" si="572"/>
        <v>NO APLICA</v>
      </c>
      <c r="PT169" s="5"/>
      <c r="PU169" s="6"/>
      <c r="PV169" s="6"/>
      <c r="PW169" s="6"/>
      <c r="PX169" s="5" t="str">
        <f t="shared" si="573"/>
        <v>NO APLICA</v>
      </c>
    </row>
    <row r="170" spans="1:440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192</v>
      </c>
      <c r="T170" s="5" t="str">
        <f t="shared" ca="1" si="574"/>
        <v>VIGENTE</v>
      </c>
      <c r="U170" s="6" t="s">
        <v>550</v>
      </c>
      <c r="V170" s="4">
        <v>44701</v>
      </c>
      <c r="W170" s="4">
        <f t="shared" si="606"/>
        <v>46527</v>
      </c>
      <c r="X170" s="8">
        <f t="shared" ca="1" si="607"/>
        <v>393</v>
      </c>
      <c r="Y170" s="5" t="str">
        <f t="shared" ca="1" si="423"/>
        <v>VIGENTE</v>
      </c>
      <c r="Z170" s="2" t="s">
        <v>551</v>
      </c>
      <c r="AA170" s="4">
        <v>45190</v>
      </c>
      <c r="AB170" s="4">
        <f t="shared" si="615"/>
        <v>47017</v>
      </c>
      <c r="AC170" s="8">
        <f t="shared" ca="1" si="616"/>
        <v>883</v>
      </c>
      <c r="AD170" s="5" t="str">
        <f t="shared" ca="1" si="603"/>
        <v>VIGENTE</v>
      </c>
      <c r="AE170" s="3"/>
      <c r="AF170" s="4">
        <v>45609</v>
      </c>
      <c r="AG170" s="4">
        <f>DATE(YEAR(AF170)+2,MONTH(AF170),DAY(AF170)-1)</f>
        <v>46338</v>
      </c>
      <c r="AH170" s="8">
        <f t="shared" ca="1" si="470"/>
        <v>204</v>
      </c>
      <c r="AI170" s="5" t="str">
        <f t="shared" ca="1" si="419"/>
        <v>VIGENTE</v>
      </c>
      <c r="AJ170" s="3"/>
      <c r="AK170" s="4">
        <v>45710</v>
      </c>
      <c r="AL170" s="4">
        <f>DATE(YEAR(AK170)+2,MONTH(AK170),DAY(AK170)-1)</f>
        <v>46439</v>
      </c>
      <c r="AM170" s="8">
        <f t="shared" ca="1" si="471"/>
        <v>305</v>
      </c>
      <c r="AN170" s="5" t="str">
        <f t="shared" ca="1" si="472"/>
        <v>VIGENTE</v>
      </c>
      <c r="AO170" s="3"/>
      <c r="AP170" s="4">
        <v>45989</v>
      </c>
      <c r="AQ170" s="4">
        <f>DATE(YEAR(AP170)+2,MONTH(AP170),DAY(AP170))</f>
        <v>46719</v>
      </c>
      <c r="AR170" s="8">
        <f t="shared" ca="1" si="473"/>
        <v>585</v>
      </c>
      <c r="AS170" s="5" t="str">
        <f t="shared" ca="1" si="474"/>
        <v>VIGENTE</v>
      </c>
      <c r="AT170" s="3"/>
      <c r="AU170" s="4">
        <v>45972</v>
      </c>
      <c r="AV170" s="4">
        <f>DATE(YEAR(AU170)+2,MONTH(AU170),DAY(AU170))</f>
        <v>46702</v>
      </c>
      <c r="AW170" s="8">
        <f t="shared" ca="1" si="475"/>
        <v>568</v>
      </c>
      <c r="AX170" s="5" t="str">
        <f t="shared" ca="1" si="476"/>
        <v>VIGENTE</v>
      </c>
      <c r="AY170" s="3"/>
      <c r="AZ170" s="4">
        <v>46041</v>
      </c>
      <c r="BA170" s="4">
        <f>DATE(YEAR(AZ170)+2,MONTH(AZ170),DAY(AZ170))</f>
        <v>46771</v>
      </c>
      <c r="BB170" s="8">
        <f t="shared" ca="1" si="477"/>
        <v>637</v>
      </c>
      <c r="BC170" s="5" t="str">
        <f t="shared" ca="1" si="478"/>
        <v>VIGENTE</v>
      </c>
      <c r="BD170" s="3"/>
      <c r="BE170" s="4">
        <v>46027</v>
      </c>
      <c r="BF170" s="4">
        <f>DATE(YEAR(BE170)+2,MONTH(BE170),DAY(BE170))</f>
        <v>46757</v>
      </c>
      <c r="BG170" s="8">
        <f t="shared" ca="1" si="479"/>
        <v>623</v>
      </c>
      <c r="BH170" s="5" t="str">
        <f t="shared" ca="1" si="480"/>
        <v>VIGENTE</v>
      </c>
      <c r="BI170" s="3"/>
      <c r="BJ170" s="4">
        <v>45600</v>
      </c>
      <c r="BK170" s="4">
        <f>DATE(YEAR(BJ170)+2,MONTH(BJ170),DAY(BJ170)-1)</f>
        <v>46329</v>
      </c>
      <c r="BL170" s="8">
        <f t="shared" ca="1" si="481"/>
        <v>195</v>
      </c>
      <c r="BM170" s="5" t="str">
        <f t="shared" ca="1" si="482"/>
        <v>VIGENTE</v>
      </c>
      <c r="BN170" s="3"/>
      <c r="BO170" s="4">
        <v>45701</v>
      </c>
      <c r="BP170" s="4">
        <f>DATE(YEAR(BO170)+2,MONTH(BO170),DAY(BO170)-1)</f>
        <v>46430</v>
      </c>
      <c r="BQ170" s="8">
        <f t="shared" ca="1" si="483"/>
        <v>296</v>
      </c>
      <c r="BR170" s="5" t="str">
        <f t="shared" ca="1" si="484"/>
        <v>VIGENTE</v>
      </c>
      <c r="BS170" s="3"/>
      <c r="BT170" s="4">
        <v>45950</v>
      </c>
      <c r="BU170" s="4">
        <f>DATE(YEAR(BT170)+2,MONTH(BT170),DAY(BT170))</f>
        <v>46680</v>
      </c>
      <c r="BV170" s="8">
        <f t="shared" ca="1" si="485"/>
        <v>546</v>
      </c>
      <c r="BW170" s="5" t="str">
        <f t="shared" ca="1" si="486"/>
        <v>VIGENTE</v>
      </c>
      <c r="BX170" s="3"/>
      <c r="BY170" s="4">
        <v>45730</v>
      </c>
      <c r="BZ170" s="4">
        <f>DATE(YEAR(BY170)+2,MONTH(BY170),DAY(BY170)-1)</f>
        <v>46459</v>
      </c>
      <c r="CA170" s="8">
        <f t="shared" ca="1" si="487"/>
        <v>325</v>
      </c>
      <c r="CB170" s="5" t="str">
        <f t="shared" ca="1" si="488"/>
        <v>VIGENTE</v>
      </c>
      <c r="CC170" s="6" t="s">
        <v>68</v>
      </c>
      <c r="CD170" s="4">
        <v>45832</v>
      </c>
      <c r="CE170" s="4">
        <f t="shared" si="609"/>
        <v>47293</v>
      </c>
      <c r="CF170" s="8">
        <f t="shared" ca="1" si="610"/>
        <v>1159</v>
      </c>
      <c r="CG170" s="5" t="str">
        <f t="shared" ca="1" si="591"/>
        <v>VIGENTE</v>
      </c>
      <c r="CH170" s="4"/>
      <c r="CI170" s="4">
        <v>45723</v>
      </c>
      <c r="CJ170" s="4">
        <f>DATE(YEAR(CI170)+2,MONTH(CI170),DAY(CI170)-1)</f>
        <v>46452</v>
      </c>
      <c r="CK170" s="8">
        <f t="shared" ca="1" si="489"/>
        <v>318</v>
      </c>
      <c r="CL170" s="5" t="str">
        <f t="shared" ca="1" si="490"/>
        <v>VIGENTE</v>
      </c>
      <c r="CM170" s="3"/>
      <c r="CN170" s="4">
        <v>45684</v>
      </c>
      <c r="CO170" s="4">
        <f>DATE(YEAR(CN170)+2,MONTH(CN170),DAY(CN170)-1)</f>
        <v>46413</v>
      </c>
      <c r="CP170" s="8">
        <f t="shared" ca="1" si="491"/>
        <v>279</v>
      </c>
      <c r="CQ170" s="5" t="str">
        <f t="shared" ca="1" si="492"/>
        <v>VIGENTE</v>
      </c>
      <c r="CR170" s="3"/>
      <c r="CS170" s="4">
        <v>45905</v>
      </c>
      <c r="CT170" s="4">
        <f>DATE(YEAR(CS170)+2,MONTH(CS170),DAY(CS170))</f>
        <v>46635</v>
      </c>
      <c r="CU170" s="8">
        <f t="shared" ca="1" si="493"/>
        <v>501</v>
      </c>
      <c r="CV170" s="5" t="str">
        <f t="shared" ca="1" si="494"/>
        <v>VIGENTE</v>
      </c>
      <c r="CW170" s="3"/>
      <c r="CX170" s="4">
        <v>46000</v>
      </c>
      <c r="CY170" s="4">
        <f>DATE(YEAR(CX170)+2,MONTH(CX170),DAY(CX170))</f>
        <v>46730</v>
      </c>
      <c r="CZ170" s="8">
        <f t="shared" ca="1" si="495"/>
        <v>596</v>
      </c>
      <c r="DA170" s="5" t="str">
        <f t="shared" ca="1" si="496"/>
        <v>VIGENTE</v>
      </c>
      <c r="DB170" s="3"/>
      <c r="DC170" s="4">
        <v>45689</v>
      </c>
      <c r="DD170" s="4">
        <f>DATE(YEAR(DC170)+2,MONTH(DC170),DAY(DC170)-1)</f>
        <v>46418</v>
      </c>
      <c r="DE170" s="8">
        <f t="shared" ca="1" si="497"/>
        <v>284</v>
      </c>
      <c r="DF170" s="5" t="str">
        <f t="shared" ca="1" si="498"/>
        <v>VIGENTE</v>
      </c>
      <c r="DG170" s="3"/>
      <c r="DH170" s="4">
        <v>45975</v>
      </c>
      <c r="DI170" s="4">
        <f>DATE(YEAR(DH170)+2,MONTH(DH170),DAY(DH170))</f>
        <v>46705</v>
      </c>
      <c r="DJ170" s="8">
        <f t="shared" ca="1" si="499"/>
        <v>571</v>
      </c>
      <c r="DK170" s="5" t="str">
        <f t="shared" ca="1" si="500"/>
        <v>VIGENTE</v>
      </c>
      <c r="DL170" s="3"/>
      <c r="DM170" s="4">
        <v>46007</v>
      </c>
      <c r="DN170" s="4">
        <f>DATE(YEAR(DM170)+2,MONTH(DM170),DAY(DM170))</f>
        <v>46737</v>
      </c>
      <c r="DO170" s="8">
        <f t="shared" ca="1" si="501"/>
        <v>603</v>
      </c>
      <c r="DP170" s="5" t="str">
        <f t="shared" ca="1" si="502"/>
        <v>VIGENTE</v>
      </c>
      <c r="DQ170" s="3"/>
      <c r="DR170" s="4">
        <v>46053</v>
      </c>
      <c r="DS170" s="4">
        <f>DATE(YEAR(DR170)+2,MONTH(DR170),DAY(DR170))</f>
        <v>46783</v>
      </c>
      <c r="DT170" s="8">
        <f t="shared" ca="1" si="503"/>
        <v>649</v>
      </c>
      <c r="DU170" s="5" t="str">
        <f t="shared" ca="1" si="504"/>
        <v>VIGENTE</v>
      </c>
      <c r="DV170" s="3"/>
      <c r="DW170" s="4">
        <v>45682</v>
      </c>
      <c r="DX170" s="4">
        <f t="shared" si="614"/>
        <v>46411</v>
      </c>
      <c r="DY170" s="8">
        <f t="shared" ca="1" si="505"/>
        <v>277</v>
      </c>
      <c r="DZ170" s="5" t="str">
        <f t="shared" ca="1" si="506"/>
        <v>VIGENTE</v>
      </c>
      <c r="EA170" s="3"/>
      <c r="EB170" s="4">
        <v>45674</v>
      </c>
      <c r="EC170" s="4">
        <f>DATE(YEAR(EB170)+2,MONTH(EB170),DAY(EB170)-1)</f>
        <v>46403</v>
      </c>
      <c r="ED170" s="8">
        <f t="shared" ca="1" si="507"/>
        <v>269</v>
      </c>
      <c r="EE170" s="5" t="str">
        <f t="shared" ca="1" si="508"/>
        <v>VIGENTE</v>
      </c>
      <c r="EF170" s="3"/>
      <c r="EG170" s="3">
        <v>46060</v>
      </c>
      <c r="EH170" s="4">
        <f t="shared" si="575"/>
        <v>46425</v>
      </c>
      <c r="EI170" s="8">
        <f t="shared" ca="1" si="509"/>
        <v>291</v>
      </c>
      <c r="EJ170" s="5" t="str">
        <f t="shared" ca="1" si="510"/>
        <v>VIGENTE</v>
      </c>
      <c r="EK170" s="3"/>
      <c r="EL170" s="4">
        <v>45636</v>
      </c>
      <c r="EM170" s="4">
        <f>DATE(YEAR(EL170)+2,MONTH(EL170),DAY(EL170)-1)</f>
        <v>46365</v>
      </c>
      <c r="EN170" s="8">
        <f t="shared" ca="1" si="511"/>
        <v>231</v>
      </c>
      <c r="EO170" s="5" t="str">
        <f t="shared" ca="1" si="512"/>
        <v>VIGENTE</v>
      </c>
      <c r="EP170" s="3"/>
      <c r="EQ170" s="4">
        <v>45999</v>
      </c>
      <c r="ER170" s="4">
        <f>DATE(YEAR(EQ170)+2,MONTH(EQ170),DAY(EQ170))</f>
        <v>46729</v>
      </c>
      <c r="ES170" s="8">
        <f t="shared" ca="1" si="513"/>
        <v>595</v>
      </c>
      <c r="ET170" s="5" t="str">
        <f t="shared" ca="1" si="514"/>
        <v>VIGENTE</v>
      </c>
      <c r="EU170" s="3"/>
      <c r="EV170" s="4">
        <v>45694</v>
      </c>
      <c r="EW170" s="4">
        <f>DATE(YEAR(EV170)+2,MONTH(EV170),DAY(EV170)-1)</f>
        <v>46423</v>
      </c>
      <c r="EX170" s="8">
        <f t="shared" ca="1" si="515"/>
        <v>289</v>
      </c>
      <c r="EY170" s="5" t="str">
        <f t="shared" ca="1" si="516"/>
        <v>VIGENTE</v>
      </c>
      <c r="EZ170" s="3"/>
      <c r="FA170" s="4">
        <v>45666</v>
      </c>
      <c r="FB170" s="4">
        <f>DATE(YEAR(FA170)+2,MONTH(FA170),DAY(FA170)-1)</f>
        <v>46395</v>
      </c>
      <c r="FC170" s="8">
        <f t="shared" ca="1" si="517"/>
        <v>261</v>
      </c>
      <c r="FD170" s="5" t="str">
        <f t="shared" ca="1" si="518"/>
        <v>VIGENTE</v>
      </c>
      <c r="FE170" s="3"/>
      <c r="FF170" s="4">
        <v>45668</v>
      </c>
      <c r="FG170" s="4">
        <f>DATE(YEAR(FF170)+2,MONTH(FF170),DAY(FF170)-1)</f>
        <v>46397</v>
      </c>
      <c r="FH170" s="8">
        <f t="shared" ca="1" si="519"/>
        <v>263</v>
      </c>
      <c r="FI170" s="5" t="str">
        <f t="shared" ca="1" si="520"/>
        <v>VIGENTE</v>
      </c>
      <c r="FJ170" s="3"/>
      <c r="FK170" s="4">
        <v>45771</v>
      </c>
      <c r="FL170" s="4">
        <f>DATE(YEAR(FK170)+2,MONTH(FK170),DAY(FK170))</f>
        <v>46501</v>
      </c>
      <c r="FM170" s="8">
        <f t="shared" ca="1" si="521"/>
        <v>367</v>
      </c>
      <c r="FN170" s="5" t="str">
        <f t="shared" ca="1" si="522"/>
        <v>VIGENTE</v>
      </c>
      <c r="FO170" s="3"/>
      <c r="FP170" s="4">
        <v>45664</v>
      </c>
      <c r="FQ170" s="4">
        <f>DATE(YEAR(FP170)+2,MONTH(FP170),DAY(FP170)-1)</f>
        <v>46393</v>
      </c>
      <c r="FR170" s="8">
        <f t="shared" ca="1" si="523"/>
        <v>259</v>
      </c>
      <c r="FS170" s="5" t="str">
        <f t="shared" ca="1" si="524"/>
        <v>VIGENTE</v>
      </c>
      <c r="FT170" s="3"/>
      <c r="FU170" s="4">
        <v>45587</v>
      </c>
      <c r="FV170" s="4">
        <f>DATE(YEAR(FU170)+2,MONTH(FU170),DAY(FU170)-1)</f>
        <v>46316</v>
      </c>
      <c r="FW170" s="8">
        <f t="shared" ca="1" si="525"/>
        <v>182</v>
      </c>
      <c r="FX170" s="5" t="str">
        <f t="shared" ca="1" si="526"/>
        <v>VIGENTE</v>
      </c>
      <c r="FY170" s="3"/>
      <c r="FZ170" s="4">
        <v>45925</v>
      </c>
      <c r="GA170" s="4">
        <f>DATE(YEAR(FZ170)+2,MONTH(FZ170),DAY(FZ170))</f>
        <v>46655</v>
      </c>
      <c r="GB170" s="8">
        <f t="shared" ca="1" si="527"/>
        <v>521</v>
      </c>
      <c r="GC170" s="5" t="str">
        <f t="shared" ca="1" si="528"/>
        <v>VIGENTE</v>
      </c>
      <c r="GD170" s="3"/>
      <c r="GE170" s="4">
        <v>45579</v>
      </c>
      <c r="GF170" s="4">
        <f>DATE(YEAR(GE170)+2,MONTH(GE170),DAY(GE170)-1)</f>
        <v>46308</v>
      </c>
      <c r="GG170" s="8">
        <f t="shared" ca="1" si="529"/>
        <v>174</v>
      </c>
      <c r="GH170" s="5" t="str">
        <f t="shared" ca="1" si="530"/>
        <v>VIGENTE</v>
      </c>
      <c r="GI170" s="3"/>
      <c r="GJ170" s="4">
        <v>45608</v>
      </c>
      <c r="GK170" s="4">
        <f>DATE(YEAR(GJ170)+2,MONTH(GJ170),DAY(GJ170)-1)</f>
        <v>46337</v>
      </c>
      <c r="GL170" s="8">
        <f t="shared" ca="1" si="531"/>
        <v>203</v>
      </c>
      <c r="GM170" s="5" t="str">
        <f t="shared" ca="1" si="532"/>
        <v>VIGENTE</v>
      </c>
      <c r="GN170" s="4"/>
      <c r="GO170" s="4">
        <v>45017</v>
      </c>
      <c r="GP170" s="4">
        <f t="shared" si="533"/>
        <v>46844</v>
      </c>
      <c r="GQ170" s="8">
        <f t="shared" ca="1" si="418"/>
        <v>710</v>
      </c>
      <c r="GR170" s="5" t="str">
        <f t="shared" ca="1" si="431"/>
        <v>VIGENTE</v>
      </c>
      <c r="GS170" s="3"/>
      <c r="GT170" s="4">
        <v>44952</v>
      </c>
      <c r="GU170" s="4">
        <f t="shared" si="534"/>
        <v>46778</v>
      </c>
      <c r="GV170" s="8">
        <f t="shared" ca="1" si="535"/>
        <v>644</v>
      </c>
      <c r="GW170" s="5" t="str">
        <f t="shared" ca="1" si="438"/>
        <v>VIGENTE</v>
      </c>
      <c r="GX170" s="2"/>
      <c r="GY170" s="4">
        <v>45016</v>
      </c>
      <c r="GZ170" s="4">
        <f t="shared" si="536"/>
        <v>46843</v>
      </c>
      <c r="HA170" s="8">
        <f t="shared" ca="1" si="537"/>
        <v>709</v>
      </c>
      <c r="HB170" s="5" t="str">
        <f t="shared" ca="1" si="433"/>
        <v>VIGENTE</v>
      </c>
      <c r="HC170" s="6"/>
      <c r="HD170" s="4">
        <v>45115</v>
      </c>
      <c r="HE170" s="4">
        <f t="shared" si="617"/>
        <v>46942</v>
      </c>
      <c r="HF170" s="8">
        <f t="shared" ca="1" si="618"/>
        <v>808</v>
      </c>
      <c r="HG170" s="5" t="str">
        <f t="shared" ca="1" si="439"/>
        <v>VIGENTE</v>
      </c>
      <c r="HH170" s="2"/>
      <c r="HI170" s="6"/>
      <c r="HJ170" s="4"/>
      <c r="HK170" s="8"/>
      <c r="HL170" s="5" t="str">
        <f t="shared" si="457"/>
        <v>NO APLICA</v>
      </c>
      <c r="HM170" s="2"/>
      <c r="HN170" s="2"/>
      <c r="HO170" s="4"/>
      <c r="HP170" s="2"/>
      <c r="HQ170" s="5" t="str">
        <f t="shared" si="538"/>
        <v>NO APLICA</v>
      </c>
      <c r="HR170" s="2"/>
      <c r="HS170" s="6"/>
      <c r="HT170" s="4"/>
      <c r="HU170" s="8"/>
      <c r="HV170" s="5" t="str">
        <f t="shared" si="539"/>
        <v>NO APLICA</v>
      </c>
      <c r="HW170" s="2"/>
      <c r="HX170" s="6"/>
      <c r="HY170" s="4"/>
      <c r="HZ170" s="8"/>
      <c r="IA170" s="5" t="str">
        <f t="shared" si="540"/>
        <v>NO APLICA</v>
      </c>
      <c r="IB170" s="2"/>
      <c r="IC170" s="6"/>
      <c r="ID170" s="4"/>
      <c r="IE170" s="8"/>
      <c r="IF170" s="5" t="str">
        <f t="shared" si="541"/>
        <v>NO APLICA</v>
      </c>
      <c r="IG170" s="6"/>
      <c r="IH170" s="6"/>
      <c r="II170" s="4"/>
      <c r="IJ170" s="8"/>
      <c r="IK170" s="5" t="str">
        <f t="shared" si="542"/>
        <v>NO APLICA</v>
      </c>
      <c r="IL170" s="2"/>
      <c r="IM170" s="6"/>
      <c r="IN170" s="4"/>
      <c r="IO170" s="8"/>
      <c r="IP170" s="5" t="str">
        <f t="shared" si="543"/>
        <v>NO APLICA</v>
      </c>
      <c r="IQ170" s="2"/>
      <c r="IR170" s="6"/>
      <c r="IS170" s="4"/>
      <c r="IT170" s="8"/>
      <c r="IU170" s="5" t="str">
        <f t="shared" si="544"/>
        <v>NO APLICA</v>
      </c>
      <c r="IV170" s="2"/>
      <c r="IW170" s="6"/>
      <c r="IX170" s="4"/>
      <c r="IY170" s="8"/>
      <c r="IZ170" s="5" t="str">
        <f t="shared" si="545"/>
        <v>NO APLICA</v>
      </c>
      <c r="JA170" s="3"/>
      <c r="JB170" s="3"/>
      <c r="JC170" s="4"/>
      <c r="JD170" s="8"/>
      <c r="JE170" s="5" t="str">
        <f t="shared" si="546"/>
        <v>NO APLICA</v>
      </c>
      <c r="JF170" s="6"/>
      <c r="JG170" s="6"/>
      <c r="JH170" s="6"/>
      <c r="JI170" s="6"/>
      <c r="JJ170" s="5" t="str">
        <f t="shared" si="547"/>
        <v>NO APLICA</v>
      </c>
      <c r="JK170" s="6"/>
      <c r="JL170" s="6"/>
      <c r="JM170" s="6"/>
      <c r="JN170" s="6"/>
      <c r="JO170" s="5" t="str">
        <f t="shared" si="548"/>
        <v>NO APLICA</v>
      </c>
      <c r="JP170" s="6"/>
      <c r="JQ170" s="6"/>
      <c r="JR170" s="6"/>
      <c r="JS170" s="6"/>
      <c r="JT170" s="5" t="str">
        <f t="shared" si="549"/>
        <v>NO APLICA</v>
      </c>
      <c r="JU170" s="5"/>
      <c r="JV170" s="5"/>
      <c r="JW170" s="5"/>
      <c r="JX170" s="5"/>
      <c r="JY170" s="5" t="str">
        <f t="shared" si="550"/>
        <v>NO APLICA</v>
      </c>
      <c r="JZ170" s="5"/>
      <c r="KA170" s="2"/>
      <c r="KB170" s="4"/>
      <c r="KC170" s="8"/>
      <c r="KD170" s="5" t="str">
        <f t="shared" si="551"/>
        <v>NO APLICA</v>
      </c>
      <c r="KE170" s="5"/>
      <c r="KF170" s="2"/>
      <c r="KG170" s="4"/>
      <c r="KH170" s="8"/>
      <c r="KI170" s="5" t="str">
        <f t="shared" si="576"/>
        <v>NO APLICA</v>
      </c>
      <c r="KJ170" s="5"/>
      <c r="KK170" s="2"/>
      <c r="KL170" s="4"/>
      <c r="KM170" s="8"/>
      <c r="KN170" s="5" t="str">
        <f t="shared" si="552"/>
        <v>NO APLICA</v>
      </c>
      <c r="KO170" s="5"/>
      <c r="KP170" s="3">
        <v>45346</v>
      </c>
      <c r="KQ170" s="4">
        <f>DATE(YEAR(KP170)+5,MONTH(KP170),DAY(KP170))</f>
        <v>47173</v>
      </c>
      <c r="KR170" s="8">
        <f ca="1">KQ170-TODAY()</f>
        <v>1039</v>
      </c>
      <c r="KS170" s="5" t="str">
        <f t="shared" ca="1" si="577"/>
        <v>VIGENTE</v>
      </c>
      <c r="KT170" s="2"/>
      <c r="KU170" s="6"/>
      <c r="KV170" s="4"/>
      <c r="KW170" s="8"/>
      <c r="KX170" s="5" t="str">
        <f t="shared" si="583"/>
        <v>NO APLICA</v>
      </c>
      <c r="KY170" s="5"/>
      <c r="KZ170" s="6"/>
      <c r="LA170" s="4"/>
      <c r="LB170" s="8"/>
      <c r="LC170" s="5" t="str">
        <f t="shared" si="578"/>
        <v>NO APLICA</v>
      </c>
      <c r="LD170" s="6"/>
      <c r="LE170" s="6"/>
      <c r="LF170" s="4"/>
      <c r="LG170" s="8"/>
      <c r="LH170" s="5" t="str">
        <f t="shared" si="619"/>
        <v>NO APLICA</v>
      </c>
      <c r="LI170" s="5"/>
      <c r="LJ170" s="5"/>
      <c r="LK170" s="4"/>
      <c r="LL170" s="8"/>
      <c r="LM170" s="5" t="str">
        <f t="shared" si="584"/>
        <v>NO APLICA</v>
      </c>
      <c r="LN170" s="2"/>
      <c r="LO170" s="6"/>
      <c r="LP170" s="4"/>
      <c r="LQ170" s="8"/>
      <c r="LR170" s="5" t="str">
        <f t="shared" si="579"/>
        <v>NO APLICA</v>
      </c>
      <c r="LS170" s="6"/>
      <c r="LT170" s="6"/>
      <c r="LU170" s="4"/>
      <c r="LV170" s="8"/>
      <c r="LW170" s="5" t="str">
        <f t="shared" si="580"/>
        <v>NO APLICA</v>
      </c>
      <c r="LX170" s="6"/>
      <c r="LY170" s="6"/>
      <c r="LZ170" s="4"/>
      <c r="MA170" s="8"/>
      <c r="MB170" s="5" t="str">
        <f t="shared" si="581"/>
        <v>NO APLICA</v>
      </c>
      <c r="MC170" s="2"/>
      <c r="MD170" s="2"/>
      <c r="ME170" s="4"/>
      <c r="MF170" s="8"/>
      <c r="MG170" s="5" t="str">
        <f t="shared" si="554"/>
        <v>NO APLICA</v>
      </c>
      <c r="MH170" s="2"/>
      <c r="MI170" s="2"/>
      <c r="MJ170" s="4"/>
      <c r="MK170" s="8"/>
      <c r="ML170" s="5" t="str">
        <f t="shared" si="555"/>
        <v>NO APLICA</v>
      </c>
      <c r="MM170" s="5"/>
      <c r="MN170" s="2"/>
      <c r="MO170" s="4"/>
      <c r="MP170" s="8"/>
      <c r="MQ170" s="5" t="str">
        <f t="shared" si="556"/>
        <v>NO APLICA</v>
      </c>
      <c r="MR170" s="5"/>
      <c r="MS170" s="2"/>
      <c r="MT170" s="4"/>
      <c r="MU170" s="2"/>
      <c r="MV170" s="5" t="str">
        <f t="shared" si="557"/>
        <v>NO APLICA</v>
      </c>
      <c r="MW170" s="2"/>
      <c r="MX170" s="6"/>
      <c r="MY170" s="4"/>
      <c r="MZ170" s="8"/>
      <c r="NA170" s="5" t="str">
        <f t="shared" si="558"/>
        <v>NO APLICA</v>
      </c>
      <c r="NB170" s="2"/>
      <c r="NC170" s="6"/>
      <c r="ND170" s="4"/>
      <c r="NE170" s="8"/>
      <c r="NF170" s="5" t="str">
        <f t="shared" si="559"/>
        <v>NO APLICA</v>
      </c>
      <c r="NG170" s="2"/>
      <c r="NH170" s="6"/>
      <c r="NI170" s="4"/>
      <c r="NJ170" s="8"/>
      <c r="NK170" s="5" t="str">
        <f t="shared" si="560"/>
        <v>NO APLICA</v>
      </c>
      <c r="NL170" s="2"/>
      <c r="NM170" s="2"/>
      <c r="NN170" s="4"/>
      <c r="NO170" s="8"/>
      <c r="NP170" s="5" t="str">
        <f t="shared" si="561"/>
        <v>NO APLICA</v>
      </c>
      <c r="NQ170" s="2"/>
      <c r="NR170" s="2"/>
      <c r="NS170" s="4"/>
      <c r="NT170" s="2"/>
      <c r="NU170" s="5" t="str">
        <f t="shared" si="562"/>
        <v>NO APLICA</v>
      </c>
      <c r="NV170" s="6"/>
      <c r="NW170" s="6"/>
      <c r="NX170" s="4"/>
      <c r="NY170" s="8"/>
      <c r="NZ170" s="5" t="str">
        <f t="shared" si="563"/>
        <v>NO APLICA</v>
      </c>
      <c r="OA170" s="6"/>
      <c r="OB170" s="6"/>
      <c r="OC170" s="6"/>
      <c r="OD170" s="6"/>
      <c r="OE170" s="5" t="str">
        <f t="shared" si="564"/>
        <v>NO APLICA</v>
      </c>
      <c r="OF170" s="2"/>
      <c r="OG170" s="2"/>
      <c r="OH170" s="4"/>
      <c r="OI170" s="8"/>
      <c r="OJ170" s="5" t="str">
        <f t="shared" si="565"/>
        <v>NO APLICA</v>
      </c>
      <c r="OK170" s="6"/>
      <c r="OL170" s="6"/>
      <c r="OM170" s="6"/>
      <c r="ON170" s="6"/>
      <c r="OO170" s="5" t="str">
        <f t="shared" si="566"/>
        <v>NO APLICA</v>
      </c>
      <c r="OP170" s="6"/>
      <c r="OQ170" s="6"/>
      <c r="OR170" s="6"/>
      <c r="OS170" s="6"/>
      <c r="OT170" s="5" t="str">
        <f t="shared" si="567"/>
        <v>NO APLICA</v>
      </c>
      <c r="OU170" s="6"/>
      <c r="OV170" s="6"/>
      <c r="OW170" s="6"/>
      <c r="OX170" s="6"/>
      <c r="OY170" s="5" t="str">
        <f t="shared" si="568"/>
        <v>NO APLICA</v>
      </c>
      <c r="OZ170" s="6"/>
      <c r="PA170" s="6"/>
      <c r="PB170" s="6"/>
      <c r="PC170" s="6"/>
      <c r="PD170" s="5" t="str">
        <f t="shared" si="569"/>
        <v>NO APLICA</v>
      </c>
      <c r="PE170" s="6"/>
      <c r="PF170" s="6"/>
      <c r="PG170" s="6"/>
      <c r="PH170" s="6"/>
      <c r="PI170" s="5" t="str">
        <f t="shared" si="570"/>
        <v>NO APLICA</v>
      </c>
      <c r="PJ170" s="5"/>
      <c r="PK170" s="6"/>
      <c r="PL170" s="4"/>
      <c r="PM170" s="8"/>
      <c r="PN170" s="5" t="str">
        <f t="shared" si="571"/>
        <v>NO APLICA</v>
      </c>
      <c r="PO170" s="6"/>
      <c r="PP170" s="6"/>
      <c r="PQ170" s="6"/>
      <c r="PR170" s="6"/>
      <c r="PS170" s="5" t="str">
        <f t="shared" si="572"/>
        <v>NO APLICA</v>
      </c>
      <c r="PT170" s="5"/>
      <c r="PU170" s="6"/>
      <c r="PV170" s="6"/>
      <c r="PW170" s="6"/>
      <c r="PX170" s="5" t="str">
        <f t="shared" si="573"/>
        <v>NO APLICA</v>
      </c>
    </row>
    <row r="171" spans="1:440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178</v>
      </c>
      <c r="T171" s="5" t="str">
        <f t="shared" ca="1" si="574"/>
        <v>VIGENTE</v>
      </c>
      <c r="U171" s="2" t="s">
        <v>552</v>
      </c>
      <c r="V171" s="4">
        <v>44918</v>
      </c>
      <c r="W171" s="4">
        <f t="shared" si="606"/>
        <v>46744</v>
      </c>
      <c r="X171" s="8">
        <f t="shared" ca="1" si="607"/>
        <v>610</v>
      </c>
      <c r="Y171" s="5" t="str">
        <f t="shared" ca="1" si="423"/>
        <v>VIGENTE</v>
      </c>
      <c r="Z171" s="2" t="s">
        <v>553</v>
      </c>
      <c r="AA171" s="4">
        <v>45192</v>
      </c>
      <c r="AB171" s="4">
        <f t="shared" si="615"/>
        <v>47019</v>
      </c>
      <c r="AC171" s="8">
        <f t="shared" ca="1" si="616"/>
        <v>885</v>
      </c>
      <c r="AD171" s="5" t="str">
        <f t="shared" ca="1" si="603"/>
        <v>VIGENTE</v>
      </c>
      <c r="AE171" s="3"/>
      <c r="AF171" s="4">
        <v>45680</v>
      </c>
      <c r="AG171" s="4">
        <f>DATE(YEAR(AF171)+2,MONTH(AF171),DAY(AF171)-1)</f>
        <v>46409</v>
      </c>
      <c r="AH171" s="8">
        <f t="shared" ca="1" si="470"/>
        <v>275</v>
      </c>
      <c r="AI171" s="5" t="str">
        <f t="shared" ca="1" si="419"/>
        <v>VIGENTE</v>
      </c>
      <c r="AJ171" s="3"/>
      <c r="AK171" s="4">
        <v>45490</v>
      </c>
      <c r="AL171" s="4">
        <f>DATE(YEAR(AK171)+2,MONTH(AK171),DAY(AK171)-1)</f>
        <v>46219</v>
      </c>
      <c r="AM171" s="8">
        <f t="shared" ca="1" si="471"/>
        <v>85</v>
      </c>
      <c r="AN171" s="5" t="str">
        <f t="shared" ca="1" si="472"/>
        <v>POR VENCER</v>
      </c>
      <c r="AO171" s="3"/>
      <c r="AP171" s="4">
        <v>45505</v>
      </c>
      <c r="AQ171" s="4">
        <f>DATE(YEAR(AP171)+2,MONTH(AP171),DAY(AP171)-1)</f>
        <v>46234</v>
      </c>
      <c r="AR171" s="8">
        <f t="shared" ca="1" si="473"/>
        <v>100</v>
      </c>
      <c r="AS171" s="5" t="str">
        <f t="shared" ca="1" si="474"/>
        <v>VIGENTE</v>
      </c>
      <c r="AT171" s="3"/>
      <c r="AU171" s="4">
        <v>45514</v>
      </c>
      <c r="AV171" s="4">
        <f>DATE(YEAR(AU171)+2,MONTH(AU171),DAY(AU171)-1)</f>
        <v>46243</v>
      </c>
      <c r="AW171" s="8">
        <f t="shared" ca="1" si="475"/>
        <v>109</v>
      </c>
      <c r="AX171" s="5" t="str">
        <f t="shared" ca="1" si="476"/>
        <v>VIGENTE</v>
      </c>
      <c r="AY171" s="3"/>
      <c r="AZ171" s="4">
        <v>45515</v>
      </c>
      <c r="BA171" s="4">
        <f>DATE(YEAR(AZ171)+2,MONTH(AZ171),DAY(AZ171)-1)</f>
        <v>46244</v>
      </c>
      <c r="BB171" s="8">
        <f t="shared" ca="1" si="477"/>
        <v>110</v>
      </c>
      <c r="BC171" s="5" t="str">
        <f t="shared" ca="1" si="478"/>
        <v>VIGENTE</v>
      </c>
      <c r="BD171" s="3"/>
      <c r="BE171" s="4">
        <v>45698</v>
      </c>
      <c r="BF171" s="4">
        <f>DATE(YEAR(BE171)+2,MONTH(BE171),DAY(BE171)-1)</f>
        <v>46427</v>
      </c>
      <c r="BG171" s="8">
        <f t="shared" ca="1" si="479"/>
        <v>293</v>
      </c>
      <c r="BH171" s="5" t="str">
        <f t="shared" ca="1" si="480"/>
        <v>VIGENTE</v>
      </c>
      <c r="BI171" s="3"/>
      <c r="BJ171" s="4">
        <v>45570</v>
      </c>
      <c r="BK171" s="4">
        <f>DATE(YEAR(BJ171)+2,MONTH(BJ171),DAY(BJ171)-1)</f>
        <v>46299</v>
      </c>
      <c r="BL171" s="8">
        <f t="shared" ca="1" si="481"/>
        <v>165</v>
      </c>
      <c r="BM171" s="5" t="str">
        <f t="shared" ca="1" si="482"/>
        <v>VIGENTE</v>
      </c>
      <c r="BN171" s="3"/>
      <c r="BO171" s="4">
        <v>45604</v>
      </c>
      <c r="BP171" s="4">
        <f>DATE(YEAR(BO171)+2,MONTH(BO171),DAY(BO171)-1)</f>
        <v>46333</v>
      </c>
      <c r="BQ171" s="8">
        <f t="shared" ca="1" si="483"/>
        <v>199</v>
      </c>
      <c r="BR171" s="5" t="str">
        <f t="shared" ca="1" si="484"/>
        <v>VIGENTE</v>
      </c>
      <c r="BS171" s="3"/>
      <c r="BT171" s="4">
        <v>45695</v>
      </c>
      <c r="BU171" s="4">
        <f>DATE(YEAR(BT171)+2,MONTH(BT171),DAY(BT171)-1)</f>
        <v>46424</v>
      </c>
      <c r="BV171" s="8">
        <f t="shared" ca="1" si="485"/>
        <v>290</v>
      </c>
      <c r="BW171" s="5" t="str">
        <f t="shared" ca="1" si="486"/>
        <v>VIGENTE</v>
      </c>
      <c r="BX171" s="3"/>
      <c r="BY171" s="4">
        <v>45600</v>
      </c>
      <c r="BZ171" s="4">
        <f>DATE(YEAR(BY171)+2,MONTH(BY171),DAY(BY171)-1)</f>
        <v>46329</v>
      </c>
      <c r="CA171" s="8">
        <f t="shared" ca="1" si="487"/>
        <v>195</v>
      </c>
      <c r="CB171" s="5" t="str">
        <f t="shared" ca="1" si="488"/>
        <v>VIGENTE</v>
      </c>
      <c r="CC171" s="6" t="s">
        <v>68</v>
      </c>
      <c r="CD171" s="4">
        <v>45828</v>
      </c>
      <c r="CE171" s="4">
        <f t="shared" si="609"/>
        <v>47289</v>
      </c>
      <c r="CF171" s="8">
        <f t="shared" ca="1" si="610"/>
        <v>1155</v>
      </c>
      <c r="CG171" s="5" t="str">
        <f t="shared" ca="1" si="591"/>
        <v>VIGENTE</v>
      </c>
      <c r="CH171" s="4"/>
      <c r="CI171" s="4">
        <v>45511</v>
      </c>
      <c r="CJ171" s="4">
        <f>DATE(YEAR(CI171)+2,MONTH(CI171),DAY(CI171)-1)</f>
        <v>46240</v>
      </c>
      <c r="CK171" s="8">
        <f t="shared" ca="1" si="489"/>
        <v>106</v>
      </c>
      <c r="CL171" s="5" t="str">
        <f t="shared" ca="1" si="490"/>
        <v>VIGENTE</v>
      </c>
      <c r="CM171" s="3"/>
      <c r="CN171" s="4">
        <v>45517</v>
      </c>
      <c r="CO171" s="4">
        <f>DATE(YEAR(CN171)+2,MONTH(CN171),DAY(CN171)-1)</f>
        <v>46246</v>
      </c>
      <c r="CP171" s="8">
        <f t="shared" ca="1" si="491"/>
        <v>112</v>
      </c>
      <c r="CQ171" s="5" t="str">
        <f t="shared" ca="1" si="492"/>
        <v>VIGENTE</v>
      </c>
      <c r="CR171" s="3"/>
      <c r="CS171" s="4">
        <v>45624</v>
      </c>
      <c r="CT171" s="4">
        <f>DATE(YEAR(CS171)+2,MONTH(CS171),DAY(CS171)-1)</f>
        <v>46353</v>
      </c>
      <c r="CU171" s="8">
        <f t="shared" ca="1" si="493"/>
        <v>219</v>
      </c>
      <c r="CV171" s="5" t="str">
        <f t="shared" ca="1" si="494"/>
        <v>VIGENTE</v>
      </c>
      <c r="CW171" s="3"/>
      <c r="CX171" s="4">
        <v>45665</v>
      </c>
      <c r="CY171" s="4">
        <f>DATE(YEAR(CX171)+2,MONTH(CX171),DAY(CX171)-1)</f>
        <v>46394</v>
      </c>
      <c r="CZ171" s="8">
        <f t="shared" ca="1" si="495"/>
        <v>260</v>
      </c>
      <c r="DA171" s="5" t="str">
        <f t="shared" ca="1" si="496"/>
        <v>VIGENTE</v>
      </c>
      <c r="DB171" s="3"/>
      <c r="DC171" s="4">
        <v>45761</v>
      </c>
      <c r="DD171" s="4">
        <f>DATE(YEAR(DC171)+2,MONTH(DC171),DAY(DC171))</f>
        <v>46491</v>
      </c>
      <c r="DE171" s="8">
        <f t="shared" ca="1" si="497"/>
        <v>357</v>
      </c>
      <c r="DF171" s="5" t="str">
        <f t="shared" ca="1" si="498"/>
        <v>VIGENTE</v>
      </c>
      <c r="DG171" s="3"/>
      <c r="DH171" s="4">
        <v>45580</v>
      </c>
      <c r="DI171" s="4">
        <f>DATE(YEAR(DH171)+2,MONTH(DH171),DAY(DH171)-1)</f>
        <v>46309</v>
      </c>
      <c r="DJ171" s="8">
        <f t="shared" ca="1" si="499"/>
        <v>175</v>
      </c>
      <c r="DK171" s="5" t="str">
        <f t="shared" ca="1" si="500"/>
        <v>VIGENTE</v>
      </c>
      <c r="DL171" s="3"/>
      <c r="DM171" s="4">
        <v>45520</v>
      </c>
      <c r="DN171" s="4">
        <f>DATE(YEAR(DM171)+2,MONTH(DM171),DAY(DM171)-1)</f>
        <v>46249</v>
      </c>
      <c r="DO171" s="8">
        <f t="shared" ca="1" si="501"/>
        <v>115</v>
      </c>
      <c r="DP171" s="5" t="str">
        <f t="shared" ca="1" si="502"/>
        <v>VIGENTE</v>
      </c>
      <c r="DQ171" s="3"/>
      <c r="DR171" s="4">
        <v>45608</v>
      </c>
      <c r="DS171" s="4">
        <f>DATE(YEAR(DR171)+2,MONTH(DR171),DAY(DR171)-1)</f>
        <v>46337</v>
      </c>
      <c r="DT171" s="8">
        <f t="shared" ca="1" si="503"/>
        <v>203</v>
      </c>
      <c r="DU171" s="5" t="str">
        <f t="shared" ca="1" si="504"/>
        <v>VIGENTE</v>
      </c>
      <c r="DV171" s="3"/>
      <c r="DW171" s="4">
        <v>45663</v>
      </c>
      <c r="DX171" s="4">
        <f t="shared" si="614"/>
        <v>46392</v>
      </c>
      <c r="DY171" s="8">
        <f t="shared" ca="1" si="505"/>
        <v>258</v>
      </c>
      <c r="DZ171" s="5" t="str">
        <f t="shared" ca="1" si="506"/>
        <v>VIGENTE</v>
      </c>
      <c r="EA171" s="3"/>
      <c r="EB171" s="4">
        <v>45602</v>
      </c>
      <c r="EC171" s="4">
        <f>DATE(YEAR(EB171)+2,MONTH(EB171),DAY(EB171)-1)</f>
        <v>46331</v>
      </c>
      <c r="ED171" s="8">
        <f t="shared" ca="1" si="507"/>
        <v>197</v>
      </c>
      <c r="EE171" s="5" t="str">
        <f t="shared" ca="1" si="508"/>
        <v>VIGENTE</v>
      </c>
      <c r="EF171" s="3"/>
      <c r="EG171" s="3">
        <v>46107</v>
      </c>
      <c r="EH171" s="4">
        <f t="shared" si="575"/>
        <v>46472</v>
      </c>
      <c r="EI171" s="8">
        <f t="shared" ca="1" si="509"/>
        <v>338</v>
      </c>
      <c r="EJ171" s="5" t="str">
        <f t="shared" ca="1" si="510"/>
        <v>VIGENTE</v>
      </c>
      <c r="EK171" s="3"/>
      <c r="EL171" s="4">
        <v>45636</v>
      </c>
      <c r="EM171" s="4">
        <f>DATE(YEAR(EL171)+2,MONTH(EL171),DAY(EL171)-1)</f>
        <v>46365</v>
      </c>
      <c r="EN171" s="8">
        <f t="shared" ca="1" si="511"/>
        <v>231</v>
      </c>
      <c r="EO171" s="5" t="str">
        <f t="shared" ca="1" si="512"/>
        <v>VIGENTE</v>
      </c>
      <c r="EP171" s="3"/>
      <c r="EQ171" s="4">
        <v>45623</v>
      </c>
      <c r="ER171" s="4">
        <f>DATE(YEAR(EQ171)+2,MONTH(EQ171),DAY(EQ171)-1)</f>
        <v>46352</v>
      </c>
      <c r="ES171" s="8">
        <f t="shared" ca="1" si="513"/>
        <v>218</v>
      </c>
      <c r="ET171" s="5" t="str">
        <f t="shared" ca="1" si="514"/>
        <v>VIGENTE</v>
      </c>
      <c r="EU171" s="3"/>
      <c r="EV171" s="4">
        <v>45694</v>
      </c>
      <c r="EW171" s="4">
        <f>DATE(YEAR(EV171)+2,MONTH(EV171),DAY(EV171)-1)</f>
        <v>46423</v>
      </c>
      <c r="EX171" s="8">
        <f t="shared" ca="1" si="515"/>
        <v>289</v>
      </c>
      <c r="EY171" s="5" t="str">
        <f t="shared" ca="1" si="516"/>
        <v>VIGENTE</v>
      </c>
      <c r="EZ171" s="3"/>
      <c r="FA171" s="4">
        <v>45666</v>
      </c>
      <c r="FB171" s="4">
        <f>DATE(YEAR(FA171)+2,MONTH(FA171),DAY(FA171)-1)</f>
        <v>46395</v>
      </c>
      <c r="FC171" s="8">
        <f t="shared" ca="1" si="517"/>
        <v>261</v>
      </c>
      <c r="FD171" s="5" t="str">
        <f t="shared" ca="1" si="518"/>
        <v>VIGENTE</v>
      </c>
      <c r="FE171" s="3"/>
      <c r="FF171" s="4">
        <v>45668</v>
      </c>
      <c r="FG171" s="4">
        <f>DATE(YEAR(FF171)+2,MONTH(FF171),DAY(FF171)-1)</f>
        <v>46397</v>
      </c>
      <c r="FH171" s="8">
        <f t="shared" ca="1" si="519"/>
        <v>263</v>
      </c>
      <c r="FI171" s="5" t="str">
        <f t="shared" ca="1" si="520"/>
        <v>VIGENTE</v>
      </c>
      <c r="FJ171" s="3"/>
      <c r="FK171" s="4">
        <v>45670</v>
      </c>
      <c r="FL171" s="4">
        <f>DATE(YEAR(FK171)+2,MONTH(FK171),DAY(FK171)-1)</f>
        <v>46399</v>
      </c>
      <c r="FM171" s="8">
        <f t="shared" ca="1" si="521"/>
        <v>265</v>
      </c>
      <c r="FN171" s="5" t="str">
        <f t="shared" ca="1" si="522"/>
        <v>VIGENTE</v>
      </c>
      <c r="FO171" s="3"/>
      <c r="FP171" s="4">
        <v>45605</v>
      </c>
      <c r="FQ171" s="4">
        <f>DATE(YEAR(FP171)+2,MONTH(FP171),DAY(FP171)-1)</f>
        <v>46334</v>
      </c>
      <c r="FR171" s="8">
        <f t="shared" ca="1" si="523"/>
        <v>200</v>
      </c>
      <c r="FS171" s="5" t="str">
        <f t="shared" ca="1" si="524"/>
        <v>VIGENTE</v>
      </c>
      <c r="FT171" s="3"/>
      <c r="FU171" s="4">
        <v>45587</v>
      </c>
      <c r="FV171" s="4">
        <f>DATE(YEAR(FU171)+2,MONTH(FU171),DAY(FU171)-1)</f>
        <v>46316</v>
      </c>
      <c r="FW171" s="8">
        <f t="shared" ca="1" si="525"/>
        <v>182</v>
      </c>
      <c r="FX171" s="5" t="str">
        <f t="shared" ca="1" si="526"/>
        <v>VIGENTE</v>
      </c>
      <c r="FY171" s="3"/>
      <c r="FZ171" s="4">
        <v>45595</v>
      </c>
      <c r="GA171" s="4">
        <f>DATE(YEAR(FZ171)+2,MONTH(FZ171),DAY(FZ171)-1)</f>
        <v>46324</v>
      </c>
      <c r="GB171" s="8">
        <f t="shared" ca="1" si="527"/>
        <v>190</v>
      </c>
      <c r="GC171" s="5" t="str">
        <f t="shared" ca="1" si="528"/>
        <v>VIGENTE</v>
      </c>
      <c r="GD171" s="3"/>
      <c r="GE171" s="4">
        <v>45672</v>
      </c>
      <c r="GF171" s="4">
        <f>DATE(YEAR(GE171)+2,MONTH(GE171),DAY(GE171)-1)</f>
        <v>46401</v>
      </c>
      <c r="GG171" s="8">
        <f t="shared" ca="1" si="529"/>
        <v>267</v>
      </c>
      <c r="GH171" s="5" t="str">
        <f t="shared" ca="1" si="530"/>
        <v>VIGENTE</v>
      </c>
      <c r="GI171" s="3"/>
      <c r="GJ171" s="4">
        <v>45687</v>
      </c>
      <c r="GK171" s="4">
        <f>DATE(YEAR(GJ171)+2,MONTH(GJ171),DAY(GJ171)-1)</f>
        <v>46416</v>
      </c>
      <c r="GL171" s="8">
        <f t="shared" ca="1" si="531"/>
        <v>282</v>
      </c>
      <c r="GM171" s="5" t="str">
        <f t="shared" ca="1" si="532"/>
        <v>VIGENTE</v>
      </c>
      <c r="GN171" s="4"/>
      <c r="GO171" s="4">
        <v>44952</v>
      </c>
      <c r="GP171" s="4">
        <f t="shared" si="533"/>
        <v>46778</v>
      </c>
      <c r="GQ171" s="8">
        <f t="shared" ref="GQ171:GQ191" ca="1" si="620">GP171-TODAY()</f>
        <v>644</v>
      </c>
      <c r="GR171" s="5" t="str">
        <f t="shared" ca="1" si="431"/>
        <v>VIGENTE</v>
      </c>
      <c r="GS171" s="3"/>
      <c r="GT171" s="4">
        <v>45006</v>
      </c>
      <c r="GU171" s="4">
        <f t="shared" si="534"/>
        <v>46833</v>
      </c>
      <c r="GV171" s="8">
        <f t="shared" ca="1" si="535"/>
        <v>699</v>
      </c>
      <c r="GW171" s="5" t="str">
        <f t="shared" ca="1" si="438"/>
        <v>VIGENTE</v>
      </c>
      <c r="GX171" s="2"/>
      <c r="GY171" s="4">
        <v>45016</v>
      </c>
      <c r="GZ171" s="4">
        <f t="shared" si="536"/>
        <v>46843</v>
      </c>
      <c r="HA171" s="8">
        <f t="shared" ca="1" si="537"/>
        <v>709</v>
      </c>
      <c r="HB171" s="5" t="str">
        <f t="shared" ca="1" si="433"/>
        <v>VIGENTE</v>
      </c>
      <c r="HC171" s="6"/>
      <c r="HD171" s="4">
        <v>45020</v>
      </c>
      <c r="HE171" s="4">
        <f t="shared" si="617"/>
        <v>46847</v>
      </c>
      <c r="HF171" s="8">
        <f t="shared" ca="1" si="618"/>
        <v>713</v>
      </c>
      <c r="HG171" s="5" t="str">
        <f t="shared" ca="1" si="439"/>
        <v>VIGENTE</v>
      </c>
      <c r="HH171" s="2"/>
      <c r="HI171" s="6"/>
      <c r="HJ171" s="4"/>
      <c r="HK171" s="8"/>
      <c r="HL171" s="5" t="str">
        <f t="shared" si="457"/>
        <v>NO APLICA</v>
      </c>
      <c r="HM171" s="2"/>
      <c r="HN171" s="2"/>
      <c r="HO171" s="4"/>
      <c r="HP171" s="2"/>
      <c r="HQ171" s="5" t="str">
        <f t="shared" si="538"/>
        <v>NO APLICA</v>
      </c>
      <c r="HR171" s="2"/>
      <c r="HS171" s="6"/>
      <c r="HT171" s="4"/>
      <c r="HU171" s="8"/>
      <c r="HV171" s="5" t="str">
        <f t="shared" si="539"/>
        <v>NO APLICA</v>
      </c>
      <c r="HW171" s="2"/>
      <c r="HX171" s="6"/>
      <c r="HY171" s="4"/>
      <c r="HZ171" s="8"/>
      <c r="IA171" s="5" t="str">
        <f t="shared" si="540"/>
        <v>NO APLICA</v>
      </c>
      <c r="IB171" s="2"/>
      <c r="IC171" s="6"/>
      <c r="ID171" s="4"/>
      <c r="IE171" s="8"/>
      <c r="IF171" s="5" t="str">
        <f t="shared" si="541"/>
        <v>NO APLICA</v>
      </c>
      <c r="IG171" s="6"/>
      <c r="IH171" s="6"/>
      <c r="II171" s="4"/>
      <c r="IJ171" s="8"/>
      <c r="IK171" s="5" t="str">
        <f t="shared" si="542"/>
        <v>NO APLICA</v>
      </c>
      <c r="IL171" s="2"/>
      <c r="IM171" s="6"/>
      <c r="IN171" s="4"/>
      <c r="IO171" s="8"/>
      <c r="IP171" s="5" t="str">
        <f t="shared" si="543"/>
        <v>NO APLICA</v>
      </c>
      <c r="IQ171" s="2"/>
      <c r="IR171" s="6"/>
      <c r="IS171" s="4"/>
      <c r="IT171" s="8"/>
      <c r="IU171" s="5" t="str">
        <f t="shared" si="544"/>
        <v>NO APLICA</v>
      </c>
      <c r="IV171" s="2"/>
      <c r="IW171" s="6"/>
      <c r="IX171" s="4"/>
      <c r="IY171" s="8"/>
      <c r="IZ171" s="5" t="str">
        <f t="shared" si="545"/>
        <v>NO APLICA</v>
      </c>
      <c r="JA171" s="3"/>
      <c r="JB171" s="3"/>
      <c r="JC171" s="4"/>
      <c r="JD171" s="8"/>
      <c r="JE171" s="5" t="str">
        <f t="shared" si="546"/>
        <v>NO APLICA</v>
      </c>
      <c r="JF171" s="6"/>
      <c r="JG171" s="6"/>
      <c r="JH171" s="6"/>
      <c r="JI171" s="6"/>
      <c r="JJ171" s="5" t="str">
        <f t="shared" si="547"/>
        <v>NO APLICA</v>
      </c>
      <c r="JK171" s="6"/>
      <c r="JL171" s="6"/>
      <c r="JM171" s="6"/>
      <c r="JN171" s="6"/>
      <c r="JO171" s="5" t="str">
        <f t="shared" si="548"/>
        <v>NO APLICA</v>
      </c>
      <c r="JP171" s="6"/>
      <c r="JQ171" s="6"/>
      <c r="JR171" s="6"/>
      <c r="JS171" s="6"/>
      <c r="JT171" s="5" t="str">
        <f t="shared" si="549"/>
        <v>NO APLICA</v>
      </c>
      <c r="JU171" s="5"/>
      <c r="JV171" s="5"/>
      <c r="JW171" s="5"/>
      <c r="JX171" s="5"/>
      <c r="JY171" s="5" t="str">
        <f t="shared" si="550"/>
        <v>NO APLICA</v>
      </c>
      <c r="JZ171" s="5"/>
      <c r="KA171" s="2"/>
      <c r="KB171" s="4"/>
      <c r="KC171" s="8"/>
      <c r="KD171" s="5" t="str">
        <f t="shared" si="551"/>
        <v>NO APLICA</v>
      </c>
      <c r="KE171" s="5"/>
      <c r="KF171" s="2"/>
      <c r="KG171" s="4"/>
      <c r="KH171" s="8"/>
      <c r="KI171" s="5" t="str">
        <f t="shared" si="576"/>
        <v>NO APLICA</v>
      </c>
      <c r="KJ171" s="5"/>
      <c r="KK171" s="2"/>
      <c r="KL171" s="4"/>
      <c r="KM171" s="8"/>
      <c r="KN171" s="5" t="str">
        <f t="shared" si="552"/>
        <v>NO APLICA</v>
      </c>
      <c r="KO171" s="5"/>
      <c r="KP171" s="2"/>
      <c r="KQ171" s="4"/>
      <c r="KR171" s="8"/>
      <c r="KS171" s="5" t="str">
        <f t="shared" si="577"/>
        <v>NO APLICA</v>
      </c>
      <c r="KT171" s="2"/>
      <c r="KU171" s="6"/>
      <c r="KV171" s="4"/>
      <c r="KW171" s="8"/>
      <c r="KX171" s="5" t="str">
        <f t="shared" si="583"/>
        <v>NO APLICA</v>
      </c>
      <c r="KY171" s="5"/>
      <c r="KZ171" s="6"/>
      <c r="LA171" s="4"/>
      <c r="LB171" s="8"/>
      <c r="LC171" s="5" t="str">
        <f t="shared" si="578"/>
        <v>NO APLICA</v>
      </c>
      <c r="LD171" s="6"/>
      <c r="LE171" s="6"/>
      <c r="LF171" s="4"/>
      <c r="LG171" s="8"/>
      <c r="LH171" s="5" t="str">
        <f t="shared" si="619"/>
        <v>NO APLICA</v>
      </c>
      <c r="LI171" s="5"/>
      <c r="LJ171" s="5"/>
      <c r="LK171" s="4"/>
      <c r="LL171" s="8"/>
      <c r="LM171" s="5" t="str">
        <f t="shared" si="584"/>
        <v>NO APLICA</v>
      </c>
      <c r="LN171" s="2"/>
      <c r="LO171" s="6"/>
      <c r="LP171" s="4"/>
      <c r="LQ171" s="8"/>
      <c r="LR171" s="5" t="str">
        <f t="shared" si="579"/>
        <v>NO APLICA</v>
      </c>
      <c r="LS171" s="6"/>
      <c r="LT171" s="6"/>
      <c r="LU171" s="4"/>
      <c r="LV171" s="8"/>
      <c r="LW171" s="5" t="str">
        <f t="shared" si="580"/>
        <v>NO APLICA</v>
      </c>
      <c r="LX171" s="6"/>
      <c r="LY171" s="6"/>
      <c r="LZ171" s="4"/>
      <c r="MA171" s="8"/>
      <c r="MB171" s="5" t="str">
        <f t="shared" si="581"/>
        <v>NO APLICA</v>
      </c>
      <c r="MC171" s="2"/>
      <c r="MD171" s="2"/>
      <c r="ME171" s="4"/>
      <c r="MF171" s="8"/>
      <c r="MG171" s="5" t="str">
        <f t="shared" si="554"/>
        <v>NO APLICA</v>
      </c>
      <c r="MH171" s="2"/>
      <c r="MI171" s="2"/>
      <c r="MJ171" s="4"/>
      <c r="MK171" s="8"/>
      <c r="ML171" s="5" t="str">
        <f t="shared" si="555"/>
        <v>NO APLICA</v>
      </c>
      <c r="MM171" s="5"/>
      <c r="MN171" s="2"/>
      <c r="MO171" s="4"/>
      <c r="MP171" s="8"/>
      <c r="MQ171" s="5" t="str">
        <f t="shared" si="556"/>
        <v>NO APLICA</v>
      </c>
      <c r="MR171" s="5"/>
      <c r="MS171" s="2"/>
      <c r="MT171" s="4"/>
      <c r="MU171" s="2"/>
      <c r="MV171" s="5" t="str">
        <f t="shared" si="557"/>
        <v>NO APLICA</v>
      </c>
      <c r="MW171" s="2"/>
      <c r="MX171" s="6"/>
      <c r="MY171" s="4"/>
      <c r="MZ171" s="8"/>
      <c r="NA171" s="5" t="str">
        <f t="shared" si="558"/>
        <v>NO APLICA</v>
      </c>
      <c r="NB171" s="2"/>
      <c r="NC171" s="6"/>
      <c r="ND171" s="4"/>
      <c r="NE171" s="8"/>
      <c r="NF171" s="5" t="str">
        <f t="shared" si="559"/>
        <v>NO APLICA</v>
      </c>
      <c r="NG171" s="2"/>
      <c r="NH171" s="6"/>
      <c r="NI171" s="4"/>
      <c r="NJ171" s="8"/>
      <c r="NK171" s="5" t="str">
        <f t="shared" si="560"/>
        <v>NO APLICA</v>
      </c>
      <c r="NL171" s="2"/>
      <c r="NM171" s="2"/>
      <c r="NN171" s="4"/>
      <c r="NO171" s="8"/>
      <c r="NP171" s="5" t="str">
        <f t="shared" si="561"/>
        <v>NO APLICA</v>
      </c>
      <c r="NQ171" s="2"/>
      <c r="NR171" s="2"/>
      <c r="NS171" s="4"/>
      <c r="NT171" s="2"/>
      <c r="NU171" s="5" t="str">
        <f t="shared" si="562"/>
        <v>NO APLICA</v>
      </c>
      <c r="NV171" s="6"/>
      <c r="NW171" s="4">
        <v>45320</v>
      </c>
      <c r="NX171" s="4">
        <f>DATE(YEAR(NW171)+2,MONTH(NW171),DAY(NW171))</f>
        <v>46051</v>
      </c>
      <c r="NY171" s="8">
        <f ca="1">NX171-TODAY()</f>
        <v>-83</v>
      </c>
      <c r="NZ171" s="5" t="str">
        <f t="shared" ca="1" si="563"/>
        <v>VENCIDA</v>
      </c>
      <c r="OA171" s="6"/>
      <c r="OB171" s="6"/>
      <c r="OC171" s="6"/>
      <c r="OD171" s="6"/>
      <c r="OE171" s="5" t="str">
        <f t="shared" si="564"/>
        <v>NO APLICA</v>
      </c>
      <c r="OF171" s="2"/>
      <c r="OG171" s="2"/>
      <c r="OH171" s="4"/>
      <c r="OI171" s="8"/>
      <c r="OJ171" s="5" t="str">
        <f t="shared" si="565"/>
        <v>NO APLICA</v>
      </c>
      <c r="OK171" s="6"/>
      <c r="OL171" s="6"/>
      <c r="OM171" s="6"/>
      <c r="ON171" s="6"/>
      <c r="OO171" s="5" t="str">
        <f t="shared" si="566"/>
        <v>NO APLICA</v>
      </c>
      <c r="OP171" s="6"/>
      <c r="OQ171" s="6"/>
      <c r="OR171" s="6"/>
      <c r="OS171" s="6"/>
      <c r="OT171" s="5" t="str">
        <f t="shared" si="567"/>
        <v>NO APLICA</v>
      </c>
      <c r="OU171" s="6"/>
      <c r="OV171" s="6"/>
      <c r="OW171" s="6"/>
      <c r="OX171" s="6"/>
      <c r="OY171" s="5" t="str">
        <f t="shared" si="568"/>
        <v>NO APLICA</v>
      </c>
      <c r="OZ171" s="6"/>
      <c r="PA171" s="6"/>
      <c r="PB171" s="6"/>
      <c r="PC171" s="6"/>
      <c r="PD171" s="5" t="str">
        <f t="shared" si="569"/>
        <v>NO APLICA</v>
      </c>
      <c r="PE171" s="6"/>
      <c r="PF171" s="6"/>
      <c r="PG171" s="6"/>
      <c r="PH171" s="6"/>
      <c r="PI171" s="5" t="str">
        <f t="shared" si="570"/>
        <v>NO APLICA</v>
      </c>
      <c r="PJ171" s="5"/>
      <c r="PK171" s="6"/>
      <c r="PL171" s="4"/>
      <c r="PM171" s="8"/>
      <c r="PN171" s="5" t="str">
        <f t="shared" si="571"/>
        <v>NO APLICA</v>
      </c>
      <c r="PO171" s="6"/>
      <c r="PP171" s="6"/>
      <c r="PQ171" s="6"/>
      <c r="PR171" s="6"/>
      <c r="PS171" s="5" t="str">
        <f t="shared" si="572"/>
        <v>NO APLICA</v>
      </c>
      <c r="PT171" s="5"/>
      <c r="PU171" s="4">
        <v>46126</v>
      </c>
      <c r="PV171" s="4">
        <f>DATE(YEAR(PU171)+1,MONTH(PU171),DAY(PU171))</f>
        <v>46491</v>
      </c>
      <c r="PW171" s="8">
        <f ca="1">PV171-TODAY()</f>
        <v>357</v>
      </c>
      <c r="PX171" s="5" t="str">
        <f t="shared" ca="1" si="573"/>
        <v>VIGENTE</v>
      </c>
    </row>
    <row r="172" spans="1:440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555</v>
      </c>
      <c r="V172" s="4">
        <v>44944</v>
      </c>
      <c r="W172" s="4">
        <f t="shared" si="606"/>
        <v>46770</v>
      </c>
      <c r="X172" s="8">
        <f t="shared" ca="1" si="607"/>
        <v>636</v>
      </c>
      <c r="Y172" s="5" t="str">
        <f t="shared" ca="1" si="423"/>
        <v>VIGENTE</v>
      </c>
      <c r="Z172" s="2"/>
      <c r="AA172" s="6"/>
      <c r="AB172" s="4"/>
      <c r="AC172" s="8"/>
      <c r="AD172" s="5" t="str">
        <f t="shared" si="603"/>
        <v>NO APLICA</v>
      </c>
      <c r="AE172" s="2"/>
      <c r="AF172" s="4">
        <v>45892</v>
      </c>
      <c r="AG172" s="4">
        <f>DATE(YEAR(AF172)+2,MONTH(AF172),DAY(AF172))</f>
        <v>46622</v>
      </c>
      <c r="AH172" s="8">
        <f t="shared" ca="1" si="470"/>
        <v>488</v>
      </c>
      <c r="AI172" s="5" t="str">
        <f t="shared" ref="AI172:AI230" ca="1" si="621">IF(AH172&gt;=91,"VIGENTE",IF(AH172&gt;=1,"POR VENCER",IF(AH172&lt;=-1,"VENCIDA",IF(AF172=0,"NO APLICA"))))</f>
        <v>VIGENTE</v>
      </c>
      <c r="AJ172" s="3"/>
      <c r="AK172" s="4">
        <v>45980</v>
      </c>
      <c r="AL172" s="4">
        <f>DATE(YEAR(AK172)+2,MONTH(AK172),DAY(AK172))</f>
        <v>46710</v>
      </c>
      <c r="AM172" s="8">
        <f t="shared" ca="1" si="471"/>
        <v>576</v>
      </c>
      <c r="AN172" s="5" t="str">
        <f t="shared" ca="1" si="472"/>
        <v>VIGENTE</v>
      </c>
      <c r="AO172" s="3"/>
      <c r="AP172" s="4">
        <v>45989</v>
      </c>
      <c r="AQ172" s="4">
        <f>DATE(YEAR(AP172)+2,MONTH(AP172),DAY(AP172))</f>
        <v>46719</v>
      </c>
      <c r="AR172" s="8">
        <f t="shared" ca="1" si="473"/>
        <v>585</v>
      </c>
      <c r="AS172" s="5" t="str">
        <f t="shared" ca="1" si="474"/>
        <v>VIGENTE</v>
      </c>
      <c r="AT172" s="3"/>
      <c r="AU172" s="4">
        <v>45975</v>
      </c>
      <c r="AV172" s="4">
        <f>DATE(YEAR(AU172)+2,MONTH(AU172),DAY(AU172))</f>
        <v>46705</v>
      </c>
      <c r="AW172" s="8">
        <f t="shared" ca="1" si="475"/>
        <v>571</v>
      </c>
      <c r="AX172" s="5" t="str">
        <f t="shared" ca="1" si="476"/>
        <v>VIGENTE</v>
      </c>
      <c r="AY172" s="3"/>
      <c r="AZ172" s="4">
        <v>45943</v>
      </c>
      <c r="BA172" s="4">
        <f>DATE(YEAR(AZ172)+2,MONTH(AZ172),DAY(AZ172))</f>
        <v>46673</v>
      </c>
      <c r="BB172" s="8">
        <f t="shared" ca="1" si="477"/>
        <v>539</v>
      </c>
      <c r="BC172" s="5" t="str">
        <f t="shared" ca="1" si="478"/>
        <v>VIGENTE</v>
      </c>
      <c r="BD172" s="2"/>
      <c r="BE172" s="4">
        <v>45997</v>
      </c>
      <c r="BF172" s="4">
        <f>DATE(YEAR(BE172)+2,MONTH(BE172),DAY(BE172))</f>
        <v>46727</v>
      </c>
      <c r="BG172" s="8">
        <f t="shared" ca="1" si="479"/>
        <v>593</v>
      </c>
      <c r="BH172" s="5" t="str">
        <f t="shared" ca="1" si="480"/>
        <v>VIGENTE</v>
      </c>
      <c r="BI172" s="3"/>
      <c r="BJ172" s="4">
        <v>45976</v>
      </c>
      <c r="BK172" s="4">
        <f>DATE(YEAR(BJ172)+2,MONTH(BJ172),DAY(BJ172))</f>
        <v>46706</v>
      </c>
      <c r="BL172" s="8">
        <f t="shared" ca="1" si="481"/>
        <v>572</v>
      </c>
      <c r="BM172" s="5" t="str">
        <f t="shared" ca="1" si="482"/>
        <v>VIGENTE</v>
      </c>
      <c r="BN172" s="3"/>
      <c r="BO172" s="4">
        <v>45988</v>
      </c>
      <c r="BP172" s="4">
        <f>DATE(YEAR(BO172)+2,MONTH(BO172),DAY(BO172))</f>
        <v>46718</v>
      </c>
      <c r="BQ172" s="8">
        <f t="shared" ca="1" si="483"/>
        <v>584</v>
      </c>
      <c r="BR172" s="5" t="str">
        <f t="shared" ca="1" si="484"/>
        <v>VIGENTE</v>
      </c>
      <c r="BS172" s="3"/>
      <c r="BT172" s="4">
        <v>45961</v>
      </c>
      <c r="BU172" s="4">
        <f>DATE(YEAR(BT172)+2,MONTH(BT172),DAY(BT172)-1)</f>
        <v>46690</v>
      </c>
      <c r="BV172" s="8">
        <f t="shared" ca="1" si="485"/>
        <v>556</v>
      </c>
      <c r="BW172" s="5" t="str">
        <f t="shared" ca="1" si="486"/>
        <v>VIGENTE</v>
      </c>
      <c r="BX172" s="2"/>
      <c r="BY172" s="4">
        <v>45944</v>
      </c>
      <c r="BZ172" s="4">
        <f>DATE(YEAR(BY172)+2,MONTH(BY172),DAY(BY172))</f>
        <v>46674</v>
      </c>
      <c r="CA172" s="8">
        <f t="shared" ca="1" si="487"/>
        <v>540</v>
      </c>
      <c r="CB172" s="5" t="str">
        <f t="shared" ca="1" si="488"/>
        <v>VIGENTE</v>
      </c>
      <c r="CC172" s="6" t="s">
        <v>68</v>
      </c>
      <c r="CD172" s="4">
        <v>45828</v>
      </c>
      <c r="CE172" s="4">
        <f t="shared" si="609"/>
        <v>47289</v>
      </c>
      <c r="CF172" s="8">
        <f t="shared" ca="1" si="610"/>
        <v>1155</v>
      </c>
      <c r="CG172" s="5" t="str">
        <f t="shared" ca="1" si="591"/>
        <v>VIGENTE</v>
      </c>
      <c r="CH172" s="6"/>
      <c r="CI172" s="4">
        <v>45929</v>
      </c>
      <c r="CJ172" s="4">
        <f>DATE(YEAR(CI172)+2,MONTH(CI172),DAY(CI172))</f>
        <v>46659</v>
      </c>
      <c r="CK172" s="8">
        <f t="shared" ca="1" si="489"/>
        <v>525</v>
      </c>
      <c r="CL172" s="5" t="str">
        <f t="shared" ca="1" si="490"/>
        <v>VIGENTE</v>
      </c>
      <c r="CM172" s="3"/>
      <c r="CN172" s="4">
        <v>45994</v>
      </c>
      <c r="CO172" s="4">
        <f>DATE(YEAR(CN172)+2,MONTH(CN172),DAY(CN172))</f>
        <v>46724</v>
      </c>
      <c r="CP172" s="8">
        <f t="shared" ca="1" si="491"/>
        <v>590</v>
      </c>
      <c r="CQ172" s="5" t="str">
        <f t="shared" ca="1" si="492"/>
        <v>VIGENTE</v>
      </c>
      <c r="CR172" s="3"/>
      <c r="CS172" s="4">
        <v>45965</v>
      </c>
      <c r="CT172" s="4">
        <f>DATE(YEAR(CS172)+2,MONTH(CS172),DAY(CS172))</f>
        <v>46695</v>
      </c>
      <c r="CU172" s="8">
        <f t="shared" ca="1" si="493"/>
        <v>561</v>
      </c>
      <c r="CV172" s="5" t="str">
        <f t="shared" ca="1" si="494"/>
        <v>VIGENTE</v>
      </c>
      <c r="CW172" s="3"/>
      <c r="CX172" s="4">
        <v>45924</v>
      </c>
      <c r="CY172" s="4">
        <f>DATE(YEAR(CX172)+2,MONTH(CX172),DAY(CX172))</f>
        <v>46654</v>
      </c>
      <c r="CZ172" s="8">
        <f t="shared" ca="1" si="495"/>
        <v>520</v>
      </c>
      <c r="DA172" s="5" t="str">
        <f t="shared" ca="1" si="496"/>
        <v>VIGENTE</v>
      </c>
      <c r="DB172" s="3"/>
      <c r="DC172" s="4">
        <v>45996</v>
      </c>
      <c r="DD172" s="4">
        <f>DATE(YEAR(DC172)+2,MONTH(DC172),DAY(DC172))</f>
        <v>46726</v>
      </c>
      <c r="DE172" s="8">
        <f t="shared" ca="1" si="497"/>
        <v>592</v>
      </c>
      <c r="DF172" s="5" t="str">
        <f t="shared" ca="1" si="498"/>
        <v>VIGENTE</v>
      </c>
      <c r="DG172" s="3"/>
      <c r="DH172" s="4">
        <v>45899</v>
      </c>
      <c r="DI172" s="4">
        <f>DATE(YEAR(DH172)+2,MONTH(DH172),DAY(DH172))</f>
        <v>46629</v>
      </c>
      <c r="DJ172" s="8">
        <f t="shared" ca="1" si="499"/>
        <v>495</v>
      </c>
      <c r="DK172" s="5" t="str">
        <f t="shared" ca="1" si="500"/>
        <v>VIGENTE</v>
      </c>
      <c r="DL172" s="3"/>
      <c r="DM172" s="4">
        <v>45982</v>
      </c>
      <c r="DN172" s="4">
        <f>DATE(YEAR(DM172)+2,MONTH(DM172),DAY(DM172))</f>
        <v>46712</v>
      </c>
      <c r="DO172" s="8">
        <f t="shared" ca="1" si="501"/>
        <v>578</v>
      </c>
      <c r="DP172" s="5" t="str">
        <f t="shared" ca="1" si="502"/>
        <v>VIGENTE</v>
      </c>
      <c r="DQ172" s="3"/>
      <c r="DR172" s="4">
        <v>45885</v>
      </c>
      <c r="DS172" s="4">
        <f>DATE(YEAR(DR172)+2,MONTH(DR172),DAY(DR172))</f>
        <v>46615</v>
      </c>
      <c r="DT172" s="8">
        <f t="shared" ca="1" si="503"/>
        <v>481</v>
      </c>
      <c r="DU172" s="5" t="str">
        <f t="shared" ca="1" si="504"/>
        <v>VIGENTE</v>
      </c>
      <c r="DV172" s="3"/>
      <c r="DW172" s="4">
        <v>45915</v>
      </c>
      <c r="DX172" s="4">
        <f>DATE(YEAR(DW172)+2,MONTH(DW172),DAY(DW172))</f>
        <v>46645</v>
      </c>
      <c r="DY172" s="8">
        <f t="shared" ca="1" si="505"/>
        <v>511</v>
      </c>
      <c r="DZ172" s="5" t="str">
        <f t="shared" ca="1" si="506"/>
        <v>VIGENTE</v>
      </c>
      <c r="EA172" s="3"/>
      <c r="EB172" s="4">
        <v>45913</v>
      </c>
      <c r="EC172" s="4">
        <f>DATE(YEAR(EB172)+2,MONTH(EB172),DAY(EB172))</f>
        <v>46643</v>
      </c>
      <c r="ED172" s="8">
        <f t="shared" ca="1" si="507"/>
        <v>509</v>
      </c>
      <c r="EE172" s="5" t="str">
        <f t="shared" ca="1" si="508"/>
        <v>VIGENTE</v>
      </c>
      <c r="EF172" s="3"/>
      <c r="EG172" s="3">
        <v>45911</v>
      </c>
      <c r="EH172" s="4">
        <f t="shared" si="575"/>
        <v>46276</v>
      </c>
      <c r="EI172" s="8">
        <f t="shared" ca="1" si="509"/>
        <v>142</v>
      </c>
      <c r="EJ172" s="5" t="str">
        <f t="shared" ca="1" si="510"/>
        <v>VIGENTE</v>
      </c>
      <c r="EK172" s="3"/>
      <c r="EL172" s="4">
        <v>45840</v>
      </c>
      <c r="EM172" s="4">
        <f>DATE(YEAR(EL172)+2,MONTH(EL172),DAY(EL172))</f>
        <v>46570</v>
      </c>
      <c r="EN172" s="8">
        <f t="shared" ca="1" si="511"/>
        <v>436</v>
      </c>
      <c r="EO172" s="5" t="str">
        <f t="shared" ca="1" si="512"/>
        <v>VIGENTE</v>
      </c>
      <c r="EP172" s="2"/>
      <c r="EQ172" s="4">
        <v>45922</v>
      </c>
      <c r="ER172" s="4">
        <f>DATE(YEAR(EQ172)+2,MONTH(EQ172),DAY(EQ172))</f>
        <v>46652</v>
      </c>
      <c r="ES172" s="8">
        <f t="shared" ca="1" si="513"/>
        <v>518</v>
      </c>
      <c r="ET172" s="5" t="str">
        <f t="shared" ca="1" si="514"/>
        <v>VIGENTE</v>
      </c>
      <c r="EU172" s="2"/>
      <c r="EV172" s="4">
        <v>45917</v>
      </c>
      <c r="EW172" s="4">
        <f>DATE(YEAR(EV172)+2,MONTH(EV172),DAY(EV172))</f>
        <v>46647</v>
      </c>
      <c r="EX172" s="8">
        <f t="shared" ca="1" si="515"/>
        <v>513</v>
      </c>
      <c r="EY172" s="5" t="str">
        <f t="shared" ca="1" si="516"/>
        <v>VIGENTE</v>
      </c>
      <c r="EZ172" s="2"/>
      <c r="FA172" s="4">
        <v>45931</v>
      </c>
      <c r="FB172" s="4">
        <f>DATE(YEAR(FA172)+2,MONTH(FA172),DAY(FA172))</f>
        <v>46661</v>
      </c>
      <c r="FC172" s="8">
        <f t="shared" ca="1" si="517"/>
        <v>527</v>
      </c>
      <c r="FD172" s="5" t="str">
        <f t="shared" ca="1" si="518"/>
        <v>VIGENTE</v>
      </c>
      <c r="FE172" s="2"/>
      <c r="FF172" s="4">
        <v>45932</v>
      </c>
      <c r="FG172" s="4">
        <f>DATE(YEAR(FF172)+2,MONTH(FF172),DAY(FF172))</f>
        <v>46662</v>
      </c>
      <c r="FH172" s="8">
        <f t="shared" ca="1" si="519"/>
        <v>528</v>
      </c>
      <c r="FI172" s="5" t="str">
        <f t="shared" ca="1" si="520"/>
        <v>VIGENTE</v>
      </c>
      <c r="FJ172" s="3"/>
      <c r="FK172" s="4">
        <v>45933</v>
      </c>
      <c r="FL172" s="4">
        <f>DATE(YEAR(FK172)+2,MONTH(FK172),DAY(FK172))</f>
        <v>46663</v>
      </c>
      <c r="FM172" s="8">
        <f t="shared" ca="1" si="521"/>
        <v>529</v>
      </c>
      <c r="FN172" s="5" t="str">
        <f t="shared" ca="1" si="522"/>
        <v>VIGENTE</v>
      </c>
      <c r="FO172" s="3"/>
      <c r="FP172" s="4">
        <v>45957</v>
      </c>
      <c r="FQ172" s="4">
        <f>DATE(YEAR(FP172)+2,MONTH(FP172),DAY(FP172))</f>
        <v>46687</v>
      </c>
      <c r="FR172" s="8">
        <f t="shared" ca="1" si="523"/>
        <v>553</v>
      </c>
      <c r="FS172" s="5" t="str">
        <f t="shared" ca="1" si="524"/>
        <v>VIGENTE</v>
      </c>
      <c r="FT172" s="3"/>
      <c r="FU172" s="4">
        <v>45941</v>
      </c>
      <c r="FV172" s="4">
        <f>DATE(YEAR(FU172)+2,MONTH(FU172),DAY(FU172))</f>
        <v>46671</v>
      </c>
      <c r="FW172" s="8">
        <f t="shared" ca="1" si="525"/>
        <v>537</v>
      </c>
      <c r="FX172" s="5" t="str">
        <f t="shared" ca="1" si="526"/>
        <v>VIGENTE</v>
      </c>
      <c r="FY172" s="3"/>
      <c r="FZ172" s="4">
        <v>45874</v>
      </c>
      <c r="GA172" s="4">
        <f>DATE(YEAR(FZ172)+2,MONTH(FZ172),DAY(FZ172))</f>
        <v>46604</v>
      </c>
      <c r="GB172" s="8">
        <f t="shared" ca="1" si="527"/>
        <v>470</v>
      </c>
      <c r="GC172" s="5" t="str">
        <f t="shared" ca="1" si="528"/>
        <v>VIGENTE</v>
      </c>
      <c r="GD172" s="3"/>
      <c r="GE172" s="4">
        <v>45912</v>
      </c>
      <c r="GF172" s="4">
        <f>DATE(YEAR(GE172)+2,MONTH(GE172),DAY(GE172))</f>
        <v>46642</v>
      </c>
      <c r="GG172" s="8">
        <f t="shared" ca="1" si="529"/>
        <v>508</v>
      </c>
      <c r="GH172" s="5" t="str">
        <f t="shared" ca="1" si="530"/>
        <v>VIGENTE</v>
      </c>
      <c r="GI172" s="3"/>
      <c r="GJ172" s="4">
        <v>45945</v>
      </c>
      <c r="GK172" s="4">
        <f>DATE(YEAR(GJ172)+2,MONTH(GJ172),DAY(GJ172))</f>
        <v>46675</v>
      </c>
      <c r="GL172" s="8">
        <f t="shared" ca="1" si="531"/>
        <v>541</v>
      </c>
      <c r="GM172" s="5" t="str">
        <f t="shared" ca="1" si="532"/>
        <v>VIGENTE</v>
      </c>
      <c r="GN172" s="4"/>
      <c r="GO172" s="4">
        <v>45299</v>
      </c>
      <c r="GP172" s="4">
        <f t="shared" si="533"/>
        <v>47126</v>
      </c>
      <c r="GQ172" s="8">
        <f t="shared" ca="1" si="620"/>
        <v>992</v>
      </c>
      <c r="GR172" s="5" t="str">
        <f t="shared" ca="1" si="431"/>
        <v>VIGENTE</v>
      </c>
      <c r="GS172" s="3"/>
      <c r="GT172" s="4">
        <v>45329</v>
      </c>
      <c r="GU172" s="4">
        <f t="shared" si="534"/>
        <v>47156</v>
      </c>
      <c r="GV172" s="8">
        <f t="shared" ca="1" si="535"/>
        <v>1022</v>
      </c>
      <c r="GW172" s="5" t="str">
        <f t="shared" ca="1" si="438"/>
        <v>VIGENTE</v>
      </c>
      <c r="GX172" s="2"/>
      <c r="GY172" s="4">
        <v>45268</v>
      </c>
      <c r="GZ172" s="4">
        <f t="shared" si="536"/>
        <v>47095</v>
      </c>
      <c r="HA172" s="8">
        <f t="shared" ca="1" si="537"/>
        <v>961</v>
      </c>
      <c r="HB172" s="5" t="str">
        <f t="shared" ca="1" si="433"/>
        <v>VIGENTE</v>
      </c>
      <c r="HC172" s="6"/>
      <c r="HD172" s="6"/>
      <c r="HE172" s="4"/>
      <c r="HF172" s="8"/>
      <c r="HG172" s="5" t="str">
        <f t="shared" si="439"/>
        <v>NO APLICA</v>
      </c>
      <c r="HH172" s="2"/>
      <c r="HI172" s="6"/>
      <c r="HJ172" s="4"/>
      <c r="HK172" s="8"/>
      <c r="HL172" s="5" t="str">
        <f t="shared" si="457"/>
        <v>NO APLICA</v>
      </c>
      <c r="HM172" s="2"/>
      <c r="HN172" s="2"/>
      <c r="HO172" s="4"/>
      <c r="HP172" s="2"/>
      <c r="HQ172" s="5" t="str">
        <f t="shared" si="538"/>
        <v>NO APLICA</v>
      </c>
      <c r="HR172" s="2"/>
      <c r="HS172" s="6"/>
      <c r="HT172" s="4"/>
      <c r="HU172" s="8"/>
      <c r="HV172" s="5" t="str">
        <f t="shared" si="539"/>
        <v>NO APLICA</v>
      </c>
      <c r="HW172" s="2"/>
      <c r="HX172" s="6"/>
      <c r="HY172" s="4"/>
      <c r="HZ172" s="8"/>
      <c r="IA172" s="5" t="str">
        <f t="shared" si="540"/>
        <v>NO APLICA</v>
      </c>
      <c r="IB172" s="2"/>
      <c r="IC172" s="6"/>
      <c r="ID172" s="4"/>
      <c r="IE172" s="8"/>
      <c r="IF172" s="5" t="str">
        <f t="shared" si="541"/>
        <v>NO APLICA</v>
      </c>
      <c r="IG172" s="6"/>
      <c r="IH172" s="6"/>
      <c r="II172" s="4"/>
      <c r="IJ172" s="8"/>
      <c r="IK172" s="5" t="str">
        <f t="shared" si="542"/>
        <v>NO APLICA</v>
      </c>
      <c r="IL172" s="2"/>
      <c r="IM172" s="6"/>
      <c r="IN172" s="4"/>
      <c r="IO172" s="8"/>
      <c r="IP172" s="5" t="str">
        <f t="shared" si="543"/>
        <v>NO APLICA</v>
      </c>
      <c r="IQ172" s="2"/>
      <c r="IR172" s="6"/>
      <c r="IS172" s="4"/>
      <c r="IT172" s="8"/>
      <c r="IU172" s="5" t="str">
        <f t="shared" si="544"/>
        <v>NO APLICA</v>
      </c>
      <c r="IV172" s="2"/>
      <c r="IW172" s="6"/>
      <c r="IX172" s="4"/>
      <c r="IY172" s="8"/>
      <c r="IZ172" s="5" t="str">
        <f t="shared" si="545"/>
        <v>NO APLICA</v>
      </c>
      <c r="JA172" s="3"/>
      <c r="JB172" s="3"/>
      <c r="JC172" s="4"/>
      <c r="JD172" s="8"/>
      <c r="JE172" s="5" t="str">
        <f t="shared" si="546"/>
        <v>NO APLICA</v>
      </c>
      <c r="JF172" s="6"/>
      <c r="JG172" s="6"/>
      <c r="JH172" s="6"/>
      <c r="JI172" s="6"/>
      <c r="JJ172" s="5" t="str">
        <f t="shared" si="547"/>
        <v>NO APLICA</v>
      </c>
      <c r="JK172" s="6"/>
      <c r="JL172" s="6"/>
      <c r="JM172" s="6"/>
      <c r="JN172" s="6"/>
      <c r="JO172" s="5" t="str">
        <f t="shared" si="548"/>
        <v>NO APLICA</v>
      </c>
      <c r="JP172" s="6"/>
      <c r="JQ172" s="6"/>
      <c r="JR172" s="6"/>
      <c r="JS172" s="6"/>
      <c r="JT172" s="5" t="str">
        <f t="shared" si="549"/>
        <v>NO APLICA</v>
      </c>
      <c r="JU172" s="5"/>
      <c r="JV172" s="3"/>
      <c r="JW172" s="4"/>
      <c r="JX172" s="8"/>
      <c r="JY172" s="5" t="str">
        <f t="shared" si="550"/>
        <v>NO APLICA</v>
      </c>
      <c r="JZ172" s="5"/>
      <c r="KA172" s="2"/>
      <c r="KB172" s="4"/>
      <c r="KC172" s="8"/>
      <c r="KD172" s="5" t="str">
        <f t="shared" si="551"/>
        <v>NO APLICA</v>
      </c>
      <c r="KE172" s="5"/>
      <c r="KF172" s="2"/>
      <c r="KG172" s="4"/>
      <c r="KH172" s="8"/>
      <c r="KI172" s="5" t="str">
        <f t="shared" si="576"/>
        <v>NO APLICA</v>
      </c>
      <c r="KJ172" s="5"/>
      <c r="KK172" s="2"/>
      <c r="KL172" s="4"/>
      <c r="KM172" s="8"/>
      <c r="KN172" s="5" t="str">
        <f t="shared" si="552"/>
        <v>NO APLICA</v>
      </c>
      <c r="KO172" s="5"/>
      <c r="KP172" s="2"/>
      <c r="KQ172" s="4"/>
      <c r="KR172" s="8"/>
      <c r="KS172" s="5" t="str">
        <f t="shared" si="577"/>
        <v>NO APLICA</v>
      </c>
      <c r="KT172" s="2"/>
      <c r="KU172" s="6"/>
      <c r="KV172" s="4"/>
      <c r="KW172" s="8"/>
      <c r="KX172" s="5" t="str">
        <f t="shared" si="583"/>
        <v>NO APLICA</v>
      </c>
      <c r="KY172" s="5"/>
      <c r="KZ172" s="6"/>
      <c r="LA172" s="4"/>
      <c r="LB172" s="8"/>
      <c r="LC172" s="5" t="str">
        <f t="shared" si="578"/>
        <v>NO APLICA</v>
      </c>
      <c r="LD172" s="6"/>
      <c r="LE172" s="6"/>
      <c r="LF172" s="4"/>
      <c r="LG172" s="8"/>
      <c r="LH172" s="5" t="str">
        <f t="shared" si="619"/>
        <v>NO APLICA</v>
      </c>
      <c r="LI172" s="5"/>
      <c r="LJ172" s="5"/>
      <c r="LK172" s="4"/>
      <c r="LL172" s="8"/>
      <c r="LM172" s="5" t="str">
        <f t="shared" si="584"/>
        <v>NO APLICA</v>
      </c>
      <c r="LN172" s="2"/>
      <c r="LO172" s="6"/>
      <c r="LP172" s="4"/>
      <c r="LQ172" s="8"/>
      <c r="LR172" s="5" t="str">
        <f t="shared" si="579"/>
        <v>NO APLICA</v>
      </c>
      <c r="LS172" s="6"/>
      <c r="LT172" s="6"/>
      <c r="LU172" s="4"/>
      <c r="LV172" s="8"/>
      <c r="LW172" s="5" t="str">
        <f t="shared" si="580"/>
        <v>NO APLICA</v>
      </c>
      <c r="LX172" s="6"/>
      <c r="LY172" s="6"/>
      <c r="LZ172" s="4"/>
      <c r="MA172" s="8"/>
      <c r="MB172" s="5" t="str">
        <f t="shared" si="581"/>
        <v>NO APLICA</v>
      </c>
      <c r="MC172" s="2"/>
      <c r="MD172" s="2"/>
      <c r="ME172" s="4"/>
      <c r="MF172" s="8"/>
      <c r="MG172" s="5" t="str">
        <f t="shared" si="554"/>
        <v>NO APLICA</v>
      </c>
      <c r="MH172" s="2"/>
      <c r="MI172" s="2"/>
      <c r="MJ172" s="4"/>
      <c r="MK172" s="8"/>
      <c r="ML172" s="5" t="str">
        <f t="shared" si="555"/>
        <v>NO APLICA</v>
      </c>
      <c r="MM172" s="5"/>
      <c r="MN172" s="2"/>
      <c r="MO172" s="4"/>
      <c r="MP172" s="8"/>
      <c r="MQ172" s="5" t="str">
        <f t="shared" si="556"/>
        <v>NO APLICA</v>
      </c>
      <c r="MR172" s="5"/>
      <c r="MS172" s="2"/>
      <c r="MT172" s="4"/>
      <c r="MU172" s="2"/>
      <c r="MV172" s="5" t="str">
        <f t="shared" si="557"/>
        <v>NO APLICA</v>
      </c>
      <c r="MW172" s="2"/>
      <c r="MX172" s="6"/>
      <c r="MY172" s="4"/>
      <c r="MZ172" s="8"/>
      <c r="NA172" s="5" t="str">
        <f t="shared" si="558"/>
        <v>NO APLICA</v>
      </c>
      <c r="NB172" s="2"/>
      <c r="NC172" s="6"/>
      <c r="ND172" s="4"/>
      <c r="NE172" s="8"/>
      <c r="NF172" s="5" t="str">
        <f t="shared" si="559"/>
        <v>NO APLICA</v>
      </c>
      <c r="NG172" s="2"/>
      <c r="NH172" s="6"/>
      <c r="NI172" s="4"/>
      <c r="NJ172" s="8"/>
      <c r="NK172" s="5" t="str">
        <f t="shared" si="560"/>
        <v>NO APLICA</v>
      </c>
      <c r="NL172" s="2"/>
      <c r="NM172" s="2"/>
      <c r="NN172" s="4"/>
      <c r="NO172" s="8"/>
      <c r="NP172" s="5" t="str">
        <f t="shared" si="561"/>
        <v>NO APLICA</v>
      </c>
      <c r="NQ172" s="2"/>
      <c r="NR172" s="2"/>
      <c r="NS172" s="4"/>
      <c r="NT172" s="2"/>
      <c r="NU172" s="5" t="str">
        <f t="shared" si="562"/>
        <v>NO APLICA</v>
      </c>
      <c r="NV172" s="6"/>
      <c r="NW172" s="6"/>
      <c r="NX172" s="4"/>
      <c r="NY172" s="8"/>
      <c r="NZ172" s="5" t="str">
        <f t="shared" si="563"/>
        <v>NO APLICA</v>
      </c>
      <c r="OA172" s="6"/>
      <c r="OB172" s="6"/>
      <c r="OC172" s="6"/>
      <c r="OD172" s="6"/>
      <c r="OE172" s="5" t="str">
        <f t="shared" si="564"/>
        <v>NO APLICA</v>
      </c>
      <c r="OF172" s="2"/>
      <c r="OG172" s="2"/>
      <c r="OH172" s="4"/>
      <c r="OI172" s="8"/>
      <c r="OJ172" s="5" t="str">
        <f t="shared" si="565"/>
        <v>NO APLICA</v>
      </c>
      <c r="OK172" s="6"/>
      <c r="OL172" s="6"/>
      <c r="OM172" s="6"/>
      <c r="ON172" s="6"/>
      <c r="OO172" s="5" t="str">
        <f t="shared" si="566"/>
        <v>NO APLICA</v>
      </c>
      <c r="OP172" s="6"/>
      <c r="OQ172" s="6"/>
      <c r="OR172" s="6"/>
      <c r="OS172" s="6"/>
      <c r="OT172" s="5" t="str">
        <f t="shared" si="567"/>
        <v>NO APLICA</v>
      </c>
      <c r="OU172" s="6"/>
      <c r="OV172" s="6"/>
      <c r="OW172" s="6"/>
      <c r="OX172" s="6"/>
      <c r="OY172" s="5" t="str">
        <f t="shared" si="568"/>
        <v>NO APLICA</v>
      </c>
      <c r="OZ172" s="6"/>
      <c r="PA172" s="6"/>
      <c r="PB172" s="6"/>
      <c r="PC172" s="6"/>
      <c r="PD172" s="5" t="str">
        <f t="shared" si="569"/>
        <v>NO APLICA</v>
      </c>
      <c r="PE172" s="6"/>
      <c r="PF172" s="6"/>
      <c r="PG172" s="6"/>
      <c r="PH172" s="6"/>
      <c r="PI172" s="5" t="str">
        <f t="shared" si="570"/>
        <v>NO APLICA</v>
      </c>
      <c r="PJ172" s="5"/>
      <c r="PK172" s="6"/>
      <c r="PL172" s="4"/>
      <c r="PM172" s="8"/>
      <c r="PN172" s="5" t="str">
        <f t="shared" si="571"/>
        <v>NO APLICA</v>
      </c>
      <c r="PO172" s="6"/>
      <c r="PP172" s="6"/>
      <c r="PQ172" s="6"/>
      <c r="PR172" s="6"/>
      <c r="PS172" s="5" t="str">
        <f t="shared" si="572"/>
        <v>NO APLICA</v>
      </c>
      <c r="PT172" s="5"/>
      <c r="PU172" s="6"/>
      <c r="PV172" s="6"/>
      <c r="PW172" s="6"/>
      <c r="PX172" s="5" t="str">
        <f t="shared" si="573"/>
        <v>NO APLICA</v>
      </c>
    </row>
    <row r="173" spans="1:440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125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199</v>
      </c>
      <c r="T173" s="5" t="str">
        <f t="shared" ca="1" si="574"/>
        <v>VIGENTE</v>
      </c>
      <c r="U173" s="2" t="s">
        <v>557</v>
      </c>
      <c r="V173" s="4">
        <v>45078</v>
      </c>
      <c r="W173" s="4">
        <f t="shared" si="606"/>
        <v>46905</v>
      </c>
      <c r="X173" s="8">
        <f t="shared" ca="1" si="607"/>
        <v>771</v>
      </c>
      <c r="Y173" s="5" t="str">
        <f t="shared" ca="1" si="423"/>
        <v>VIGENTE</v>
      </c>
      <c r="Z173" s="2" t="s">
        <v>558</v>
      </c>
      <c r="AA173" s="4">
        <v>45190</v>
      </c>
      <c r="AB173" s="4">
        <f>DATE(YEAR(AA173)+5,MONTH(AA173),DAY(AA173))</f>
        <v>47017</v>
      </c>
      <c r="AC173" s="8">
        <f ca="1">AB173-TODAY()</f>
        <v>883</v>
      </c>
      <c r="AD173" s="5" t="str">
        <f t="shared" ca="1" si="603"/>
        <v>VIGENTE</v>
      </c>
      <c r="AE173" s="3"/>
      <c r="AF173" s="4">
        <v>45936</v>
      </c>
      <c r="AG173" s="4">
        <f>DATE(YEAR(AF173)+2,MONTH(AF173),DAY(AF173))</f>
        <v>46666</v>
      </c>
      <c r="AH173" s="8">
        <f t="shared" ca="1" si="470"/>
        <v>532</v>
      </c>
      <c r="AI173" s="5" t="str">
        <f t="shared" ca="1" si="621"/>
        <v>VIGENTE</v>
      </c>
      <c r="AJ173" s="3"/>
      <c r="AK173" s="4">
        <v>45937</v>
      </c>
      <c r="AL173" s="4">
        <f>DATE(YEAR(AK173)+2,MONTH(AK173),DAY(AK173))</f>
        <v>46667</v>
      </c>
      <c r="AM173" s="8">
        <f t="shared" ca="1" si="471"/>
        <v>533</v>
      </c>
      <c r="AN173" s="5" t="str">
        <f t="shared" ca="1" si="472"/>
        <v>VIGENTE</v>
      </c>
      <c r="AO173" s="3"/>
      <c r="AP173" s="4">
        <v>45989</v>
      </c>
      <c r="AQ173" s="4">
        <f>DATE(YEAR(AP173)+2,MONTH(AP173),DAY(AP173))</f>
        <v>46719</v>
      </c>
      <c r="AR173" s="8">
        <f t="shared" ca="1" si="473"/>
        <v>585</v>
      </c>
      <c r="AS173" s="5" t="str">
        <f t="shared" ca="1" si="474"/>
        <v>VIGENTE</v>
      </c>
      <c r="AT173" s="3"/>
      <c r="AU173" s="4">
        <v>45972</v>
      </c>
      <c r="AV173" s="4">
        <f>DATE(YEAR(AU173)+2,MONTH(AU173),DAY(AU173))</f>
        <v>46702</v>
      </c>
      <c r="AW173" s="8">
        <f t="shared" ca="1" si="475"/>
        <v>568</v>
      </c>
      <c r="AX173" s="5" t="str">
        <f t="shared" ca="1" si="476"/>
        <v>VIGENTE</v>
      </c>
      <c r="AY173" s="3"/>
      <c r="AZ173" s="4">
        <v>46041</v>
      </c>
      <c r="BA173" s="4">
        <f>DATE(YEAR(AZ173)+2,MONTH(AZ173),DAY(AZ173))</f>
        <v>46771</v>
      </c>
      <c r="BB173" s="8">
        <f t="shared" ca="1" si="477"/>
        <v>637</v>
      </c>
      <c r="BC173" s="5" t="str">
        <f t="shared" ca="1" si="478"/>
        <v>VIGENTE</v>
      </c>
      <c r="BD173" s="3"/>
      <c r="BE173" s="4">
        <v>46027</v>
      </c>
      <c r="BF173" s="4">
        <f>DATE(YEAR(BE173)+2,MONTH(BE173),DAY(BE173))</f>
        <v>46757</v>
      </c>
      <c r="BG173" s="8">
        <f t="shared" ca="1" si="479"/>
        <v>623</v>
      </c>
      <c r="BH173" s="5" t="str">
        <f t="shared" ca="1" si="480"/>
        <v>VIGENTE</v>
      </c>
      <c r="BI173" s="3"/>
      <c r="BJ173" s="4">
        <v>46035</v>
      </c>
      <c r="BK173" s="4">
        <f>DATE(YEAR(BJ173)+2,MONTH(BJ173),DAY(BJ173))</f>
        <v>46765</v>
      </c>
      <c r="BL173" s="8">
        <f t="shared" ca="1" si="481"/>
        <v>631</v>
      </c>
      <c r="BM173" s="5" t="str">
        <f t="shared" ca="1" si="482"/>
        <v>VIGENTE</v>
      </c>
      <c r="BN173" s="3"/>
      <c r="BO173" s="4">
        <v>46050</v>
      </c>
      <c r="BP173" s="4">
        <f>DATE(YEAR(BO173)+2,MONTH(BO173),DAY(BO173))</f>
        <v>46780</v>
      </c>
      <c r="BQ173" s="8">
        <f t="shared" ca="1" si="483"/>
        <v>646</v>
      </c>
      <c r="BR173" s="5" t="str">
        <f t="shared" ca="1" si="484"/>
        <v>VIGENTE</v>
      </c>
      <c r="BS173" s="3"/>
      <c r="BT173" s="4">
        <v>46063</v>
      </c>
      <c r="BU173" s="4">
        <f>DATE(YEAR(BT173)+2,MONTH(BT173),DAY(BT173))</f>
        <v>46793</v>
      </c>
      <c r="BV173" s="8">
        <f t="shared" ca="1" si="485"/>
        <v>659</v>
      </c>
      <c r="BW173" s="5" t="str">
        <f t="shared" ca="1" si="486"/>
        <v>VIGENTE</v>
      </c>
      <c r="BX173" s="3"/>
      <c r="BY173" s="4">
        <v>45944</v>
      </c>
      <c r="BZ173" s="4">
        <f>DATE(YEAR(BY173)+2,MONTH(BY173),DAY(BY173))</f>
        <v>46674</v>
      </c>
      <c r="CA173" s="8">
        <f t="shared" ca="1" si="487"/>
        <v>540</v>
      </c>
      <c r="CB173" s="5" t="str">
        <f t="shared" ca="1" si="488"/>
        <v>VIGENTE</v>
      </c>
      <c r="CC173" s="6" t="s">
        <v>73</v>
      </c>
      <c r="CD173" s="4">
        <v>45393</v>
      </c>
      <c r="CE173" s="4">
        <f t="shared" si="609"/>
        <v>46854</v>
      </c>
      <c r="CF173" s="8">
        <f t="shared" ca="1" si="610"/>
        <v>720</v>
      </c>
      <c r="CG173" s="5" t="str">
        <f t="shared" ca="1" si="591"/>
        <v>VIGENTE</v>
      </c>
      <c r="CH173" s="6"/>
      <c r="CI173" s="4">
        <v>45724</v>
      </c>
      <c r="CJ173" s="4">
        <f>DATE(YEAR(CI173)+2,MONTH(CI173),DAY(CI173)-1)</f>
        <v>46453</v>
      </c>
      <c r="CK173" s="8">
        <f t="shared" ca="1" si="489"/>
        <v>319</v>
      </c>
      <c r="CL173" s="5" t="str">
        <f t="shared" ca="1" si="490"/>
        <v>VIGENTE</v>
      </c>
      <c r="CM173" s="3"/>
      <c r="CN173" s="4">
        <v>45726</v>
      </c>
      <c r="CO173" s="4">
        <f>DATE(YEAR(CN173)+2,MONTH(CN173),DAY(CN173)-1)</f>
        <v>46455</v>
      </c>
      <c r="CP173" s="8">
        <f t="shared" ca="1" si="491"/>
        <v>321</v>
      </c>
      <c r="CQ173" s="5" t="str">
        <f t="shared" ca="1" si="492"/>
        <v>VIGENTE</v>
      </c>
      <c r="CR173" s="3"/>
      <c r="CS173" s="4">
        <v>45905</v>
      </c>
      <c r="CT173" s="4">
        <f>DATE(YEAR(CS173)+2,MONTH(CS173),DAY(CS173))</f>
        <v>46635</v>
      </c>
      <c r="CU173" s="8">
        <f t="shared" ca="1" si="493"/>
        <v>501</v>
      </c>
      <c r="CV173" s="5" t="str">
        <f t="shared" ca="1" si="494"/>
        <v>VIGENTE</v>
      </c>
      <c r="CW173" s="3"/>
      <c r="CX173" s="4">
        <v>46000</v>
      </c>
      <c r="CY173" s="4">
        <f>DATE(YEAR(CX173)+2,MONTH(CX173),DAY(CX173))</f>
        <v>46730</v>
      </c>
      <c r="CZ173" s="8">
        <f t="shared" ca="1" si="495"/>
        <v>596</v>
      </c>
      <c r="DA173" s="5" t="str">
        <f t="shared" ca="1" si="496"/>
        <v>VIGENTE</v>
      </c>
      <c r="DB173" s="3"/>
      <c r="DC173" s="4">
        <v>45689</v>
      </c>
      <c r="DD173" s="4">
        <f>DATE(YEAR(DC173)+2,MONTH(DC173),DAY(DC173)-1)</f>
        <v>46418</v>
      </c>
      <c r="DE173" s="8">
        <f t="shared" ca="1" si="497"/>
        <v>284</v>
      </c>
      <c r="DF173" s="5" t="str">
        <f t="shared" ca="1" si="498"/>
        <v>VIGENTE</v>
      </c>
      <c r="DG173" s="3"/>
      <c r="DH173" s="4">
        <v>45975</v>
      </c>
      <c r="DI173" s="4">
        <f>DATE(YEAR(DH173)+2,MONTH(DH173),DAY(DH173))</f>
        <v>46705</v>
      </c>
      <c r="DJ173" s="8">
        <f t="shared" ca="1" si="499"/>
        <v>571</v>
      </c>
      <c r="DK173" s="5" t="str">
        <f t="shared" ca="1" si="500"/>
        <v>VIGENTE</v>
      </c>
      <c r="DL173" s="3"/>
      <c r="DM173" s="4">
        <v>45982</v>
      </c>
      <c r="DN173" s="4">
        <f>DATE(YEAR(DM173)+2,MONTH(DM173),DAY(DM173))</f>
        <v>46712</v>
      </c>
      <c r="DO173" s="8">
        <f t="shared" ca="1" si="501"/>
        <v>578</v>
      </c>
      <c r="DP173" s="5" t="str">
        <f t="shared" ca="1" si="502"/>
        <v>VIGENTE</v>
      </c>
      <c r="DQ173" s="3"/>
      <c r="DR173" s="4">
        <v>46053</v>
      </c>
      <c r="DS173" s="4">
        <f>DATE(YEAR(DR173)+2,MONTH(DR173),DAY(DR173))</f>
        <v>46783</v>
      </c>
      <c r="DT173" s="8">
        <f t="shared" ca="1" si="503"/>
        <v>649</v>
      </c>
      <c r="DU173" s="5" t="str">
        <f t="shared" ca="1" si="504"/>
        <v>VIGENTE</v>
      </c>
      <c r="DV173" s="3"/>
      <c r="DW173" s="4">
        <v>45682</v>
      </c>
      <c r="DX173" s="4">
        <f>DATE(YEAR(DW173)+2,MONTH(DW173),DAY(DW173)-1)</f>
        <v>46411</v>
      </c>
      <c r="DY173" s="8">
        <f t="shared" ca="1" si="505"/>
        <v>277</v>
      </c>
      <c r="DZ173" s="5" t="str">
        <f t="shared" ca="1" si="506"/>
        <v>VIGENTE</v>
      </c>
      <c r="EA173" s="3"/>
      <c r="EB173" s="4">
        <v>45730</v>
      </c>
      <c r="EC173" s="4">
        <f>DATE(YEAR(EB173)+2,MONTH(EB173),DAY(EB173)-1)</f>
        <v>46459</v>
      </c>
      <c r="ED173" s="8">
        <f t="shared" ca="1" si="507"/>
        <v>325</v>
      </c>
      <c r="EE173" s="5" t="str">
        <f t="shared" ca="1" si="508"/>
        <v>VIGENTE</v>
      </c>
      <c r="EF173" s="3"/>
      <c r="EG173" s="3">
        <v>46015</v>
      </c>
      <c r="EH173" s="4">
        <f t="shared" si="575"/>
        <v>46380</v>
      </c>
      <c r="EI173" s="8">
        <f t="shared" ca="1" si="509"/>
        <v>246</v>
      </c>
      <c r="EJ173" s="5" t="str">
        <f t="shared" ca="1" si="510"/>
        <v>VIGENTE</v>
      </c>
      <c r="EK173" s="3"/>
      <c r="EL173" s="4">
        <v>45671</v>
      </c>
      <c r="EM173" s="4">
        <f>DATE(YEAR(EL173)+2,MONTH(EL173),DAY(EL173)-1)</f>
        <v>46400</v>
      </c>
      <c r="EN173" s="8">
        <f t="shared" ca="1" si="511"/>
        <v>266</v>
      </c>
      <c r="EO173" s="5" t="str">
        <f t="shared" ca="1" si="512"/>
        <v>VIGENTE</v>
      </c>
      <c r="EP173" s="3"/>
      <c r="EQ173" s="4">
        <v>46094</v>
      </c>
      <c r="ER173" s="4">
        <f>DATE(YEAR(EQ173)+2,MONTH(EQ173),DAY(EQ173))</f>
        <v>46825</v>
      </c>
      <c r="ES173" s="8">
        <f t="shared" ca="1" si="513"/>
        <v>691</v>
      </c>
      <c r="ET173" s="5" t="str">
        <f t="shared" ca="1" si="514"/>
        <v>VIGENTE</v>
      </c>
      <c r="EU173" s="3"/>
      <c r="EV173" s="4">
        <v>45917</v>
      </c>
      <c r="EW173" s="4">
        <f>DATE(YEAR(EV173)+2,MONTH(EV173),DAY(EV173))</f>
        <v>46647</v>
      </c>
      <c r="EX173" s="8">
        <f t="shared" ca="1" si="515"/>
        <v>513</v>
      </c>
      <c r="EY173" s="5" t="str">
        <f t="shared" ca="1" si="516"/>
        <v>VIGENTE</v>
      </c>
      <c r="EZ173" s="3"/>
      <c r="FA173" s="4">
        <v>45931</v>
      </c>
      <c r="FB173" s="4">
        <f>DATE(YEAR(FA173)+2,MONTH(FA173),DAY(FA173))</f>
        <v>46661</v>
      </c>
      <c r="FC173" s="8">
        <f t="shared" ca="1" si="517"/>
        <v>527</v>
      </c>
      <c r="FD173" s="5" t="str">
        <f t="shared" ca="1" si="518"/>
        <v>VIGENTE</v>
      </c>
      <c r="FE173" s="3"/>
      <c r="FF173" s="4">
        <v>45919</v>
      </c>
      <c r="FG173" s="4">
        <f>DATE(YEAR(FF173)+2,MONTH(FF173),DAY(FF173))</f>
        <v>46649</v>
      </c>
      <c r="FH173" s="8">
        <f t="shared" ca="1" si="519"/>
        <v>515</v>
      </c>
      <c r="FI173" s="5" t="str">
        <f t="shared" ca="1" si="520"/>
        <v>VIGENTE</v>
      </c>
      <c r="FJ173" s="3"/>
      <c r="FK173" s="4">
        <v>45719</v>
      </c>
      <c r="FL173" s="4">
        <f>DATE(YEAR(FK173)+2,MONTH(FK173),DAY(FK173)-1)</f>
        <v>46448</v>
      </c>
      <c r="FM173" s="8">
        <f t="shared" ca="1" si="521"/>
        <v>314</v>
      </c>
      <c r="FN173" s="5" t="str">
        <f t="shared" ca="1" si="522"/>
        <v>VIGENTE</v>
      </c>
      <c r="FO173" s="3"/>
      <c r="FP173" s="4">
        <v>45678</v>
      </c>
      <c r="FQ173" s="4">
        <f>DATE(YEAR(FP173)+2,MONTH(FP173),DAY(FP173)-1)</f>
        <v>46407</v>
      </c>
      <c r="FR173" s="8">
        <f t="shared" ca="1" si="523"/>
        <v>273</v>
      </c>
      <c r="FS173" s="5" t="str">
        <f t="shared" ca="1" si="524"/>
        <v>VIGENTE</v>
      </c>
      <c r="FT173" s="3"/>
      <c r="FU173" s="4">
        <v>45961</v>
      </c>
      <c r="FV173" s="4">
        <f>DATE(YEAR(FU173)+2,MONTH(FU173),DAY(FU173))</f>
        <v>46691</v>
      </c>
      <c r="FW173" s="8">
        <f t="shared" ca="1" si="525"/>
        <v>557</v>
      </c>
      <c r="FX173" s="5" t="str">
        <f t="shared" ca="1" si="526"/>
        <v>VIGENTE</v>
      </c>
      <c r="FY173" s="3"/>
      <c r="FZ173" s="4">
        <v>46030</v>
      </c>
      <c r="GA173" s="4">
        <f>DATE(YEAR(FZ173)+2,MONTH(FZ173),DAY(FZ173))</f>
        <v>46760</v>
      </c>
      <c r="GB173" s="8">
        <f t="shared" ca="1" si="527"/>
        <v>626</v>
      </c>
      <c r="GC173" s="5" t="str">
        <f t="shared" ca="1" si="528"/>
        <v>VIGENTE</v>
      </c>
      <c r="GD173" s="3"/>
      <c r="GE173" s="4">
        <v>45731</v>
      </c>
      <c r="GF173" s="4">
        <f>DATE(YEAR(GE173)+2,MONTH(GE173),DAY(GE173)-1)</f>
        <v>46460</v>
      </c>
      <c r="GG173" s="8">
        <f t="shared" ca="1" si="529"/>
        <v>326</v>
      </c>
      <c r="GH173" s="5" t="str">
        <f t="shared" ca="1" si="530"/>
        <v>VIGENTE</v>
      </c>
      <c r="GI173" s="3"/>
      <c r="GJ173" s="4">
        <v>45945</v>
      </c>
      <c r="GK173" s="4">
        <f>DATE(YEAR(GJ173)+2,MONTH(GJ173),DAY(GJ173))</f>
        <v>46675</v>
      </c>
      <c r="GL173" s="8">
        <f t="shared" ca="1" si="531"/>
        <v>541</v>
      </c>
      <c r="GM173" s="5" t="str">
        <f t="shared" ca="1" si="532"/>
        <v>VIGENTE</v>
      </c>
      <c r="GN173" s="4"/>
      <c r="GO173" s="4">
        <v>45459</v>
      </c>
      <c r="GP173" s="4">
        <f t="shared" si="533"/>
        <v>47285</v>
      </c>
      <c r="GQ173" s="8">
        <f t="shared" ca="1" si="620"/>
        <v>1151</v>
      </c>
      <c r="GR173" s="5" t="str">
        <f t="shared" ca="1" si="431"/>
        <v>VIGENTE</v>
      </c>
      <c r="GS173" s="3"/>
      <c r="GT173" s="4">
        <v>45478</v>
      </c>
      <c r="GU173" s="4">
        <f t="shared" si="534"/>
        <v>47304</v>
      </c>
      <c r="GV173" s="8">
        <f t="shared" ca="1" si="535"/>
        <v>1170</v>
      </c>
      <c r="GW173" s="5" t="str">
        <f t="shared" ca="1" si="438"/>
        <v>VIGENTE</v>
      </c>
      <c r="GX173" s="3"/>
      <c r="GY173" s="4">
        <v>45454</v>
      </c>
      <c r="GZ173" s="4">
        <f t="shared" si="536"/>
        <v>47280</v>
      </c>
      <c r="HA173" s="8">
        <f t="shared" ca="1" si="537"/>
        <v>1146</v>
      </c>
      <c r="HB173" s="5" t="str">
        <f t="shared" ca="1" si="433"/>
        <v>VIGENTE</v>
      </c>
      <c r="HC173" s="6"/>
      <c r="HD173" s="4">
        <v>45496</v>
      </c>
      <c r="HE173" s="4">
        <f t="shared" ref="HE173:HE178" si="622">DATE(YEAR(HD173)+5,MONTH(HD173),DAY(HD173))</f>
        <v>47322</v>
      </c>
      <c r="HF173" s="8">
        <f t="shared" ref="HF173:HF178" ca="1" si="623">HE173-TODAY()</f>
        <v>1188</v>
      </c>
      <c r="HG173" s="5" t="str">
        <f t="shared" ca="1" si="439"/>
        <v>VIGENTE</v>
      </c>
      <c r="HH173" s="2"/>
      <c r="HI173" s="6"/>
      <c r="HJ173" s="4"/>
      <c r="HK173" s="8"/>
      <c r="HL173" s="5" t="str">
        <f t="shared" si="457"/>
        <v>NO APLICA</v>
      </c>
      <c r="HM173" s="2"/>
      <c r="HN173" s="2"/>
      <c r="HO173" s="4"/>
      <c r="HP173" s="2"/>
      <c r="HQ173" s="5" t="str">
        <f t="shared" si="538"/>
        <v>NO APLICA</v>
      </c>
      <c r="HR173" s="2"/>
      <c r="HS173" s="6"/>
      <c r="HT173" s="4"/>
      <c r="HU173" s="8"/>
      <c r="HV173" s="5" t="str">
        <f t="shared" si="539"/>
        <v>NO APLICA</v>
      </c>
      <c r="HW173" s="2"/>
      <c r="HX173" s="6"/>
      <c r="HY173" s="4"/>
      <c r="HZ173" s="8"/>
      <c r="IA173" s="5" t="str">
        <f t="shared" si="540"/>
        <v>NO APLICA</v>
      </c>
      <c r="IB173" s="2"/>
      <c r="IC173" s="6"/>
      <c r="ID173" s="4"/>
      <c r="IE173" s="8"/>
      <c r="IF173" s="5" t="str">
        <f t="shared" si="541"/>
        <v>NO APLICA</v>
      </c>
      <c r="IG173" s="6"/>
      <c r="IH173" s="6"/>
      <c r="II173" s="4"/>
      <c r="IJ173" s="8"/>
      <c r="IK173" s="5" t="str">
        <f t="shared" si="542"/>
        <v>NO APLICA</v>
      </c>
      <c r="IL173" s="2"/>
      <c r="IM173" s="6"/>
      <c r="IN173" s="4"/>
      <c r="IO173" s="8"/>
      <c r="IP173" s="5" t="str">
        <f t="shared" si="543"/>
        <v>NO APLICA</v>
      </c>
      <c r="IQ173" s="2"/>
      <c r="IR173" s="6"/>
      <c r="IS173" s="4"/>
      <c r="IT173" s="8"/>
      <c r="IU173" s="5" t="str">
        <f t="shared" si="544"/>
        <v>NO APLICA</v>
      </c>
      <c r="IV173" s="2"/>
      <c r="IW173" s="6"/>
      <c r="IX173" s="4"/>
      <c r="IY173" s="8"/>
      <c r="IZ173" s="5" t="str">
        <f t="shared" si="545"/>
        <v>NO APLICA</v>
      </c>
      <c r="JA173" s="3"/>
      <c r="JB173" s="3"/>
      <c r="JC173" s="4"/>
      <c r="JD173" s="8"/>
      <c r="JE173" s="5" t="str">
        <f t="shared" si="546"/>
        <v>NO APLICA</v>
      </c>
      <c r="JF173" s="6"/>
      <c r="JG173" s="6"/>
      <c r="JH173" s="6"/>
      <c r="JI173" s="6"/>
      <c r="JJ173" s="5" t="str">
        <f t="shared" si="547"/>
        <v>NO APLICA</v>
      </c>
      <c r="JK173" s="6"/>
      <c r="JL173" s="6"/>
      <c r="JM173" s="6"/>
      <c r="JN173" s="6"/>
      <c r="JO173" s="5" t="str">
        <f t="shared" si="548"/>
        <v>NO APLICA</v>
      </c>
      <c r="JP173" s="6"/>
      <c r="JQ173" s="6"/>
      <c r="JR173" s="6"/>
      <c r="JS173" s="6"/>
      <c r="JT173" s="5" t="str">
        <f t="shared" si="549"/>
        <v>NO APLICA</v>
      </c>
      <c r="JU173" s="5"/>
      <c r="JV173" s="5"/>
      <c r="JW173" s="5"/>
      <c r="JX173" s="5"/>
      <c r="JY173" s="5" t="str">
        <f t="shared" si="550"/>
        <v>NO APLICA</v>
      </c>
      <c r="JZ173" s="5"/>
      <c r="KA173" s="2"/>
      <c r="KB173" s="4"/>
      <c r="KC173" s="8"/>
      <c r="KD173" s="5" t="str">
        <f t="shared" si="551"/>
        <v>NO APLICA</v>
      </c>
      <c r="KE173" s="5"/>
      <c r="KF173" s="2"/>
      <c r="KG173" s="4"/>
      <c r="KH173" s="8"/>
      <c r="KI173" s="5" t="str">
        <f t="shared" si="576"/>
        <v>NO APLICA</v>
      </c>
      <c r="KJ173" s="5"/>
      <c r="KK173" s="2"/>
      <c r="KL173" s="4"/>
      <c r="KM173" s="8"/>
      <c r="KN173" s="5" t="str">
        <f t="shared" si="552"/>
        <v>NO APLICA</v>
      </c>
      <c r="KO173" s="5"/>
      <c r="KP173" s="2"/>
      <c r="KQ173" s="4"/>
      <c r="KR173" s="8"/>
      <c r="KS173" s="5" t="str">
        <f t="shared" si="577"/>
        <v>NO APLICA</v>
      </c>
      <c r="KT173" s="2"/>
      <c r="KU173" s="6"/>
      <c r="KV173" s="4"/>
      <c r="KW173" s="8"/>
      <c r="KX173" s="5" t="str">
        <f t="shared" si="583"/>
        <v>NO APLICA</v>
      </c>
      <c r="KY173" s="5"/>
      <c r="KZ173" s="4">
        <v>44607</v>
      </c>
      <c r="LA173" s="4">
        <f>DATE(YEAR(KZ173)+5,MONTH(KZ173),DAY(KZ173))</f>
        <v>46433</v>
      </c>
      <c r="LB173" s="8">
        <f ca="1">LA173-TODAY()</f>
        <v>299</v>
      </c>
      <c r="LC173" s="5" t="str">
        <f t="shared" ca="1" si="578"/>
        <v>VIGENTE</v>
      </c>
      <c r="LD173" s="4"/>
      <c r="LE173" s="4"/>
      <c r="LF173" s="4"/>
      <c r="LG173" s="8"/>
      <c r="LH173" s="5" t="str">
        <f t="shared" si="619"/>
        <v>NO APLICA</v>
      </c>
      <c r="LI173" s="5"/>
      <c r="LJ173" s="5"/>
      <c r="LK173" s="4"/>
      <c r="LL173" s="8"/>
      <c r="LM173" s="5" t="str">
        <f t="shared" si="584"/>
        <v>NO APLICA</v>
      </c>
      <c r="LN173" s="2"/>
      <c r="LO173" s="6"/>
      <c r="LP173" s="4"/>
      <c r="LQ173" s="8"/>
      <c r="LR173" s="5" t="str">
        <f t="shared" si="579"/>
        <v>NO APLICA</v>
      </c>
      <c r="LS173" s="6"/>
      <c r="LT173" s="6"/>
      <c r="LU173" s="4"/>
      <c r="LV173" s="8"/>
      <c r="LW173" s="5" t="str">
        <f t="shared" si="580"/>
        <v>NO APLICA</v>
      </c>
      <c r="LX173" s="6"/>
      <c r="LY173" s="6"/>
      <c r="LZ173" s="4"/>
      <c r="MA173" s="8"/>
      <c r="MB173" s="5" t="str">
        <f t="shared" si="581"/>
        <v>NO APLICA</v>
      </c>
      <c r="MC173" s="2"/>
      <c r="MD173" s="2"/>
      <c r="ME173" s="4"/>
      <c r="MF173" s="8"/>
      <c r="MG173" s="5" t="str">
        <f t="shared" si="554"/>
        <v>NO APLICA</v>
      </c>
      <c r="MH173" s="2"/>
      <c r="MI173" s="2"/>
      <c r="MJ173" s="4"/>
      <c r="MK173" s="8"/>
      <c r="ML173" s="5" t="str">
        <f t="shared" si="555"/>
        <v>NO APLICA</v>
      </c>
      <c r="MM173" s="5"/>
      <c r="MN173" s="2"/>
      <c r="MO173" s="4"/>
      <c r="MP173" s="8"/>
      <c r="MQ173" s="5" t="str">
        <f t="shared" si="556"/>
        <v>NO APLICA</v>
      </c>
      <c r="MR173" s="5"/>
      <c r="MS173" s="2"/>
      <c r="MT173" s="4"/>
      <c r="MU173" s="2"/>
      <c r="MV173" s="5" t="str">
        <f t="shared" si="557"/>
        <v>NO APLICA</v>
      </c>
      <c r="MW173" s="2"/>
      <c r="MX173" s="6"/>
      <c r="MY173" s="4"/>
      <c r="MZ173" s="8"/>
      <c r="NA173" s="5" t="str">
        <f t="shared" si="558"/>
        <v>NO APLICA</v>
      </c>
      <c r="NB173" s="2"/>
      <c r="NC173" s="6"/>
      <c r="ND173" s="4"/>
      <c r="NE173" s="8"/>
      <c r="NF173" s="5" t="str">
        <f t="shared" si="559"/>
        <v>NO APLICA</v>
      </c>
      <c r="NG173" s="2"/>
      <c r="NH173" s="6"/>
      <c r="NI173" s="4"/>
      <c r="NJ173" s="8"/>
      <c r="NK173" s="5" t="str">
        <f t="shared" si="560"/>
        <v>NO APLICA</v>
      </c>
      <c r="NL173" s="2"/>
      <c r="NM173" s="2"/>
      <c r="NN173" s="4"/>
      <c r="NO173" s="8"/>
      <c r="NP173" s="5" t="str">
        <f t="shared" si="561"/>
        <v>NO APLICA</v>
      </c>
      <c r="NQ173" s="2"/>
      <c r="NR173" s="2"/>
      <c r="NS173" s="2"/>
      <c r="NT173" s="2"/>
      <c r="NU173" s="5" t="str">
        <f t="shared" si="562"/>
        <v>NO APLICA</v>
      </c>
      <c r="NV173" s="6"/>
      <c r="NW173" s="6"/>
      <c r="NX173" s="4"/>
      <c r="NY173" s="8"/>
      <c r="NZ173" s="5" t="str">
        <f t="shared" si="563"/>
        <v>NO APLICA</v>
      </c>
      <c r="OA173" s="6"/>
      <c r="OB173" s="6"/>
      <c r="OC173" s="6"/>
      <c r="OD173" s="6"/>
      <c r="OE173" s="5" t="str">
        <f t="shared" si="564"/>
        <v>NO APLICA</v>
      </c>
      <c r="OF173" s="2"/>
      <c r="OG173" s="2"/>
      <c r="OH173" s="4"/>
      <c r="OI173" s="8"/>
      <c r="OJ173" s="5" t="str">
        <f t="shared" si="565"/>
        <v>NO APLICA</v>
      </c>
      <c r="OK173" s="6"/>
      <c r="OL173" s="6"/>
      <c r="OM173" s="6"/>
      <c r="ON173" s="6"/>
      <c r="OO173" s="5" t="str">
        <f t="shared" si="566"/>
        <v>NO APLICA</v>
      </c>
      <c r="OP173" s="6"/>
      <c r="OQ173" s="6"/>
      <c r="OR173" s="6"/>
      <c r="OS173" s="6"/>
      <c r="OT173" s="5" t="str">
        <f t="shared" si="567"/>
        <v>NO APLICA</v>
      </c>
      <c r="OU173" s="6"/>
      <c r="OV173" s="6"/>
      <c r="OW173" s="6"/>
      <c r="OX173" s="6"/>
      <c r="OY173" s="5" t="str">
        <f t="shared" si="568"/>
        <v>NO APLICA</v>
      </c>
      <c r="OZ173" s="6"/>
      <c r="PA173" s="6"/>
      <c r="PB173" s="6"/>
      <c r="PC173" s="6"/>
      <c r="PD173" s="5" t="str">
        <f t="shared" si="569"/>
        <v>NO APLICA</v>
      </c>
      <c r="PE173" s="6"/>
      <c r="PF173" s="6"/>
      <c r="PG173" s="6"/>
      <c r="PH173" s="6"/>
      <c r="PI173" s="5" t="str">
        <f t="shared" si="570"/>
        <v>NO APLICA</v>
      </c>
      <c r="PJ173" s="5"/>
      <c r="PK173" s="6"/>
      <c r="PL173" s="4"/>
      <c r="PM173" s="8"/>
      <c r="PN173" s="5" t="str">
        <f t="shared" si="571"/>
        <v>NO APLICA</v>
      </c>
      <c r="PO173" s="6"/>
      <c r="PP173" s="6"/>
      <c r="PQ173" s="6"/>
      <c r="PR173" s="6"/>
      <c r="PS173" s="5" t="str">
        <f t="shared" si="572"/>
        <v>NO APLICA</v>
      </c>
      <c r="PT173" s="5"/>
      <c r="PU173" s="6"/>
      <c r="PV173" s="6"/>
      <c r="PW173" s="6"/>
      <c r="PX173" s="5" t="str">
        <f t="shared" si="573"/>
        <v>NO APLICA</v>
      </c>
    </row>
    <row r="174" spans="1:440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560</v>
      </c>
      <c r="V174" s="4">
        <v>44838</v>
      </c>
      <c r="W174" s="4">
        <f t="shared" si="606"/>
        <v>46664</v>
      </c>
      <c r="X174" s="8">
        <f t="shared" ca="1" si="607"/>
        <v>530</v>
      </c>
      <c r="Y174" s="5" t="str">
        <f t="shared" ref="Y174:Y232" ca="1" si="624">IF(X174&gt;=90,"VIGENTE",IF(X174&gt;=1,"POR VENCER",IF(X174&lt;=-1,"VENCIDA",IF(V174=0,"NO APLICA"))))</f>
        <v>VIGENTE</v>
      </c>
      <c r="Z174" s="2" t="s">
        <v>561</v>
      </c>
      <c r="AA174" s="4">
        <v>44824</v>
      </c>
      <c r="AB174" s="4">
        <f>DATE(YEAR(AA174)+5,MONTH(AA174),DAY(AA174))</f>
        <v>46650</v>
      </c>
      <c r="AC174" s="8">
        <f ca="1">AB174-TODAY()</f>
        <v>516</v>
      </c>
      <c r="AD174" s="5" t="str">
        <f t="shared" ca="1" si="603"/>
        <v>VIGENTE</v>
      </c>
      <c r="AE174" s="4"/>
      <c r="AF174" s="4">
        <v>45594</v>
      </c>
      <c r="AG174" s="4">
        <f>DATE(YEAR(AF174)+2,MONTH(AF174),DAY(AF174)-1)</f>
        <v>46323</v>
      </c>
      <c r="AH174" s="8">
        <f t="shared" ca="1" si="470"/>
        <v>189</v>
      </c>
      <c r="AI174" s="5" t="str">
        <f t="shared" ca="1" si="621"/>
        <v>VIGENTE</v>
      </c>
      <c r="AJ174" s="3"/>
      <c r="AK174" s="4">
        <v>45926</v>
      </c>
      <c r="AL174" s="4">
        <f>DATE(YEAR(AK174)+2,MONTH(AK174),DAY(AK174))</f>
        <v>46656</v>
      </c>
      <c r="AM174" s="8">
        <f t="shared" ca="1" si="471"/>
        <v>522</v>
      </c>
      <c r="AN174" s="5" t="str">
        <f t="shared" ca="1" si="472"/>
        <v>VIGENTE</v>
      </c>
      <c r="AO174" s="3"/>
      <c r="AP174" s="4">
        <v>45845</v>
      </c>
      <c r="AQ174" s="4">
        <f>DATE(YEAR(AP174)+2,MONTH(AP174),DAY(AP174))</f>
        <v>46575</v>
      </c>
      <c r="AR174" s="8">
        <f t="shared" ca="1" si="473"/>
        <v>441</v>
      </c>
      <c r="AS174" s="5" t="str">
        <f t="shared" ca="1" si="474"/>
        <v>VIGENTE</v>
      </c>
      <c r="AT174" s="3"/>
      <c r="AU174" s="4">
        <v>45975</v>
      </c>
      <c r="AV174" s="4">
        <f>DATE(YEAR(AU174)+2,MONTH(AU174),DAY(AU174))</f>
        <v>46705</v>
      </c>
      <c r="AW174" s="8">
        <f t="shared" ca="1" si="475"/>
        <v>571</v>
      </c>
      <c r="AX174" s="5" t="str">
        <f t="shared" ca="1" si="476"/>
        <v>VIGENTE</v>
      </c>
      <c r="AY174" s="3"/>
      <c r="AZ174" s="4">
        <v>46071</v>
      </c>
      <c r="BA174" s="4">
        <f>DATE(YEAR(AZ174)+2,MONTH(AZ174),DAY(AZ174))</f>
        <v>46801</v>
      </c>
      <c r="BB174" s="8">
        <f t="shared" ca="1" si="477"/>
        <v>667</v>
      </c>
      <c r="BC174" s="5" t="str">
        <f t="shared" ca="1" si="478"/>
        <v>VIGENTE</v>
      </c>
      <c r="BD174" s="3"/>
      <c r="BE174" s="4">
        <v>46067</v>
      </c>
      <c r="BF174" s="4">
        <f>DATE(YEAR(BE174)+2,MONTH(BE174),DAY(BE174))</f>
        <v>46797</v>
      </c>
      <c r="BG174" s="8">
        <f t="shared" ca="1" si="479"/>
        <v>663</v>
      </c>
      <c r="BH174" s="5" t="str">
        <f t="shared" ca="1" si="480"/>
        <v>VIGENTE</v>
      </c>
      <c r="BI174" s="3"/>
      <c r="BJ174" s="4">
        <v>46048</v>
      </c>
      <c r="BK174" s="4">
        <f>DATE(YEAR(BJ174)+2,MONTH(BJ174),DAY(BJ174))</f>
        <v>46778</v>
      </c>
      <c r="BL174" s="8">
        <f t="shared" ca="1" si="481"/>
        <v>644</v>
      </c>
      <c r="BM174" s="5" t="str">
        <f t="shared" ca="1" si="482"/>
        <v>VIGENTE</v>
      </c>
      <c r="BN174" s="3"/>
      <c r="BO174" s="4">
        <v>46069</v>
      </c>
      <c r="BP174" s="4">
        <f>DATE(YEAR(BO174)+2,MONTH(BO174),DAY(BO174))</f>
        <v>46799</v>
      </c>
      <c r="BQ174" s="8">
        <f t="shared" ca="1" si="483"/>
        <v>665</v>
      </c>
      <c r="BR174" s="5" t="str">
        <f t="shared" ca="1" si="484"/>
        <v>VIGENTE</v>
      </c>
      <c r="BS174" s="3"/>
      <c r="BT174" s="4">
        <v>46063</v>
      </c>
      <c r="BU174" s="4">
        <f>DATE(YEAR(BT174)+2,MONTH(BT174),DAY(BT174))</f>
        <v>46793</v>
      </c>
      <c r="BV174" s="8">
        <f t="shared" ca="1" si="485"/>
        <v>659</v>
      </c>
      <c r="BW174" s="5" t="str">
        <f t="shared" ca="1" si="486"/>
        <v>VIGENTE</v>
      </c>
      <c r="BX174" s="3"/>
      <c r="BY174" s="4">
        <v>45974</v>
      </c>
      <c r="BZ174" s="4">
        <f>DATE(YEAR(BY174)+2,MONTH(BY174),DAY(BY174))</f>
        <v>46704</v>
      </c>
      <c r="CA174" s="8">
        <f t="shared" ca="1" si="487"/>
        <v>570</v>
      </c>
      <c r="CB174" s="5" t="str">
        <f t="shared" ca="1" si="488"/>
        <v>VIGENTE</v>
      </c>
      <c r="CC174" s="6" t="s">
        <v>73</v>
      </c>
      <c r="CD174" s="4">
        <v>45227</v>
      </c>
      <c r="CE174" s="4">
        <f t="shared" si="609"/>
        <v>46688</v>
      </c>
      <c r="CF174" s="8">
        <f t="shared" ca="1" si="610"/>
        <v>554</v>
      </c>
      <c r="CG174" s="5" t="str">
        <f t="shared" ca="1" si="591"/>
        <v>VIGENTE</v>
      </c>
      <c r="CH174" s="4"/>
      <c r="CI174" s="4">
        <v>45511</v>
      </c>
      <c r="CJ174" s="4">
        <f>DATE(YEAR(CI174)+2,MONTH(CI174),DAY(CI174)-1)</f>
        <v>46240</v>
      </c>
      <c r="CK174" s="8">
        <f t="shared" ca="1" si="489"/>
        <v>106</v>
      </c>
      <c r="CL174" s="5" t="str">
        <f t="shared" ca="1" si="490"/>
        <v>VIGENTE</v>
      </c>
      <c r="CM174" s="3"/>
      <c r="CN174" s="4">
        <v>45517</v>
      </c>
      <c r="CO174" s="4">
        <f>DATE(YEAR(CN174)+2,MONTH(CN174),DAY(CN174)-1)</f>
        <v>46246</v>
      </c>
      <c r="CP174" s="8">
        <f t="shared" ca="1" si="491"/>
        <v>112</v>
      </c>
      <c r="CQ174" s="5" t="str">
        <f t="shared" ca="1" si="492"/>
        <v>VIGENTE</v>
      </c>
      <c r="CR174" s="3"/>
      <c r="CS174" s="4">
        <v>45645</v>
      </c>
      <c r="CT174" s="4">
        <f>DATE(YEAR(CS174)+2,MONTH(CS174),DAY(CS174)-1)</f>
        <v>46374</v>
      </c>
      <c r="CU174" s="8">
        <f t="shared" ca="1" si="493"/>
        <v>240</v>
      </c>
      <c r="CV174" s="5" t="str">
        <f t="shared" ca="1" si="494"/>
        <v>VIGENTE</v>
      </c>
      <c r="CW174" s="4"/>
      <c r="CX174" s="4">
        <v>45665</v>
      </c>
      <c r="CY174" s="4">
        <f>DATE(YEAR(CX174)+2,MONTH(CX174),DAY(CX174)-1)</f>
        <v>46394</v>
      </c>
      <c r="CZ174" s="8">
        <f t="shared" ca="1" si="495"/>
        <v>260</v>
      </c>
      <c r="DA174" s="5" t="str">
        <f t="shared" ca="1" si="496"/>
        <v>VIGENTE</v>
      </c>
      <c r="DB174" s="3"/>
      <c r="DC174" s="4">
        <v>45689</v>
      </c>
      <c r="DD174" s="4">
        <f>DATE(YEAR(DC174)+2,MONTH(DC174),DAY(DC174)-1)</f>
        <v>46418</v>
      </c>
      <c r="DE174" s="8">
        <f t="shared" ca="1" si="497"/>
        <v>284</v>
      </c>
      <c r="DF174" s="5" t="str">
        <f t="shared" ca="1" si="498"/>
        <v>VIGENTE</v>
      </c>
      <c r="DG174" s="3"/>
      <c r="DH174" s="4">
        <v>45696</v>
      </c>
      <c r="DI174" s="4">
        <f>DATE(YEAR(DH174)+2,MONTH(DH174),DAY(DH174)-1)</f>
        <v>46425</v>
      </c>
      <c r="DJ174" s="8">
        <f t="shared" ca="1" si="499"/>
        <v>291</v>
      </c>
      <c r="DK174" s="5" t="str">
        <f t="shared" ca="1" si="500"/>
        <v>VIGENTE</v>
      </c>
      <c r="DL174" s="4"/>
      <c r="DM174" s="4">
        <v>45982</v>
      </c>
      <c r="DN174" s="4">
        <f>DATE(YEAR(DM174)+2,MONTH(DM174),DAY(DM174))</f>
        <v>46712</v>
      </c>
      <c r="DO174" s="8">
        <f t="shared" ca="1" si="501"/>
        <v>578</v>
      </c>
      <c r="DP174" s="5" t="str">
        <f t="shared" ca="1" si="502"/>
        <v>VIGENTE</v>
      </c>
      <c r="DQ174" s="3"/>
      <c r="DR174" s="4">
        <v>46053</v>
      </c>
      <c r="DS174" s="4">
        <f>DATE(YEAR(DR174)+2,MONTH(DR174),DAY(DR174))</f>
        <v>46783</v>
      </c>
      <c r="DT174" s="8">
        <f t="shared" ca="1" si="503"/>
        <v>649</v>
      </c>
      <c r="DU174" s="5" t="str">
        <f t="shared" ca="1" si="504"/>
        <v>VIGENTE</v>
      </c>
      <c r="DV174" s="3"/>
      <c r="DW174" s="4">
        <v>45682</v>
      </c>
      <c r="DX174" s="4">
        <f>DATE(YEAR(DW174)+2,MONTH(DW174),DAY(DW174)-1)</f>
        <v>46411</v>
      </c>
      <c r="DY174" s="8">
        <f t="shared" ca="1" si="505"/>
        <v>277</v>
      </c>
      <c r="DZ174" s="5" t="str">
        <f t="shared" ca="1" si="506"/>
        <v>VIGENTE</v>
      </c>
      <c r="EA174" s="3"/>
      <c r="EB174" s="4">
        <v>45674</v>
      </c>
      <c r="EC174" s="4">
        <f>DATE(YEAR(EB174)+2,MONTH(EB174),DAY(EB174)-1)</f>
        <v>46403</v>
      </c>
      <c r="ED174" s="8">
        <f t="shared" ca="1" si="507"/>
        <v>269</v>
      </c>
      <c r="EE174" s="5" t="str">
        <f t="shared" ca="1" si="508"/>
        <v>VIGENTE</v>
      </c>
      <c r="EF174" s="3"/>
      <c r="EG174" s="4">
        <v>45808</v>
      </c>
      <c r="EH174" s="4">
        <f t="shared" si="575"/>
        <v>46173</v>
      </c>
      <c r="EI174" s="8">
        <f t="shared" ca="1" si="509"/>
        <v>39</v>
      </c>
      <c r="EJ174" s="5" t="str">
        <f t="shared" ca="1" si="510"/>
        <v>POR VENCER</v>
      </c>
      <c r="EK174" s="3"/>
      <c r="EL174" s="4">
        <v>45671</v>
      </c>
      <c r="EM174" s="4">
        <f>DATE(YEAR(EL174)+2,MONTH(EL174),DAY(EL174)-1)</f>
        <v>46400</v>
      </c>
      <c r="EN174" s="8">
        <f t="shared" ca="1" si="511"/>
        <v>266</v>
      </c>
      <c r="EO174" s="5" t="str">
        <f t="shared" ca="1" si="512"/>
        <v>VIGENTE</v>
      </c>
      <c r="EP174" s="3"/>
      <c r="EQ174" s="4">
        <v>46062</v>
      </c>
      <c r="ER174" s="4">
        <f>DATE(YEAR(EQ174)+2,MONTH(EQ174),DAY(EQ174))</f>
        <v>46792</v>
      </c>
      <c r="ES174" s="8">
        <f t="shared" ca="1" si="513"/>
        <v>658</v>
      </c>
      <c r="ET174" s="5" t="str">
        <f t="shared" ca="1" si="514"/>
        <v>VIGENTE</v>
      </c>
      <c r="EU174" s="3"/>
      <c r="EV174" s="4">
        <v>45964</v>
      </c>
      <c r="EW174" s="4">
        <f>DATE(YEAR(EV174)+2,MONTH(EV174),DAY(EV174))</f>
        <v>46694</v>
      </c>
      <c r="EX174" s="8">
        <f t="shared" ca="1" si="515"/>
        <v>560</v>
      </c>
      <c r="EY174" s="5" t="str">
        <f t="shared" ca="1" si="516"/>
        <v>VIGENTE</v>
      </c>
      <c r="EZ174" s="3"/>
      <c r="FA174" s="4">
        <v>45931</v>
      </c>
      <c r="FB174" s="4">
        <f>DATE(YEAR(FA174)+2,MONTH(FA174),DAY(FA174))</f>
        <v>46661</v>
      </c>
      <c r="FC174" s="8">
        <f t="shared" ca="1" si="517"/>
        <v>527</v>
      </c>
      <c r="FD174" s="5" t="str">
        <f t="shared" ca="1" si="518"/>
        <v>VIGENTE</v>
      </c>
      <c r="FE174" s="3"/>
      <c r="FF174" s="4">
        <v>45969</v>
      </c>
      <c r="FG174" s="4">
        <f>DATE(YEAR(FF174)+2,MONTH(FF174),DAY(FF174))</f>
        <v>46699</v>
      </c>
      <c r="FH174" s="8">
        <f t="shared" ca="1" si="519"/>
        <v>565</v>
      </c>
      <c r="FI174" s="5" t="str">
        <f t="shared" ca="1" si="520"/>
        <v>VIGENTE</v>
      </c>
      <c r="FJ174" s="3"/>
      <c r="FK174" s="4">
        <v>45686</v>
      </c>
      <c r="FL174" s="4">
        <f>DATE(YEAR(FK174)+2,MONTH(FK174),DAY(FK174)-1)</f>
        <v>46415</v>
      </c>
      <c r="FM174" s="8">
        <f t="shared" ca="1" si="521"/>
        <v>281</v>
      </c>
      <c r="FN174" s="5" t="str">
        <f t="shared" ca="1" si="522"/>
        <v>VIGENTE</v>
      </c>
      <c r="FO174" s="3"/>
      <c r="FP174" s="4">
        <v>45664</v>
      </c>
      <c r="FQ174" s="4">
        <f>DATE(YEAR(FP174)+2,MONTH(FP174),DAY(FP174)-1)</f>
        <v>46393</v>
      </c>
      <c r="FR174" s="8">
        <f t="shared" ca="1" si="523"/>
        <v>259</v>
      </c>
      <c r="FS174" s="5" t="str">
        <f t="shared" ca="1" si="524"/>
        <v>VIGENTE</v>
      </c>
      <c r="FT174" s="3"/>
      <c r="FU174" s="4">
        <v>45941</v>
      </c>
      <c r="FV174" s="4">
        <f>DATE(YEAR(FU174)+2,MONTH(FU174),DAY(FU174))</f>
        <v>46671</v>
      </c>
      <c r="FW174" s="8">
        <f t="shared" ca="1" si="525"/>
        <v>537</v>
      </c>
      <c r="FX174" s="5" t="str">
        <f t="shared" ca="1" si="526"/>
        <v>VIGENTE</v>
      </c>
      <c r="FY174" s="3"/>
      <c r="FZ174" s="4">
        <v>46073</v>
      </c>
      <c r="GA174" s="4">
        <f>DATE(YEAR(FZ174)+2,MONTH(FZ174),DAY(FZ174))</f>
        <v>46803</v>
      </c>
      <c r="GB174" s="8">
        <f t="shared" ca="1" si="527"/>
        <v>669</v>
      </c>
      <c r="GC174" s="5" t="str">
        <f t="shared" ca="1" si="528"/>
        <v>VIGENTE</v>
      </c>
      <c r="GD174" s="3"/>
      <c r="GE174" s="4">
        <v>45672</v>
      </c>
      <c r="GF174" s="4">
        <f>DATE(YEAR(GE174)+2,MONTH(GE174),DAY(GE174)-1)</f>
        <v>46401</v>
      </c>
      <c r="GG174" s="8">
        <f t="shared" ca="1" si="529"/>
        <v>267</v>
      </c>
      <c r="GH174" s="5" t="str">
        <f t="shared" ca="1" si="530"/>
        <v>VIGENTE</v>
      </c>
      <c r="GI174" s="4"/>
      <c r="GJ174" s="4">
        <v>45945</v>
      </c>
      <c r="GK174" s="4">
        <f>DATE(YEAR(GJ174)+2,MONTH(GJ174),DAY(GJ174))</f>
        <v>46675</v>
      </c>
      <c r="GL174" s="8">
        <f t="shared" ca="1" si="531"/>
        <v>541</v>
      </c>
      <c r="GM174" s="5" t="str">
        <f t="shared" ca="1" si="532"/>
        <v>VIGENTE</v>
      </c>
      <c r="GN174" s="4"/>
      <c r="GO174" s="4">
        <v>45048</v>
      </c>
      <c r="GP174" s="4">
        <f t="shared" si="533"/>
        <v>46875</v>
      </c>
      <c r="GQ174" s="8">
        <f t="shared" ca="1" si="620"/>
        <v>741</v>
      </c>
      <c r="GR174" s="5" t="str">
        <f t="shared" ref="GR174:GR175" ca="1" si="625">IF(GQ174&gt;=91,"VIGENTE",IF(GQ174&gt;=1,"POR VENCER",IF(GQ174&lt;=-1,"VENCIDA",IF(GO174=0,"NO APLICA"))))</f>
        <v>VIGENTE</v>
      </c>
      <c r="GS174" s="3"/>
      <c r="GT174" s="4">
        <v>45010</v>
      </c>
      <c r="GU174" s="4">
        <f t="shared" si="534"/>
        <v>46837</v>
      </c>
      <c r="GV174" s="8">
        <f t="shared" ca="1" si="535"/>
        <v>703</v>
      </c>
      <c r="GW174" s="5" t="str">
        <f t="shared" ca="1" si="438"/>
        <v>VIGENTE</v>
      </c>
      <c r="GX174" s="2"/>
      <c r="GY174" s="4">
        <v>45073</v>
      </c>
      <c r="GZ174" s="4">
        <f t="shared" si="536"/>
        <v>46900</v>
      </c>
      <c r="HA174" s="8">
        <f t="shared" ca="1" si="537"/>
        <v>766</v>
      </c>
      <c r="HB174" s="5" t="str">
        <f t="shared" ref="HB174:HB175" ca="1" si="626">IF(HA174&gt;=91,"VIGENTE",IF(HA174&gt;=1,"POR VENCER",IF(HA174&lt;=-1,"VENCIDA",IF(GY174=0,"NO APLICA"))))</f>
        <v>VIGENTE</v>
      </c>
      <c r="HC174" s="6"/>
      <c r="HD174" s="4">
        <v>45115</v>
      </c>
      <c r="HE174" s="4">
        <f t="shared" si="622"/>
        <v>46942</v>
      </c>
      <c r="HF174" s="8">
        <f t="shared" ca="1" si="623"/>
        <v>808</v>
      </c>
      <c r="HG174" s="5" t="str">
        <f t="shared" ca="1" si="439"/>
        <v>VIGENTE</v>
      </c>
      <c r="HH174" s="3"/>
      <c r="HI174" s="4">
        <v>45341</v>
      </c>
      <c r="HJ174" s="4">
        <f>DATE(YEAR(HI174)+5,MONTH(HI174),DAY(HI174))</f>
        <v>47168</v>
      </c>
      <c r="HK174" s="8">
        <f ca="1">HJ174-TODAY()</f>
        <v>1034</v>
      </c>
      <c r="HL174" s="5" t="str">
        <f t="shared" ca="1" si="457"/>
        <v>VIGENTE</v>
      </c>
      <c r="HM174" s="2"/>
      <c r="HN174" s="3">
        <v>45374</v>
      </c>
      <c r="HO174" s="4">
        <f>DATE(YEAR(HN174)+5,MONTH(HN174),DAY(HN174))</f>
        <v>47200</v>
      </c>
      <c r="HP174" s="8">
        <f ca="1">HO174-TODAY()</f>
        <v>1066</v>
      </c>
      <c r="HQ174" s="5" t="str">
        <f t="shared" ca="1" si="538"/>
        <v>VIGENTE</v>
      </c>
      <c r="HR174" s="3"/>
      <c r="HS174" s="4">
        <v>45274</v>
      </c>
      <c r="HT174" s="4">
        <f>DATE(YEAR(HS174)+5,MONTH(HS174),DAY(HS174))</f>
        <v>47101</v>
      </c>
      <c r="HU174" s="8">
        <f ca="1">HT174-TODAY()</f>
        <v>967</v>
      </c>
      <c r="HV174" s="5" t="str">
        <f t="shared" ca="1" si="539"/>
        <v>VIGENTE</v>
      </c>
      <c r="HW174" s="3"/>
      <c r="HX174" s="4">
        <v>45270</v>
      </c>
      <c r="HY174" s="4">
        <f>DATE(YEAR(HX174)+5,MONTH(HX174),DAY(HX174))</f>
        <v>47097</v>
      </c>
      <c r="HZ174" s="8">
        <f ca="1">HY174-TODAY()</f>
        <v>963</v>
      </c>
      <c r="IA174" s="5" t="str">
        <f t="shared" ca="1" si="540"/>
        <v>VIGENTE</v>
      </c>
      <c r="IB174" s="3"/>
      <c r="IC174" s="4">
        <v>45192</v>
      </c>
      <c r="ID174" s="4">
        <f>DATE(YEAR(IC174)+5,MONTH(IC174),DAY(IC174))</f>
        <v>47019</v>
      </c>
      <c r="IE174" s="8">
        <f ca="1">ID174-TODAY()</f>
        <v>885</v>
      </c>
      <c r="IF174" s="5" t="str">
        <f t="shared" ca="1" si="541"/>
        <v>VIGENTE</v>
      </c>
      <c r="IG174" s="4"/>
      <c r="IH174" s="4">
        <v>45266</v>
      </c>
      <c r="II174" s="4">
        <f>DATE(YEAR(IH174)+5,MONTH(IH174),DAY(IH174))</f>
        <v>47093</v>
      </c>
      <c r="IJ174" s="8">
        <f ca="1">II174-TODAY()</f>
        <v>959</v>
      </c>
      <c r="IK174" s="5" t="str">
        <f t="shared" ca="1" si="542"/>
        <v>VIGENTE</v>
      </c>
      <c r="IL174" s="3"/>
      <c r="IM174" s="4">
        <v>45273</v>
      </c>
      <c r="IN174" s="4">
        <f>DATE(YEAR(IM174)+5,MONTH(IM174),DAY(IM174))</f>
        <v>47100</v>
      </c>
      <c r="IO174" s="8">
        <f ca="1">IN174-TODAY()</f>
        <v>966</v>
      </c>
      <c r="IP174" s="5" t="str">
        <f t="shared" ca="1" si="543"/>
        <v>VIGENTE</v>
      </c>
      <c r="IQ174" s="3"/>
      <c r="IR174" s="4">
        <v>45191</v>
      </c>
      <c r="IS174" s="4">
        <f>DATE(YEAR(IR174)+5,MONTH(IR174),DAY(IR174))</f>
        <v>47018</v>
      </c>
      <c r="IT174" s="8">
        <f ca="1">IS174-TODAY()</f>
        <v>884</v>
      </c>
      <c r="IU174" s="5" t="str">
        <f t="shared" ca="1" si="544"/>
        <v>VIGENTE</v>
      </c>
      <c r="IV174" s="3"/>
      <c r="IW174" s="4">
        <v>45189</v>
      </c>
      <c r="IX174" s="4">
        <f>DATE(YEAR(IW174)+5,MONTH(IW174),DAY(IW174))</f>
        <v>47016</v>
      </c>
      <c r="IY174" s="8">
        <f ca="1">IX174-TODAY()</f>
        <v>882</v>
      </c>
      <c r="IZ174" s="5" t="str">
        <f t="shared" ca="1" si="545"/>
        <v>VIGENTE</v>
      </c>
      <c r="JA174" s="3"/>
      <c r="JB174" s="3"/>
      <c r="JC174" s="4"/>
      <c r="JD174" s="8"/>
      <c r="JE174" s="5" t="str">
        <f t="shared" si="546"/>
        <v>NO APLICA</v>
      </c>
      <c r="JF174" s="4"/>
      <c r="JG174" s="4"/>
      <c r="JH174" s="4"/>
      <c r="JI174" s="8"/>
      <c r="JJ174" s="5" t="str">
        <f t="shared" si="547"/>
        <v>NO APLICA</v>
      </c>
      <c r="JK174" s="4"/>
      <c r="JL174" s="4"/>
      <c r="JM174" s="4"/>
      <c r="JN174" s="8"/>
      <c r="JO174" s="5" t="str">
        <f t="shared" si="548"/>
        <v>NO APLICA</v>
      </c>
      <c r="JP174" s="4"/>
      <c r="JQ174" s="4"/>
      <c r="JR174" s="4"/>
      <c r="JS174" s="8"/>
      <c r="JT174" s="5" t="str">
        <f t="shared" si="549"/>
        <v>NO APLICA</v>
      </c>
      <c r="JU174" s="5"/>
      <c r="JV174" s="5"/>
      <c r="JW174" s="5"/>
      <c r="JX174" s="5"/>
      <c r="JY174" s="5" t="str">
        <f t="shared" si="550"/>
        <v>NO APLICA</v>
      </c>
      <c r="JZ174" s="5"/>
      <c r="KA174" s="2"/>
      <c r="KB174" s="4"/>
      <c r="KC174" s="8"/>
      <c r="KD174" s="5" t="str">
        <f t="shared" si="551"/>
        <v>NO APLICA</v>
      </c>
      <c r="KE174" s="5"/>
      <c r="KF174" s="2"/>
      <c r="KG174" s="4"/>
      <c r="KH174" s="8"/>
      <c r="KI174" s="5" t="str">
        <f t="shared" si="576"/>
        <v>NO APLICA</v>
      </c>
      <c r="KJ174" s="5"/>
      <c r="KK174" s="2"/>
      <c r="KL174" s="4"/>
      <c r="KM174" s="8"/>
      <c r="KN174" s="5" t="str">
        <f t="shared" si="552"/>
        <v>NO APLICA</v>
      </c>
      <c r="KO174" s="5"/>
      <c r="KP174" s="2"/>
      <c r="KQ174" s="4"/>
      <c r="KR174" s="8"/>
      <c r="KS174" s="5" t="str">
        <f t="shared" si="577"/>
        <v>NO APLICA</v>
      </c>
      <c r="KT174" s="3"/>
      <c r="KU174" s="4">
        <v>44649</v>
      </c>
      <c r="KV174" s="4">
        <f>DATE(YEAR(KU174)+5,MONTH(KU174),DAY(KU174))</f>
        <v>46475</v>
      </c>
      <c r="KW174" s="8">
        <f ca="1">KV174-TODAY()</f>
        <v>341</v>
      </c>
      <c r="KX174" s="5" t="str">
        <f t="shared" ca="1" si="583"/>
        <v>VIGENTE</v>
      </c>
      <c r="KY174" s="5"/>
      <c r="KZ174" s="6"/>
      <c r="LA174" s="4"/>
      <c r="LB174" s="8"/>
      <c r="LC174" s="5" t="str">
        <f t="shared" si="578"/>
        <v>NO APLICA</v>
      </c>
      <c r="LD174" s="6"/>
      <c r="LE174" s="4"/>
      <c r="LF174" s="4"/>
      <c r="LG174" s="8"/>
      <c r="LH174" s="5" t="str">
        <f t="shared" si="619"/>
        <v>NO APLICA</v>
      </c>
      <c r="LI174" s="5"/>
      <c r="LJ174" s="5"/>
      <c r="LK174" s="5"/>
      <c r="LL174" s="5"/>
      <c r="LM174" s="5" t="str">
        <f t="shared" si="584"/>
        <v>NO APLICA</v>
      </c>
      <c r="LN174" s="2"/>
      <c r="LO174" s="6"/>
      <c r="LP174" s="4"/>
      <c r="LQ174" s="8"/>
      <c r="LR174" s="5" t="str">
        <f t="shared" si="579"/>
        <v>NO APLICA</v>
      </c>
      <c r="LS174" s="4"/>
      <c r="LT174" s="4">
        <v>44986</v>
      </c>
      <c r="LU174" s="4">
        <f>DATE(YEAR(LT174)+5,MONTH(LT174),DAY(LT174))</f>
        <v>46813</v>
      </c>
      <c r="LV174" s="8">
        <f ca="1">LU174-TODAY()</f>
        <v>679</v>
      </c>
      <c r="LW174" s="5" t="str">
        <f t="shared" ca="1" si="580"/>
        <v>VIGENTE</v>
      </c>
      <c r="LX174" s="4"/>
      <c r="LY174" s="4">
        <v>44988</v>
      </c>
      <c r="LZ174" s="4">
        <f>DATE(YEAR(LY174)+5,MONTH(LY174),DAY(LY174))</f>
        <v>46815</v>
      </c>
      <c r="MA174" s="8">
        <f ca="1">LZ174-TODAY()</f>
        <v>681</v>
      </c>
      <c r="MB174" s="5" t="str">
        <f t="shared" ca="1" si="581"/>
        <v>VIGENTE</v>
      </c>
      <c r="MC174" s="2"/>
      <c r="MD174" s="2"/>
      <c r="ME174" s="4"/>
      <c r="MF174" s="8"/>
      <c r="MG174" s="5" t="str">
        <f t="shared" si="554"/>
        <v>NO APLICA</v>
      </c>
      <c r="MH174" s="2"/>
      <c r="MI174" s="2"/>
      <c r="MJ174" s="4"/>
      <c r="MK174" s="8"/>
      <c r="ML174" s="5" t="str">
        <f t="shared" si="555"/>
        <v>NO APLICA</v>
      </c>
      <c r="MM174" s="5"/>
      <c r="MN174" s="2"/>
      <c r="MO174" s="4"/>
      <c r="MP174" s="8"/>
      <c r="MQ174" s="5" t="str">
        <f t="shared" si="556"/>
        <v>NO APLICA</v>
      </c>
      <c r="MR174" s="5"/>
      <c r="MS174" s="2"/>
      <c r="MT174" s="4"/>
      <c r="MU174" s="2"/>
      <c r="MV174" s="5" t="str">
        <f t="shared" si="557"/>
        <v>NO APLICA</v>
      </c>
      <c r="MW174" s="2"/>
      <c r="MX174" s="6"/>
      <c r="MY174" s="4"/>
      <c r="MZ174" s="8"/>
      <c r="NA174" s="5" t="str">
        <f t="shared" si="558"/>
        <v>NO APLICA</v>
      </c>
      <c r="NB174" s="2"/>
      <c r="NC174" s="6"/>
      <c r="ND174" s="4"/>
      <c r="NE174" s="8"/>
      <c r="NF174" s="5" t="str">
        <f t="shared" si="559"/>
        <v>NO APLICA</v>
      </c>
      <c r="NG174" s="2"/>
      <c r="NH174" s="6"/>
      <c r="NI174" s="4"/>
      <c r="NJ174" s="8"/>
      <c r="NK174" s="5" t="str">
        <f t="shared" si="560"/>
        <v>NO APLICA</v>
      </c>
      <c r="NL174" s="2"/>
      <c r="NM174" s="2"/>
      <c r="NN174" s="4"/>
      <c r="NO174" s="2"/>
      <c r="NP174" s="5" t="str">
        <f t="shared" si="561"/>
        <v>NO APLICA</v>
      </c>
      <c r="NQ174" s="2"/>
      <c r="NR174" s="2"/>
      <c r="NS174" s="4"/>
      <c r="NT174" s="2"/>
      <c r="NU174" s="5" t="str">
        <f t="shared" si="562"/>
        <v>NO APLICA</v>
      </c>
      <c r="NV174" s="6"/>
      <c r="NW174" s="6"/>
      <c r="NX174" s="4"/>
      <c r="NY174" s="8"/>
      <c r="NZ174" s="5" t="str">
        <f t="shared" si="563"/>
        <v>NO APLICA</v>
      </c>
      <c r="OA174" s="6"/>
      <c r="OB174" s="6"/>
      <c r="OC174" s="6"/>
      <c r="OD174" s="6"/>
      <c r="OE174" s="5" t="str">
        <f t="shared" si="564"/>
        <v>NO APLICA</v>
      </c>
      <c r="OF174" s="6"/>
      <c r="OG174" s="6"/>
      <c r="OH174" s="4"/>
      <c r="OI174" s="8"/>
      <c r="OJ174" s="5" t="str">
        <f t="shared" si="565"/>
        <v>NO APLICA</v>
      </c>
      <c r="OK174" s="6"/>
      <c r="OL174" s="6"/>
      <c r="OM174" s="6"/>
      <c r="ON174" s="6"/>
      <c r="OO174" s="5" t="str">
        <f t="shared" si="566"/>
        <v>NO APLICA</v>
      </c>
      <c r="OP174" s="6"/>
      <c r="OQ174" s="6"/>
      <c r="OR174" s="6"/>
      <c r="OS174" s="6"/>
      <c r="OT174" s="5" t="str">
        <f t="shared" si="567"/>
        <v>NO APLICA</v>
      </c>
      <c r="OU174" s="6"/>
      <c r="OV174" s="6"/>
      <c r="OW174" s="6"/>
      <c r="OX174" s="6"/>
      <c r="OY174" s="5" t="str">
        <f t="shared" si="568"/>
        <v>NO APLICA</v>
      </c>
      <c r="OZ174" s="6"/>
      <c r="PA174" s="6"/>
      <c r="PB174" s="6"/>
      <c r="PC174" s="6"/>
      <c r="PD174" s="5" t="str">
        <f t="shared" si="569"/>
        <v>NO APLICA</v>
      </c>
      <c r="PE174" s="6"/>
      <c r="PF174" s="6"/>
      <c r="PG174" s="6"/>
      <c r="PH174" s="6"/>
      <c r="PI174" s="5" t="str">
        <f t="shared" si="570"/>
        <v>NO APLICA</v>
      </c>
      <c r="PJ174" s="5"/>
      <c r="PK174" s="6"/>
      <c r="PL174" s="4"/>
      <c r="PM174" s="8"/>
      <c r="PN174" s="5" t="str">
        <f t="shared" si="571"/>
        <v>NO APLICA</v>
      </c>
      <c r="PO174" s="6"/>
      <c r="PP174" s="6"/>
      <c r="PQ174" s="6"/>
      <c r="PR174" s="6"/>
      <c r="PS174" s="5" t="str">
        <f t="shared" si="572"/>
        <v>NO APLICA</v>
      </c>
      <c r="PT174" s="5"/>
      <c r="PU174" s="6"/>
      <c r="PV174" s="6"/>
      <c r="PW174" s="6"/>
      <c r="PX174" s="5" t="str">
        <f t="shared" si="573"/>
        <v>NO APLICA</v>
      </c>
    </row>
    <row r="175" spans="1:440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563</v>
      </c>
      <c r="V175" s="4">
        <v>45189</v>
      </c>
      <c r="W175" s="4">
        <f t="shared" si="606"/>
        <v>47016</v>
      </c>
      <c r="X175" s="8">
        <f t="shared" ca="1" si="607"/>
        <v>882</v>
      </c>
      <c r="Y175" s="5" t="str">
        <f t="shared" ca="1" si="624"/>
        <v>VIGENTE</v>
      </c>
      <c r="Z175" s="6" t="s">
        <v>564</v>
      </c>
      <c r="AA175" s="4">
        <v>45187</v>
      </c>
      <c r="AB175" s="4">
        <f>DATE(YEAR(AA175)+5,MONTH(AA175),DAY(AA175))</f>
        <v>47014</v>
      </c>
      <c r="AC175" s="8">
        <f ca="1">AB175-TODAY()</f>
        <v>880</v>
      </c>
      <c r="AD175" s="5" t="str">
        <f t="shared" ca="1" si="603"/>
        <v>VIGENTE</v>
      </c>
      <c r="AE175" s="4"/>
      <c r="AF175" s="4">
        <v>46006</v>
      </c>
      <c r="AG175" s="4">
        <f>DATE(YEAR(AF175)+2,MONTH(AF175),DAY(AF175))</f>
        <v>46736</v>
      </c>
      <c r="AH175" s="8">
        <f t="shared" ca="1" si="470"/>
        <v>602</v>
      </c>
      <c r="AI175" s="5" t="str">
        <f t="shared" ca="1" si="621"/>
        <v>VIGENTE</v>
      </c>
      <c r="AJ175" s="6"/>
      <c r="AK175" s="4">
        <v>46062</v>
      </c>
      <c r="AL175" s="4">
        <f>DATE(YEAR(AK175)+2,MONTH(AK175),DAY(AK175))</f>
        <v>46792</v>
      </c>
      <c r="AM175" s="8">
        <f t="shared" ca="1" si="471"/>
        <v>658</v>
      </c>
      <c r="AN175" s="5" t="str">
        <f t="shared" ca="1" si="472"/>
        <v>VIGENTE</v>
      </c>
      <c r="AO175" s="4"/>
      <c r="AP175" s="4">
        <v>45989</v>
      </c>
      <c r="AQ175" s="4">
        <f>DATE(YEAR(AP175)+2,MONTH(AP175),DAY(AP175))</f>
        <v>46719</v>
      </c>
      <c r="AR175" s="8">
        <f t="shared" ca="1" si="473"/>
        <v>585</v>
      </c>
      <c r="AS175" s="5" t="str">
        <f t="shared" ca="1" si="474"/>
        <v>VIGENTE</v>
      </c>
      <c r="AT175" s="6"/>
      <c r="AU175" s="4">
        <v>46070</v>
      </c>
      <c r="AV175" s="4">
        <f>DATE(YEAR(AU175)+2,MONTH(AU175),DAY(AU175))</f>
        <v>46800</v>
      </c>
      <c r="AW175" s="8">
        <f t="shared" ca="1" si="475"/>
        <v>666</v>
      </c>
      <c r="AX175" s="5" t="str">
        <f t="shared" ca="1" si="476"/>
        <v>VIGENTE</v>
      </c>
      <c r="AY175" s="4"/>
      <c r="AZ175" s="4">
        <v>46071</v>
      </c>
      <c r="BA175" s="4">
        <f>DATE(YEAR(AZ175)+2,MONTH(AZ175),DAY(AZ175))</f>
        <v>46801</v>
      </c>
      <c r="BB175" s="8">
        <f t="shared" ca="1" si="477"/>
        <v>667</v>
      </c>
      <c r="BC175" s="5" t="str">
        <f t="shared" ca="1" si="478"/>
        <v>VIGENTE</v>
      </c>
      <c r="BD175" s="6"/>
      <c r="BE175" s="4">
        <v>45987</v>
      </c>
      <c r="BF175" s="4">
        <f>DATE(YEAR(BE175)+2,MONTH(BE175),DAY(BE175))</f>
        <v>46717</v>
      </c>
      <c r="BG175" s="8">
        <f t="shared" ca="1" si="479"/>
        <v>583</v>
      </c>
      <c r="BH175" s="5" t="str">
        <f t="shared" ca="1" si="480"/>
        <v>VIGENTE</v>
      </c>
      <c r="BI175" s="4"/>
      <c r="BJ175" s="4">
        <v>46035</v>
      </c>
      <c r="BK175" s="4">
        <f>DATE(YEAR(BJ175)+2,MONTH(BJ175),DAY(BJ175))</f>
        <v>46765</v>
      </c>
      <c r="BL175" s="8">
        <f t="shared" ca="1" si="481"/>
        <v>631</v>
      </c>
      <c r="BM175" s="5" t="str">
        <f t="shared" ca="1" si="482"/>
        <v>VIGENTE</v>
      </c>
      <c r="BN175" s="4"/>
      <c r="BO175" s="4">
        <v>45988</v>
      </c>
      <c r="BP175" s="4">
        <f>DATE(YEAR(BO175)+2,MONTH(BO175),DAY(BO175))</f>
        <v>46718</v>
      </c>
      <c r="BQ175" s="8">
        <f t="shared" ca="1" si="483"/>
        <v>584</v>
      </c>
      <c r="BR175" s="5" t="str">
        <f t="shared" ca="1" si="484"/>
        <v>VIGENTE</v>
      </c>
      <c r="BS175" s="3"/>
      <c r="BT175" s="4">
        <v>46031</v>
      </c>
      <c r="BU175" s="4">
        <f>DATE(YEAR(BT175)+2,MONTH(BT175),DAY(BT175))</f>
        <v>46761</v>
      </c>
      <c r="BV175" s="8">
        <f t="shared" ca="1" si="485"/>
        <v>627</v>
      </c>
      <c r="BW175" s="5" t="str">
        <f t="shared" ca="1" si="486"/>
        <v>VIGENTE</v>
      </c>
      <c r="BX175" s="4"/>
      <c r="BY175" s="4">
        <v>45954</v>
      </c>
      <c r="BZ175" s="4">
        <f>DATE(YEAR(BY175)+2,MONTH(BY175),DAY(BY175))</f>
        <v>46684</v>
      </c>
      <c r="CA175" s="8">
        <f t="shared" ca="1" si="487"/>
        <v>550</v>
      </c>
      <c r="CB175" s="5" t="str">
        <f t="shared" ca="1" si="488"/>
        <v>VIGENTE</v>
      </c>
      <c r="CC175" s="6" t="s">
        <v>73</v>
      </c>
      <c r="CD175" s="4">
        <v>45346</v>
      </c>
      <c r="CE175" s="4">
        <f t="shared" si="609"/>
        <v>46807</v>
      </c>
      <c r="CF175" s="8">
        <f t="shared" ca="1" si="610"/>
        <v>673</v>
      </c>
      <c r="CG175" s="5" t="str">
        <f t="shared" ca="1" si="591"/>
        <v>VIGENTE</v>
      </c>
      <c r="CH175" s="4"/>
      <c r="CI175" s="4">
        <v>46020</v>
      </c>
      <c r="CJ175" s="4">
        <f>DATE(YEAR(CI175)+2,MONTH(CI175),DAY(CI175))</f>
        <v>46750</v>
      </c>
      <c r="CK175" s="8">
        <f t="shared" ca="1" si="489"/>
        <v>616</v>
      </c>
      <c r="CL175" s="5" t="str">
        <f t="shared" ca="1" si="490"/>
        <v>VIGENTE</v>
      </c>
      <c r="CM175" s="4"/>
      <c r="CN175" s="4">
        <v>46101</v>
      </c>
      <c r="CO175" s="4">
        <f>DATE(YEAR(CN175)+2,MONTH(CN175),DAY(CN175))</f>
        <v>46832</v>
      </c>
      <c r="CP175" s="8">
        <f t="shared" ca="1" si="491"/>
        <v>698</v>
      </c>
      <c r="CQ175" s="5" t="str">
        <f t="shared" ca="1" si="492"/>
        <v>VIGENTE</v>
      </c>
      <c r="CR175" s="4"/>
      <c r="CS175" s="4">
        <v>46069</v>
      </c>
      <c r="CT175" s="4">
        <f>DATE(YEAR(CS175)+2,MONTH(CS175),DAY(CS175))</f>
        <v>46799</v>
      </c>
      <c r="CU175" s="8">
        <f t="shared" ca="1" si="493"/>
        <v>665</v>
      </c>
      <c r="CV175" s="5" t="str">
        <f t="shared" ca="1" si="494"/>
        <v>VIGENTE</v>
      </c>
      <c r="CW175" s="4"/>
      <c r="CX175" s="4">
        <v>46046</v>
      </c>
      <c r="CY175" s="4">
        <f>DATE(YEAR(CX175)+2,MONTH(CX175),DAY(CX175))</f>
        <v>46776</v>
      </c>
      <c r="CZ175" s="8">
        <f t="shared" ca="1" si="495"/>
        <v>642</v>
      </c>
      <c r="DA175" s="5" t="str">
        <f t="shared" ca="1" si="496"/>
        <v>VIGENTE</v>
      </c>
      <c r="DB175" s="4"/>
      <c r="DC175" s="4">
        <v>46045</v>
      </c>
      <c r="DD175" s="4">
        <f>DATE(YEAR(DC175)+2,MONTH(DC175),DAY(DC175))</f>
        <v>46775</v>
      </c>
      <c r="DE175" s="8">
        <f t="shared" ca="1" si="497"/>
        <v>641</v>
      </c>
      <c r="DF175" s="5" t="str">
        <f t="shared" ca="1" si="498"/>
        <v>VIGENTE</v>
      </c>
      <c r="DG175" s="6"/>
      <c r="DH175" s="4">
        <v>46073</v>
      </c>
      <c r="DI175" s="4">
        <f>DATE(YEAR(DH175)+2,MONTH(DH175),DAY(DH175))</f>
        <v>46803</v>
      </c>
      <c r="DJ175" s="8">
        <f t="shared" ca="1" si="499"/>
        <v>669</v>
      </c>
      <c r="DK175" s="5" t="str">
        <f t="shared" ca="1" si="500"/>
        <v>VIGENTE</v>
      </c>
      <c r="DL175" s="4"/>
      <c r="DM175" s="4">
        <v>46007</v>
      </c>
      <c r="DN175" s="4">
        <f>DATE(YEAR(DM175)+2,MONTH(DM175),DAY(DM175))</f>
        <v>46737</v>
      </c>
      <c r="DO175" s="8">
        <f t="shared" ca="1" si="501"/>
        <v>603</v>
      </c>
      <c r="DP175" s="5" t="str">
        <f t="shared" ca="1" si="502"/>
        <v>VIGENTE</v>
      </c>
      <c r="DQ175" s="4"/>
      <c r="DR175" s="4">
        <v>46018</v>
      </c>
      <c r="DS175" s="4">
        <f>DATE(YEAR(DR175)+2,MONTH(DR175),DAY(DR175))</f>
        <v>46748</v>
      </c>
      <c r="DT175" s="8">
        <f t="shared" ca="1" si="503"/>
        <v>614</v>
      </c>
      <c r="DU175" s="5" t="str">
        <f t="shared" ca="1" si="504"/>
        <v>VIGENTE</v>
      </c>
      <c r="DV175" s="4"/>
      <c r="DW175" s="4">
        <v>46099</v>
      </c>
      <c r="DX175" s="4">
        <f>DATE(YEAR(DW175)+2,MONTH(DW175),DAY(DW175))</f>
        <v>46830</v>
      </c>
      <c r="DY175" s="8">
        <f t="shared" ca="1" si="505"/>
        <v>696</v>
      </c>
      <c r="DZ175" s="5" t="str">
        <f t="shared" ca="1" si="506"/>
        <v>VIGENTE</v>
      </c>
      <c r="EA175" s="4"/>
      <c r="EB175" s="4">
        <v>45994</v>
      </c>
      <c r="EC175" s="4">
        <f>DATE(YEAR(EB175)+2,MONTH(EB175),DAY(EB175))</f>
        <v>46724</v>
      </c>
      <c r="ED175" s="8">
        <f t="shared" ca="1" si="507"/>
        <v>590</v>
      </c>
      <c r="EE175" s="5" t="str">
        <f t="shared" ca="1" si="508"/>
        <v>VIGENTE</v>
      </c>
      <c r="EF175" s="3"/>
      <c r="EG175" s="3">
        <v>46085</v>
      </c>
      <c r="EH175" s="4">
        <f t="shared" si="575"/>
        <v>46450</v>
      </c>
      <c r="EI175" s="8">
        <f t="shared" ca="1" si="509"/>
        <v>316</v>
      </c>
      <c r="EJ175" s="5" t="str">
        <f t="shared" ca="1" si="510"/>
        <v>VIGENTE</v>
      </c>
      <c r="EK175" s="4"/>
      <c r="EL175" s="4">
        <v>45995</v>
      </c>
      <c r="EM175" s="4">
        <f>DATE(YEAR(EL175)+2,MONTH(EL175),DAY(EL175))</f>
        <v>46725</v>
      </c>
      <c r="EN175" s="8">
        <f t="shared" ca="1" si="511"/>
        <v>591</v>
      </c>
      <c r="EO175" s="5" t="str">
        <f t="shared" ca="1" si="512"/>
        <v>VIGENTE</v>
      </c>
      <c r="EP175" s="6"/>
      <c r="EQ175" s="4">
        <v>45999</v>
      </c>
      <c r="ER175" s="4">
        <f>DATE(YEAR(EQ175)+2,MONTH(EQ175),DAY(EQ175))</f>
        <v>46729</v>
      </c>
      <c r="ES175" s="8">
        <f t="shared" ca="1" si="513"/>
        <v>595</v>
      </c>
      <c r="ET175" s="5" t="str">
        <f t="shared" ca="1" si="514"/>
        <v>VIGENTE</v>
      </c>
      <c r="EU175" s="4"/>
      <c r="EV175" s="4">
        <v>46037</v>
      </c>
      <c r="EW175" s="4">
        <f>DATE(YEAR(EV175)+2,MONTH(EV175),DAY(EV175))</f>
        <v>46767</v>
      </c>
      <c r="EX175" s="8">
        <f t="shared" ca="1" si="515"/>
        <v>633</v>
      </c>
      <c r="EY175" s="5" t="str">
        <f t="shared" ca="1" si="516"/>
        <v>VIGENTE</v>
      </c>
      <c r="EZ175" s="6"/>
      <c r="FA175" s="4">
        <v>46091</v>
      </c>
      <c r="FB175" s="4">
        <f>DATE(YEAR(FA175)+2,MONTH(FA175),DAY(FA175))</f>
        <v>46822</v>
      </c>
      <c r="FC175" s="8">
        <f t="shared" ca="1" si="517"/>
        <v>688</v>
      </c>
      <c r="FD175" s="5" t="str">
        <f t="shared" ca="1" si="518"/>
        <v>VIGENTE</v>
      </c>
      <c r="FE175" s="6"/>
      <c r="FF175" s="4">
        <v>45992</v>
      </c>
      <c r="FG175" s="4">
        <f>DATE(YEAR(FF175)+2,MONTH(FF175),DAY(FF175))</f>
        <v>46722</v>
      </c>
      <c r="FH175" s="8">
        <f t="shared" ca="1" si="519"/>
        <v>588</v>
      </c>
      <c r="FI175" s="5" t="str">
        <f t="shared" ca="1" si="520"/>
        <v>VIGENTE</v>
      </c>
      <c r="FJ175" s="4"/>
      <c r="FK175" s="4">
        <v>46102</v>
      </c>
      <c r="FL175" s="4">
        <f>DATE(YEAR(FK175)+2,MONTH(FK175),DAY(FK175))</f>
        <v>46833</v>
      </c>
      <c r="FM175" s="8">
        <f t="shared" ca="1" si="521"/>
        <v>699</v>
      </c>
      <c r="FN175" s="5" t="str">
        <f t="shared" ca="1" si="522"/>
        <v>VIGENTE</v>
      </c>
      <c r="FO175" s="4"/>
      <c r="FP175" s="4">
        <v>46034</v>
      </c>
      <c r="FQ175" s="4">
        <f>DATE(YEAR(FP175)+2,MONTH(FP175),DAY(FP175))</f>
        <v>46764</v>
      </c>
      <c r="FR175" s="8">
        <f t="shared" ca="1" si="523"/>
        <v>630</v>
      </c>
      <c r="FS175" s="5" t="str">
        <f t="shared" ca="1" si="524"/>
        <v>VIGENTE</v>
      </c>
      <c r="FT175" s="4"/>
      <c r="FU175" s="4">
        <v>46014</v>
      </c>
      <c r="FV175" s="4">
        <f>DATE(YEAR(FU175)+2,MONTH(FU175),DAY(FU175))</f>
        <v>46744</v>
      </c>
      <c r="FW175" s="8">
        <f t="shared" ca="1" si="525"/>
        <v>610</v>
      </c>
      <c r="FX175" s="5" t="str">
        <f t="shared" ca="1" si="526"/>
        <v>VIGENTE</v>
      </c>
      <c r="FY175" s="4"/>
      <c r="FZ175" s="4">
        <v>46030</v>
      </c>
      <c r="GA175" s="4">
        <f>DATE(YEAR(FZ175)+2,MONTH(FZ175),DAY(FZ175))</f>
        <v>46760</v>
      </c>
      <c r="GB175" s="8">
        <f t="shared" ca="1" si="527"/>
        <v>626</v>
      </c>
      <c r="GC175" s="5" t="str">
        <f t="shared" ca="1" si="528"/>
        <v>VIGENTE</v>
      </c>
      <c r="GD175" s="4"/>
      <c r="GE175" s="4">
        <v>46079</v>
      </c>
      <c r="GF175" s="4">
        <f>DATE(YEAR(GE175)+2,MONTH(GE175),DAY(GE175))</f>
        <v>46809</v>
      </c>
      <c r="GG175" s="8">
        <f t="shared" ca="1" si="529"/>
        <v>675</v>
      </c>
      <c r="GH175" s="5" t="str">
        <f t="shared" ca="1" si="530"/>
        <v>VIGENTE</v>
      </c>
      <c r="GI175" s="3"/>
      <c r="GJ175" s="4">
        <v>46044</v>
      </c>
      <c r="GK175" s="4">
        <f>DATE(YEAR(GJ175)+2,MONTH(GJ175),DAY(GJ175))</f>
        <v>46774</v>
      </c>
      <c r="GL175" s="8">
        <f t="shared" ca="1" si="531"/>
        <v>640</v>
      </c>
      <c r="GM175" s="5" t="str">
        <f t="shared" ca="1" si="532"/>
        <v>VIGENTE</v>
      </c>
      <c r="GN175" s="4"/>
      <c r="GO175" s="4">
        <v>45367</v>
      </c>
      <c r="GP175" s="4">
        <f t="shared" si="533"/>
        <v>47193</v>
      </c>
      <c r="GQ175" s="8">
        <f t="shared" ca="1" si="620"/>
        <v>1059</v>
      </c>
      <c r="GR175" s="5" t="str">
        <f t="shared" ca="1" si="625"/>
        <v>VIGENTE</v>
      </c>
      <c r="GS175" s="4"/>
      <c r="GT175" s="4">
        <v>45342</v>
      </c>
      <c r="GU175" s="4">
        <f t="shared" si="534"/>
        <v>47169</v>
      </c>
      <c r="GV175" s="8">
        <f t="shared" ca="1" si="535"/>
        <v>1035</v>
      </c>
      <c r="GW175" s="5" t="str">
        <f t="shared" ca="1" si="438"/>
        <v>VIGENTE</v>
      </c>
      <c r="GX175" s="6"/>
      <c r="GY175" s="4">
        <v>45348</v>
      </c>
      <c r="GZ175" s="4">
        <f t="shared" si="536"/>
        <v>47175</v>
      </c>
      <c r="HA175" s="8">
        <f t="shared" ca="1" si="537"/>
        <v>1041</v>
      </c>
      <c r="HB175" s="5" t="str">
        <f t="shared" ca="1" si="626"/>
        <v>VIGENTE</v>
      </c>
      <c r="HC175" s="6"/>
      <c r="HD175" s="4">
        <v>45404</v>
      </c>
      <c r="HE175" s="4">
        <f t="shared" si="622"/>
        <v>47230</v>
      </c>
      <c r="HF175" s="8">
        <f t="shared" ca="1" si="623"/>
        <v>1096</v>
      </c>
      <c r="HG175" s="5" t="str">
        <f t="shared" ca="1" si="439"/>
        <v>VIGENTE</v>
      </c>
      <c r="HH175" s="6"/>
      <c r="HI175" s="6"/>
      <c r="HJ175" s="4"/>
      <c r="HK175" s="8"/>
      <c r="HL175" s="5" t="str">
        <f t="shared" si="457"/>
        <v>NO APLICA</v>
      </c>
      <c r="HM175" s="2"/>
      <c r="HN175" s="2"/>
      <c r="HO175" s="4"/>
      <c r="HP175" s="2"/>
      <c r="HQ175" s="5" t="str">
        <f t="shared" si="538"/>
        <v>NO APLICA</v>
      </c>
      <c r="HR175" s="6"/>
      <c r="HS175" s="4">
        <v>45359</v>
      </c>
      <c r="HT175" s="4">
        <f>DATE(YEAR(HS175)+5,MONTH(HS175),DAY(HS175))</f>
        <v>47185</v>
      </c>
      <c r="HU175" s="8">
        <f ca="1">HT175-TODAY()</f>
        <v>1051</v>
      </c>
      <c r="HV175" s="5" t="str">
        <f t="shared" ca="1" si="539"/>
        <v>VIGENTE</v>
      </c>
      <c r="HW175" s="6"/>
      <c r="HX175" s="4">
        <v>45360</v>
      </c>
      <c r="HY175" s="4">
        <f>DATE(YEAR(HX175)+5,MONTH(HX175),DAY(HX175))</f>
        <v>47186</v>
      </c>
      <c r="HZ175" s="8">
        <f ca="1">HY175-TODAY()</f>
        <v>1052</v>
      </c>
      <c r="IA175" s="5" t="str">
        <f t="shared" ca="1" si="540"/>
        <v>VIGENTE</v>
      </c>
      <c r="IB175" s="6"/>
      <c r="IC175" s="6"/>
      <c r="ID175" s="4"/>
      <c r="IE175" s="8"/>
      <c r="IF175" s="5" t="str">
        <f t="shared" si="541"/>
        <v>NO APLICA</v>
      </c>
      <c r="IG175" s="6"/>
      <c r="IH175" s="4">
        <v>45399</v>
      </c>
      <c r="II175" s="4">
        <f>DATE(YEAR(IH175)+5,MONTH(IH175),DAY(IH175))</f>
        <v>47225</v>
      </c>
      <c r="IJ175" s="8">
        <f ca="1">II175-TODAY()</f>
        <v>1091</v>
      </c>
      <c r="IK175" s="5" t="str">
        <f t="shared" ca="1" si="542"/>
        <v>VIGENTE</v>
      </c>
      <c r="IL175" s="6"/>
      <c r="IM175" s="4">
        <v>45349</v>
      </c>
      <c r="IN175" s="4">
        <f>DATE(YEAR(IM175)+5,MONTH(IM175),DAY(IM175))</f>
        <v>47176</v>
      </c>
      <c r="IO175" s="8">
        <f ca="1">IN175-TODAY()</f>
        <v>1042</v>
      </c>
      <c r="IP175" s="5" t="str">
        <f t="shared" ca="1" si="543"/>
        <v>VIGENTE</v>
      </c>
      <c r="IQ175" s="6"/>
      <c r="IR175" s="4">
        <v>45338</v>
      </c>
      <c r="IS175" s="4">
        <f>DATE(YEAR(IR175)+5,MONTH(IR175),DAY(IR175))</f>
        <v>47165</v>
      </c>
      <c r="IT175" s="8">
        <f ca="1">IS175-TODAY()</f>
        <v>1031</v>
      </c>
      <c r="IU175" s="5" t="str">
        <f t="shared" ca="1" si="544"/>
        <v>VIGENTE</v>
      </c>
      <c r="IV175" s="6"/>
      <c r="IW175" s="4">
        <v>45339</v>
      </c>
      <c r="IX175" s="4">
        <f>DATE(YEAR(IW175)+5,MONTH(IW175),DAY(IW175))</f>
        <v>47166</v>
      </c>
      <c r="IY175" s="8">
        <f ca="1">IX175-TODAY()</f>
        <v>1032</v>
      </c>
      <c r="IZ175" s="5" t="str">
        <f t="shared" ca="1" si="545"/>
        <v>VIGENTE</v>
      </c>
      <c r="JA175" s="3"/>
      <c r="JB175" s="3"/>
      <c r="JC175" s="4"/>
      <c r="JD175" s="8"/>
      <c r="JE175" s="5" t="str">
        <f t="shared" si="546"/>
        <v>NO APLICA</v>
      </c>
      <c r="JF175" s="6"/>
      <c r="JG175" s="6"/>
      <c r="JH175" s="6"/>
      <c r="JI175" s="6"/>
      <c r="JJ175" s="5" t="str">
        <f t="shared" si="547"/>
        <v>NO APLICA</v>
      </c>
      <c r="JK175" s="6"/>
      <c r="JL175" s="6"/>
      <c r="JM175" s="6"/>
      <c r="JN175" s="6"/>
      <c r="JO175" s="5" t="str">
        <f t="shared" si="548"/>
        <v>NO APLICA</v>
      </c>
      <c r="JP175" s="6"/>
      <c r="JQ175" s="6"/>
      <c r="JR175" s="6"/>
      <c r="JS175" s="6"/>
      <c r="JT175" s="5" t="str">
        <f t="shared" si="549"/>
        <v>NO APLICA</v>
      </c>
      <c r="JU175" s="5"/>
      <c r="JV175" s="5"/>
      <c r="JW175" s="5"/>
      <c r="JX175" s="5"/>
      <c r="JY175" s="5" t="str">
        <f t="shared" si="550"/>
        <v>NO APLICA</v>
      </c>
      <c r="JZ175" s="5"/>
      <c r="KA175" s="2"/>
      <c r="KB175" s="4"/>
      <c r="KC175" s="8"/>
      <c r="KD175" s="5" t="str">
        <f t="shared" si="551"/>
        <v>NO APLICA</v>
      </c>
      <c r="KE175" s="5"/>
      <c r="KF175" s="6"/>
      <c r="KG175" s="4"/>
      <c r="KH175" s="8"/>
      <c r="KI175" s="5" t="str">
        <f t="shared" si="576"/>
        <v>NO APLICA</v>
      </c>
      <c r="KJ175" s="5"/>
      <c r="KK175" s="2"/>
      <c r="KL175" s="4"/>
      <c r="KM175" s="8"/>
      <c r="KN175" s="5" t="str">
        <f t="shared" si="552"/>
        <v>NO APLICA</v>
      </c>
      <c r="KO175" s="5"/>
      <c r="KP175" s="3">
        <v>45346</v>
      </c>
      <c r="KQ175" s="4">
        <f>DATE(YEAR(KP175)+5,MONTH(KP175),DAY(KP175))</f>
        <v>47173</v>
      </c>
      <c r="KR175" s="8">
        <f ca="1">KQ175-TODAY()</f>
        <v>1039</v>
      </c>
      <c r="KS175" s="5" t="str">
        <f t="shared" ca="1" si="577"/>
        <v>VIGENTE</v>
      </c>
      <c r="KT175" s="6"/>
      <c r="KU175" s="6"/>
      <c r="KV175" s="4"/>
      <c r="KW175" s="6"/>
      <c r="KX175" s="5" t="str">
        <f t="shared" si="583"/>
        <v>NO APLICA</v>
      </c>
      <c r="KY175" s="5"/>
      <c r="KZ175" s="6"/>
      <c r="LA175" s="4"/>
      <c r="LB175" s="6"/>
      <c r="LC175" s="5" t="str">
        <f t="shared" si="578"/>
        <v>NO APLICA</v>
      </c>
      <c r="LD175" s="6"/>
      <c r="LE175" s="6"/>
      <c r="LF175" s="6"/>
      <c r="LG175" s="6"/>
      <c r="LH175" s="5" t="str">
        <f t="shared" si="619"/>
        <v>NO APLICA</v>
      </c>
      <c r="LI175" s="5"/>
      <c r="LJ175" s="5"/>
      <c r="LK175" s="4"/>
      <c r="LL175" s="8"/>
      <c r="LM175" s="5" t="str">
        <f t="shared" si="584"/>
        <v>NO APLICA</v>
      </c>
      <c r="LN175" s="6"/>
      <c r="LO175" s="6"/>
      <c r="LP175" s="4"/>
      <c r="LQ175" s="8"/>
      <c r="LR175" s="5" t="str">
        <f t="shared" si="579"/>
        <v>NO APLICA</v>
      </c>
      <c r="LS175" s="6"/>
      <c r="LT175" s="6"/>
      <c r="LU175" s="4"/>
      <c r="LV175" s="6"/>
      <c r="LW175" s="5" t="str">
        <f t="shared" si="580"/>
        <v>NO APLICA</v>
      </c>
      <c r="LX175" s="6"/>
      <c r="LY175" s="6"/>
      <c r="LZ175" s="4"/>
      <c r="MA175" s="6"/>
      <c r="MB175" s="5" t="str">
        <f t="shared" si="581"/>
        <v>NO APLICA</v>
      </c>
      <c r="MC175" s="6"/>
      <c r="MD175" s="6"/>
      <c r="ME175" s="4"/>
      <c r="MF175" s="6"/>
      <c r="MG175" s="5" t="str">
        <f t="shared" si="554"/>
        <v>NO APLICA</v>
      </c>
      <c r="MH175" s="6"/>
      <c r="MI175" s="6"/>
      <c r="MJ175" s="4"/>
      <c r="MK175" s="6"/>
      <c r="ML175" s="5" t="str">
        <f t="shared" si="555"/>
        <v>NO APLICA</v>
      </c>
      <c r="MM175" s="5"/>
      <c r="MN175" s="6"/>
      <c r="MO175" s="4"/>
      <c r="MP175" s="6"/>
      <c r="MQ175" s="5" t="str">
        <f t="shared" si="556"/>
        <v>NO APLICA</v>
      </c>
      <c r="MR175" s="5"/>
      <c r="MS175" s="6"/>
      <c r="MT175" s="6"/>
      <c r="MU175" s="6"/>
      <c r="MV175" s="5" t="str">
        <f t="shared" si="557"/>
        <v>NO APLICA</v>
      </c>
      <c r="MW175" s="6"/>
      <c r="MX175" s="6"/>
      <c r="MY175" s="4"/>
      <c r="MZ175" s="6"/>
      <c r="NA175" s="5" t="str">
        <f t="shared" si="558"/>
        <v>NO APLICA</v>
      </c>
      <c r="NB175" s="6"/>
      <c r="NC175" s="6"/>
      <c r="ND175" s="4"/>
      <c r="NE175" s="6"/>
      <c r="NF175" s="5" t="str">
        <f t="shared" si="559"/>
        <v>NO APLICA</v>
      </c>
      <c r="NG175" s="6"/>
      <c r="NH175" s="6"/>
      <c r="NI175" s="4"/>
      <c r="NJ175" s="6"/>
      <c r="NK175" s="5" t="str">
        <f t="shared" si="560"/>
        <v>NO APLICA</v>
      </c>
      <c r="NL175" s="6"/>
      <c r="NM175" s="6"/>
      <c r="NN175" s="4"/>
      <c r="NO175" s="6"/>
      <c r="NP175" s="5" t="str">
        <f t="shared" si="561"/>
        <v>NO APLICA</v>
      </c>
      <c r="NQ175" s="6"/>
      <c r="NR175" s="6"/>
      <c r="NS175" s="4"/>
      <c r="NT175" s="6"/>
      <c r="NU175" s="5" t="str">
        <f t="shared" si="562"/>
        <v>NO APLICA</v>
      </c>
      <c r="NV175" s="6"/>
      <c r="NW175" s="6"/>
      <c r="NX175" s="4"/>
      <c r="NY175" s="8"/>
      <c r="NZ175" s="5" t="str">
        <f t="shared" si="563"/>
        <v>NO APLICA</v>
      </c>
      <c r="OA175" s="6"/>
      <c r="OB175" s="6"/>
      <c r="OC175" s="6"/>
      <c r="OD175" s="6"/>
      <c r="OE175" s="5" t="str">
        <f t="shared" si="564"/>
        <v>NO APLICA</v>
      </c>
      <c r="OF175" s="6"/>
      <c r="OG175" s="6"/>
      <c r="OH175" s="6"/>
      <c r="OI175" s="6"/>
      <c r="OJ175" s="5" t="str">
        <f t="shared" si="565"/>
        <v>NO APLICA</v>
      </c>
      <c r="OK175" s="6"/>
      <c r="OL175" s="6"/>
      <c r="OM175" s="6"/>
      <c r="ON175" s="6"/>
      <c r="OO175" s="5" t="str">
        <f t="shared" si="566"/>
        <v>NO APLICA</v>
      </c>
      <c r="OP175" s="6"/>
      <c r="OQ175" s="6"/>
      <c r="OR175" s="6"/>
      <c r="OS175" s="6"/>
      <c r="OT175" s="5" t="str">
        <f t="shared" si="567"/>
        <v>NO APLICA</v>
      </c>
      <c r="OU175" s="6"/>
      <c r="OV175" s="6"/>
      <c r="OW175" s="6"/>
      <c r="OX175" s="6"/>
      <c r="OY175" s="5" t="str">
        <f t="shared" si="568"/>
        <v>NO APLICA</v>
      </c>
      <c r="OZ175" s="6"/>
      <c r="PA175" s="6"/>
      <c r="PB175" s="6"/>
      <c r="PC175" s="6"/>
      <c r="PD175" s="5" t="str">
        <f t="shared" si="569"/>
        <v>NO APLICA</v>
      </c>
      <c r="PE175" s="6"/>
      <c r="PF175" s="6"/>
      <c r="PG175" s="6"/>
      <c r="PH175" s="6"/>
      <c r="PI175" s="5" t="str">
        <f t="shared" si="570"/>
        <v>NO APLICA</v>
      </c>
      <c r="PJ175" s="5"/>
      <c r="PK175" s="6"/>
      <c r="PL175" s="6"/>
      <c r="PM175" s="6"/>
      <c r="PN175" s="5" t="str">
        <f t="shared" si="571"/>
        <v>NO APLICA</v>
      </c>
      <c r="PO175" s="6"/>
      <c r="PP175" s="6"/>
      <c r="PQ175" s="6"/>
      <c r="PR175" s="6"/>
      <c r="PS175" s="5" t="str">
        <f t="shared" si="572"/>
        <v>NO APLICA</v>
      </c>
      <c r="PT175" s="5"/>
      <c r="PU175" s="6"/>
      <c r="PV175" s="6"/>
      <c r="PW175" s="6"/>
      <c r="PX175" s="5" t="str">
        <f t="shared" si="573"/>
        <v>NO APLICA</v>
      </c>
    </row>
    <row r="176" spans="1:440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417</v>
      </c>
      <c r="T176" s="5" t="str">
        <f t="shared" ca="1" si="574"/>
        <v>VIGENTE</v>
      </c>
      <c r="U176" s="6" t="s">
        <v>565</v>
      </c>
      <c r="V176" s="4">
        <v>45693</v>
      </c>
      <c r="W176" s="4">
        <f t="shared" si="606"/>
        <v>47519</v>
      </c>
      <c r="X176" s="8">
        <f t="shared" ca="1" si="607"/>
        <v>1385</v>
      </c>
      <c r="Y176" s="5" t="str">
        <f t="shared" ca="1" si="624"/>
        <v>VIGENTE</v>
      </c>
      <c r="Z176" s="6"/>
      <c r="AA176" s="6"/>
      <c r="AB176" s="4"/>
      <c r="AC176" s="8"/>
      <c r="AD176" s="23" t="str">
        <f>IF(AC176&gt;=91,"VIGENTE",IF(AC176&gt;=1,"POR VENCER",IF(AC176&lt;=-1,"VENCIDA",IF(AA176=0,"PENDIENTE"))))</f>
        <v>PENDIENTE</v>
      </c>
      <c r="AE176" s="6"/>
      <c r="AF176" s="4">
        <v>45609</v>
      </c>
      <c r="AG176" s="4">
        <f>DATE(YEAR(AF176)+2,MONTH(AF176),DAY(AF176)-1)</f>
        <v>46338</v>
      </c>
      <c r="AH176" s="8">
        <f t="shared" ca="1" si="470"/>
        <v>204</v>
      </c>
      <c r="AI176" s="5" t="str">
        <f t="shared" ca="1" si="621"/>
        <v>VIGENTE</v>
      </c>
      <c r="AJ176" s="6"/>
      <c r="AK176" s="4">
        <v>45602</v>
      </c>
      <c r="AL176" s="4">
        <f>DATE(YEAR(AK176)+2,MONTH(AK176),DAY(AK176)-1)</f>
        <v>46331</v>
      </c>
      <c r="AM176" s="8">
        <f t="shared" ca="1" si="471"/>
        <v>197</v>
      </c>
      <c r="AN176" s="5" t="str">
        <f t="shared" ca="1" si="472"/>
        <v>VIGENTE</v>
      </c>
      <c r="AO176" s="6"/>
      <c r="AP176" s="4">
        <v>45640</v>
      </c>
      <c r="AQ176" s="4">
        <f>DATE(YEAR(AP176)+2,MONTH(AP176),DAY(AP176)-1)</f>
        <v>46369</v>
      </c>
      <c r="AR176" s="8">
        <f t="shared" ca="1" si="473"/>
        <v>235</v>
      </c>
      <c r="AS176" s="5" t="str">
        <f t="shared" ca="1" si="474"/>
        <v>VIGENTE</v>
      </c>
      <c r="AT176" s="6"/>
      <c r="AU176" s="4">
        <v>45644</v>
      </c>
      <c r="AV176" s="4">
        <f>DATE(YEAR(AU176)+2,MONTH(AU176),DAY(AU176)-1)</f>
        <v>46373</v>
      </c>
      <c r="AW176" s="8">
        <f t="shared" ca="1" si="475"/>
        <v>239</v>
      </c>
      <c r="AX176" s="5" t="str">
        <f t="shared" ca="1" si="476"/>
        <v>VIGENTE</v>
      </c>
      <c r="AY176" s="4"/>
      <c r="AZ176" s="4">
        <v>45603</v>
      </c>
      <c r="BA176" s="4">
        <f>DATE(YEAR(AZ176)+2,MONTH(AZ176),DAY(AZ176)-1)</f>
        <v>46332</v>
      </c>
      <c r="BB176" s="8">
        <f t="shared" ca="1" si="477"/>
        <v>198</v>
      </c>
      <c r="BC176" s="5" t="str">
        <f t="shared" ca="1" si="478"/>
        <v>VIGENTE</v>
      </c>
      <c r="BD176" s="6"/>
      <c r="BE176" s="4">
        <v>45643</v>
      </c>
      <c r="BF176" s="4">
        <f>DATE(YEAR(BE176)+2,MONTH(BE176),DAY(BE176)-1)</f>
        <v>46372</v>
      </c>
      <c r="BG176" s="8">
        <f t="shared" ca="1" si="479"/>
        <v>238</v>
      </c>
      <c r="BH176" s="5" t="str">
        <f t="shared" ca="1" si="480"/>
        <v>VIGENTE</v>
      </c>
      <c r="BI176" s="4"/>
      <c r="BJ176" s="4">
        <v>45699</v>
      </c>
      <c r="BK176" s="4">
        <f>DATE(YEAR(BJ176)+2,MONTH(BJ176),DAY(BJ176)-1)</f>
        <v>46428</v>
      </c>
      <c r="BL176" s="8">
        <f t="shared" ca="1" si="481"/>
        <v>294</v>
      </c>
      <c r="BM176" s="5" t="str">
        <f t="shared" ca="1" si="482"/>
        <v>VIGENTE</v>
      </c>
      <c r="BN176" s="4"/>
      <c r="BO176" s="4">
        <v>45701</v>
      </c>
      <c r="BP176" s="4">
        <f>DATE(YEAR(BO176)+2,MONTH(BO176),DAY(BO176)-1)</f>
        <v>46430</v>
      </c>
      <c r="BQ176" s="8">
        <f t="shared" ca="1" si="483"/>
        <v>296</v>
      </c>
      <c r="BR176" s="5" t="str">
        <f t="shared" ca="1" si="484"/>
        <v>VIGENTE</v>
      </c>
      <c r="BS176" s="6"/>
      <c r="BT176" s="4">
        <v>45695</v>
      </c>
      <c r="BU176" s="4">
        <f>DATE(YEAR(BT176)+2,MONTH(BT176),DAY(BT176)-1)</f>
        <v>46424</v>
      </c>
      <c r="BV176" s="8">
        <f t="shared" ca="1" si="485"/>
        <v>290</v>
      </c>
      <c r="BW176" s="5" t="str">
        <f t="shared" ca="1" si="486"/>
        <v>VIGENTE</v>
      </c>
      <c r="BX176" s="6"/>
      <c r="BY176" s="4">
        <v>45730</v>
      </c>
      <c r="BZ176" s="4">
        <f>DATE(YEAR(BY176)+2,MONTH(BY176),DAY(BY176)-1)</f>
        <v>46459</v>
      </c>
      <c r="CA176" s="8">
        <f t="shared" ca="1" si="487"/>
        <v>325</v>
      </c>
      <c r="CB176" s="5" t="str">
        <f t="shared" ca="1" si="488"/>
        <v>VIGENTE</v>
      </c>
      <c r="CC176" s="6" t="s">
        <v>68</v>
      </c>
      <c r="CD176" s="4">
        <v>45723</v>
      </c>
      <c r="CE176" s="4">
        <f t="shared" si="609"/>
        <v>47184</v>
      </c>
      <c r="CF176" s="8">
        <f t="shared" ca="1" si="610"/>
        <v>1050</v>
      </c>
      <c r="CG176" s="5" t="str">
        <f t="shared" ca="1" si="591"/>
        <v>VIGENTE</v>
      </c>
      <c r="CH176" s="6"/>
      <c r="CI176" s="4">
        <v>45688</v>
      </c>
      <c r="CJ176" s="4">
        <f>DATE(YEAR(CI176)+2,MONTH(CI176),DAY(CI176)-1)</f>
        <v>46417</v>
      </c>
      <c r="CK176" s="8">
        <f t="shared" ca="1" si="489"/>
        <v>283</v>
      </c>
      <c r="CL176" s="5" t="str">
        <f t="shared" ca="1" si="490"/>
        <v>VIGENTE</v>
      </c>
      <c r="CM176" s="6"/>
      <c r="CN176" s="4">
        <v>45684</v>
      </c>
      <c r="CO176" s="4">
        <f>DATE(YEAR(CN176)+2,MONTH(CN176),DAY(CN176)-1)</f>
        <v>46413</v>
      </c>
      <c r="CP176" s="8">
        <f t="shared" ca="1" si="491"/>
        <v>279</v>
      </c>
      <c r="CQ176" s="5" t="str">
        <f t="shared" ca="1" si="492"/>
        <v>VIGENTE</v>
      </c>
      <c r="CR176" s="6"/>
      <c r="CS176" s="4">
        <v>45639</v>
      </c>
      <c r="CT176" s="4">
        <f>DATE(YEAR(CS176)+2,MONTH(CS176),DAY(CS176)-1)</f>
        <v>46368</v>
      </c>
      <c r="CU176" s="8">
        <f t="shared" ca="1" si="493"/>
        <v>234</v>
      </c>
      <c r="CV176" s="5" t="str">
        <f t="shared" ca="1" si="494"/>
        <v>VIGENTE</v>
      </c>
      <c r="CW176" s="4"/>
      <c r="CX176" s="4">
        <v>45646</v>
      </c>
      <c r="CY176" s="4">
        <f>DATE(YEAR(CX176)+2,MONTH(CX176),DAY(CX176)-1)</f>
        <v>46375</v>
      </c>
      <c r="CZ176" s="8">
        <f t="shared" ca="1" si="495"/>
        <v>241</v>
      </c>
      <c r="DA176" s="5" t="str">
        <f t="shared" ca="1" si="496"/>
        <v>VIGENTE</v>
      </c>
      <c r="DB176" s="4"/>
      <c r="DC176" s="4">
        <v>45689</v>
      </c>
      <c r="DD176" s="4">
        <f>DATE(YEAR(DC176)+2,MONTH(DC176),DAY(DC176)-1)</f>
        <v>46418</v>
      </c>
      <c r="DE176" s="8">
        <f t="shared" ca="1" si="497"/>
        <v>284</v>
      </c>
      <c r="DF176" s="5" t="str">
        <f t="shared" ca="1" si="498"/>
        <v>VIGENTE</v>
      </c>
      <c r="DG176" s="6"/>
      <c r="DH176" s="4">
        <v>45696</v>
      </c>
      <c r="DI176" s="4">
        <f>DATE(YEAR(DH176)+2,MONTH(DH176),DAY(DH176)-1)</f>
        <v>46425</v>
      </c>
      <c r="DJ176" s="8">
        <f t="shared" ca="1" si="499"/>
        <v>291</v>
      </c>
      <c r="DK176" s="5" t="str">
        <f t="shared" ca="1" si="500"/>
        <v>VIGENTE</v>
      </c>
      <c r="DL176" s="4"/>
      <c r="DM176" s="4">
        <v>45731</v>
      </c>
      <c r="DN176" s="4">
        <f>DATE(YEAR(DM176)+2,MONTH(DM176),DAY(DM176)-1)</f>
        <v>46460</v>
      </c>
      <c r="DO176" s="8">
        <f t="shared" ca="1" si="501"/>
        <v>326</v>
      </c>
      <c r="DP176" s="5" t="str">
        <f t="shared" ca="1" si="502"/>
        <v>VIGENTE</v>
      </c>
      <c r="DQ176" s="6"/>
      <c r="DR176" s="4">
        <v>45619</v>
      </c>
      <c r="DS176" s="4">
        <f>DATE(YEAR(DR176)+2,MONTH(DR176),DAY(DR176)-1)</f>
        <v>46348</v>
      </c>
      <c r="DT176" s="8">
        <f t="shared" ca="1" si="503"/>
        <v>214</v>
      </c>
      <c r="DU176" s="5" t="str">
        <f t="shared" ca="1" si="504"/>
        <v>VIGENTE</v>
      </c>
      <c r="DV176" s="4"/>
      <c r="DW176" s="4">
        <v>45663</v>
      </c>
      <c r="DX176" s="4">
        <f>DATE(YEAR(DW176)+2,MONTH(DW176),DAY(DW176)-1)</f>
        <v>46392</v>
      </c>
      <c r="DY176" s="8">
        <f t="shared" ca="1" si="505"/>
        <v>258</v>
      </c>
      <c r="DZ176" s="5" t="str">
        <f t="shared" ca="1" si="506"/>
        <v>VIGENTE</v>
      </c>
      <c r="EA176" s="4"/>
      <c r="EB176" s="4">
        <v>45642</v>
      </c>
      <c r="EC176" s="4">
        <f>DATE(YEAR(EB176)+2,MONTH(EB176),DAY(EB176)-1)</f>
        <v>46371</v>
      </c>
      <c r="ED176" s="8">
        <f t="shared" ca="1" si="507"/>
        <v>237</v>
      </c>
      <c r="EE176" s="5" t="str">
        <f t="shared" ca="1" si="508"/>
        <v>VIGENTE</v>
      </c>
      <c r="EF176" s="4"/>
      <c r="EG176" s="4">
        <v>45812</v>
      </c>
      <c r="EH176" s="4">
        <f t="shared" si="575"/>
        <v>46177</v>
      </c>
      <c r="EI176" s="8">
        <f t="shared" ca="1" si="509"/>
        <v>43</v>
      </c>
      <c r="EJ176" s="5" t="str">
        <f t="shared" ca="1" si="510"/>
        <v>POR VENCER</v>
      </c>
      <c r="EK176" s="4"/>
      <c r="EL176" s="4">
        <v>45612</v>
      </c>
      <c r="EM176" s="4">
        <f>DATE(YEAR(EL176)+2,MONTH(EL176),DAY(EL176)-1)</f>
        <v>46341</v>
      </c>
      <c r="EN176" s="8">
        <f t="shared" ca="1" si="511"/>
        <v>207</v>
      </c>
      <c r="EO176" s="5" t="str">
        <f t="shared" ca="1" si="512"/>
        <v>VIGENTE</v>
      </c>
      <c r="EP176" s="6"/>
      <c r="EQ176" s="4">
        <v>45677</v>
      </c>
      <c r="ER176" s="4">
        <f>DATE(YEAR(EQ176)+2,MONTH(EQ176),DAY(EQ176)-1)</f>
        <v>46406</v>
      </c>
      <c r="ES176" s="8">
        <f t="shared" ca="1" si="513"/>
        <v>272</v>
      </c>
      <c r="ET176" s="5" t="str">
        <f t="shared" ca="1" si="514"/>
        <v>VIGENTE</v>
      </c>
      <c r="EU176" s="6"/>
      <c r="EV176" s="4">
        <v>45610</v>
      </c>
      <c r="EW176" s="4">
        <f>DATE(YEAR(EV176)+2,MONTH(EV176),DAY(EV176)-1)</f>
        <v>46339</v>
      </c>
      <c r="EX176" s="8">
        <f t="shared" ca="1" si="515"/>
        <v>205</v>
      </c>
      <c r="EY176" s="5" t="str">
        <f t="shared" ca="1" si="516"/>
        <v>VIGENTE</v>
      </c>
      <c r="EZ176" s="6"/>
      <c r="FA176" s="4">
        <v>45611</v>
      </c>
      <c r="FB176" s="4">
        <f>DATE(YEAR(FA176)+2,MONTH(FA176),DAY(FA176)-1)</f>
        <v>46340</v>
      </c>
      <c r="FC176" s="8">
        <f t="shared" ca="1" si="517"/>
        <v>206</v>
      </c>
      <c r="FD176" s="5" t="str">
        <f t="shared" ca="1" si="518"/>
        <v>VIGENTE</v>
      </c>
      <c r="FE176" s="6"/>
      <c r="FF176" s="4">
        <v>45668</v>
      </c>
      <c r="FG176" s="4">
        <f>DATE(YEAR(FF176)+2,MONTH(FF176),DAY(FF176)-1)</f>
        <v>46397</v>
      </c>
      <c r="FH176" s="8">
        <f t="shared" ca="1" si="519"/>
        <v>263</v>
      </c>
      <c r="FI176" s="5" t="str">
        <f t="shared" ca="1" si="520"/>
        <v>VIGENTE</v>
      </c>
      <c r="FJ176" s="4"/>
      <c r="FK176" s="4">
        <v>45637</v>
      </c>
      <c r="FL176" s="4">
        <f>DATE(YEAR(FK176)+2,MONTH(FK176),DAY(FK176)-1)</f>
        <v>46366</v>
      </c>
      <c r="FM176" s="8">
        <f t="shared" ca="1" si="521"/>
        <v>232</v>
      </c>
      <c r="FN176" s="5" t="str">
        <f t="shared" ca="1" si="522"/>
        <v>VIGENTE</v>
      </c>
      <c r="FO176" s="4"/>
      <c r="FP176" s="4">
        <v>45605</v>
      </c>
      <c r="FQ176" s="4">
        <f>DATE(YEAR(FP176)+2,MONTH(FP176),DAY(FP176)-1)</f>
        <v>46334</v>
      </c>
      <c r="FR176" s="8">
        <f t="shared" ca="1" si="523"/>
        <v>200</v>
      </c>
      <c r="FS176" s="5" t="str">
        <f t="shared" ca="1" si="524"/>
        <v>VIGENTE</v>
      </c>
      <c r="FT176" s="4"/>
      <c r="FU176" s="4">
        <v>45700</v>
      </c>
      <c r="FV176" s="4">
        <f>DATE(YEAR(FU176)+2,MONTH(FU176),DAY(FU176)-1)</f>
        <v>46429</v>
      </c>
      <c r="FW176" s="8">
        <f t="shared" ca="1" si="525"/>
        <v>295</v>
      </c>
      <c r="FX176" s="5" t="str">
        <f t="shared" ca="1" si="526"/>
        <v>VIGENTE</v>
      </c>
      <c r="FY176" s="4"/>
      <c r="FZ176" s="4">
        <v>45626</v>
      </c>
      <c r="GA176" s="4">
        <f>DATE(YEAR(FZ176)+2,MONTH(FZ176),DAY(FZ176)-1)</f>
        <v>46355</v>
      </c>
      <c r="GB176" s="8">
        <f t="shared" ca="1" si="527"/>
        <v>221</v>
      </c>
      <c r="GC176" s="5" t="str">
        <f t="shared" ca="1" si="528"/>
        <v>VIGENTE</v>
      </c>
      <c r="GD176" s="4"/>
      <c r="GE176" s="4">
        <v>45672</v>
      </c>
      <c r="GF176" s="4">
        <f>DATE(YEAR(GE176)+2,MONTH(GE176),DAY(GE176)-1)</f>
        <v>46401</v>
      </c>
      <c r="GG176" s="8">
        <f t="shared" ca="1" si="529"/>
        <v>267</v>
      </c>
      <c r="GH176" s="5" t="str">
        <f t="shared" ca="1" si="530"/>
        <v>VIGENTE</v>
      </c>
      <c r="GI176" s="4"/>
      <c r="GJ176" s="4">
        <v>45608</v>
      </c>
      <c r="GK176" s="4">
        <f>DATE(YEAR(GJ176)+2,MONTH(GJ176),DAY(GJ176)-1)</f>
        <v>46337</v>
      </c>
      <c r="GL176" s="8">
        <f t="shared" ca="1" si="531"/>
        <v>203</v>
      </c>
      <c r="GM176" s="5" t="str">
        <f t="shared" ca="1" si="532"/>
        <v>VIGENTE</v>
      </c>
      <c r="GN176" s="4"/>
      <c r="GO176" s="6"/>
      <c r="GP176" s="4">
        <f t="shared" si="533"/>
        <v>1827</v>
      </c>
      <c r="GQ176" s="8">
        <f t="shared" ca="1" si="620"/>
        <v>-44307</v>
      </c>
      <c r="GR176" s="5" t="str">
        <f ca="1">IF(GQ176&gt;=61,"VIGENTE",IF(GQ176&gt;=1,"POR VENCER",IF(GQ176&lt;=-1,"PROGRAMAR",IF(GO176=0,"NO APLICA"))))</f>
        <v>PROGRAMAR</v>
      </c>
      <c r="GS176" s="4"/>
      <c r="GT176" s="6"/>
      <c r="GU176" s="4">
        <f t="shared" si="534"/>
        <v>1827</v>
      </c>
      <c r="GV176" s="8">
        <f t="shared" ca="1" si="535"/>
        <v>-44307</v>
      </c>
      <c r="GW176" s="5" t="str">
        <f ca="1">IF(GV176&gt;=61,"VIGENTE",IF(GV176&gt;=1,"POR VENCER",IF(GV176&lt;=-1,"PROGRAMAR",IF(GT176=0,"NO APLICA"))))</f>
        <v>PROGRAMAR</v>
      </c>
      <c r="GX176" s="6"/>
      <c r="GY176" s="6"/>
      <c r="GZ176" s="4">
        <f t="shared" si="536"/>
        <v>1827</v>
      </c>
      <c r="HA176" s="8">
        <f t="shared" ca="1" si="537"/>
        <v>-44307</v>
      </c>
      <c r="HB176" s="5" t="str">
        <f ca="1">IF(HA176&gt;=61,"VIGENTE",IF(HA176&gt;=1,"POR VENCER",IF(HA176&lt;=-1,"PROGRAMAR",IF(GY176=0,"NO APLICA"))))</f>
        <v>PROGRAMAR</v>
      </c>
      <c r="HC176" s="6"/>
      <c r="HD176" s="6"/>
      <c r="HE176" s="4">
        <f t="shared" si="622"/>
        <v>1827</v>
      </c>
      <c r="HF176" s="8">
        <f t="shared" ca="1" si="623"/>
        <v>-44307</v>
      </c>
      <c r="HG176" s="5" t="str">
        <f ca="1">IF(HF176&gt;=61,"VIGENTE",IF(HF176&gt;=1,"POR VENCER",IF(HF176&lt;=-1,"PROGRAMAR",IF(HD176=0,"NO APLICA"))))</f>
        <v>PROGRAMAR</v>
      </c>
      <c r="HH176" s="6"/>
      <c r="HI176" s="6"/>
      <c r="HJ176" s="6"/>
      <c r="HK176" s="6"/>
      <c r="HL176" s="5" t="str">
        <f t="shared" si="457"/>
        <v>NO APLICA</v>
      </c>
      <c r="HM176" s="6"/>
      <c r="HN176" s="6"/>
      <c r="HO176" s="6"/>
      <c r="HP176" s="6"/>
      <c r="HQ176" s="5" t="str">
        <f t="shared" si="538"/>
        <v>NO APLICA</v>
      </c>
      <c r="HR176" s="6"/>
      <c r="HS176" s="6"/>
      <c r="HT176" s="6"/>
      <c r="HU176" s="6"/>
      <c r="HV176" s="5" t="str">
        <f t="shared" si="539"/>
        <v>NO APLICA</v>
      </c>
      <c r="HW176" s="6"/>
      <c r="HX176" s="6"/>
      <c r="HY176" s="6"/>
      <c r="HZ176" s="6"/>
      <c r="IA176" s="5" t="str">
        <f t="shared" si="540"/>
        <v>NO APLICA</v>
      </c>
      <c r="IB176" s="6"/>
      <c r="IC176" s="6"/>
      <c r="ID176" s="6"/>
      <c r="IE176" s="6"/>
      <c r="IF176" s="5" t="str">
        <f t="shared" si="541"/>
        <v>NO APLICA</v>
      </c>
      <c r="IG176" s="6"/>
      <c r="IH176" s="6"/>
      <c r="II176" s="6"/>
      <c r="IJ176" s="6"/>
      <c r="IK176" s="5" t="str">
        <f t="shared" si="542"/>
        <v>NO APLICA</v>
      </c>
      <c r="IL176" s="6"/>
      <c r="IM176" s="6"/>
      <c r="IN176" s="6"/>
      <c r="IO176" s="6"/>
      <c r="IP176" s="5" t="str">
        <f t="shared" si="543"/>
        <v>NO APLICA</v>
      </c>
      <c r="IQ176" s="6"/>
      <c r="IR176" s="6"/>
      <c r="IS176" s="6"/>
      <c r="IT176" s="6"/>
      <c r="IU176" s="5" t="str">
        <f t="shared" si="544"/>
        <v>NO APLICA</v>
      </c>
      <c r="IV176" s="6"/>
      <c r="IW176" s="6"/>
      <c r="IX176" s="6"/>
      <c r="IY176" s="6"/>
      <c r="IZ176" s="5" t="str">
        <f t="shared" si="545"/>
        <v>NO APLICA</v>
      </c>
      <c r="JA176" s="6"/>
      <c r="JB176" s="6"/>
      <c r="JC176" s="6"/>
      <c r="JD176" s="6"/>
      <c r="JE176" s="5" t="str">
        <f t="shared" si="546"/>
        <v>NO APLICA</v>
      </c>
      <c r="JF176" s="6"/>
      <c r="JG176" s="6"/>
      <c r="JH176" s="6"/>
      <c r="JI176" s="6"/>
      <c r="JJ176" s="5" t="str">
        <f t="shared" si="547"/>
        <v>NO APLICA</v>
      </c>
      <c r="JK176" s="6"/>
      <c r="JL176" s="6"/>
      <c r="JM176" s="6"/>
      <c r="JN176" s="6"/>
      <c r="JO176" s="5" t="str">
        <f t="shared" si="548"/>
        <v>NO APLICA</v>
      </c>
      <c r="JP176" s="6"/>
      <c r="JQ176" s="6"/>
      <c r="JR176" s="6"/>
      <c r="JS176" s="6"/>
      <c r="JT176" s="5" t="str">
        <f t="shared" si="549"/>
        <v>NO APLICA</v>
      </c>
      <c r="JU176" s="5"/>
      <c r="JV176" s="5"/>
      <c r="JW176" s="5"/>
      <c r="JX176" s="5"/>
      <c r="JY176" s="5" t="str">
        <f t="shared" si="550"/>
        <v>NO APLICA</v>
      </c>
      <c r="JZ176" s="5"/>
      <c r="KA176" s="6"/>
      <c r="KB176" s="6"/>
      <c r="KC176" s="6"/>
      <c r="KD176" s="5" t="str">
        <f t="shared" si="551"/>
        <v>NO APLICA</v>
      </c>
      <c r="KE176" s="5"/>
      <c r="KF176" s="6"/>
      <c r="KG176" s="6"/>
      <c r="KH176" s="6"/>
      <c r="KI176" s="5" t="str">
        <f t="shared" si="576"/>
        <v>NO APLICA</v>
      </c>
      <c r="KJ176" s="5"/>
      <c r="KK176" s="6"/>
      <c r="KL176" s="6"/>
      <c r="KM176" s="6"/>
      <c r="KN176" s="5" t="str">
        <f t="shared" si="552"/>
        <v>NO APLICA</v>
      </c>
      <c r="KO176" s="5"/>
      <c r="KP176" s="6"/>
      <c r="KQ176" s="6"/>
      <c r="KR176" s="6"/>
      <c r="KS176" s="5" t="str">
        <f t="shared" si="577"/>
        <v>NO APLICA</v>
      </c>
      <c r="KT176" s="6"/>
      <c r="KU176" s="6"/>
      <c r="KV176" s="6"/>
      <c r="KW176" s="6"/>
      <c r="KX176" s="5" t="str">
        <f t="shared" si="583"/>
        <v>NO APLICA</v>
      </c>
      <c r="KY176" s="5"/>
      <c r="KZ176" s="6"/>
      <c r="LA176" s="6"/>
      <c r="LB176" s="6"/>
      <c r="LC176" s="5" t="str">
        <f t="shared" si="578"/>
        <v>NO APLICA</v>
      </c>
      <c r="LD176" s="6"/>
      <c r="LE176" s="6"/>
      <c r="LF176" s="6"/>
      <c r="LG176" s="6"/>
      <c r="LH176" s="5" t="str">
        <f t="shared" si="619"/>
        <v>NO APLICA</v>
      </c>
      <c r="LI176" s="5"/>
      <c r="LJ176" s="5"/>
      <c r="LK176" s="5"/>
      <c r="LL176" s="5"/>
      <c r="LM176" s="5" t="str">
        <f t="shared" si="584"/>
        <v>NO APLICA</v>
      </c>
      <c r="LN176" s="6"/>
      <c r="LO176" s="6"/>
      <c r="LP176" s="6"/>
      <c r="LQ176" s="6"/>
      <c r="LR176" s="5" t="str">
        <f t="shared" si="579"/>
        <v>NO APLICA</v>
      </c>
      <c r="LS176" s="6"/>
      <c r="LT176" s="6"/>
      <c r="LU176" s="6"/>
      <c r="LV176" s="6"/>
      <c r="LW176" s="5" t="str">
        <f t="shared" si="580"/>
        <v>NO APLICA</v>
      </c>
      <c r="LX176" s="6"/>
      <c r="LY176" s="6"/>
      <c r="LZ176" s="6"/>
      <c r="MA176" s="6"/>
      <c r="MB176" s="5" t="str">
        <f t="shared" si="581"/>
        <v>NO APLICA</v>
      </c>
      <c r="MC176" s="6"/>
      <c r="MD176" s="6"/>
      <c r="ME176" s="6"/>
      <c r="MF176" s="6"/>
      <c r="MG176" s="5" t="str">
        <f t="shared" si="554"/>
        <v>NO APLICA</v>
      </c>
      <c r="MH176" s="6"/>
      <c r="MI176" s="6"/>
      <c r="MJ176" s="6"/>
      <c r="MK176" s="6"/>
      <c r="ML176" s="5" t="str">
        <f t="shared" si="555"/>
        <v>NO APLICA</v>
      </c>
      <c r="MM176" s="5"/>
      <c r="MN176" s="6"/>
      <c r="MO176" s="6"/>
      <c r="MP176" s="6"/>
      <c r="MQ176" s="5" t="str">
        <f t="shared" si="556"/>
        <v>NO APLICA</v>
      </c>
      <c r="MR176" s="5"/>
      <c r="MS176" s="6"/>
      <c r="MT176" s="6"/>
      <c r="MU176" s="6"/>
      <c r="MV176" s="5" t="str">
        <f t="shared" si="557"/>
        <v>NO APLICA</v>
      </c>
      <c r="MW176" s="6"/>
      <c r="MX176" s="6"/>
      <c r="MY176" s="6"/>
      <c r="MZ176" s="6"/>
      <c r="NA176" s="5" t="str">
        <f t="shared" si="558"/>
        <v>NO APLICA</v>
      </c>
      <c r="NB176" s="6"/>
      <c r="NC176" s="6"/>
      <c r="ND176" s="6"/>
      <c r="NE176" s="6"/>
      <c r="NF176" s="5" t="str">
        <f t="shared" si="559"/>
        <v>NO APLICA</v>
      </c>
      <c r="NG176" s="6"/>
      <c r="NH176" s="6"/>
      <c r="NI176" s="6"/>
      <c r="NJ176" s="6"/>
      <c r="NK176" s="5" t="str">
        <f t="shared" si="560"/>
        <v>NO APLICA</v>
      </c>
      <c r="NL176" s="6"/>
      <c r="NM176" s="6"/>
      <c r="NN176" s="6"/>
      <c r="NO176" s="6"/>
      <c r="NP176" s="5" t="str">
        <f t="shared" si="561"/>
        <v>NO APLICA</v>
      </c>
      <c r="NQ176" s="6"/>
      <c r="NR176" s="6"/>
      <c r="NS176" s="6"/>
      <c r="NT176" s="6"/>
      <c r="NU176" s="5" t="str">
        <f t="shared" si="562"/>
        <v>NO APLICA</v>
      </c>
      <c r="NV176" s="6"/>
      <c r="NW176" s="6"/>
      <c r="NX176" s="6"/>
      <c r="NY176" s="6"/>
      <c r="NZ176" s="5" t="str">
        <f t="shared" si="563"/>
        <v>NO APLICA</v>
      </c>
      <c r="OA176" s="6"/>
      <c r="OB176" s="6"/>
      <c r="OC176" s="6"/>
      <c r="OD176" s="6"/>
      <c r="OE176" s="5" t="str">
        <f t="shared" si="564"/>
        <v>NO APLICA</v>
      </c>
      <c r="OF176" s="6"/>
      <c r="OG176" s="6"/>
      <c r="OH176" s="6"/>
      <c r="OI176" s="6"/>
      <c r="OJ176" s="5" t="str">
        <f t="shared" si="565"/>
        <v>NO APLICA</v>
      </c>
      <c r="OK176" s="6"/>
      <c r="OL176" s="6"/>
      <c r="OM176" s="6"/>
      <c r="ON176" s="6"/>
      <c r="OO176" s="5" t="str">
        <f t="shared" si="566"/>
        <v>NO APLICA</v>
      </c>
      <c r="OP176" s="6"/>
      <c r="OQ176" s="6"/>
      <c r="OR176" s="6"/>
      <c r="OS176" s="6"/>
      <c r="OT176" s="5" t="str">
        <f t="shared" si="567"/>
        <v>NO APLICA</v>
      </c>
      <c r="OU176" s="6"/>
      <c r="OV176" s="6"/>
      <c r="OW176" s="6"/>
      <c r="OX176" s="6"/>
      <c r="OY176" s="5" t="str">
        <f t="shared" si="568"/>
        <v>NO APLICA</v>
      </c>
      <c r="OZ176" s="6"/>
      <c r="PA176" s="6"/>
      <c r="PB176" s="6"/>
      <c r="PC176" s="6"/>
      <c r="PD176" s="5" t="str">
        <f t="shared" si="569"/>
        <v>NO APLICA</v>
      </c>
      <c r="PE176" s="6"/>
      <c r="PF176" s="6"/>
      <c r="PG176" s="6"/>
      <c r="PH176" s="6"/>
      <c r="PI176" s="5" t="str">
        <f t="shared" si="570"/>
        <v>NO APLICA</v>
      </c>
      <c r="PJ176" s="5"/>
      <c r="PK176" s="6"/>
      <c r="PL176" s="6"/>
      <c r="PM176" s="6"/>
      <c r="PN176" s="5" t="str">
        <f t="shared" si="571"/>
        <v>NO APLICA</v>
      </c>
      <c r="PO176" s="6"/>
      <c r="PP176" s="6"/>
      <c r="PQ176" s="6"/>
      <c r="PR176" s="6"/>
      <c r="PS176" s="5" t="str">
        <f t="shared" si="572"/>
        <v>NO APLICA</v>
      </c>
      <c r="PT176" s="5"/>
      <c r="PU176" s="6"/>
      <c r="PV176" s="6"/>
      <c r="PW176" s="6"/>
      <c r="PX176" s="5" t="str">
        <f t="shared" si="573"/>
        <v>NO APLICA</v>
      </c>
    </row>
    <row r="177" spans="1:440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567</v>
      </c>
      <c r="V177" s="4">
        <v>45261</v>
      </c>
      <c r="W177" s="4">
        <f t="shared" si="606"/>
        <v>47088</v>
      </c>
      <c r="X177" s="8">
        <f t="shared" ca="1" si="607"/>
        <v>954</v>
      </c>
      <c r="Y177" s="5" t="str">
        <f t="shared" ca="1" si="624"/>
        <v>VIGENTE</v>
      </c>
      <c r="Z177" s="6" t="s">
        <v>568</v>
      </c>
      <c r="AA177" s="4">
        <v>45464</v>
      </c>
      <c r="AB177" s="4">
        <f>DATE(YEAR(AA177)+5,MONTH(AA177),DAY(AA177))</f>
        <v>47290</v>
      </c>
      <c r="AC177" s="8">
        <f ca="1">AB177-TODAY()</f>
        <v>1156</v>
      </c>
      <c r="AD177" s="5" t="str">
        <f t="shared" ref="AD177:AD240" ca="1" si="627">IF(AC177&gt;=91,"VIGENTE",IF(AC177&gt;=1,"POR VENCER",IF(AC177&lt;=-1,"VENCIDA",IF(AA177=0,"NO APLICA"))))</f>
        <v>VIGENTE</v>
      </c>
      <c r="AE177" s="4"/>
      <c r="AF177" s="4">
        <v>46006</v>
      </c>
      <c r="AG177" s="4">
        <f>DATE(YEAR(AF177)+2,MONTH(AF177),DAY(AF177))</f>
        <v>46736</v>
      </c>
      <c r="AH177" s="8">
        <f t="shared" ca="1" si="470"/>
        <v>602</v>
      </c>
      <c r="AI177" s="5" t="str">
        <f t="shared" ca="1" si="621"/>
        <v>VIGENTE</v>
      </c>
      <c r="AJ177" s="6"/>
      <c r="AK177" s="4">
        <v>46062</v>
      </c>
      <c r="AL177" s="4">
        <f>DATE(YEAR(AK177)+2,MONTH(AK177),DAY(AK177))</f>
        <v>46792</v>
      </c>
      <c r="AM177" s="8">
        <f t="shared" ca="1" si="471"/>
        <v>658</v>
      </c>
      <c r="AN177" s="5" t="str">
        <f t="shared" ca="1" si="472"/>
        <v>VIGENTE</v>
      </c>
      <c r="AO177" s="6"/>
      <c r="AP177" s="4">
        <v>46048</v>
      </c>
      <c r="AQ177" s="4">
        <f t="shared" ref="AQ177:AQ183" si="628">DATE(YEAR(AP177)+2,MONTH(AP177),DAY(AP177))</f>
        <v>46778</v>
      </c>
      <c r="AR177" s="8">
        <f t="shared" ca="1" si="473"/>
        <v>644</v>
      </c>
      <c r="AS177" s="5" t="str">
        <f t="shared" ca="1" si="474"/>
        <v>VIGENTE</v>
      </c>
      <c r="AT177" s="6"/>
      <c r="AU177" s="4">
        <v>46070</v>
      </c>
      <c r="AV177" s="4">
        <f>DATE(YEAR(AU177)+2,MONTH(AU177),DAY(AU177))</f>
        <v>46800</v>
      </c>
      <c r="AW177" s="8">
        <f t="shared" ca="1" si="475"/>
        <v>666</v>
      </c>
      <c r="AX177" s="5" t="str">
        <f t="shared" ca="1" si="476"/>
        <v>VIGENTE</v>
      </c>
      <c r="AY177" s="3"/>
      <c r="AZ177" s="4">
        <v>46041</v>
      </c>
      <c r="BA177" s="4">
        <f>DATE(YEAR(AZ177)+2,MONTH(AZ177),DAY(AZ177))</f>
        <v>46771</v>
      </c>
      <c r="BB177" s="8">
        <f t="shared" ca="1" si="477"/>
        <v>637</v>
      </c>
      <c r="BC177" s="5" t="str">
        <f t="shared" ca="1" si="478"/>
        <v>VIGENTE</v>
      </c>
      <c r="BD177" s="6"/>
      <c r="BE177" s="4">
        <v>46067</v>
      </c>
      <c r="BF177" s="4">
        <f>DATE(YEAR(BE177)+2,MONTH(BE177),DAY(BE177))</f>
        <v>46797</v>
      </c>
      <c r="BG177" s="8">
        <f t="shared" ca="1" si="479"/>
        <v>663</v>
      </c>
      <c r="BH177" s="5" t="str">
        <f t="shared" ca="1" si="480"/>
        <v>VIGENTE</v>
      </c>
      <c r="BI177" s="4"/>
      <c r="BJ177" s="4">
        <v>46035</v>
      </c>
      <c r="BK177" s="4">
        <f>DATE(YEAR(BJ177)+2,MONTH(BJ177),DAY(BJ177))</f>
        <v>46765</v>
      </c>
      <c r="BL177" s="8">
        <f t="shared" ca="1" si="481"/>
        <v>631</v>
      </c>
      <c r="BM177" s="5" t="str">
        <f t="shared" ca="1" si="482"/>
        <v>VIGENTE</v>
      </c>
      <c r="BN177" s="4"/>
      <c r="BO177" s="4">
        <v>46050</v>
      </c>
      <c r="BP177" s="4">
        <f>DATE(YEAR(BO177)+2,MONTH(BO177),DAY(BO177))</f>
        <v>46780</v>
      </c>
      <c r="BQ177" s="8">
        <f t="shared" ca="1" si="483"/>
        <v>646</v>
      </c>
      <c r="BR177" s="5" t="str">
        <f t="shared" ca="1" si="484"/>
        <v>VIGENTE</v>
      </c>
      <c r="BS177" s="3"/>
      <c r="BT177" s="4">
        <v>46031</v>
      </c>
      <c r="BU177" s="4">
        <f>DATE(YEAR(BT177)+2,MONTH(BT177),DAY(BT177))</f>
        <v>46761</v>
      </c>
      <c r="BV177" s="8">
        <f t="shared" ca="1" si="485"/>
        <v>627</v>
      </c>
      <c r="BW177" s="5" t="str">
        <f t="shared" ca="1" si="486"/>
        <v>VIGENTE</v>
      </c>
      <c r="BX177" s="4"/>
      <c r="BY177" s="4">
        <v>46095</v>
      </c>
      <c r="BZ177" s="4">
        <f>DATE(YEAR(BY177)+2,MONTH(BY177),DAY(BY177))</f>
        <v>46826</v>
      </c>
      <c r="CA177" s="8">
        <f t="shared" ca="1" si="487"/>
        <v>692</v>
      </c>
      <c r="CB177" s="5" t="str">
        <f t="shared" ca="1" si="488"/>
        <v>VIGENTE</v>
      </c>
      <c r="CC177" s="6" t="s">
        <v>73</v>
      </c>
      <c r="CD177" s="4">
        <v>45346</v>
      </c>
      <c r="CE177" s="4">
        <f t="shared" si="609"/>
        <v>46807</v>
      </c>
      <c r="CF177" s="8">
        <f t="shared" ca="1" si="610"/>
        <v>673</v>
      </c>
      <c r="CG177" s="5" t="str">
        <f t="shared" ca="1" si="591"/>
        <v>VIGENTE</v>
      </c>
      <c r="CH177" s="4"/>
      <c r="CI177" s="4">
        <v>46018</v>
      </c>
      <c r="CJ177" s="4">
        <f>DATE(YEAR(CI177)+2,MONTH(CI177),DAY(CI177))</f>
        <v>46748</v>
      </c>
      <c r="CK177" s="8">
        <f t="shared" ca="1" si="489"/>
        <v>614</v>
      </c>
      <c r="CL177" s="5" t="str">
        <f t="shared" ca="1" si="490"/>
        <v>VIGENTE</v>
      </c>
      <c r="CM177" s="4"/>
      <c r="CN177" s="4">
        <v>46101</v>
      </c>
      <c r="CO177" s="4">
        <f>DATE(YEAR(CN177)+2,MONTH(CN177),DAY(CN177))</f>
        <v>46832</v>
      </c>
      <c r="CP177" s="8">
        <f t="shared" ca="1" si="491"/>
        <v>698</v>
      </c>
      <c r="CQ177" s="5" t="str">
        <f t="shared" ca="1" si="492"/>
        <v>VIGENTE</v>
      </c>
      <c r="CR177" s="4"/>
      <c r="CS177" s="4">
        <v>46043</v>
      </c>
      <c r="CT177" s="4">
        <f>DATE(YEAR(CS177)+2,MONTH(CS177),DAY(CS177))</f>
        <v>46773</v>
      </c>
      <c r="CU177" s="8">
        <f t="shared" ca="1" si="493"/>
        <v>639</v>
      </c>
      <c r="CV177" s="5" t="str">
        <f t="shared" ca="1" si="494"/>
        <v>VIGENTE</v>
      </c>
      <c r="CW177" s="4"/>
      <c r="CX177" s="4">
        <v>46098</v>
      </c>
      <c r="CY177" s="4">
        <f>DATE(YEAR(CX177)+2,MONTH(CX177),DAY(CX177))</f>
        <v>46829</v>
      </c>
      <c r="CZ177" s="8">
        <f t="shared" ca="1" si="495"/>
        <v>695</v>
      </c>
      <c r="DA177" s="5" t="str">
        <f t="shared" ca="1" si="496"/>
        <v>VIGENTE</v>
      </c>
      <c r="DB177" s="4"/>
      <c r="DC177" s="4">
        <v>46045</v>
      </c>
      <c r="DD177" s="4">
        <f>DATE(YEAR(DC177)+2,MONTH(DC177),DAY(DC177))</f>
        <v>46775</v>
      </c>
      <c r="DE177" s="8">
        <f t="shared" ca="1" si="497"/>
        <v>641</v>
      </c>
      <c r="DF177" s="5" t="str">
        <f t="shared" ca="1" si="498"/>
        <v>VIGENTE</v>
      </c>
      <c r="DG177" s="6"/>
      <c r="DH177" s="4">
        <v>46073</v>
      </c>
      <c r="DI177" s="4">
        <f>DATE(YEAR(DH177)+2,MONTH(DH177),DAY(DH177))</f>
        <v>46803</v>
      </c>
      <c r="DJ177" s="8">
        <f t="shared" ca="1" si="499"/>
        <v>669</v>
      </c>
      <c r="DK177" s="5" t="str">
        <f t="shared" ca="1" si="500"/>
        <v>VIGENTE</v>
      </c>
      <c r="DL177" s="4"/>
      <c r="DM177" s="4">
        <v>46046</v>
      </c>
      <c r="DN177" s="4">
        <f>DATE(YEAR(DM177)+2,MONTH(DM177),DAY(DM177))</f>
        <v>46776</v>
      </c>
      <c r="DO177" s="8">
        <f t="shared" ca="1" si="501"/>
        <v>642</v>
      </c>
      <c r="DP177" s="5" t="str">
        <f t="shared" ca="1" si="502"/>
        <v>VIGENTE</v>
      </c>
      <c r="DQ177" s="6"/>
      <c r="DR177" s="4">
        <v>46072</v>
      </c>
      <c r="DS177" s="4">
        <f>DATE(YEAR(DR177)+2,MONTH(DR177),DAY(DR177))</f>
        <v>46802</v>
      </c>
      <c r="DT177" s="8">
        <f t="shared" ca="1" si="503"/>
        <v>668</v>
      </c>
      <c r="DU177" s="5" t="str">
        <f t="shared" ca="1" si="504"/>
        <v>VIGENTE</v>
      </c>
      <c r="DV177" s="4"/>
      <c r="DW177" s="4">
        <v>46099</v>
      </c>
      <c r="DX177" s="4">
        <f>DATE(YEAR(DW177)+2,MONTH(DW177),DAY(DW177))</f>
        <v>46830</v>
      </c>
      <c r="DY177" s="8">
        <f t="shared" ca="1" si="505"/>
        <v>696</v>
      </c>
      <c r="DZ177" s="5" t="str">
        <f t="shared" ca="1" si="506"/>
        <v>VIGENTE</v>
      </c>
      <c r="EA177" s="4"/>
      <c r="EB177" s="4">
        <v>46104</v>
      </c>
      <c r="EC177" s="4">
        <f>DATE(YEAR(EB177)+2,MONTH(EB177),DAY(EB177))</f>
        <v>46835</v>
      </c>
      <c r="ED177" s="8">
        <f t="shared" ca="1" si="507"/>
        <v>701</v>
      </c>
      <c r="EE177" s="5" t="str">
        <f t="shared" ca="1" si="508"/>
        <v>VIGENTE</v>
      </c>
      <c r="EF177" s="4"/>
      <c r="EG177" s="4">
        <v>45808</v>
      </c>
      <c r="EH177" s="4">
        <f t="shared" si="575"/>
        <v>46173</v>
      </c>
      <c r="EI177" s="8">
        <f t="shared" ca="1" si="509"/>
        <v>39</v>
      </c>
      <c r="EJ177" s="5" t="str">
        <f t="shared" ca="1" si="510"/>
        <v>POR VENCER</v>
      </c>
      <c r="EK177" s="4"/>
      <c r="EL177" s="4">
        <v>46100</v>
      </c>
      <c r="EM177" s="4">
        <f>DATE(YEAR(EL177)+2,MONTH(EL177),DAY(EL177))</f>
        <v>46831</v>
      </c>
      <c r="EN177" s="8">
        <f t="shared" ca="1" si="511"/>
        <v>697</v>
      </c>
      <c r="EO177" s="5" t="str">
        <f t="shared" ca="1" si="512"/>
        <v>VIGENTE</v>
      </c>
      <c r="EP177" s="6"/>
      <c r="EQ177" s="4">
        <v>45999</v>
      </c>
      <c r="ER177" s="4">
        <f>DATE(YEAR(EQ177)+2,MONTH(EQ177),DAY(EQ177))</f>
        <v>46729</v>
      </c>
      <c r="ES177" s="8">
        <f t="shared" ca="1" si="513"/>
        <v>595</v>
      </c>
      <c r="ET177" s="5" t="str">
        <f t="shared" ca="1" si="514"/>
        <v>VIGENTE</v>
      </c>
      <c r="EU177" s="4"/>
      <c r="EV177" s="4">
        <v>45917</v>
      </c>
      <c r="EW177" s="4">
        <f t="shared" ref="EW177:EW186" si="629">DATE(YEAR(EV177)+2,MONTH(EV177),DAY(EV177))</f>
        <v>46647</v>
      </c>
      <c r="EX177" s="8">
        <f t="shared" ca="1" si="515"/>
        <v>513</v>
      </c>
      <c r="EY177" s="5" t="str">
        <f t="shared" ca="1" si="516"/>
        <v>VIGENTE</v>
      </c>
      <c r="EZ177" s="6"/>
      <c r="FA177" s="4">
        <v>46091</v>
      </c>
      <c r="FB177" s="4">
        <f>DATE(YEAR(FA177)+2,MONTH(FA177),DAY(FA177))</f>
        <v>46822</v>
      </c>
      <c r="FC177" s="8">
        <f t="shared" ca="1" si="517"/>
        <v>688</v>
      </c>
      <c r="FD177" s="5" t="str">
        <f t="shared" ca="1" si="518"/>
        <v>VIGENTE</v>
      </c>
      <c r="FE177" s="6"/>
      <c r="FF177" s="4">
        <v>45992</v>
      </c>
      <c r="FG177" s="4">
        <f>DATE(YEAR(FF177)+2,MONTH(FF177),DAY(FF177))</f>
        <v>46722</v>
      </c>
      <c r="FH177" s="8">
        <f t="shared" ca="1" si="519"/>
        <v>588</v>
      </c>
      <c r="FI177" s="5" t="str">
        <f t="shared" ca="1" si="520"/>
        <v>VIGENTE</v>
      </c>
      <c r="FJ177" s="4"/>
      <c r="FK177" s="4">
        <v>45920</v>
      </c>
      <c r="FL177" s="4">
        <f>DATE(YEAR(FK177)+2,MONTH(FK177),DAY(FK177))</f>
        <v>46650</v>
      </c>
      <c r="FM177" s="8">
        <f t="shared" ca="1" si="521"/>
        <v>516</v>
      </c>
      <c r="FN177" s="5" t="str">
        <f t="shared" ca="1" si="522"/>
        <v>VIGENTE</v>
      </c>
      <c r="FO177" s="4"/>
      <c r="FP177" s="4">
        <v>46034</v>
      </c>
      <c r="FQ177" s="4">
        <f>DATE(YEAR(FP177)+2,MONTH(FP177),DAY(FP177))</f>
        <v>46764</v>
      </c>
      <c r="FR177" s="8">
        <f t="shared" ca="1" si="523"/>
        <v>630</v>
      </c>
      <c r="FS177" s="5" t="str">
        <f t="shared" ca="1" si="524"/>
        <v>VIGENTE</v>
      </c>
      <c r="FT177" s="4"/>
      <c r="FU177" s="4">
        <v>46014</v>
      </c>
      <c r="FV177" s="4">
        <f>DATE(YEAR(FU177)+2,MONTH(FU177),DAY(FU177))</f>
        <v>46744</v>
      </c>
      <c r="FW177" s="8">
        <f t="shared" ca="1" si="525"/>
        <v>610</v>
      </c>
      <c r="FX177" s="5" t="str">
        <f t="shared" ca="1" si="526"/>
        <v>VIGENTE</v>
      </c>
      <c r="FY177" s="4"/>
      <c r="FZ177" s="4">
        <v>46030</v>
      </c>
      <c r="GA177" s="4">
        <f>DATE(YEAR(FZ177)+2,MONTH(FZ177),DAY(FZ177))</f>
        <v>46760</v>
      </c>
      <c r="GB177" s="8">
        <f t="shared" ca="1" si="527"/>
        <v>626</v>
      </c>
      <c r="GC177" s="5" t="str">
        <f t="shared" ca="1" si="528"/>
        <v>VIGENTE</v>
      </c>
      <c r="GD177" s="4"/>
      <c r="GE177" s="4">
        <v>46036</v>
      </c>
      <c r="GF177" s="4">
        <f>DATE(YEAR(GE177)+2,MONTH(GE177),DAY(GE177))</f>
        <v>46766</v>
      </c>
      <c r="GG177" s="8">
        <f t="shared" ca="1" si="529"/>
        <v>632</v>
      </c>
      <c r="GH177" s="5" t="str">
        <f t="shared" ca="1" si="530"/>
        <v>VIGENTE</v>
      </c>
      <c r="GI177" s="4"/>
      <c r="GJ177" s="4">
        <v>45923</v>
      </c>
      <c r="GK177" s="4">
        <f>DATE(YEAR(GJ177)+2,MONTH(GJ177),DAY(GJ177))</f>
        <v>46653</v>
      </c>
      <c r="GL177" s="8">
        <f t="shared" ca="1" si="531"/>
        <v>519</v>
      </c>
      <c r="GM177" s="5" t="str">
        <f t="shared" ca="1" si="532"/>
        <v>VIGENTE</v>
      </c>
      <c r="GN177" s="4"/>
      <c r="GO177" s="4">
        <v>45367</v>
      </c>
      <c r="GP177" s="4">
        <f t="shared" si="533"/>
        <v>47193</v>
      </c>
      <c r="GQ177" s="8">
        <f t="shared" ca="1" si="620"/>
        <v>1059</v>
      </c>
      <c r="GR177" s="5" t="str">
        <f t="shared" ref="GR177:GR240" ca="1" si="630">IF(GQ177&gt;=91,"VIGENTE",IF(GQ177&gt;=1,"POR VENCER",IF(GQ177&lt;=-1,"VENCIDA",IF(GO177=0,"NO APLICA"))))</f>
        <v>VIGENTE</v>
      </c>
      <c r="GS177" s="4"/>
      <c r="GT177" s="4">
        <v>45389</v>
      </c>
      <c r="GU177" s="4">
        <f t="shared" si="534"/>
        <v>47215</v>
      </c>
      <c r="GV177" s="8">
        <f t="shared" ca="1" si="535"/>
        <v>1081</v>
      </c>
      <c r="GW177" s="5" t="str">
        <f t="shared" ref="GW177:GW240" ca="1" si="631">IF(GV177&gt;=91,"VIGENTE",IF(GV177&gt;=1,"POR VENCER",IF(GV177&lt;=-1,"VENCIDA",IF(GT177=0,"NO APLICA"))))</f>
        <v>VIGENTE</v>
      </c>
      <c r="GX177" s="6"/>
      <c r="GY177" s="4">
        <v>45348</v>
      </c>
      <c r="GZ177" s="4">
        <f t="shared" si="536"/>
        <v>47175</v>
      </c>
      <c r="HA177" s="8">
        <f t="shared" ca="1" si="537"/>
        <v>1041</v>
      </c>
      <c r="HB177" s="5" t="str">
        <f t="shared" ref="HB177:HB240" ca="1" si="632">IF(HA177&gt;=91,"VIGENTE",IF(HA177&gt;=1,"POR VENCER",IF(HA177&lt;=-1,"VENCIDA",IF(GY177=0,"NO APLICA"))))</f>
        <v>VIGENTE</v>
      </c>
      <c r="HC177" s="6"/>
      <c r="HD177" s="4">
        <v>45392</v>
      </c>
      <c r="HE177" s="4">
        <f t="shared" si="622"/>
        <v>47218</v>
      </c>
      <c r="HF177" s="8">
        <f t="shared" ca="1" si="623"/>
        <v>1084</v>
      </c>
      <c r="HG177" s="5" t="str">
        <f t="shared" ref="HG177:HG190" ca="1" si="633">IF(HF177&gt;=61,"VIGENTE",IF(HF177&gt;=1,"POR VENCER",IF(HF177&lt;=-1,"VENCIDA",IF(HD177=0,"NO APLICA"))))</f>
        <v>VIGENTE</v>
      </c>
      <c r="HH177" s="6"/>
      <c r="HI177" s="6"/>
      <c r="HJ177" s="4"/>
      <c r="HK177" s="8"/>
      <c r="HL177" s="5" t="str">
        <f t="shared" si="457"/>
        <v>NO APLICA</v>
      </c>
      <c r="HM177" s="2"/>
      <c r="HN177" s="2"/>
      <c r="HO177" s="4"/>
      <c r="HP177" s="2"/>
      <c r="HQ177" s="5" t="str">
        <f t="shared" si="538"/>
        <v>NO APLICA</v>
      </c>
      <c r="HR177" s="6"/>
      <c r="HS177" s="6"/>
      <c r="HT177" s="4"/>
      <c r="HU177" s="8"/>
      <c r="HV177" s="5" t="str">
        <f t="shared" si="539"/>
        <v>NO APLICA</v>
      </c>
      <c r="HW177" s="6"/>
      <c r="HX177" s="6"/>
      <c r="HY177" s="4"/>
      <c r="HZ177" s="8"/>
      <c r="IA177" s="5" t="str">
        <f t="shared" si="540"/>
        <v>NO APLICA</v>
      </c>
      <c r="IB177" s="6"/>
      <c r="IC177" s="6"/>
      <c r="ID177" s="4"/>
      <c r="IE177" s="8"/>
      <c r="IF177" s="5" t="str">
        <f t="shared" si="541"/>
        <v>NO APLICA</v>
      </c>
      <c r="IG177" s="6"/>
      <c r="IH177" s="6"/>
      <c r="II177" s="4"/>
      <c r="IJ177" s="6"/>
      <c r="IK177" s="5" t="str">
        <f t="shared" si="542"/>
        <v>NO APLICA</v>
      </c>
      <c r="IL177" s="6"/>
      <c r="IM177" s="6"/>
      <c r="IN177" s="4"/>
      <c r="IO177" s="8"/>
      <c r="IP177" s="5" t="str">
        <f t="shared" si="543"/>
        <v>NO APLICA</v>
      </c>
      <c r="IQ177" s="6"/>
      <c r="IR177" s="6"/>
      <c r="IS177" s="4"/>
      <c r="IT177" s="8"/>
      <c r="IU177" s="5" t="str">
        <f t="shared" si="544"/>
        <v>NO APLICA</v>
      </c>
      <c r="IV177" s="6"/>
      <c r="IW177" s="6"/>
      <c r="IX177" s="4"/>
      <c r="IY177" s="8"/>
      <c r="IZ177" s="5" t="str">
        <f t="shared" si="545"/>
        <v>NO APLICA</v>
      </c>
      <c r="JA177" s="3"/>
      <c r="JB177" s="3"/>
      <c r="JC177" s="4"/>
      <c r="JD177" s="8"/>
      <c r="JE177" s="5" t="str">
        <f t="shared" si="546"/>
        <v>NO APLICA</v>
      </c>
      <c r="JF177" s="6"/>
      <c r="JG177" s="6"/>
      <c r="JH177" s="6"/>
      <c r="JI177" s="6"/>
      <c r="JJ177" s="5" t="str">
        <f t="shared" si="547"/>
        <v>NO APLICA</v>
      </c>
      <c r="JK177" s="6"/>
      <c r="JL177" s="6"/>
      <c r="JM177" s="6"/>
      <c r="JN177" s="6"/>
      <c r="JO177" s="5" t="str">
        <f t="shared" si="548"/>
        <v>NO APLICA</v>
      </c>
      <c r="JP177" s="6"/>
      <c r="JQ177" s="6"/>
      <c r="JR177" s="6"/>
      <c r="JS177" s="6"/>
      <c r="JT177" s="5" t="str">
        <f t="shared" si="549"/>
        <v>NO APLICA</v>
      </c>
      <c r="JU177" s="5"/>
      <c r="JV177" s="5"/>
      <c r="JW177" s="5"/>
      <c r="JX177" s="5"/>
      <c r="JY177" s="5" t="str">
        <f t="shared" si="550"/>
        <v>NO APLICA</v>
      </c>
      <c r="JZ177" s="5"/>
      <c r="KA177" s="2"/>
      <c r="KB177" s="4"/>
      <c r="KC177" s="8"/>
      <c r="KD177" s="5" t="str">
        <f t="shared" si="551"/>
        <v>NO APLICA</v>
      </c>
      <c r="KE177" s="5"/>
      <c r="KF177" s="2"/>
      <c r="KG177" s="4"/>
      <c r="KH177" s="8"/>
      <c r="KI177" s="5" t="str">
        <f t="shared" si="576"/>
        <v>NO APLICA</v>
      </c>
      <c r="KJ177" s="5"/>
      <c r="KK177" s="2"/>
      <c r="KL177" s="4"/>
      <c r="KM177" s="8"/>
      <c r="KN177" s="5" t="str">
        <f t="shared" si="552"/>
        <v>NO APLICA</v>
      </c>
      <c r="KO177" s="5"/>
      <c r="KP177" s="3">
        <v>45346</v>
      </c>
      <c r="KQ177" s="4">
        <f>DATE(YEAR(KP177)+5,MONTH(KP177),DAY(KP177))</f>
        <v>47173</v>
      </c>
      <c r="KR177" s="8">
        <f ca="1">KQ177-TODAY()</f>
        <v>1039</v>
      </c>
      <c r="KS177" s="5" t="str">
        <f t="shared" ca="1" si="577"/>
        <v>VIGENTE</v>
      </c>
      <c r="KT177" s="6"/>
      <c r="KU177" s="6"/>
      <c r="KV177" s="4"/>
      <c r="KW177" s="6"/>
      <c r="KX177" s="5" t="str">
        <f t="shared" si="583"/>
        <v>NO APLICA</v>
      </c>
      <c r="KY177" s="5"/>
      <c r="KZ177" s="6"/>
      <c r="LA177" s="4"/>
      <c r="LB177" s="6"/>
      <c r="LC177" s="5" t="str">
        <f t="shared" si="578"/>
        <v>NO APLICA</v>
      </c>
      <c r="LD177" s="6"/>
      <c r="LE177" s="6"/>
      <c r="LF177" s="6"/>
      <c r="LG177" s="6"/>
      <c r="LH177" s="5" t="str">
        <f t="shared" si="619"/>
        <v>NO APLICA</v>
      </c>
      <c r="LI177" s="5"/>
      <c r="LJ177" s="5"/>
      <c r="LK177" s="4"/>
      <c r="LL177" s="8"/>
      <c r="LM177" s="5" t="str">
        <f t="shared" si="584"/>
        <v>NO APLICA</v>
      </c>
      <c r="LN177" s="6"/>
      <c r="LO177" s="6"/>
      <c r="LP177" s="4"/>
      <c r="LQ177" s="8"/>
      <c r="LR177" s="5" t="str">
        <f t="shared" si="579"/>
        <v>NO APLICA</v>
      </c>
      <c r="LS177" s="6"/>
      <c r="LT177" s="6"/>
      <c r="LU177" s="4"/>
      <c r="LV177" s="6"/>
      <c r="LW177" s="5" t="str">
        <f t="shared" si="580"/>
        <v>NO APLICA</v>
      </c>
      <c r="LX177" s="6"/>
      <c r="LY177" s="6"/>
      <c r="LZ177" s="4"/>
      <c r="MA177" s="6"/>
      <c r="MB177" s="5" t="str">
        <f t="shared" si="581"/>
        <v>NO APLICA</v>
      </c>
      <c r="MC177" s="6"/>
      <c r="MD177" s="6"/>
      <c r="ME177" s="4"/>
      <c r="MF177" s="6"/>
      <c r="MG177" s="5" t="str">
        <f t="shared" si="554"/>
        <v>NO APLICA</v>
      </c>
      <c r="MH177" s="6"/>
      <c r="MI177" s="6"/>
      <c r="MJ177" s="4"/>
      <c r="MK177" s="6"/>
      <c r="ML177" s="5" t="str">
        <f t="shared" si="555"/>
        <v>NO APLICA</v>
      </c>
      <c r="MM177" s="5"/>
      <c r="MN177" s="6"/>
      <c r="MO177" s="4"/>
      <c r="MP177" s="6"/>
      <c r="MQ177" s="5" t="str">
        <f t="shared" si="556"/>
        <v>NO APLICA</v>
      </c>
      <c r="MR177" s="5"/>
      <c r="MS177" s="6"/>
      <c r="MT177" s="6"/>
      <c r="MU177" s="6"/>
      <c r="MV177" s="5" t="str">
        <f t="shared" si="557"/>
        <v>NO APLICA</v>
      </c>
      <c r="MW177" s="6"/>
      <c r="MX177" s="6"/>
      <c r="MY177" s="4"/>
      <c r="MZ177" s="6"/>
      <c r="NA177" s="5" t="str">
        <f t="shared" si="558"/>
        <v>NO APLICA</v>
      </c>
      <c r="NB177" s="6"/>
      <c r="NC177" s="6"/>
      <c r="ND177" s="4"/>
      <c r="NE177" s="6"/>
      <c r="NF177" s="5" t="str">
        <f t="shared" si="559"/>
        <v>NO APLICA</v>
      </c>
      <c r="NG177" s="6"/>
      <c r="NH177" s="6"/>
      <c r="NI177" s="4"/>
      <c r="NJ177" s="6"/>
      <c r="NK177" s="5" t="str">
        <f t="shared" si="560"/>
        <v>NO APLICA</v>
      </c>
      <c r="NL177" s="6"/>
      <c r="NM177" s="6"/>
      <c r="NN177" s="4"/>
      <c r="NO177" s="6"/>
      <c r="NP177" s="5" t="str">
        <f t="shared" si="561"/>
        <v>NO APLICA</v>
      </c>
      <c r="NQ177" s="6"/>
      <c r="NR177" s="6"/>
      <c r="NS177" s="4"/>
      <c r="NT177" s="6"/>
      <c r="NU177" s="5" t="str">
        <f t="shared" si="562"/>
        <v>NO APLICA</v>
      </c>
      <c r="NV177" s="6"/>
      <c r="NW177" s="6"/>
      <c r="NX177" s="4"/>
      <c r="NY177" s="8"/>
      <c r="NZ177" s="5" t="str">
        <f t="shared" si="563"/>
        <v>NO APLICA</v>
      </c>
      <c r="OA177" s="6"/>
      <c r="OB177" s="6"/>
      <c r="OC177" s="6"/>
      <c r="OD177" s="6"/>
      <c r="OE177" s="5" t="str">
        <f t="shared" si="564"/>
        <v>NO APLICA</v>
      </c>
      <c r="OF177" s="6"/>
      <c r="OG177" s="6"/>
      <c r="OH177" s="6"/>
      <c r="OI177" s="6"/>
      <c r="OJ177" s="5" t="str">
        <f t="shared" si="565"/>
        <v>NO APLICA</v>
      </c>
      <c r="OK177" s="6"/>
      <c r="OL177" s="6"/>
      <c r="OM177" s="6"/>
      <c r="ON177" s="6"/>
      <c r="OO177" s="5" t="str">
        <f t="shared" si="566"/>
        <v>NO APLICA</v>
      </c>
      <c r="OP177" s="6"/>
      <c r="OQ177" s="6"/>
      <c r="OR177" s="6"/>
      <c r="OS177" s="6"/>
      <c r="OT177" s="5" t="str">
        <f t="shared" si="567"/>
        <v>NO APLICA</v>
      </c>
      <c r="OU177" s="6"/>
      <c r="OV177" s="6"/>
      <c r="OW177" s="6"/>
      <c r="OX177" s="6"/>
      <c r="OY177" s="5" t="str">
        <f t="shared" si="568"/>
        <v>NO APLICA</v>
      </c>
      <c r="OZ177" s="6"/>
      <c r="PA177" s="6"/>
      <c r="PB177" s="6"/>
      <c r="PC177" s="6"/>
      <c r="PD177" s="5" t="str">
        <f t="shared" si="569"/>
        <v>NO APLICA</v>
      </c>
      <c r="PE177" s="6"/>
      <c r="PF177" s="6"/>
      <c r="PG177" s="6"/>
      <c r="PH177" s="6"/>
      <c r="PI177" s="5" t="str">
        <f t="shared" si="570"/>
        <v>NO APLICA</v>
      </c>
      <c r="PJ177" s="5"/>
      <c r="PK177" s="6"/>
      <c r="PL177" s="6"/>
      <c r="PM177" s="6"/>
      <c r="PN177" s="5" t="str">
        <f t="shared" si="571"/>
        <v>NO APLICA</v>
      </c>
      <c r="PO177" s="6"/>
      <c r="PP177" s="6"/>
      <c r="PQ177" s="6"/>
      <c r="PR177" s="6"/>
      <c r="PS177" s="5" t="str">
        <f t="shared" si="572"/>
        <v>NO APLICA</v>
      </c>
      <c r="PT177" s="5"/>
      <c r="PU177" s="6"/>
      <c r="PV177" s="6"/>
      <c r="PW177" s="6"/>
      <c r="PX177" s="5" t="str">
        <f t="shared" si="573"/>
        <v>NO APLICA</v>
      </c>
    </row>
    <row r="178" spans="1:440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570</v>
      </c>
      <c r="V178" s="4">
        <v>45216</v>
      </c>
      <c r="W178" s="4">
        <f t="shared" si="606"/>
        <v>47043</v>
      </c>
      <c r="X178" s="8">
        <f t="shared" ca="1" si="607"/>
        <v>909</v>
      </c>
      <c r="Y178" s="5" t="str">
        <f t="shared" ca="1" si="624"/>
        <v>VIGENTE</v>
      </c>
      <c r="Z178" s="2" t="s">
        <v>571</v>
      </c>
      <c r="AA178" s="4">
        <v>44828</v>
      </c>
      <c r="AB178" s="4">
        <f>DATE(YEAR(AA178)+5,MONTH(AA178),DAY(AA178))</f>
        <v>46654</v>
      </c>
      <c r="AC178" s="8">
        <f ca="1">AB178-TODAY()</f>
        <v>520</v>
      </c>
      <c r="AD178" s="5" t="str">
        <f t="shared" ca="1" si="627"/>
        <v>VIGENTE</v>
      </c>
      <c r="AE178" s="3"/>
      <c r="AF178" s="3">
        <v>45589</v>
      </c>
      <c r="AG178" s="4">
        <f>DATE(YEAR(AF178)+2,MONTH(AF178),DAY(AF178)-1)</f>
        <v>46318</v>
      </c>
      <c r="AH178" s="8">
        <f t="shared" ca="1" si="470"/>
        <v>184</v>
      </c>
      <c r="AI178" s="5" t="str">
        <f t="shared" ca="1" si="621"/>
        <v>VIGENTE</v>
      </c>
      <c r="AJ178" s="3"/>
      <c r="AK178" s="4">
        <v>45937</v>
      </c>
      <c r="AL178" s="4">
        <f>DATE(YEAR(AK178)+2,MONTH(AK178),DAY(AK178))</f>
        <v>46667</v>
      </c>
      <c r="AM178" s="8">
        <f t="shared" ca="1" si="471"/>
        <v>533</v>
      </c>
      <c r="AN178" s="5" t="str">
        <f t="shared" ca="1" si="472"/>
        <v>VIGENTE</v>
      </c>
      <c r="AO178" s="3"/>
      <c r="AP178" s="4">
        <v>45887</v>
      </c>
      <c r="AQ178" s="4">
        <f t="shared" si="628"/>
        <v>46617</v>
      </c>
      <c r="AR178" s="8">
        <f t="shared" ca="1" si="473"/>
        <v>483</v>
      </c>
      <c r="AS178" s="5" t="str">
        <f t="shared" ca="1" si="474"/>
        <v>VIGENTE</v>
      </c>
      <c r="AT178" s="3"/>
      <c r="AU178" s="4">
        <v>45990</v>
      </c>
      <c r="AV178" s="4">
        <f>DATE(YEAR(AU178)+2,MONTH(AU178),DAY(AU178))</f>
        <v>46720</v>
      </c>
      <c r="AW178" s="8">
        <f t="shared" ca="1" si="475"/>
        <v>586</v>
      </c>
      <c r="AX178" s="5" t="str">
        <f t="shared" ca="1" si="476"/>
        <v>VIGENTE</v>
      </c>
      <c r="AY178" s="3"/>
      <c r="AZ178" s="4">
        <v>45515</v>
      </c>
      <c r="BA178" s="4">
        <f>DATE(YEAR(AZ178)+2,MONTH(AZ178),DAY(AZ178)-1)</f>
        <v>46244</v>
      </c>
      <c r="BB178" s="8">
        <f t="shared" ca="1" si="477"/>
        <v>110</v>
      </c>
      <c r="BC178" s="5" t="str">
        <f t="shared" ca="1" si="478"/>
        <v>VIGENTE</v>
      </c>
      <c r="BD178" s="3"/>
      <c r="BE178" s="4">
        <v>46027</v>
      </c>
      <c r="BF178" s="4">
        <f>DATE(YEAR(BE178)+2,MONTH(BE178),DAY(BE178))</f>
        <v>46757</v>
      </c>
      <c r="BG178" s="8">
        <f t="shared" ca="1" si="479"/>
        <v>623</v>
      </c>
      <c r="BH178" s="5" t="str">
        <f t="shared" ca="1" si="480"/>
        <v>VIGENTE</v>
      </c>
      <c r="BI178" s="3"/>
      <c r="BJ178" s="4">
        <v>45477</v>
      </c>
      <c r="BK178" s="4">
        <f>DATE(YEAR(BJ178)+2,MONTH(BJ178),DAY(BJ178)-1)</f>
        <v>46206</v>
      </c>
      <c r="BL178" s="8">
        <f t="shared" ca="1" si="481"/>
        <v>72</v>
      </c>
      <c r="BM178" s="5" t="str">
        <f t="shared" ca="1" si="482"/>
        <v>POR VENCER</v>
      </c>
      <c r="BN178" s="3"/>
      <c r="BO178" s="4">
        <v>45447</v>
      </c>
      <c r="BP178" s="4">
        <f>DATE(YEAR(BO178)+2,MONTH(BO178),DAY(BO178)-1)</f>
        <v>46176</v>
      </c>
      <c r="BQ178" s="8">
        <f t="shared" ca="1" si="483"/>
        <v>42</v>
      </c>
      <c r="BR178" s="5" t="str">
        <f t="shared" ca="1" si="484"/>
        <v>POR VENCER</v>
      </c>
      <c r="BS178" s="3"/>
      <c r="BT178" s="4">
        <v>45871</v>
      </c>
      <c r="BU178" s="4">
        <f>DATE(YEAR(BT178)+2,MONTH(BT178),DAY(BT178))</f>
        <v>46601</v>
      </c>
      <c r="BV178" s="8">
        <f t="shared" ca="1" si="485"/>
        <v>467</v>
      </c>
      <c r="BW178" s="5" t="str">
        <f t="shared" ca="1" si="486"/>
        <v>VIGENTE</v>
      </c>
      <c r="BX178" s="3"/>
      <c r="BY178" s="4">
        <v>45944</v>
      </c>
      <c r="BZ178" s="4">
        <f>DATE(YEAR(BY178)+2,MONTH(BY178),DAY(BY178))</f>
        <v>46674</v>
      </c>
      <c r="CA178" s="8">
        <f t="shared" ca="1" si="487"/>
        <v>540</v>
      </c>
      <c r="CB178" s="5" t="str">
        <f t="shared" ca="1" si="488"/>
        <v>VIGENTE</v>
      </c>
      <c r="CC178" s="6" t="s">
        <v>73</v>
      </c>
      <c r="CD178" s="4">
        <v>45227</v>
      </c>
      <c r="CE178" s="4">
        <f t="shared" si="609"/>
        <v>46688</v>
      </c>
      <c r="CF178" s="8">
        <f t="shared" ca="1" si="610"/>
        <v>554</v>
      </c>
      <c r="CG178" s="5" t="str">
        <f t="shared" ca="1" si="591"/>
        <v>VIGENTE</v>
      </c>
      <c r="CH178" s="4"/>
      <c r="CI178" s="4">
        <v>45895</v>
      </c>
      <c r="CJ178" s="4">
        <f>DATE(YEAR(CI178)+2,MONTH(CI178),DAY(CI178))</f>
        <v>46625</v>
      </c>
      <c r="CK178" s="8">
        <f t="shared" ca="1" si="489"/>
        <v>491</v>
      </c>
      <c r="CL178" s="5" t="str">
        <f t="shared" ca="1" si="490"/>
        <v>VIGENTE</v>
      </c>
      <c r="CM178" s="3"/>
      <c r="CN178" s="4">
        <v>45898</v>
      </c>
      <c r="CO178" s="4">
        <f>DATE(YEAR(CN178)+2,MONTH(CN178),DAY(CN178))</f>
        <v>46628</v>
      </c>
      <c r="CP178" s="8">
        <f t="shared" ca="1" si="491"/>
        <v>494</v>
      </c>
      <c r="CQ178" s="5" t="str">
        <f t="shared" ca="1" si="492"/>
        <v>VIGENTE</v>
      </c>
      <c r="CR178" s="3"/>
      <c r="CS178" s="4">
        <v>45645</v>
      </c>
      <c r="CT178" s="4">
        <f>DATE(YEAR(CS178)+2,MONTH(CS178),DAY(CS178)-1)</f>
        <v>46374</v>
      </c>
      <c r="CU178" s="8">
        <f t="shared" ca="1" si="493"/>
        <v>240</v>
      </c>
      <c r="CV178" s="5" t="str">
        <f t="shared" ca="1" si="494"/>
        <v>VIGENTE</v>
      </c>
      <c r="CW178" s="3"/>
      <c r="CX178" s="4">
        <v>45661</v>
      </c>
      <c r="CY178" s="4">
        <f>DATE(YEAR(CX178)+2,MONTH(CX178),DAY(CX178)-1)</f>
        <v>46390</v>
      </c>
      <c r="CZ178" s="8">
        <f t="shared" ca="1" si="495"/>
        <v>256</v>
      </c>
      <c r="DA178" s="5" t="str">
        <f t="shared" ca="1" si="496"/>
        <v>VIGENTE</v>
      </c>
      <c r="DB178" s="3"/>
      <c r="DC178" s="4">
        <v>45689</v>
      </c>
      <c r="DD178" s="4">
        <f>DATE(YEAR(DC178)+2,MONTH(DC178),DAY(DC178)-1)</f>
        <v>46418</v>
      </c>
      <c r="DE178" s="8">
        <f t="shared" ca="1" si="497"/>
        <v>284</v>
      </c>
      <c r="DF178" s="5" t="str">
        <f t="shared" ca="1" si="498"/>
        <v>VIGENTE</v>
      </c>
      <c r="DG178" s="3"/>
      <c r="DH178" s="4">
        <v>45955</v>
      </c>
      <c r="DI178" s="4">
        <f>DATE(YEAR(DH178)+2,MONTH(DH178),DAY(DH178))</f>
        <v>46685</v>
      </c>
      <c r="DJ178" s="8">
        <f t="shared" ca="1" si="499"/>
        <v>551</v>
      </c>
      <c r="DK178" s="5" t="str">
        <f t="shared" ca="1" si="500"/>
        <v>VIGENTE</v>
      </c>
      <c r="DL178" s="3"/>
      <c r="DM178" s="4">
        <v>45982</v>
      </c>
      <c r="DN178" s="4">
        <f>DATE(YEAR(DM178)+2,MONTH(DM178),DAY(DM178))</f>
        <v>46712</v>
      </c>
      <c r="DO178" s="8">
        <f t="shared" ca="1" si="501"/>
        <v>578</v>
      </c>
      <c r="DP178" s="5" t="str">
        <f t="shared" ca="1" si="502"/>
        <v>VIGENTE</v>
      </c>
      <c r="DQ178" s="3"/>
      <c r="DR178" s="4">
        <v>45918</v>
      </c>
      <c r="DS178" s="4">
        <f>DATE(YEAR(DR178)+2,MONTH(DR178),DAY(DR178))</f>
        <v>46648</v>
      </c>
      <c r="DT178" s="8">
        <f t="shared" ca="1" si="503"/>
        <v>514</v>
      </c>
      <c r="DU178" s="5" t="str">
        <f t="shared" ca="1" si="504"/>
        <v>VIGENTE</v>
      </c>
      <c r="DV178" s="3"/>
      <c r="DW178" s="4">
        <v>45915</v>
      </c>
      <c r="DX178" s="4">
        <f>DATE(YEAR(DW178)+2,MONTH(DW178),DAY(DW178))</f>
        <v>46645</v>
      </c>
      <c r="DY178" s="8">
        <f t="shared" ca="1" si="505"/>
        <v>511</v>
      </c>
      <c r="DZ178" s="5" t="str">
        <f t="shared" ca="1" si="506"/>
        <v>VIGENTE</v>
      </c>
      <c r="EA178" s="3"/>
      <c r="EB178" s="4">
        <v>45883</v>
      </c>
      <c r="EC178" s="4">
        <f>DATE(YEAR(EB178)+2,MONTH(EB178),DAY(EB178))</f>
        <v>46613</v>
      </c>
      <c r="ED178" s="8">
        <f t="shared" ca="1" si="507"/>
        <v>479</v>
      </c>
      <c r="EE178" s="5" t="str">
        <f t="shared" ca="1" si="508"/>
        <v>VIGENTE</v>
      </c>
      <c r="EF178" s="3"/>
      <c r="EG178" s="3">
        <v>46002</v>
      </c>
      <c r="EH178" s="4">
        <f t="shared" si="575"/>
        <v>46367</v>
      </c>
      <c r="EI178" s="8">
        <f t="shared" ca="1" si="509"/>
        <v>233</v>
      </c>
      <c r="EJ178" s="5" t="str">
        <f t="shared" ca="1" si="510"/>
        <v>VIGENTE</v>
      </c>
      <c r="EK178" s="3"/>
      <c r="EL178" s="4">
        <v>45940</v>
      </c>
      <c r="EM178" s="4">
        <f>DATE(YEAR(EL178)+2,MONTH(EL178),DAY(EL178))</f>
        <v>46670</v>
      </c>
      <c r="EN178" s="8">
        <f t="shared" ca="1" si="511"/>
        <v>536</v>
      </c>
      <c r="EO178" s="5" t="str">
        <f t="shared" ca="1" si="512"/>
        <v>VIGENTE</v>
      </c>
      <c r="EP178" s="3"/>
      <c r="EQ178" s="4">
        <v>45824</v>
      </c>
      <c r="ER178" s="4">
        <f>DATE(YEAR(EQ178)+2,MONTH(EQ178),DAY(EQ178))</f>
        <v>46554</v>
      </c>
      <c r="ES178" s="8">
        <f t="shared" ca="1" si="513"/>
        <v>420</v>
      </c>
      <c r="ET178" s="5" t="str">
        <f t="shared" ca="1" si="514"/>
        <v>VIGENTE</v>
      </c>
      <c r="EU178" s="3"/>
      <c r="EV178" s="4">
        <v>45917</v>
      </c>
      <c r="EW178" s="4">
        <f t="shared" si="629"/>
        <v>46647</v>
      </c>
      <c r="EX178" s="8">
        <f t="shared" ca="1" si="515"/>
        <v>513</v>
      </c>
      <c r="EY178" s="5" t="str">
        <f t="shared" ca="1" si="516"/>
        <v>VIGENTE</v>
      </c>
      <c r="EZ178" s="3"/>
      <c r="FA178" s="4">
        <v>45922</v>
      </c>
      <c r="FB178" s="4">
        <f>DATE(YEAR(FA178)+2,MONTH(FA178),DAY(FA178))</f>
        <v>46652</v>
      </c>
      <c r="FC178" s="8">
        <f t="shared" ca="1" si="517"/>
        <v>518</v>
      </c>
      <c r="FD178" s="5" t="str">
        <f t="shared" ca="1" si="518"/>
        <v>VIGENTE</v>
      </c>
      <c r="FE178" s="3"/>
      <c r="FF178" s="4">
        <v>45919</v>
      </c>
      <c r="FG178" s="4">
        <f>DATE(YEAR(FF178)+2,MONTH(FF178),DAY(FF178))</f>
        <v>46649</v>
      </c>
      <c r="FH178" s="8">
        <f t="shared" ca="1" si="519"/>
        <v>515</v>
      </c>
      <c r="FI178" s="5" t="str">
        <f t="shared" ca="1" si="520"/>
        <v>VIGENTE</v>
      </c>
      <c r="FJ178" s="3"/>
      <c r="FK178" s="4">
        <v>45964</v>
      </c>
      <c r="FL178" s="4">
        <f>DATE(YEAR(FK178)+2,MONTH(FK178),DAY(FK178))</f>
        <v>46694</v>
      </c>
      <c r="FM178" s="8">
        <f t="shared" ca="1" si="521"/>
        <v>560</v>
      </c>
      <c r="FN178" s="5" t="str">
        <f t="shared" ca="1" si="522"/>
        <v>VIGENTE</v>
      </c>
      <c r="FO178" s="3"/>
      <c r="FP178" s="4">
        <v>45846</v>
      </c>
      <c r="FQ178" s="4">
        <f>DATE(YEAR(FP178)+2,MONTH(FP178),DAY(FP178))</f>
        <v>46576</v>
      </c>
      <c r="FR178" s="8">
        <f t="shared" ca="1" si="523"/>
        <v>442</v>
      </c>
      <c r="FS178" s="5" t="str">
        <f t="shared" ca="1" si="524"/>
        <v>VIGENTE</v>
      </c>
      <c r="FT178" s="3"/>
      <c r="FU178" s="4">
        <v>45908</v>
      </c>
      <c r="FV178" s="4">
        <f>DATE(YEAR(FU178)+2,MONTH(FU178),DAY(FU178))</f>
        <v>46638</v>
      </c>
      <c r="FW178" s="8">
        <f t="shared" ca="1" si="525"/>
        <v>504</v>
      </c>
      <c r="FX178" s="5" t="str">
        <f t="shared" ca="1" si="526"/>
        <v>VIGENTE</v>
      </c>
      <c r="FY178" s="3"/>
      <c r="FZ178" s="4">
        <v>45874</v>
      </c>
      <c r="GA178" s="4">
        <f>DATE(YEAR(FZ178)+2,MONTH(FZ178),DAY(FZ178))</f>
        <v>46604</v>
      </c>
      <c r="GB178" s="8">
        <f t="shared" ca="1" si="527"/>
        <v>470</v>
      </c>
      <c r="GC178" s="5" t="str">
        <f t="shared" ca="1" si="528"/>
        <v>VIGENTE</v>
      </c>
      <c r="GD178" s="3"/>
      <c r="GE178" s="4">
        <v>45960</v>
      </c>
      <c r="GF178" s="4">
        <f>DATE(YEAR(GE178)+2,MONTH(GE178),DAY(GE178))</f>
        <v>46690</v>
      </c>
      <c r="GG178" s="8">
        <f t="shared" ca="1" si="529"/>
        <v>556</v>
      </c>
      <c r="GH178" s="5" t="str">
        <f t="shared" ca="1" si="530"/>
        <v>VIGENTE</v>
      </c>
      <c r="GI178" s="3"/>
      <c r="GJ178" s="4">
        <v>45945</v>
      </c>
      <c r="GK178" s="4">
        <f>DATE(YEAR(GJ178)+2,MONTH(GJ178),DAY(GJ178))</f>
        <v>46675</v>
      </c>
      <c r="GL178" s="8">
        <f t="shared" ca="1" si="531"/>
        <v>541</v>
      </c>
      <c r="GM178" s="5" t="str">
        <f t="shared" ca="1" si="532"/>
        <v>VIGENTE</v>
      </c>
      <c r="GN178" s="4"/>
      <c r="GO178" s="4">
        <v>45224</v>
      </c>
      <c r="GP178" s="4">
        <f t="shared" si="533"/>
        <v>47051</v>
      </c>
      <c r="GQ178" s="8">
        <f t="shared" ca="1" si="620"/>
        <v>917</v>
      </c>
      <c r="GR178" s="5" t="str">
        <f t="shared" ca="1" si="630"/>
        <v>VIGENTE</v>
      </c>
      <c r="GS178" s="3"/>
      <c r="GT178" s="4">
        <v>45200</v>
      </c>
      <c r="GU178" s="4">
        <f t="shared" si="534"/>
        <v>47027</v>
      </c>
      <c r="GV178" s="8">
        <f t="shared" ca="1" si="535"/>
        <v>893</v>
      </c>
      <c r="GW178" s="5" t="str">
        <f t="shared" ca="1" si="631"/>
        <v>VIGENTE</v>
      </c>
      <c r="GX178" s="3"/>
      <c r="GY178" s="4">
        <v>45232</v>
      </c>
      <c r="GZ178" s="4">
        <f t="shared" si="536"/>
        <v>47059</v>
      </c>
      <c r="HA178" s="8">
        <f t="shared" ca="1" si="537"/>
        <v>925</v>
      </c>
      <c r="HB178" s="5" t="str">
        <f t="shared" ca="1" si="632"/>
        <v>VIGENTE</v>
      </c>
      <c r="HC178" s="6"/>
      <c r="HD178" s="4">
        <v>44862</v>
      </c>
      <c r="HE178" s="4">
        <f t="shared" si="622"/>
        <v>46688</v>
      </c>
      <c r="HF178" s="8">
        <f t="shared" ca="1" si="623"/>
        <v>554</v>
      </c>
      <c r="HG178" s="5" t="str">
        <f t="shared" ca="1" si="633"/>
        <v>VIGENTE</v>
      </c>
      <c r="HH178" s="2"/>
      <c r="HI178" s="6"/>
      <c r="HJ178" s="4"/>
      <c r="HK178" s="8"/>
      <c r="HL178" s="5" t="str">
        <f t="shared" si="457"/>
        <v>NO APLICA</v>
      </c>
      <c r="HM178" s="2"/>
      <c r="HN178" s="5"/>
      <c r="HO178" s="4"/>
      <c r="HP178" s="5"/>
      <c r="HQ178" s="5" t="str">
        <f t="shared" si="538"/>
        <v>NO APLICA</v>
      </c>
      <c r="HR178" s="3"/>
      <c r="HS178" s="4">
        <v>45260</v>
      </c>
      <c r="HT178" s="4">
        <f>DATE(YEAR(HS178)+5,MONTH(HS178),DAY(HS178))</f>
        <v>47087</v>
      </c>
      <c r="HU178" s="8">
        <f ca="1">HT178-TODAY()</f>
        <v>953</v>
      </c>
      <c r="HV178" s="5" t="str">
        <f t="shared" ca="1" si="539"/>
        <v>VIGENTE</v>
      </c>
      <c r="HW178" s="3"/>
      <c r="HX178" s="4">
        <v>45428</v>
      </c>
      <c r="HY178" s="4">
        <f>DATE(YEAR(HX178)+5,MONTH(HX178),DAY(HX178))</f>
        <v>47254</v>
      </c>
      <c r="HZ178" s="8">
        <f ca="1">HY178-TODAY()</f>
        <v>1120</v>
      </c>
      <c r="IA178" s="5" t="str">
        <f t="shared" ca="1" si="540"/>
        <v>VIGENTE</v>
      </c>
      <c r="IB178" s="3"/>
      <c r="IC178" s="4">
        <v>45470</v>
      </c>
      <c r="ID178" s="4">
        <f>DATE(YEAR(IC178)+5,MONTH(IC178),DAY(IC178))</f>
        <v>47296</v>
      </c>
      <c r="IE178" s="8">
        <f ca="1">ID178-TODAY()</f>
        <v>1162</v>
      </c>
      <c r="IF178" s="5" t="str">
        <f t="shared" ca="1" si="541"/>
        <v>VIGENTE</v>
      </c>
      <c r="IG178" s="4"/>
      <c r="IH178" s="4">
        <v>45429</v>
      </c>
      <c r="II178" s="4">
        <f>DATE(YEAR(IH178)+5,MONTH(IH178),DAY(IH178))</f>
        <v>47255</v>
      </c>
      <c r="IJ178" s="8">
        <f ca="1">II178-TODAY()</f>
        <v>1121</v>
      </c>
      <c r="IK178" s="5" t="str">
        <f t="shared" ca="1" si="542"/>
        <v>VIGENTE</v>
      </c>
      <c r="IL178" s="3"/>
      <c r="IM178" s="4">
        <v>45460</v>
      </c>
      <c r="IN178" s="4">
        <f>DATE(YEAR(IM178)+5,MONTH(IM178),DAY(IM178))</f>
        <v>47286</v>
      </c>
      <c r="IO178" s="8">
        <f ca="1">IN178-TODAY()</f>
        <v>1152</v>
      </c>
      <c r="IP178" s="5" t="str">
        <f t="shared" ca="1" si="543"/>
        <v>VIGENTE</v>
      </c>
      <c r="IQ178" s="3"/>
      <c r="IR178" s="4">
        <v>45435</v>
      </c>
      <c r="IS178" s="4">
        <f>DATE(YEAR(IR178)+5,MONTH(IR178),DAY(IR178))</f>
        <v>47261</v>
      </c>
      <c r="IT178" s="8">
        <f ca="1">IS178-TODAY()</f>
        <v>1127</v>
      </c>
      <c r="IU178" s="5" t="str">
        <f t="shared" ca="1" si="544"/>
        <v>VIGENTE</v>
      </c>
      <c r="IV178" s="3"/>
      <c r="IW178" s="4">
        <v>45461</v>
      </c>
      <c r="IX178" s="4">
        <f>DATE(YEAR(IW178)+5,MONTH(IW178),DAY(IW178))</f>
        <v>47287</v>
      </c>
      <c r="IY178" s="8">
        <f ca="1">IX178-TODAY()</f>
        <v>1153</v>
      </c>
      <c r="IZ178" s="5" t="str">
        <f t="shared" ca="1" si="545"/>
        <v>VIGENTE</v>
      </c>
      <c r="JA178" s="3"/>
      <c r="JB178" s="3"/>
      <c r="JC178" s="4"/>
      <c r="JD178" s="8"/>
      <c r="JE178" s="5" t="str">
        <f t="shared" si="546"/>
        <v>NO APLICA</v>
      </c>
      <c r="JF178" s="6"/>
      <c r="JG178" s="6"/>
      <c r="JH178" s="6"/>
      <c r="JI178" s="6"/>
      <c r="JJ178" s="5" t="str">
        <f t="shared" si="547"/>
        <v>NO APLICA</v>
      </c>
      <c r="JK178" s="6"/>
      <c r="JL178" s="6"/>
      <c r="JM178" s="6"/>
      <c r="JN178" s="6"/>
      <c r="JO178" s="5" t="str">
        <f t="shared" si="548"/>
        <v>NO APLICA</v>
      </c>
      <c r="JP178" s="6"/>
      <c r="JQ178" s="6"/>
      <c r="JR178" s="6"/>
      <c r="JS178" s="6"/>
      <c r="JT178" s="5" t="str">
        <f t="shared" si="549"/>
        <v>NO APLICA</v>
      </c>
      <c r="JU178" s="5"/>
      <c r="JV178" s="3"/>
      <c r="JW178" s="4"/>
      <c r="JX178" s="8"/>
      <c r="JY178" s="5" t="str">
        <f t="shared" si="550"/>
        <v>NO APLICA</v>
      </c>
      <c r="JZ178" s="5"/>
      <c r="KA178" s="5"/>
      <c r="KB178" s="4"/>
      <c r="KC178" s="8"/>
      <c r="KD178" s="5" t="str">
        <f t="shared" si="551"/>
        <v>NO APLICA</v>
      </c>
      <c r="KE178" s="5"/>
      <c r="KF178" s="5"/>
      <c r="KG178" s="4"/>
      <c r="KH178" s="8"/>
      <c r="KI178" s="5" t="str">
        <f t="shared" si="576"/>
        <v>NO APLICA</v>
      </c>
      <c r="KJ178" s="5"/>
      <c r="KK178" s="5"/>
      <c r="KL178" s="4"/>
      <c r="KM178" s="8"/>
      <c r="KN178" s="5" t="str">
        <f t="shared" si="552"/>
        <v>NO APLICA</v>
      </c>
      <c r="KO178" s="5"/>
      <c r="KP178" s="2"/>
      <c r="KQ178" s="4"/>
      <c r="KR178" s="8"/>
      <c r="KS178" s="5" t="str">
        <f t="shared" si="577"/>
        <v>NO APLICA</v>
      </c>
      <c r="KT178" s="3"/>
      <c r="KU178" s="4">
        <v>44658</v>
      </c>
      <c r="KV178" s="4">
        <f>DATE(YEAR(KU178)+5,MONTH(KU178),DAY(KU178))</f>
        <v>46484</v>
      </c>
      <c r="KW178" s="8">
        <f ca="1">KV178-TODAY()</f>
        <v>350</v>
      </c>
      <c r="KX178" s="5" t="str">
        <f t="shared" ca="1" si="583"/>
        <v>VIGENTE</v>
      </c>
      <c r="KY178" s="5"/>
      <c r="KZ178" s="6"/>
      <c r="LA178" s="4"/>
      <c r="LB178" s="8"/>
      <c r="LC178" s="5" t="str">
        <f t="shared" si="578"/>
        <v>NO APLICA</v>
      </c>
      <c r="LD178" s="6"/>
      <c r="LE178" s="4"/>
      <c r="LF178" s="4"/>
      <c r="LG178" s="8"/>
      <c r="LH178" s="5" t="str">
        <f t="shared" si="619"/>
        <v>NO APLICA</v>
      </c>
      <c r="LI178" s="5"/>
      <c r="LJ178" s="5"/>
      <c r="LK178" s="4"/>
      <c r="LL178" s="8"/>
      <c r="LM178" s="5" t="str">
        <f t="shared" si="584"/>
        <v>NO APLICA</v>
      </c>
      <c r="LN178" s="5"/>
      <c r="LO178" s="6"/>
      <c r="LP178" s="4"/>
      <c r="LQ178" s="8"/>
      <c r="LR178" s="5" t="str">
        <f t="shared" si="579"/>
        <v>NO APLICA</v>
      </c>
      <c r="LS178" s="6"/>
      <c r="LT178" s="6"/>
      <c r="LU178" s="4"/>
      <c r="LV178" s="8"/>
      <c r="LW178" s="5" t="str">
        <f t="shared" si="580"/>
        <v>NO APLICA</v>
      </c>
      <c r="LX178" s="6"/>
      <c r="LY178" s="6"/>
      <c r="LZ178" s="4"/>
      <c r="MA178" s="8"/>
      <c r="MB178" s="5" t="str">
        <f t="shared" si="581"/>
        <v>NO APLICA</v>
      </c>
      <c r="MC178" s="5"/>
      <c r="MD178" s="5"/>
      <c r="ME178" s="4"/>
      <c r="MF178" s="8"/>
      <c r="MG178" s="5" t="str">
        <f t="shared" si="554"/>
        <v>NO APLICA</v>
      </c>
      <c r="MH178" s="5"/>
      <c r="MI178" s="5"/>
      <c r="MJ178" s="4"/>
      <c r="MK178" s="8"/>
      <c r="ML178" s="5" t="str">
        <f t="shared" si="555"/>
        <v>NO APLICA</v>
      </c>
      <c r="MM178" s="5"/>
      <c r="MN178" s="5"/>
      <c r="MO178" s="4"/>
      <c r="MP178" s="8"/>
      <c r="MQ178" s="5" t="str">
        <f t="shared" si="556"/>
        <v>NO APLICA</v>
      </c>
      <c r="MR178" s="5"/>
      <c r="MS178" s="5"/>
      <c r="MT178" s="4"/>
      <c r="MU178" s="5"/>
      <c r="MV178" s="5" t="str">
        <f t="shared" si="557"/>
        <v>NO APLICA</v>
      </c>
      <c r="MW178" s="5"/>
      <c r="MX178" s="6"/>
      <c r="MY178" s="4"/>
      <c r="MZ178" s="8"/>
      <c r="NA178" s="5" t="str">
        <f t="shared" si="558"/>
        <v>NO APLICA</v>
      </c>
      <c r="NB178" s="5"/>
      <c r="NC178" s="6"/>
      <c r="ND178" s="4"/>
      <c r="NE178" s="8"/>
      <c r="NF178" s="5" t="str">
        <f t="shared" si="559"/>
        <v>NO APLICA</v>
      </c>
      <c r="NG178" s="5"/>
      <c r="NH178" s="6"/>
      <c r="NI178" s="4"/>
      <c r="NJ178" s="8"/>
      <c r="NK178" s="5" t="str">
        <f t="shared" si="560"/>
        <v>NO APLICA</v>
      </c>
      <c r="NL178" s="5"/>
      <c r="NM178" s="5"/>
      <c r="NN178" s="4"/>
      <c r="NO178" s="8"/>
      <c r="NP178" s="5" t="str">
        <f t="shared" si="561"/>
        <v>NO APLICA</v>
      </c>
      <c r="NQ178" s="5"/>
      <c r="NR178" s="5"/>
      <c r="NS178" s="5"/>
      <c r="NT178" s="5"/>
      <c r="NU178" s="5" t="str">
        <f t="shared" si="562"/>
        <v>NO APLICA</v>
      </c>
      <c r="NV178" s="6"/>
      <c r="NW178" s="6"/>
      <c r="NX178" s="4"/>
      <c r="NY178" s="8"/>
      <c r="NZ178" s="5" t="str">
        <f t="shared" si="563"/>
        <v>NO APLICA</v>
      </c>
      <c r="OA178" s="6"/>
      <c r="OB178" s="6"/>
      <c r="OC178" s="6"/>
      <c r="OD178" s="6"/>
      <c r="OE178" s="5" t="str">
        <f t="shared" si="564"/>
        <v>NO APLICA</v>
      </c>
      <c r="OF178" s="5"/>
      <c r="OG178" s="5"/>
      <c r="OH178" s="4"/>
      <c r="OI178" s="8"/>
      <c r="OJ178" s="5" t="str">
        <f t="shared" si="565"/>
        <v>NO APLICA</v>
      </c>
      <c r="OK178" s="6"/>
      <c r="OL178" s="6"/>
      <c r="OM178" s="6"/>
      <c r="ON178" s="6"/>
      <c r="OO178" s="5" t="str">
        <f t="shared" si="566"/>
        <v>NO APLICA</v>
      </c>
      <c r="OP178" s="6"/>
      <c r="OQ178" s="6"/>
      <c r="OR178" s="6"/>
      <c r="OS178" s="6"/>
      <c r="OT178" s="5" t="str">
        <f t="shared" si="567"/>
        <v>NO APLICA</v>
      </c>
      <c r="OU178" s="6"/>
      <c r="OV178" s="6"/>
      <c r="OW178" s="6"/>
      <c r="OX178" s="6"/>
      <c r="OY178" s="5" t="str">
        <f t="shared" si="568"/>
        <v>NO APLICA</v>
      </c>
      <c r="OZ178" s="6"/>
      <c r="PA178" s="6"/>
      <c r="PB178" s="6"/>
      <c r="PC178" s="6"/>
      <c r="PD178" s="5" t="str">
        <f t="shared" si="569"/>
        <v>NO APLICA</v>
      </c>
      <c r="PE178" s="6"/>
      <c r="PF178" s="6"/>
      <c r="PG178" s="6"/>
      <c r="PH178" s="6"/>
      <c r="PI178" s="5" t="str">
        <f t="shared" si="570"/>
        <v>NO APLICA</v>
      </c>
      <c r="PJ178" s="5"/>
      <c r="PK178" s="6"/>
      <c r="PL178" s="4"/>
      <c r="PM178" s="8"/>
      <c r="PN178" s="5" t="str">
        <f t="shared" si="571"/>
        <v>NO APLICA</v>
      </c>
      <c r="PO178" s="6"/>
      <c r="PP178" s="6"/>
      <c r="PQ178" s="6"/>
      <c r="PR178" s="6"/>
      <c r="PS178" s="5" t="str">
        <f t="shared" si="572"/>
        <v>NO APLICA</v>
      </c>
      <c r="PT178" s="5"/>
      <c r="PU178" s="6"/>
      <c r="PV178" s="6"/>
      <c r="PW178" s="6"/>
      <c r="PX178" s="5" t="str">
        <f t="shared" si="573"/>
        <v>NO APLICA</v>
      </c>
    </row>
    <row r="179" spans="1:440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654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573</v>
      </c>
      <c r="V179" s="4">
        <v>45735</v>
      </c>
      <c r="W179" s="4">
        <f t="shared" si="606"/>
        <v>47561</v>
      </c>
      <c r="X179" s="8">
        <f t="shared" ca="1" si="607"/>
        <v>1427</v>
      </c>
      <c r="Y179" s="5" t="str">
        <f t="shared" ca="1" si="624"/>
        <v>VIGENTE</v>
      </c>
      <c r="Z179" s="2"/>
      <c r="AA179" s="6"/>
      <c r="AB179" s="4"/>
      <c r="AC179" s="8"/>
      <c r="AD179" s="5" t="str">
        <f t="shared" si="627"/>
        <v>NO APLICA</v>
      </c>
      <c r="AE179" s="3"/>
      <c r="AF179" s="4">
        <v>45902</v>
      </c>
      <c r="AG179" s="4">
        <f>DATE(YEAR(AF179)+2,MONTH(AF179),DAY(AF179))</f>
        <v>46632</v>
      </c>
      <c r="AH179" s="8">
        <f t="shared" ca="1" si="470"/>
        <v>498</v>
      </c>
      <c r="AI179" s="5" t="str">
        <f t="shared" ca="1" si="621"/>
        <v>VIGENTE</v>
      </c>
      <c r="AJ179" s="3"/>
      <c r="AK179" s="4">
        <v>45926</v>
      </c>
      <c r="AL179" s="4">
        <f>DATE(YEAR(AK179)+2,MONTH(AK179),DAY(AK179))</f>
        <v>46656</v>
      </c>
      <c r="AM179" s="8">
        <f t="shared" ca="1" si="471"/>
        <v>522</v>
      </c>
      <c r="AN179" s="5" t="str">
        <f t="shared" ca="1" si="472"/>
        <v>VIGENTE</v>
      </c>
      <c r="AO179" s="3"/>
      <c r="AP179" s="4">
        <v>45904</v>
      </c>
      <c r="AQ179" s="4">
        <f t="shared" si="628"/>
        <v>46634</v>
      </c>
      <c r="AR179" s="8">
        <f t="shared" ca="1" si="473"/>
        <v>500</v>
      </c>
      <c r="AS179" s="5" t="str">
        <f t="shared" ca="1" si="474"/>
        <v>VIGENTE</v>
      </c>
      <c r="AT179" s="3"/>
      <c r="AU179" s="4">
        <v>45906</v>
      </c>
      <c r="AV179" s="4">
        <f>DATE(YEAR(AU179)+2,MONTH(AU179),DAY(AU179))</f>
        <v>46636</v>
      </c>
      <c r="AW179" s="8">
        <f t="shared" ca="1" si="475"/>
        <v>502</v>
      </c>
      <c r="AX179" s="5" t="str">
        <f t="shared" ca="1" si="476"/>
        <v>VIGENTE</v>
      </c>
      <c r="AY179" s="3"/>
      <c r="AZ179" s="4">
        <v>45717</v>
      </c>
      <c r="BA179" s="4">
        <f>DATE(YEAR(AZ179)+2,MONTH(AZ179),DAY(AZ179)-1)</f>
        <v>46446</v>
      </c>
      <c r="BB179" s="8">
        <f t="shared" ca="1" si="477"/>
        <v>312</v>
      </c>
      <c r="BC179" s="5" t="str">
        <f t="shared" ca="1" si="478"/>
        <v>VIGENTE</v>
      </c>
      <c r="BD179" s="3"/>
      <c r="BE179" s="4">
        <v>45531</v>
      </c>
      <c r="BF179" s="4">
        <f>DATE(YEAR(BE179)+2,MONTH(BE179),DAY(BE179)-1)</f>
        <v>46260</v>
      </c>
      <c r="BG179" s="8">
        <f t="shared" ca="1" si="479"/>
        <v>126</v>
      </c>
      <c r="BH179" s="5" t="str">
        <f t="shared" ca="1" si="480"/>
        <v>VIGENTE</v>
      </c>
      <c r="BI179" s="3"/>
      <c r="BJ179" s="4">
        <v>45570</v>
      </c>
      <c r="BK179" s="4">
        <f>DATE(YEAR(BJ179)+2,MONTH(BJ179),DAY(BJ179)-1)</f>
        <v>46299</v>
      </c>
      <c r="BL179" s="8">
        <f t="shared" ca="1" si="481"/>
        <v>165</v>
      </c>
      <c r="BM179" s="5" t="str">
        <f t="shared" ca="1" si="482"/>
        <v>VIGENTE</v>
      </c>
      <c r="BN179" s="3"/>
      <c r="BO179" s="4">
        <v>45701</v>
      </c>
      <c r="BP179" s="4">
        <f>DATE(YEAR(BO179)+2,MONTH(BO179),DAY(BO179)-1)</f>
        <v>46430</v>
      </c>
      <c r="BQ179" s="8">
        <f t="shared" ca="1" si="483"/>
        <v>296</v>
      </c>
      <c r="BR179" s="5" t="str">
        <f t="shared" ca="1" si="484"/>
        <v>VIGENTE</v>
      </c>
      <c r="BS179" s="3"/>
      <c r="BT179" s="4">
        <v>45695</v>
      </c>
      <c r="BU179" s="4">
        <f>DATE(YEAR(BT179)+2,MONTH(BT179),DAY(BT179)-1)</f>
        <v>46424</v>
      </c>
      <c r="BV179" s="8">
        <f t="shared" ca="1" si="485"/>
        <v>290</v>
      </c>
      <c r="BW179" s="5" t="str">
        <f t="shared" ca="1" si="486"/>
        <v>VIGENTE</v>
      </c>
      <c r="BX179" s="3"/>
      <c r="BY179" s="4">
        <v>45911</v>
      </c>
      <c r="BZ179" s="4">
        <f>DATE(YEAR(BY179)+2,MONTH(BY179),DAY(BY179))</f>
        <v>46641</v>
      </c>
      <c r="CA179" s="8">
        <f t="shared" ca="1" si="487"/>
        <v>507</v>
      </c>
      <c r="CB179" s="5" t="str">
        <f t="shared" ca="1" si="488"/>
        <v>VIGENTE</v>
      </c>
      <c r="CC179" s="6" t="s">
        <v>73</v>
      </c>
      <c r="CD179" s="4">
        <v>45529</v>
      </c>
      <c r="CE179" s="4">
        <f t="shared" si="609"/>
        <v>46990</v>
      </c>
      <c r="CF179" s="8">
        <f t="shared" ca="1" si="610"/>
        <v>856</v>
      </c>
      <c r="CG179" s="5" t="str">
        <f t="shared" ca="1" si="591"/>
        <v>VIGENTE</v>
      </c>
      <c r="CH179" s="4"/>
      <c r="CI179" s="4">
        <v>45688</v>
      </c>
      <c r="CJ179" s="4">
        <f>DATE(YEAR(CI179)+2,MONTH(CI179),DAY(CI179)-1)</f>
        <v>46417</v>
      </c>
      <c r="CK179" s="8">
        <f t="shared" ca="1" si="489"/>
        <v>283</v>
      </c>
      <c r="CL179" s="5" t="str">
        <f t="shared" ca="1" si="490"/>
        <v>VIGENTE</v>
      </c>
      <c r="CM179" s="3"/>
      <c r="CN179" s="4">
        <v>45769</v>
      </c>
      <c r="CO179" s="4">
        <f>DATE(YEAR(CN179)+2,MONTH(CN179),DAY(CN179))</f>
        <v>46499</v>
      </c>
      <c r="CP179" s="8">
        <f t="shared" ca="1" si="491"/>
        <v>365</v>
      </c>
      <c r="CQ179" s="5" t="str">
        <f t="shared" ca="1" si="492"/>
        <v>VIGENTE</v>
      </c>
      <c r="CR179" s="3"/>
      <c r="CS179" s="4">
        <v>45965</v>
      </c>
      <c r="CT179" s="4">
        <f>DATE(YEAR(CS179)+2,MONTH(CS179),DAY(CS179))</f>
        <v>46695</v>
      </c>
      <c r="CU179" s="8">
        <f t="shared" ca="1" si="493"/>
        <v>561</v>
      </c>
      <c r="CV179" s="5" t="str">
        <f t="shared" ca="1" si="494"/>
        <v>VIGENTE</v>
      </c>
      <c r="CW179" s="3"/>
      <c r="CX179" s="4">
        <v>45924</v>
      </c>
      <c r="CY179" s="4">
        <f>DATE(YEAR(CX179)+2,MONTH(CX179),DAY(CX179))</f>
        <v>46654</v>
      </c>
      <c r="CZ179" s="8">
        <f t="shared" ca="1" si="495"/>
        <v>520</v>
      </c>
      <c r="DA179" s="5" t="str">
        <f t="shared" ca="1" si="496"/>
        <v>VIGENTE</v>
      </c>
      <c r="DB179" s="3"/>
      <c r="DC179" s="4">
        <v>45689</v>
      </c>
      <c r="DD179" s="4">
        <f>DATE(YEAR(DC179)+2,MONTH(DC179),DAY(DC179)-1)</f>
        <v>46418</v>
      </c>
      <c r="DE179" s="8">
        <f t="shared" ca="1" si="497"/>
        <v>284</v>
      </c>
      <c r="DF179" s="5" t="str">
        <f t="shared" ca="1" si="498"/>
        <v>VIGENTE</v>
      </c>
      <c r="DG179" s="3"/>
      <c r="DH179" s="4">
        <v>45975</v>
      </c>
      <c r="DI179" s="4">
        <f>DATE(YEAR(DH179)+2,MONTH(DH179),DAY(DH179))</f>
        <v>46705</v>
      </c>
      <c r="DJ179" s="8">
        <f t="shared" ca="1" si="499"/>
        <v>571</v>
      </c>
      <c r="DK179" s="5" t="str">
        <f t="shared" ca="1" si="500"/>
        <v>VIGENTE</v>
      </c>
      <c r="DL179" s="3"/>
      <c r="DM179" s="4">
        <v>45982</v>
      </c>
      <c r="DN179" s="4">
        <f>DATE(YEAR(DM179)+2,MONTH(DM179),DAY(DM179))</f>
        <v>46712</v>
      </c>
      <c r="DO179" s="8">
        <f t="shared" ca="1" si="501"/>
        <v>578</v>
      </c>
      <c r="DP179" s="5" t="str">
        <f t="shared" ca="1" si="502"/>
        <v>VIGENTE</v>
      </c>
      <c r="DQ179" s="3"/>
      <c r="DR179" s="4">
        <v>45685</v>
      </c>
      <c r="DS179" s="4">
        <f>DATE(YEAR(DR179)+2,MONTH(DR179),DAY(DR179)-1)</f>
        <v>46414</v>
      </c>
      <c r="DT179" s="8">
        <f t="shared" ca="1" si="503"/>
        <v>280</v>
      </c>
      <c r="DU179" s="5" t="str">
        <f t="shared" ca="1" si="504"/>
        <v>VIGENTE</v>
      </c>
      <c r="DV179" s="3"/>
      <c r="DW179" s="4">
        <v>45663</v>
      </c>
      <c r="DX179" s="4">
        <f>DATE(YEAR(DW179)+2,MONTH(DW179),DAY(DW179)-1)</f>
        <v>46392</v>
      </c>
      <c r="DY179" s="8">
        <f t="shared" ca="1" si="505"/>
        <v>258</v>
      </c>
      <c r="DZ179" s="5" t="str">
        <f t="shared" ca="1" si="506"/>
        <v>VIGENTE</v>
      </c>
      <c r="EA179" s="3"/>
      <c r="EB179" s="4">
        <v>45674</v>
      </c>
      <c r="EC179" s="4">
        <f>DATE(YEAR(EB179)+2,MONTH(EB179),DAY(EB179)-1)</f>
        <v>46403</v>
      </c>
      <c r="ED179" s="8">
        <f t="shared" ca="1" si="507"/>
        <v>269</v>
      </c>
      <c r="EE179" s="5" t="str">
        <f t="shared" ca="1" si="508"/>
        <v>VIGENTE</v>
      </c>
      <c r="EF179" s="3"/>
      <c r="EG179" s="3">
        <v>46085</v>
      </c>
      <c r="EH179" s="4">
        <f t="shared" si="575"/>
        <v>46450</v>
      </c>
      <c r="EI179" s="8">
        <f t="shared" ca="1" si="509"/>
        <v>316</v>
      </c>
      <c r="EJ179" s="5" t="str">
        <f t="shared" ca="1" si="510"/>
        <v>VIGENTE</v>
      </c>
      <c r="EK179" s="3"/>
      <c r="EL179" s="4">
        <v>45705</v>
      </c>
      <c r="EM179" s="4">
        <f>DATE(YEAR(EL179)+2,MONTH(EL179),DAY(EL179)-1)</f>
        <v>46434</v>
      </c>
      <c r="EN179" s="8">
        <f t="shared" ca="1" si="511"/>
        <v>300</v>
      </c>
      <c r="EO179" s="5" t="str">
        <f t="shared" ca="1" si="512"/>
        <v>VIGENTE</v>
      </c>
      <c r="EP179" s="3"/>
      <c r="EQ179" s="4">
        <v>45749</v>
      </c>
      <c r="ER179" s="4">
        <f>DATE(YEAR(EQ179)+2,MONTH(EQ179),DAY(EQ179)-1)</f>
        <v>46478</v>
      </c>
      <c r="ES179" s="8">
        <f t="shared" ca="1" si="513"/>
        <v>344</v>
      </c>
      <c r="ET179" s="5" t="str">
        <f t="shared" ca="1" si="514"/>
        <v>VIGENTE</v>
      </c>
      <c r="EU179" s="3"/>
      <c r="EV179" s="4">
        <v>45917</v>
      </c>
      <c r="EW179" s="4">
        <f t="shared" si="629"/>
        <v>46647</v>
      </c>
      <c r="EX179" s="8">
        <f t="shared" ca="1" si="515"/>
        <v>513</v>
      </c>
      <c r="EY179" s="5" t="str">
        <f t="shared" ca="1" si="516"/>
        <v>VIGENTE</v>
      </c>
      <c r="EZ179" s="3"/>
      <c r="FA179" s="4">
        <v>45931</v>
      </c>
      <c r="FB179" s="4">
        <f>DATE(YEAR(FA179)+2,MONTH(FA179),DAY(FA179))</f>
        <v>46661</v>
      </c>
      <c r="FC179" s="8">
        <f t="shared" ca="1" si="517"/>
        <v>527</v>
      </c>
      <c r="FD179" s="5" t="str">
        <f t="shared" ca="1" si="518"/>
        <v>VIGENTE</v>
      </c>
      <c r="FE179" s="3"/>
      <c r="FF179" s="4">
        <v>45932</v>
      </c>
      <c r="FG179" s="4">
        <f>DATE(YEAR(FF179)+2,MONTH(FF179),DAY(FF179))</f>
        <v>46662</v>
      </c>
      <c r="FH179" s="8">
        <f t="shared" ca="1" si="519"/>
        <v>528</v>
      </c>
      <c r="FI179" s="5" t="str">
        <f t="shared" ca="1" si="520"/>
        <v>VIGENTE</v>
      </c>
      <c r="FJ179" s="3"/>
      <c r="FK179" s="4">
        <v>45670</v>
      </c>
      <c r="FL179" s="4">
        <f>DATE(YEAR(FK179)+2,MONTH(FK179),DAY(FK179)-1)</f>
        <v>46399</v>
      </c>
      <c r="FM179" s="8">
        <f t="shared" ca="1" si="521"/>
        <v>265</v>
      </c>
      <c r="FN179" s="5" t="str">
        <f t="shared" ca="1" si="522"/>
        <v>VIGENTE</v>
      </c>
      <c r="FO179" s="3"/>
      <c r="FP179" s="4">
        <v>45664</v>
      </c>
      <c r="FQ179" s="4">
        <f>DATE(YEAR(FP179)+2,MONTH(FP179),DAY(FP179)-1)</f>
        <v>46393</v>
      </c>
      <c r="FR179" s="8">
        <f t="shared" ca="1" si="523"/>
        <v>259</v>
      </c>
      <c r="FS179" s="5" t="str">
        <f t="shared" ca="1" si="524"/>
        <v>VIGENTE</v>
      </c>
      <c r="FT179" s="3"/>
      <c r="FU179" s="4">
        <v>45993</v>
      </c>
      <c r="FV179" s="4">
        <f>DATE(YEAR(FU179)+2,MONTH(FU179),DAY(FU179))</f>
        <v>46723</v>
      </c>
      <c r="FW179" s="8">
        <f t="shared" ca="1" si="525"/>
        <v>589</v>
      </c>
      <c r="FX179" s="5" t="str">
        <f t="shared" ca="1" si="526"/>
        <v>VIGENTE</v>
      </c>
      <c r="FY179" s="3"/>
      <c r="FZ179" s="4">
        <v>45667</v>
      </c>
      <c r="GA179" s="4">
        <f>DATE(YEAR(FZ179)+2,MONTH(FZ179),DAY(FZ179)-1)</f>
        <v>46396</v>
      </c>
      <c r="GB179" s="8">
        <f t="shared" ca="1" si="527"/>
        <v>262</v>
      </c>
      <c r="GC179" s="5" t="str">
        <f t="shared" ca="1" si="528"/>
        <v>VIGENTE</v>
      </c>
      <c r="GD179" s="3"/>
      <c r="GE179" s="4">
        <v>45672</v>
      </c>
      <c r="GF179" s="4">
        <f>DATE(YEAR(GE179)+2,MONTH(GE179),DAY(GE179)-1)</f>
        <v>46401</v>
      </c>
      <c r="GG179" s="8">
        <f t="shared" ca="1" si="529"/>
        <v>267</v>
      </c>
      <c r="GH179" s="5" t="str">
        <f t="shared" ca="1" si="530"/>
        <v>VIGENTE</v>
      </c>
      <c r="GI179" s="3"/>
      <c r="GJ179" s="4">
        <v>45608</v>
      </c>
      <c r="GK179" s="4">
        <f>DATE(YEAR(GJ179)+2,MONTH(GJ179),DAY(GJ179)-1)</f>
        <v>46337</v>
      </c>
      <c r="GL179" s="8">
        <f t="shared" ca="1" si="531"/>
        <v>203</v>
      </c>
      <c r="GM179" s="5" t="str">
        <f t="shared" ca="1" si="532"/>
        <v>VIGENTE</v>
      </c>
      <c r="GN179" s="4"/>
      <c r="GO179" s="4">
        <v>44912</v>
      </c>
      <c r="GP179" s="4">
        <f t="shared" si="533"/>
        <v>46738</v>
      </c>
      <c r="GQ179" s="8">
        <f t="shared" ca="1" si="620"/>
        <v>604</v>
      </c>
      <c r="GR179" s="5" t="str">
        <f t="shared" ca="1" si="630"/>
        <v>VIGENTE</v>
      </c>
      <c r="GS179" s="3"/>
      <c r="GT179" s="4">
        <v>44984</v>
      </c>
      <c r="GU179" s="4">
        <f t="shared" si="534"/>
        <v>46810</v>
      </c>
      <c r="GV179" s="8">
        <f t="shared" ca="1" si="535"/>
        <v>676</v>
      </c>
      <c r="GW179" s="5" t="str">
        <f t="shared" ca="1" si="631"/>
        <v>VIGENTE</v>
      </c>
      <c r="GX179" s="3"/>
      <c r="GY179" s="4">
        <v>45174</v>
      </c>
      <c r="GZ179" s="4">
        <f t="shared" si="536"/>
        <v>47001</v>
      </c>
      <c r="HA179" s="8">
        <f t="shared" ca="1" si="537"/>
        <v>867</v>
      </c>
      <c r="HB179" s="5" t="str">
        <f t="shared" ca="1" si="632"/>
        <v>VIGENTE</v>
      </c>
      <c r="HC179" s="6"/>
      <c r="HD179" s="6"/>
      <c r="HE179" s="4"/>
      <c r="HF179" s="8"/>
      <c r="HG179" s="5" t="str">
        <f t="shared" si="633"/>
        <v>NO APLICA</v>
      </c>
      <c r="HH179" s="2"/>
      <c r="HI179" s="6"/>
      <c r="HJ179" s="4"/>
      <c r="HK179" s="8"/>
      <c r="HL179" s="5" t="str">
        <f t="shared" si="457"/>
        <v>NO APLICA</v>
      </c>
      <c r="HM179" s="2"/>
      <c r="HN179" s="2"/>
      <c r="HO179" s="4"/>
      <c r="HP179" s="2"/>
      <c r="HQ179" s="5" t="str">
        <f t="shared" si="538"/>
        <v>NO APLICA</v>
      </c>
      <c r="HR179" s="2"/>
      <c r="HS179" s="6"/>
      <c r="HT179" s="4"/>
      <c r="HU179" s="8"/>
      <c r="HV179" s="5" t="str">
        <f t="shared" si="539"/>
        <v>NO APLICA</v>
      </c>
      <c r="HW179" s="2"/>
      <c r="HX179" s="6"/>
      <c r="HY179" s="4"/>
      <c r="HZ179" s="8"/>
      <c r="IA179" s="5" t="str">
        <f t="shared" si="540"/>
        <v>NO APLICA</v>
      </c>
      <c r="IB179" s="2"/>
      <c r="IC179" s="6"/>
      <c r="ID179" s="4"/>
      <c r="IE179" s="8"/>
      <c r="IF179" s="5" t="str">
        <f t="shared" si="541"/>
        <v>NO APLICA</v>
      </c>
      <c r="IG179" s="6"/>
      <c r="IH179" s="6"/>
      <c r="II179" s="4"/>
      <c r="IJ179" s="8"/>
      <c r="IK179" s="5" t="str">
        <f t="shared" si="542"/>
        <v>NO APLICA</v>
      </c>
      <c r="IL179" s="2"/>
      <c r="IM179" s="6"/>
      <c r="IN179" s="4"/>
      <c r="IO179" s="8"/>
      <c r="IP179" s="5" t="str">
        <f t="shared" si="543"/>
        <v>NO APLICA</v>
      </c>
      <c r="IQ179" s="2"/>
      <c r="IR179" s="6"/>
      <c r="IS179" s="4"/>
      <c r="IT179" s="8"/>
      <c r="IU179" s="5" t="str">
        <f t="shared" si="544"/>
        <v>NO APLICA</v>
      </c>
      <c r="IV179" s="2"/>
      <c r="IW179" s="6"/>
      <c r="IX179" s="4"/>
      <c r="IY179" s="8"/>
      <c r="IZ179" s="5" t="str">
        <f t="shared" si="545"/>
        <v>NO APLICA</v>
      </c>
      <c r="JA179" s="3"/>
      <c r="JB179" s="3"/>
      <c r="JC179" s="4"/>
      <c r="JD179" s="8"/>
      <c r="JE179" s="5" t="str">
        <f t="shared" si="546"/>
        <v>NO APLICA</v>
      </c>
      <c r="JF179" s="6"/>
      <c r="JG179" s="6"/>
      <c r="JH179" s="6"/>
      <c r="JI179" s="6"/>
      <c r="JJ179" s="5" t="str">
        <f t="shared" si="547"/>
        <v>NO APLICA</v>
      </c>
      <c r="JK179" s="6"/>
      <c r="JL179" s="6"/>
      <c r="JM179" s="6"/>
      <c r="JN179" s="6"/>
      <c r="JO179" s="5" t="str">
        <f t="shared" si="548"/>
        <v>NO APLICA</v>
      </c>
      <c r="JP179" s="6"/>
      <c r="JQ179" s="6"/>
      <c r="JR179" s="6"/>
      <c r="JS179" s="6"/>
      <c r="JT179" s="5" t="str">
        <f t="shared" si="549"/>
        <v>NO APLICA</v>
      </c>
      <c r="JU179" s="5"/>
      <c r="JV179" s="3"/>
      <c r="JW179" s="4"/>
      <c r="JX179" s="8"/>
      <c r="JY179" s="5" t="str">
        <f t="shared" si="550"/>
        <v>NO APLICA</v>
      </c>
      <c r="JZ179" s="5"/>
      <c r="KA179" s="2"/>
      <c r="KB179" s="4"/>
      <c r="KC179" s="8"/>
      <c r="KD179" s="5" t="str">
        <f t="shared" si="551"/>
        <v>NO APLICA</v>
      </c>
      <c r="KE179" s="5"/>
      <c r="KF179" s="2"/>
      <c r="KG179" s="4"/>
      <c r="KH179" s="8"/>
      <c r="KI179" s="5" t="str">
        <f t="shared" si="576"/>
        <v>NO APLICA</v>
      </c>
      <c r="KJ179" s="5"/>
      <c r="KK179" s="2"/>
      <c r="KL179" s="4"/>
      <c r="KM179" s="8"/>
      <c r="KN179" s="5" t="str">
        <f t="shared" si="552"/>
        <v>NO APLICA</v>
      </c>
      <c r="KO179" s="5"/>
      <c r="KP179" s="2"/>
      <c r="KQ179" s="4"/>
      <c r="KR179" s="8"/>
      <c r="KS179" s="5" t="str">
        <f t="shared" si="577"/>
        <v>NO APLICA</v>
      </c>
      <c r="KT179" s="2"/>
      <c r="KU179" s="6"/>
      <c r="KV179" s="4"/>
      <c r="KW179" s="8"/>
      <c r="KX179" s="5" t="str">
        <f t="shared" si="583"/>
        <v>NO APLICA</v>
      </c>
      <c r="KY179" s="5"/>
      <c r="KZ179" s="6"/>
      <c r="LA179" s="4"/>
      <c r="LB179" s="8"/>
      <c r="LC179" s="5" t="str">
        <f t="shared" si="578"/>
        <v>NO APLICA</v>
      </c>
      <c r="LD179" s="6"/>
      <c r="LE179" s="6"/>
      <c r="LF179" s="4"/>
      <c r="LG179" s="8"/>
      <c r="LH179" s="5" t="str">
        <f t="shared" si="619"/>
        <v>NO APLICA</v>
      </c>
      <c r="LI179" s="5"/>
      <c r="LJ179" s="5"/>
      <c r="LK179" s="4"/>
      <c r="LL179" s="8"/>
      <c r="LM179" s="5" t="str">
        <f t="shared" si="584"/>
        <v>NO APLICA</v>
      </c>
      <c r="LN179" s="2"/>
      <c r="LO179" s="6"/>
      <c r="LP179" s="4"/>
      <c r="LQ179" s="8"/>
      <c r="LR179" s="5" t="str">
        <f t="shared" si="579"/>
        <v>NO APLICA</v>
      </c>
      <c r="LS179" s="6"/>
      <c r="LT179" s="6"/>
      <c r="LU179" s="4"/>
      <c r="LV179" s="8"/>
      <c r="LW179" s="5" t="str">
        <f t="shared" si="580"/>
        <v>NO APLICA</v>
      </c>
      <c r="LX179" s="6"/>
      <c r="LY179" s="6"/>
      <c r="LZ179" s="4"/>
      <c r="MA179" s="8"/>
      <c r="MB179" s="5" t="str">
        <f t="shared" si="581"/>
        <v>NO APLICA</v>
      </c>
      <c r="MC179" s="2"/>
      <c r="MD179" s="2"/>
      <c r="ME179" s="4"/>
      <c r="MF179" s="8"/>
      <c r="MG179" s="5" t="str">
        <f t="shared" si="554"/>
        <v>NO APLICA</v>
      </c>
      <c r="MH179" s="2"/>
      <c r="MI179" s="2"/>
      <c r="MJ179" s="4"/>
      <c r="MK179" s="8"/>
      <c r="ML179" s="5" t="str">
        <f t="shared" si="555"/>
        <v>NO APLICA</v>
      </c>
      <c r="MM179" s="5"/>
      <c r="MN179" s="2"/>
      <c r="MO179" s="4"/>
      <c r="MP179" s="8"/>
      <c r="MQ179" s="5" t="str">
        <f t="shared" si="556"/>
        <v>NO APLICA</v>
      </c>
      <c r="MR179" s="5"/>
      <c r="MS179" s="2"/>
      <c r="MT179" s="4"/>
      <c r="MU179" s="2"/>
      <c r="MV179" s="5" t="str">
        <f t="shared" si="557"/>
        <v>NO APLICA</v>
      </c>
      <c r="MW179" s="2"/>
      <c r="MX179" s="6"/>
      <c r="MY179" s="4"/>
      <c r="MZ179" s="8"/>
      <c r="NA179" s="5" t="str">
        <f t="shared" si="558"/>
        <v>NO APLICA</v>
      </c>
      <c r="NB179" s="2"/>
      <c r="NC179" s="6"/>
      <c r="ND179" s="4"/>
      <c r="NE179" s="8"/>
      <c r="NF179" s="5" t="str">
        <f t="shared" si="559"/>
        <v>NO APLICA</v>
      </c>
      <c r="NG179" s="2"/>
      <c r="NH179" s="6"/>
      <c r="NI179" s="4"/>
      <c r="NJ179" s="8"/>
      <c r="NK179" s="5" t="str">
        <f t="shared" si="560"/>
        <v>NO APLICA</v>
      </c>
      <c r="NL179" s="2"/>
      <c r="NM179" s="2"/>
      <c r="NN179" s="4"/>
      <c r="NO179" s="8"/>
      <c r="NP179" s="5" t="str">
        <f t="shared" si="561"/>
        <v>NO APLICA</v>
      </c>
      <c r="NQ179" s="2"/>
      <c r="NR179" s="2"/>
      <c r="NS179" s="2"/>
      <c r="NT179" s="2"/>
      <c r="NU179" s="5" t="str">
        <f t="shared" si="562"/>
        <v>NO APLICA</v>
      </c>
      <c r="NV179" s="6"/>
      <c r="NW179" s="6"/>
      <c r="NX179" s="4"/>
      <c r="NY179" s="8"/>
      <c r="NZ179" s="5" t="str">
        <f t="shared" si="563"/>
        <v>NO APLICA</v>
      </c>
      <c r="OA179" s="6"/>
      <c r="OB179" s="6"/>
      <c r="OC179" s="6"/>
      <c r="OD179" s="6"/>
      <c r="OE179" s="5" t="str">
        <f t="shared" si="564"/>
        <v>NO APLICA</v>
      </c>
      <c r="OF179" s="6"/>
      <c r="OG179" s="6"/>
      <c r="OH179" s="4"/>
      <c r="OI179" s="8"/>
      <c r="OJ179" s="5" t="str">
        <f t="shared" si="565"/>
        <v>NO APLICA</v>
      </c>
      <c r="OK179" s="6"/>
      <c r="OL179" s="6"/>
      <c r="OM179" s="6"/>
      <c r="ON179" s="6"/>
      <c r="OO179" s="5" t="str">
        <f t="shared" si="566"/>
        <v>NO APLICA</v>
      </c>
      <c r="OP179" s="6"/>
      <c r="OQ179" s="6"/>
      <c r="OR179" s="6"/>
      <c r="OS179" s="6"/>
      <c r="OT179" s="5" t="str">
        <f t="shared" si="567"/>
        <v>NO APLICA</v>
      </c>
      <c r="OU179" s="6"/>
      <c r="OV179" s="6"/>
      <c r="OW179" s="6"/>
      <c r="OX179" s="6"/>
      <c r="OY179" s="5" t="str">
        <f t="shared" si="568"/>
        <v>NO APLICA</v>
      </c>
      <c r="OZ179" s="6"/>
      <c r="PA179" s="6"/>
      <c r="PB179" s="6"/>
      <c r="PC179" s="6"/>
      <c r="PD179" s="5" t="str">
        <f t="shared" si="569"/>
        <v>NO APLICA</v>
      </c>
      <c r="PE179" s="6"/>
      <c r="PF179" s="6"/>
      <c r="PG179" s="6"/>
      <c r="PH179" s="6"/>
      <c r="PI179" s="5" t="str">
        <f t="shared" si="570"/>
        <v>NO APLICA</v>
      </c>
      <c r="PJ179" s="5"/>
      <c r="PK179" s="6"/>
      <c r="PL179" s="4"/>
      <c r="PM179" s="8"/>
      <c r="PN179" s="5" t="str">
        <f t="shared" si="571"/>
        <v>NO APLICA</v>
      </c>
      <c r="PO179" s="6"/>
      <c r="PP179" s="6"/>
      <c r="PQ179" s="6"/>
      <c r="PR179" s="6"/>
      <c r="PS179" s="5" t="str">
        <f t="shared" si="572"/>
        <v>NO APLICA</v>
      </c>
      <c r="PT179" s="5"/>
      <c r="PU179" s="6"/>
      <c r="PV179" s="6"/>
      <c r="PW179" s="6"/>
      <c r="PX179" s="5" t="str">
        <f t="shared" si="573"/>
        <v>NO APLICA</v>
      </c>
    </row>
    <row r="180" spans="1:440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574</v>
      </c>
      <c r="V180" s="4">
        <v>45426</v>
      </c>
      <c r="W180" s="4">
        <f t="shared" si="606"/>
        <v>47252</v>
      </c>
      <c r="X180" s="8">
        <f t="shared" ca="1" si="607"/>
        <v>1118</v>
      </c>
      <c r="Y180" s="5" t="str">
        <f t="shared" ca="1" si="624"/>
        <v>VIGENTE</v>
      </c>
      <c r="Z180" s="6" t="s">
        <v>575</v>
      </c>
      <c r="AA180" s="4">
        <v>45464</v>
      </c>
      <c r="AB180" s="4">
        <f>DATE(YEAR(AA180)+5,MONTH(AA180),DAY(AA180))</f>
        <v>47290</v>
      </c>
      <c r="AC180" s="8">
        <f t="shared" ref="AC180:AC189" ca="1" si="634">AB180-TODAY()</f>
        <v>1156</v>
      </c>
      <c r="AD180" s="5" t="str">
        <f t="shared" ca="1" si="627"/>
        <v>VIGENTE</v>
      </c>
      <c r="AE180" s="6"/>
      <c r="AF180" s="4">
        <v>45512</v>
      </c>
      <c r="AG180" s="4">
        <f>DATE(YEAR(AF180)+2,MONTH(AF180),DAY(AF180)-1)</f>
        <v>46241</v>
      </c>
      <c r="AH180" s="8">
        <f t="shared" ca="1" si="470"/>
        <v>107</v>
      </c>
      <c r="AI180" s="5" t="str">
        <f t="shared" ca="1" si="621"/>
        <v>VIGENTE</v>
      </c>
      <c r="AJ180" s="4"/>
      <c r="AK180" s="4">
        <v>46084</v>
      </c>
      <c r="AL180" s="4">
        <f>DATE(YEAR(AK180)+2,MONTH(AK180),DAY(AK180))</f>
        <v>46815</v>
      </c>
      <c r="AM180" s="8">
        <f t="shared" ca="1" si="471"/>
        <v>681</v>
      </c>
      <c r="AN180" s="5" t="str">
        <f t="shared" ca="1" si="472"/>
        <v>VIGENTE</v>
      </c>
      <c r="AO180" s="6"/>
      <c r="AP180" s="4">
        <v>46048</v>
      </c>
      <c r="AQ180" s="4">
        <f t="shared" si="628"/>
        <v>46778</v>
      </c>
      <c r="AR180" s="8">
        <f t="shared" ca="1" si="473"/>
        <v>644</v>
      </c>
      <c r="AS180" s="5" t="str">
        <f t="shared" ca="1" si="474"/>
        <v>VIGENTE</v>
      </c>
      <c r="AT180" s="6"/>
      <c r="AU180" s="4">
        <v>45523</v>
      </c>
      <c r="AV180" s="4">
        <f>DATE(YEAR(AU180)+2,MONTH(AU180),DAY(AU180)-1)</f>
        <v>46252</v>
      </c>
      <c r="AW180" s="8">
        <f t="shared" ca="1" si="475"/>
        <v>118</v>
      </c>
      <c r="AX180" s="5" t="str">
        <f t="shared" ca="1" si="476"/>
        <v>VIGENTE</v>
      </c>
      <c r="AY180" s="4"/>
      <c r="AZ180" s="4">
        <v>46071</v>
      </c>
      <c r="BA180" s="4">
        <f>DATE(YEAR(AZ180)+2,MONTH(AZ180),DAY(AZ180))</f>
        <v>46801</v>
      </c>
      <c r="BB180" s="8">
        <f t="shared" ca="1" si="477"/>
        <v>667</v>
      </c>
      <c r="BC180" s="5" t="str">
        <f t="shared" ca="1" si="478"/>
        <v>VIGENTE</v>
      </c>
      <c r="BD180" s="6"/>
      <c r="BE180" s="4">
        <v>46067</v>
      </c>
      <c r="BF180" s="4">
        <f t="shared" ref="BF180:BF186" si="635">DATE(YEAR(BE180)+2,MONTH(BE180),DAY(BE180))</f>
        <v>46797</v>
      </c>
      <c r="BG180" s="8">
        <f t="shared" ca="1" si="479"/>
        <v>663</v>
      </c>
      <c r="BH180" s="5" t="str">
        <f t="shared" ca="1" si="480"/>
        <v>VIGENTE</v>
      </c>
      <c r="BI180" s="4"/>
      <c r="BJ180" s="4">
        <v>46090</v>
      </c>
      <c r="BK180" s="4">
        <f>DATE(YEAR(BJ180)+2,MONTH(BJ180),DAY(BJ180))</f>
        <v>46821</v>
      </c>
      <c r="BL180" s="8">
        <f t="shared" ca="1" si="481"/>
        <v>687</v>
      </c>
      <c r="BM180" s="5" t="str">
        <f t="shared" ca="1" si="482"/>
        <v>VIGENTE</v>
      </c>
      <c r="BN180" s="4"/>
      <c r="BO180" s="4">
        <v>45447</v>
      </c>
      <c r="BP180" s="4">
        <f>DATE(YEAR(BO180)+2,MONTH(BO180),DAY(BO180)-1)</f>
        <v>46176</v>
      </c>
      <c r="BQ180" s="8">
        <f t="shared" ca="1" si="483"/>
        <v>42</v>
      </c>
      <c r="BR180" s="5" t="str">
        <f t="shared" ca="1" si="484"/>
        <v>POR VENCER</v>
      </c>
      <c r="BS180" s="6"/>
      <c r="BT180" s="4">
        <v>45449</v>
      </c>
      <c r="BU180" s="4">
        <f>DATE(YEAR(BT180)+2,MONTH(BT180),DAY(BT180)-1)</f>
        <v>46178</v>
      </c>
      <c r="BV180" s="8">
        <f t="shared" ca="1" si="485"/>
        <v>44</v>
      </c>
      <c r="BW180" s="5" t="str">
        <f t="shared" ca="1" si="486"/>
        <v>POR VENCER</v>
      </c>
      <c r="BX180" s="6"/>
      <c r="BY180" s="4">
        <v>46065</v>
      </c>
      <c r="BZ180" s="4">
        <f>DATE(YEAR(BY180)+2,MONTH(BY180),DAY(BY180))</f>
        <v>46795</v>
      </c>
      <c r="CA180" s="8">
        <f t="shared" ca="1" si="487"/>
        <v>661</v>
      </c>
      <c r="CB180" s="5" t="str">
        <f t="shared" ca="1" si="488"/>
        <v>VIGENTE</v>
      </c>
      <c r="CC180" s="6" t="s">
        <v>73</v>
      </c>
      <c r="CD180" s="4">
        <v>45455</v>
      </c>
      <c r="CE180" s="4">
        <f t="shared" si="609"/>
        <v>46916</v>
      </c>
      <c r="CF180" s="8">
        <f t="shared" ca="1" si="610"/>
        <v>782</v>
      </c>
      <c r="CG180" s="5" t="str">
        <f t="shared" ca="1" si="591"/>
        <v>VIGENTE</v>
      </c>
      <c r="CH180" s="6"/>
      <c r="CI180" s="4">
        <v>45452</v>
      </c>
      <c r="CJ180" s="4">
        <f>DATE(YEAR(CI180)+2,MONTH(CI180),DAY(CI180)-1)</f>
        <v>46181</v>
      </c>
      <c r="CK180" s="8">
        <f t="shared" ca="1" si="489"/>
        <v>47</v>
      </c>
      <c r="CL180" s="5" t="str">
        <f t="shared" ca="1" si="490"/>
        <v>POR VENCER</v>
      </c>
      <c r="CM180" s="4"/>
      <c r="CN180" s="4">
        <v>46101</v>
      </c>
      <c r="CO180" s="4">
        <f>DATE(YEAR(CN180)+2,MONTH(CN180),DAY(CN180))</f>
        <v>46832</v>
      </c>
      <c r="CP180" s="8">
        <f t="shared" ca="1" si="491"/>
        <v>698</v>
      </c>
      <c r="CQ180" s="5" t="str">
        <f t="shared" ca="1" si="492"/>
        <v>VIGENTE</v>
      </c>
      <c r="CR180" s="4"/>
      <c r="CS180" s="4">
        <v>46081</v>
      </c>
      <c r="CT180" s="4">
        <f>DATE(YEAR(CS180)+2,MONTH(CS180),DAY(CS180))</f>
        <v>46811</v>
      </c>
      <c r="CU180" s="8">
        <f t="shared" ca="1" si="493"/>
        <v>677</v>
      </c>
      <c r="CV180" s="5" t="str">
        <f t="shared" ca="1" si="494"/>
        <v>VIGENTE</v>
      </c>
      <c r="CW180" s="4"/>
      <c r="CX180" s="4">
        <v>46098</v>
      </c>
      <c r="CY180" s="4">
        <f>DATE(YEAR(CX180)+2,MONTH(CX180),DAY(CX180))</f>
        <v>46829</v>
      </c>
      <c r="CZ180" s="8">
        <f t="shared" ca="1" si="495"/>
        <v>695</v>
      </c>
      <c r="DA180" s="5" t="str">
        <f t="shared" ca="1" si="496"/>
        <v>VIGENTE</v>
      </c>
      <c r="DB180" s="4"/>
      <c r="DC180" s="4">
        <v>45535</v>
      </c>
      <c r="DD180" s="4">
        <f>DATE(YEAR(DC180)+2,MONTH(DC180),DAY(DC180)-1)</f>
        <v>46264</v>
      </c>
      <c r="DE180" s="8">
        <f t="shared" ca="1" si="497"/>
        <v>130</v>
      </c>
      <c r="DF180" s="5" t="str">
        <f t="shared" ca="1" si="498"/>
        <v>VIGENTE</v>
      </c>
      <c r="DG180" s="6"/>
      <c r="DH180" s="4">
        <v>45451</v>
      </c>
      <c r="DI180" s="4">
        <f>DATE(YEAR(DH180)+2,MONTH(DH180),DAY(DH180)-1)</f>
        <v>46180</v>
      </c>
      <c r="DJ180" s="8">
        <f t="shared" ca="1" si="499"/>
        <v>46</v>
      </c>
      <c r="DK180" s="5" t="str">
        <f t="shared" ca="1" si="500"/>
        <v>POR VENCER</v>
      </c>
      <c r="DL180" s="4"/>
      <c r="DM180" s="4">
        <v>45486</v>
      </c>
      <c r="DN180" s="4">
        <f>DATE(YEAR(DM180)+2,MONTH(DM180),DAY(DM180)-1)</f>
        <v>46215</v>
      </c>
      <c r="DO180" s="8">
        <f t="shared" ca="1" si="501"/>
        <v>81</v>
      </c>
      <c r="DP180" s="5" t="str">
        <f t="shared" ca="1" si="502"/>
        <v>POR VENCER</v>
      </c>
      <c r="DQ180" s="6"/>
      <c r="DR180" s="4">
        <v>46053</v>
      </c>
      <c r="DS180" s="4">
        <f>DATE(YEAR(DR180)+2,MONTH(DR180),DAY(DR180))</f>
        <v>46783</v>
      </c>
      <c r="DT180" s="8">
        <f t="shared" ca="1" si="503"/>
        <v>649</v>
      </c>
      <c r="DU180" s="5" t="str">
        <f t="shared" ca="1" si="504"/>
        <v>VIGENTE</v>
      </c>
      <c r="DV180" s="4"/>
      <c r="DW180" s="4">
        <v>46099</v>
      </c>
      <c r="DX180" s="4">
        <f>DATE(YEAR(DW180)+2,MONTH(DW180),DAY(DW180))</f>
        <v>46830</v>
      </c>
      <c r="DY180" s="8">
        <f t="shared" ca="1" si="505"/>
        <v>696</v>
      </c>
      <c r="DZ180" s="5" t="str">
        <f t="shared" ca="1" si="506"/>
        <v>VIGENTE</v>
      </c>
      <c r="EA180" s="4"/>
      <c r="EB180" s="4">
        <v>46104</v>
      </c>
      <c r="EC180" s="4">
        <f>DATE(YEAR(EB180)+2,MONTH(EB180),DAY(EB180))</f>
        <v>46835</v>
      </c>
      <c r="ED180" s="8">
        <f t="shared" ca="1" si="507"/>
        <v>701</v>
      </c>
      <c r="EE180" s="5" t="str">
        <f t="shared" ca="1" si="508"/>
        <v>VIGENTE</v>
      </c>
      <c r="EF180" s="4"/>
      <c r="EG180" s="4">
        <v>45812</v>
      </c>
      <c r="EH180" s="4">
        <f t="shared" si="575"/>
        <v>46177</v>
      </c>
      <c r="EI180" s="8">
        <f t="shared" ca="1" si="509"/>
        <v>43</v>
      </c>
      <c r="EJ180" s="5" t="str">
        <f t="shared" ca="1" si="510"/>
        <v>POR VENCER</v>
      </c>
      <c r="EK180" s="4"/>
      <c r="EL180" s="4">
        <v>46100</v>
      </c>
      <c r="EM180" s="4">
        <f>DATE(YEAR(EL180)+2,MONTH(EL180),DAY(EL180))</f>
        <v>46831</v>
      </c>
      <c r="EN180" s="8">
        <f t="shared" ca="1" si="511"/>
        <v>697</v>
      </c>
      <c r="EO180" s="5" t="str">
        <f t="shared" ca="1" si="512"/>
        <v>VIGENTE</v>
      </c>
      <c r="EP180" s="6"/>
      <c r="EQ180" s="4">
        <v>46094</v>
      </c>
      <c r="ER180" s="4">
        <f>DATE(YEAR(EQ180)+2,MONTH(EQ180),DAY(EQ180))</f>
        <v>46825</v>
      </c>
      <c r="ES180" s="8">
        <f t="shared" ca="1" si="513"/>
        <v>691</v>
      </c>
      <c r="ET180" s="5" t="str">
        <f t="shared" ca="1" si="514"/>
        <v>VIGENTE</v>
      </c>
      <c r="EU180" s="4"/>
      <c r="EV180" s="4">
        <v>46063</v>
      </c>
      <c r="EW180" s="4">
        <f t="shared" si="629"/>
        <v>46793</v>
      </c>
      <c r="EX180" s="8">
        <f t="shared" ca="1" si="515"/>
        <v>659</v>
      </c>
      <c r="EY180" s="5" t="str">
        <f t="shared" ca="1" si="516"/>
        <v>VIGENTE</v>
      </c>
      <c r="EZ180" s="6"/>
      <c r="FA180" s="4">
        <v>45482</v>
      </c>
      <c r="FB180" s="4">
        <f>DATE(YEAR(FA180)+2,MONTH(FA180),DAY(FA180)-1)</f>
        <v>46211</v>
      </c>
      <c r="FC180" s="8">
        <f t="shared" ca="1" si="517"/>
        <v>77</v>
      </c>
      <c r="FD180" s="5" t="str">
        <f t="shared" ca="1" si="518"/>
        <v>POR VENCER</v>
      </c>
      <c r="FE180" s="6"/>
      <c r="FF180" s="4">
        <v>45506</v>
      </c>
      <c r="FG180" s="4">
        <f>DATE(YEAR(FF180)+2,MONTH(FF180),DAY(FF180)-1)</f>
        <v>46235</v>
      </c>
      <c r="FH180" s="8">
        <f t="shared" ca="1" si="519"/>
        <v>101</v>
      </c>
      <c r="FI180" s="5" t="str">
        <f t="shared" ca="1" si="520"/>
        <v>VIGENTE</v>
      </c>
      <c r="FJ180" s="4"/>
      <c r="FK180" s="4">
        <v>45479</v>
      </c>
      <c r="FL180" s="4">
        <f>DATE(YEAR(FK180)+2,MONTH(FK180),DAY(FK180)-1)</f>
        <v>46208</v>
      </c>
      <c r="FM180" s="8">
        <f t="shared" ca="1" si="521"/>
        <v>74</v>
      </c>
      <c r="FN180" s="5" t="str">
        <f t="shared" ca="1" si="522"/>
        <v>POR VENCER</v>
      </c>
      <c r="FO180" s="4"/>
      <c r="FP180" s="4">
        <v>46080</v>
      </c>
      <c r="FQ180" s="4">
        <f>DATE(YEAR(FP180)+2,MONTH(FP180),DAY(FP180))</f>
        <v>46810</v>
      </c>
      <c r="FR180" s="8">
        <f t="shared" ca="1" si="523"/>
        <v>676</v>
      </c>
      <c r="FS180" s="5" t="str">
        <f t="shared" ca="1" si="524"/>
        <v>VIGENTE</v>
      </c>
      <c r="FT180" s="4"/>
      <c r="FU180" s="4">
        <v>45547</v>
      </c>
      <c r="FV180" s="4">
        <f>DATE(YEAR(FU180)+2,MONTH(FU180),DAY(FU180)-1)</f>
        <v>46276</v>
      </c>
      <c r="FW180" s="8">
        <f t="shared" ca="1" si="525"/>
        <v>142</v>
      </c>
      <c r="FX180" s="5" t="str">
        <f t="shared" ca="1" si="526"/>
        <v>VIGENTE</v>
      </c>
      <c r="FY180" s="4"/>
      <c r="FZ180" s="4">
        <v>46073</v>
      </c>
      <c r="GA180" s="4">
        <f>DATE(YEAR(FZ180)+2,MONTH(FZ180),DAY(FZ180))</f>
        <v>46803</v>
      </c>
      <c r="GB180" s="8">
        <f t="shared" ca="1" si="527"/>
        <v>669</v>
      </c>
      <c r="GC180" s="5" t="str">
        <f t="shared" ca="1" si="528"/>
        <v>VIGENTE</v>
      </c>
      <c r="GD180" s="4"/>
      <c r="GE180" s="4">
        <v>46092</v>
      </c>
      <c r="GF180" s="4">
        <f>DATE(YEAR(GE180)+2,MONTH(GE180),DAY(GE180))</f>
        <v>46823</v>
      </c>
      <c r="GG180" s="8">
        <f t="shared" ca="1" si="529"/>
        <v>689</v>
      </c>
      <c r="GH180" s="5" t="str">
        <f t="shared" ca="1" si="530"/>
        <v>VIGENTE</v>
      </c>
      <c r="GI180" s="4"/>
      <c r="GJ180" s="4">
        <v>46093</v>
      </c>
      <c r="GK180" s="4">
        <f>DATE(YEAR(GJ180)+2,MONTH(GJ180),DAY(GJ180))</f>
        <v>46824</v>
      </c>
      <c r="GL180" s="8">
        <f t="shared" ca="1" si="531"/>
        <v>690</v>
      </c>
      <c r="GM180" s="5" t="str">
        <f t="shared" ca="1" si="532"/>
        <v>VIGENTE</v>
      </c>
      <c r="GN180" s="4"/>
      <c r="GO180" s="4">
        <v>45468</v>
      </c>
      <c r="GP180" s="4">
        <f t="shared" si="533"/>
        <v>47294</v>
      </c>
      <c r="GQ180" s="8">
        <f t="shared" ca="1" si="620"/>
        <v>1160</v>
      </c>
      <c r="GR180" s="5" t="str">
        <f t="shared" ca="1" si="630"/>
        <v>VIGENTE</v>
      </c>
      <c r="GS180" s="4"/>
      <c r="GT180" s="4">
        <v>45507</v>
      </c>
      <c r="GU180" s="4">
        <f t="shared" si="534"/>
        <v>47333</v>
      </c>
      <c r="GV180" s="8">
        <f t="shared" ca="1" si="535"/>
        <v>1199</v>
      </c>
      <c r="GW180" s="5" t="str">
        <f t="shared" ca="1" si="631"/>
        <v>VIGENTE</v>
      </c>
      <c r="GX180" s="6"/>
      <c r="GY180" s="4">
        <v>45479</v>
      </c>
      <c r="GZ180" s="4">
        <f t="shared" si="536"/>
        <v>47305</v>
      </c>
      <c r="HA180" s="8">
        <f t="shared" ca="1" si="537"/>
        <v>1171</v>
      </c>
      <c r="HB180" s="5" t="str">
        <f t="shared" ca="1" si="632"/>
        <v>VIGENTE</v>
      </c>
      <c r="HC180" s="6"/>
      <c r="HD180" s="4">
        <v>45496</v>
      </c>
      <c r="HE180" s="4">
        <f>DATE(YEAR(HD180)+5,MONTH(HD180),DAY(HD180))</f>
        <v>47322</v>
      </c>
      <c r="HF180" s="8">
        <f t="shared" ref="HF180:HF189" ca="1" si="636">HE180-TODAY()</f>
        <v>1188</v>
      </c>
      <c r="HG180" s="5" t="str">
        <f t="shared" ca="1" si="633"/>
        <v>VIGENTE</v>
      </c>
      <c r="HH180" s="6"/>
      <c r="HI180" s="6"/>
      <c r="HJ180" s="4"/>
      <c r="HK180" s="8"/>
      <c r="HL180" s="5" t="str">
        <f t="shared" si="457"/>
        <v>NO APLICA</v>
      </c>
      <c r="HM180" s="6"/>
      <c r="HN180" s="6"/>
      <c r="HO180" s="4"/>
      <c r="HP180" s="6"/>
      <c r="HQ180" s="5" t="str">
        <f t="shared" si="538"/>
        <v>NO APLICA</v>
      </c>
      <c r="HR180" s="6"/>
      <c r="HS180" s="6"/>
      <c r="HT180" s="4"/>
      <c r="HU180" s="8"/>
      <c r="HV180" s="5" t="str">
        <f t="shared" si="539"/>
        <v>NO APLICA</v>
      </c>
      <c r="HW180" s="6"/>
      <c r="HX180" s="6"/>
      <c r="HY180" s="4"/>
      <c r="HZ180" s="8"/>
      <c r="IA180" s="5" t="str">
        <f t="shared" si="540"/>
        <v>NO APLICA</v>
      </c>
      <c r="IB180" s="6"/>
      <c r="IC180" s="6"/>
      <c r="ID180" s="4"/>
      <c r="IE180" s="8"/>
      <c r="IF180" s="5" t="str">
        <f t="shared" si="541"/>
        <v>NO APLICA</v>
      </c>
      <c r="IG180" s="6"/>
      <c r="IH180" s="6"/>
      <c r="II180" s="4"/>
      <c r="IJ180" s="6"/>
      <c r="IK180" s="5" t="str">
        <f t="shared" si="542"/>
        <v>NO APLICA</v>
      </c>
      <c r="IL180" s="6"/>
      <c r="IM180" s="6"/>
      <c r="IN180" s="4"/>
      <c r="IO180" s="8"/>
      <c r="IP180" s="5" t="str">
        <f t="shared" si="543"/>
        <v>NO APLICA</v>
      </c>
      <c r="IQ180" s="6"/>
      <c r="IR180" s="6"/>
      <c r="IS180" s="4"/>
      <c r="IT180" s="8"/>
      <c r="IU180" s="5" t="str">
        <f t="shared" si="544"/>
        <v>NO APLICA</v>
      </c>
      <c r="IV180" s="6"/>
      <c r="IW180" s="6"/>
      <c r="IX180" s="4"/>
      <c r="IY180" s="8"/>
      <c r="IZ180" s="5" t="str">
        <f t="shared" si="545"/>
        <v>NO APLICA</v>
      </c>
      <c r="JA180" s="6"/>
      <c r="JB180" s="6"/>
      <c r="JC180" s="6"/>
      <c r="JD180" s="6"/>
      <c r="JE180" s="5" t="str">
        <f t="shared" si="546"/>
        <v>NO APLICA</v>
      </c>
      <c r="JF180" s="6"/>
      <c r="JG180" s="6"/>
      <c r="JH180" s="6"/>
      <c r="JI180" s="6"/>
      <c r="JJ180" s="5" t="str">
        <f t="shared" si="547"/>
        <v>NO APLICA</v>
      </c>
      <c r="JK180" s="6"/>
      <c r="JL180" s="6"/>
      <c r="JM180" s="6"/>
      <c r="JN180" s="6"/>
      <c r="JO180" s="5" t="str">
        <f t="shared" si="548"/>
        <v>NO APLICA</v>
      </c>
      <c r="JP180" s="6"/>
      <c r="JQ180" s="6"/>
      <c r="JR180" s="6"/>
      <c r="JS180" s="6"/>
      <c r="JT180" s="5" t="str">
        <f t="shared" si="549"/>
        <v>NO APLICA</v>
      </c>
      <c r="JU180" s="5"/>
      <c r="JV180" s="5"/>
      <c r="JW180" s="5"/>
      <c r="JX180" s="5"/>
      <c r="JY180" s="5" t="str">
        <f t="shared" si="550"/>
        <v>NO APLICA</v>
      </c>
      <c r="JZ180" s="5"/>
      <c r="KA180" s="6"/>
      <c r="KB180" s="4"/>
      <c r="KC180" s="6"/>
      <c r="KD180" s="5" t="str">
        <f t="shared" si="551"/>
        <v>NO APLICA</v>
      </c>
      <c r="KE180" s="5"/>
      <c r="KF180" s="6"/>
      <c r="KG180" s="4"/>
      <c r="KH180" s="6"/>
      <c r="KI180" s="5" t="str">
        <f t="shared" si="576"/>
        <v>NO APLICA</v>
      </c>
      <c r="KJ180" s="5"/>
      <c r="KK180" s="6"/>
      <c r="KL180" s="4"/>
      <c r="KM180" s="6"/>
      <c r="KN180" s="5" t="str">
        <f t="shared" si="552"/>
        <v>NO APLICA</v>
      </c>
      <c r="KO180" s="5"/>
      <c r="KP180" s="6"/>
      <c r="KQ180" s="4"/>
      <c r="KR180" s="6"/>
      <c r="KS180" s="5" t="str">
        <f t="shared" si="577"/>
        <v>NO APLICA</v>
      </c>
      <c r="KT180" s="6"/>
      <c r="KU180" s="6"/>
      <c r="KV180" s="4"/>
      <c r="KW180" s="6"/>
      <c r="KX180" s="5" t="str">
        <f t="shared" si="583"/>
        <v>NO APLICA</v>
      </c>
      <c r="KY180" s="5"/>
      <c r="KZ180" s="6"/>
      <c r="LA180" s="4"/>
      <c r="LB180" s="6"/>
      <c r="LC180" s="5" t="str">
        <f t="shared" si="578"/>
        <v>NO APLICA</v>
      </c>
      <c r="LD180" s="6"/>
      <c r="LE180" s="6"/>
      <c r="LF180" s="6"/>
      <c r="LG180" s="6"/>
      <c r="LH180" s="5" t="str">
        <f t="shared" si="619"/>
        <v>NO APLICA</v>
      </c>
      <c r="LI180" s="5"/>
      <c r="LJ180" s="5"/>
      <c r="LK180" s="4"/>
      <c r="LL180" s="8"/>
      <c r="LM180" s="5" t="str">
        <f t="shared" si="584"/>
        <v>NO APLICA</v>
      </c>
      <c r="LN180" s="6"/>
      <c r="LO180" s="6"/>
      <c r="LP180" s="4"/>
      <c r="LQ180" s="8"/>
      <c r="LR180" s="5" t="str">
        <f t="shared" si="579"/>
        <v>NO APLICA</v>
      </c>
      <c r="LS180" s="6"/>
      <c r="LT180" s="6"/>
      <c r="LU180" s="4"/>
      <c r="LV180" s="6"/>
      <c r="LW180" s="5" t="str">
        <f t="shared" si="580"/>
        <v>NO APLICA</v>
      </c>
      <c r="LX180" s="6"/>
      <c r="LY180" s="6"/>
      <c r="LZ180" s="4"/>
      <c r="MA180" s="6"/>
      <c r="MB180" s="5" t="str">
        <f t="shared" si="581"/>
        <v>NO APLICA</v>
      </c>
      <c r="MC180" s="6"/>
      <c r="MD180" s="6"/>
      <c r="ME180" s="4"/>
      <c r="MF180" s="6"/>
      <c r="MG180" s="5" t="str">
        <f t="shared" si="554"/>
        <v>NO APLICA</v>
      </c>
      <c r="MH180" s="6"/>
      <c r="MI180" s="6"/>
      <c r="MJ180" s="4"/>
      <c r="MK180" s="6"/>
      <c r="ML180" s="5" t="str">
        <f t="shared" si="555"/>
        <v>NO APLICA</v>
      </c>
      <c r="MM180" s="5"/>
      <c r="MN180" s="6"/>
      <c r="MO180" s="4"/>
      <c r="MP180" s="6"/>
      <c r="MQ180" s="5" t="str">
        <f t="shared" si="556"/>
        <v>NO APLICA</v>
      </c>
      <c r="MR180" s="5"/>
      <c r="MS180" s="6"/>
      <c r="MT180" s="6"/>
      <c r="MU180" s="6"/>
      <c r="MV180" s="5" t="str">
        <f t="shared" si="557"/>
        <v>NO APLICA</v>
      </c>
      <c r="MW180" s="6"/>
      <c r="MX180" s="6"/>
      <c r="MY180" s="4"/>
      <c r="MZ180" s="6"/>
      <c r="NA180" s="5" t="str">
        <f t="shared" si="558"/>
        <v>NO APLICA</v>
      </c>
      <c r="NB180" s="6"/>
      <c r="NC180" s="6"/>
      <c r="ND180" s="4"/>
      <c r="NE180" s="6"/>
      <c r="NF180" s="5" t="str">
        <f t="shared" si="559"/>
        <v>NO APLICA</v>
      </c>
      <c r="NG180" s="6"/>
      <c r="NH180" s="6"/>
      <c r="NI180" s="4"/>
      <c r="NJ180" s="6"/>
      <c r="NK180" s="5" t="str">
        <f t="shared" si="560"/>
        <v>NO APLICA</v>
      </c>
      <c r="NL180" s="6"/>
      <c r="NM180" s="6"/>
      <c r="NN180" s="4"/>
      <c r="NO180" s="6"/>
      <c r="NP180" s="5" t="str">
        <f t="shared" si="561"/>
        <v>NO APLICA</v>
      </c>
      <c r="NQ180" s="6"/>
      <c r="NR180" s="6"/>
      <c r="NS180" s="4"/>
      <c r="NT180" s="6"/>
      <c r="NU180" s="5" t="str">
        <f t="shared" si="562"/>
        <v>NO APLICA</v>
      </c>
      <c r="NV180" s="6"/>
      <c r="NW180" s="6"/>
      <c r="NX180" s="4"/>
      <c r="NY180" s="8"/>
      <c r="NZ180" s="5" t="str">
        <f t="shared" si="563"/>
        <v>NO APLICA</v>
      </c>
      <c r="OA180" s="6"/>
      <c r="OB180" s="6"/>
      <c r="OC180" s="6"/>
      <c r="OD180" s="6"/>
      <c r="OE180" s="5" t="str">
        <f t="shared" si="564"/>
        <v>NO APLICA</v>
      </c>
      <c r="OF180" s="6"/>
      <c r="OG180" s="6"/>
      <c r="OH180" s="6"/>
      <c r="OI180" s="6"/>
      <c r="OJ180" s="5" t="str">
        <f t="shared" si="565"/>
        <v>NO APLICA</v>
      </c>
      <c r="OK180" s="6"/>
      <c r="OL180" s="6"/>
      <c r="OM180" s="4"/>
      <c r="ON180" s="8"/>
      <c r="OO180" s="5" t="str">
        <f t="shared" si="566"/>
        <v>NO APLICA</v>
      </c>
      <c r="OP180" s="6"/>
      <c r="OQ180" s="6"/>
      <c r="OR180" s="6"/>
      <c r="OS180" s="6"/>
      <c r="OT180" s="5" t="str">
        <f t="shared" si="567"/>
        <v>NO APLICA</v>
      </c>
      <c r="OU180" s="6"/>
      <c r="OV180" s="6"/>
      <c r="OW180" s="6"/>
      <c r="OX180" s="6"/>
      <c r="OY180" s="5" t="str">
        <f t="shared" si="568"/>
        <v>NO APLICA</v>
      </c>
      <c r="OZ180" s="6"/>
      <c r="PA180" s="6"/>
      <c r="PB180" s="6"/>
      <c r="PC180" s="6"/>
      <c r="PD180" s="5" t="str">
        <f t="shared" si="569"/>
        <v>NO APLICA</v>
      </c>
      <c r="PE180" s="6"/>
      <c r="PF180" s="6"/>
      <c r="PG180" s="6"/>
      <c r="PH180" s="6"/>
      <c r="PI180" s="5" t="str">
        <f t="shared" si="570"/>
        <v>NO APLICA</v>
      </c>
      <c r="PJ180" s="5"/>
      <c r="PK180" s="6"/>
      <c r="PL180" s="6"/>
      <c r="PM180" s="6"/>
      <c r="PN180" s="5" t="str">
        <f t="shared" si="571"/>
        <v>NO APLICA</v>
      </c>
      <c r="PO180" s="6"/>
      <c r="PP180" s="6"/>
      <c r="PQ180" s="6"/>
      <c r="PR180" s="6"/>
      <c r="PS180" s="5" t="str">
        <f t="shared" si="572"/>
        <v>NO APLICA</v>
      </c>
      <c r="PT180" s="5"/>
      <c r="PU180" s="6"/>
      <c r="PV180" s="6"/>
      <c r="PW180" s="6"/>
      <c r="PX180" s="5" t="str">
        <f t="shared" si="573"/>
        <v>NO APLICA</v>
      </c>
    </row>
    <row r="181" spans="1:440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577</v>
      </c>
      <c r="V181" s="4">
        <v>44790</v>
      </c>
      <c r="W181" s="4">
        <f t="shared" si="606"/>
        <v>46616</v>
      </c>
      <c r="X181" s="8">
        <f t="shared" ca="1" si="607"/>
        <v>482</v>
      </c>
      <c r="Y181" s="5" t="str">
        <f t="shared" ca="1" si="624"/>
        <v>VIGENTE</v>
      </c>
      <c r="Z181" s="2" t="s">
        <v>578</v>
      </c>
      <c r="AA181" s="4">
        <v>44828</v>
      </c>
      <c r="AB181" s="4">
        <f>DATE(YEAR(AA181)+5,MONTH(AA181),DAY(AA181))</f>
        <v>46654</v>
      </c>
      <c r="AC181" s="8">
        <f t="shared" ca="1" si="634"/>
        <v>520</v>
      </c>
      <c r="AD181" s="5" t="str">
        <f t="shared" ca="1" si="627"/>
        <v>VIGENTE</v>
      </c>
      <c r="AE181" s="3"/>
      <c r="AF181" s="3">
        <v>45589</v>
      </c>
      <c r="AG181" s="4">
        <f>DATE(YEAR(AF181)+2,MONTH(AF181),DAY(AF181)-1)</f>
        <v>46318</v>
      </c>
      <c r="AH181" s="8">
        <f t="shared" ca="1" si="470"/>
        <v>184</v>
      </c>
      <c r="AI181" s="5" t="str">
        <f t="shared" ca="1" si="621"/>
        <v>VIGENTE</v>
      </c>
      <c r="AJ181" s="3"/>
      <c r="AK181" s="4">
        <v>45926</v>
      </c>
      <c r="AL181" s="4">
        <f>DATE(YEAR(AK181)+2,MONTH(AK181),DAY(AK181))</f>
        <v>46656</v>
      </c>
      <c r="AM181" s="8">
        <f t="shared" ca="1" si="471"/>
        <v>522</v>
      </c>
      <c r="AN181" s="5" t="str">
        <f t="shared" ca="1" si="472"/>
        <v>VIGENTE</v>
      </c>
      <c r="AO181" s="3"/>
      <c r="AP181" s="4">
        <v>45967</v>
      </c>
      <c r="AQ181" s="4">
        <f t="shared" si="628"/>
        <v>46697</v>
      </c>
      <c r="AR181" s="8">
        <f t="shared" ca="1" si="473"/>
        <v>563</v>
      </c>
      <c r="AS181" s="5" t="str">
        <f t="shared" ca="1" si="474"/>
        <v>VIGENTE</v>
      </c>
      <c r="AT181" s="3"/>
      <c r="AU181" s="4">
        <v>45972</v>
      </c>
      <c r="AV181" s="4">
        <f>DATE(YEAR(AU181)+2,MONTH(AU181),DAY(AU181))</f>
        <v>46702</v>
      </c>
      <c r="AW181" s="8">
        <f t="shared" ca="1" si="475"/>
        <v>568</v>
      </c>
      <c r="AX181" s="5" t="str">
        <f t="shared" ca="1" si="476"/>
        <v>VIGENTE</v>
      </c>
      <c r="AY181" s="3"/>
      <c r="AZ181" s="4">
        <v>45515</v>
      </c>
      <c r="BA181" s="4">
        <f>DATE(YEAR(AZ181)+2,MONTH(AZ181),DAY(AZ181)-1)</f>
        <v>46244</v>
      </c>
      <c r="BB181" s="8">
        <f t="shared" ca="1" si="477"/>
        <v>110</v>
      </c>
      <c r="BC181" s="5" t="str">
        <f t="shared" ca="1" si="478"/>
        <v>VIGENTE</v>
      </c>
      <c r="BD181" s="3"/>
      <c r="BE181" s="4">
        <v>45968</v>
      </c>
      <c r="BF181" s="4">
        <f t="shared" si="635"/>
        <v>46698</v>
      </c>
      <c r="BG181" s="8">
        <f t="shared" ca="1" si="479"/>
        <v>564</v>
      </c>
      <c r="BH181" s="5" t="str">
        <f t="shared" ca="1" si="480"/>
        <v>VIGENTE</v>
      </c>
      <c r="BI181" s="3"/>
      <c r="BJ181" s="4">
        <v>46035</v>
      </c>
      <c r="BK181" s="4">
        <f>DATE(YEAR(BJ181)+2,MONTH(BJ181),DAY(BJ181))</f>
        <v>46765</v>
      </c>
      <c r="BL181" s="8">
        <f t="shared" ca="1" si="481"/>
        <v>631</v>
      </c>
      <c r="BM181" s="5" t="str">
        <f t="shared" ca="1" si="482"/>
        <v>VIGENTE</v>
      </c>
      <c r="BN181" s="3"/>
      <c r="BO181" s="4">
        <v>46069</v>
      </c>
      <c r="BP181" s="4">
        <f>DATE(YEAR(BO181)+2,MONTH(BO181),DAY(BO181))</f>
        <v>46799</v>
      </c>
      <c r="BQ181" s="8">
        <f t="shared" ca="1" si="483"/>
        <v>665</v>
      </c>
      <c r="BR181" s="5" t="str">
        <f t="shared" ca="1" si="484"/>
        <v>VIGENTE</v>
      </c>
      <c r="BS181" s="3"/>
      <c r="BT181" s="4">
        <v>45449</v>
      </c>
      <c r="BU181" s="4">
        <f>DATE(YEAR(BT181)+2,MONTH(BT181),DAY(BT181)-1)</f>
        <v>46178</v>
      </c>
      <c r="BV181" s="8">
        <f t="shared" ca="1" si="485"/>
        <v>44</v>
      </c>
      <c r="BW181" s="5" t="str">
        <f t="shared" ca="1" si="486"/>
        <v>POR VENCER</v>
      </c>
      <c r="BX181" s="3"/>
      <c r="BY181" s="4">
        <v>45944</v>
      </c>
      <c r="BZ181" s="4">
        <f>DATE(YEAR(BY181)+2,MONTH(BY181),DAY(BY181))</f>
        <v>46674</v>
      </c>
      <c r="CA181" s="8">
        <f t="shared" ca="1" si="487"/>
        <v>540</v>
      </c>
      <c r="CB181" s="5" t="str">
        <f t="shared" ca="1" si="488"/>
        <v>VIGENTE</v>
      </c>
      <c r="CC181" s="6" t="s">
        <v>73</v>
      </c>
      <c r="CD181" s="4">
        <v>45262</v>
      </c>
      <c r="CE181" s="4">
        <f t="shared" si="609"/>
        <v>46723</v>
      </c>
      <c r="CF181" s="8">
        <f t="shared" ca="1" si="610"/>
        <v>589</v>
      </c>
      <c r="CG181" s="5" t="str">
        <f t="shared" ca="1" si="591"/>
        <v>VIGENTE</v>
      </c>
      <c r="CH181" s="4"/>
      <c r="CI181" s="4">
        <v>45511</v>
      </c>
      <c r="CJ181" s="4">
        <f>DATE(YEAR(CI181)+2,MONTH(CI181),DAY(CI181)-1)</f>
        <v>46240</v>
      </c>
      <c r="CK181" s="8">
        <f t="shared" ca="1" si="489"/>
        <v>106</v>
      </c>
      <c r="CL181" s="5" t="str">
        <f t="shared" ca="1" si="490"/>
        <v>VIGENTE</v>
      </c>
      <c r="CM181" s="3"/>
      <c r="CN181" s="4">
        <v>45517</v>
      </c>
      <c r="CO181" s="4">
        <f>DATE(YEAR(CN181)+2,MONTH(CN181),DAY(CN181)-1)</f>
        <v>46246</v>
      </c>
      <c r="CP181" s="8">
        <f t="shared" ca="1" si="491"/>
        <v>112</v>
      </c>
      <c r="CQ181" s="5" t="str">
        <f t="shared" ca="1" si="492"/>
        <v>VIGENTE</v>
      </c>
      <c r="CR181" s="3"/>
      <c r="CS181" s="4">
        <v>45639</v>
      </c>
      <c r="CT181" s="4">
        <f>DATE(YEAR(CS181)+2,MONTH(CS181),DAY(CS181)-1)</f>
        <v>46368</v>
      </c>
      <c r="CU181" s="8">
        <f t="shared" ca="1" si="493"/>
        <v>234</v>
      </c>
      <c r="CV181" s="5" t="str">
        <f t="shared" ca="1" si="494"/>
        <v>VIGENTE</v>
      </c>
      <c r="CW181" s="3"/>
      <c r="CX181" s="4">
        <v>45661</v>
      </c>
      <c r="CY181" s="4">
        <f>DATE(YEAR(CX181)+2,MONTH(CX181),DAY(CX181)-1)</f>
        <v>46390</v>
      </c>
      <c r="CZ181" s="8">
        <f t="shared" ca="1" si="495"/>
        <v>256</v>
      </c>
      <c r="DA181" s="5" t="str">
        <f t="shared" ca="1" si="496"/>
        <v>VIGENTE</v>
      </c>
      <c r="DB181" s="3"/>
      <c r="DC181" s="4">
        <v>45689</v>
      </c>
      <c r="DD181" s="4">
        <f>DATE(YEAR(DC181)+2,MONTH(DC181),DAY(DC181)-1)</f>
        <v>46418</v>
      </c>
      <c r="DE181" s="8">
        <f t="shared" ca="1" si="497"/>
        <v>284</v>
      </c>
      <c r="DF181" s="5" t="str">
        <f t="shared" ca="1" si="498"/>
        <v>VIGENTE</v>
      </c>
      <c r="DG181" s="3"/>
      <c r="DH181" s="4">
        <v>45696</v>
      </c>
      <c r="DI181" s="4">
        <f>DATE(YEAR(DH181)+2,MONTH(DH181),DAY(DH181)-1)</f>
        <v>46425</v>
      </c>
      <c r="DJ181" s="8">
        <f t="shared" ca="1" si="499"/>
        <v>291</v>
      </c>
      <c r="DK181" s="5" t="str">
        <f t="shared" ca="1" si="500"/>
        <v>VIGENTE</v>
      </c>
      <c r="DL181" s="3"/>
      <c r="DM181" s="4">
        <v>45520</v>
      </c>
      <c r="DN181" s="4">
        <f>DATE(YEAR(DM181)+2,MONTH(DM181),DAY(DM181)-1)</f>
        <v>46249</v>
      </c>
      <c r="DO181" s="8">
        <f t="shared" ca="1" si="501"/>
        <v>115</v>
      </c>
      <c r="DP181" s="5" t="str">
        <f t="shared" ca="1" si="502"/>
        <v>VIGENTE</v>
      </c>
      <c r="DQ181" s="3"/>
      <c r="DR181" s="4">
        <v>45619</v>
      </c>
      <c r="DS181" s="4">
        <f>DATE(YEAR(DR181)+2,MONTH(DR181),DAY(DR181)-1)</f>
        <v>46348</v>
      </c>
      <c r="DT181" s="8">
        <f t="shared" ca="1" si="503"/>
        <v>214</v>
      </c>
      <c r="DU181" s="5" t="str">
        <f t="shared" ca="1" si="504"/>
        <v>VIGENTE</v>
      </c>
      <c r="DV181" s="3"/>
      <c r="DW181" s="4">
        <v>45682</v>
      </c>
      <c r="DX181" s="4">
        <f>DATE(YEAR(DW181)+2,MONTH(DW181),DAY(DW181)-1)</f>
        <v>46411</v>
      </c>
      <c r="DY181" s="8">
        <f t="shared" ca="1" si="505"/>
        <v>277</v>
      </c>
      <c r="DZ181" s="5" t="str">
        <f t="shared" ca="1" si="506"/>
        <v>VIGENTE</v>
      </c>
      <c r="EA181" s="3"/>
      <c r="EB181" s="4">
        <v>45674</v>
      </c>
      <c r="EC181" s="4">
        <f>DATE(YEAR(EB181)+2,MONTH(EB181),DAY(EB181)-1)</f>
        <v>46403</v>
      </c>
      <c r="ED181" s="8">
        <f t="shared" ca="1" si="507"/>
        <v>269</v>
      </c>
      <c r="EE181" s="5" t="str">
        <f t="shared" ca="1" si="508"/>
        <v>VIGENTE</v>
      </c>
      <c r="EF181" s="3"/>
      <c r="EG181" s="4">
        <v>45812</v>
      </c>
      <c r="EH181" s="4">
        <f t="shared" si="575"/>
        <v>46177</v>
      </c>
      <c r="EI181" s="8">
        <f t="shared" ca="1" si="509"/>
        <v>43</v>
      </c>
      <c r="EJ181" s="5" t="str">
        <f t="shared" ca="1" si="510"/>
        <v>POR VENCER</v>
      </c>
      <c r="EK181" s="3"/>
      <c r="EL181" s="4">
        <v>45660</v>
      </c>
      <c r="EM181" s="4">
        <f>DATE(YEAR(EL181)+2,MONTH(EL181),DAY(EL181)-1)</f>
        <v>46389</v>
      </c>
      <c r="EN181" s="8">
        <f t="shared" ca="1" si="511"/>
        <v>255</v>
      </c>
      <c r="EO181" s="5" t="str">
        <f t="shared" ca="1" si="512"/>
        <v>VIGENTE</v>
      </c>
      <c r="EP181" s="3"/>
      <c r="EQ181" s="4">
        <v>45677</v>
      </c>
      <c r="ER181" s="4">
        <f>DATE(YEAR(EQ181)+2,MONTH(EQ181),DAY(EQ181)-1)</f>
        <v>46406</v>
      </c>
      <c r="ES181" s="8">
        <f t="shared" ca="1" si="513"/>
        <v>272</v>
      </c>
      <c r="ET181" s="5" t="str">
        <f t="shared" ca="1" si="514"/>
        <v>VIGENTE</v>
      </c>
      <c r="EU181" s="3"/>
      <c r="EV181" s="4">
        <v>45953</v>
      </c>
      <c r="EW181" s="4">
        <f t="shared" si="629"/>
        <v>46683</v>
      </c>
      <c r="EX181" s="8">
        <f t="shared" ca="1" si="515"/>
        <v>549</v>
      </c>
      <c r="EY181" s="5" t="str">
        <f t="shared" ca="1" si="516"/>
        <v>VIGENTE</v>
      </c>
      <c r="EZ181" s="3"/>
      <c r="FA181" s="4">
        <v>45951</v>
      </c>
      <c r="FB181" s="4">
        <f>DATE(YEAR(FA181)+2,MONTH(FA181),DAY(FA181))</f>
        <v>46681</v>
      </c>
      <c r="FC181" s="8">
        <f t="shared" ca="1" si="517"/>
        <v>547</v>
      </c>
      <c r="FD181" s="5" t="str">
        <f t="shared" ca="1" si="518"/>
        <v>VIGENTE</v>
      </c>
      <c r="FE181" s="3"/>
      <c r="FF181" s="4">
        <v>45932</v>
      </c>
      <c r="FG181" s="4">
        <f>DATE(YEAR(FF181)+2,MONTH(FF181),DAY(FF181))</f>
        <v>46662</v>
      </c>
      <c r="FH181" s="8">
        <f t="shared" ca="1" si="519"/>
        <v>528</v>
      </c>
      <c r="FI181" s="5" t="str">
        <f t="shared" ca="1" si="520"/>
        <v>VIGENTE</v>
      </c>
      <c r="FJ181" s="3"/>
      <c r="FK181" s="4">
        <v>45670</v>
      </c>
      <c r="FL181" s="4">
        <f>DATE(YEAR(FK181)+2,MONTH(FK181),DAY(FK181)-1)</f>
        <v>46399</v>
      </c>
      <c r="FM181" s="8">
        <f t="shared" ca="1" si="521"/>
        <v>265</v>
      </c>
      <c r="FN181" s="5" t="str">
        <f t="shared" ca="1" si="522"/>
        <v>VIGENTE</v>
      </c>
      <c r="FO181" s="3"/>
      <c r="FP181" s="4">
        <v>45586</v>
      </c>
      <c r="FQ181" s="4">
        <f>DATE(YEAR(FP181)+2,MONTH(FP181),DAY(FP181)-1)</f>
        <v>46315</v>
      </c>
      <c r="FR181" s="8">
        <f t="shared" ca="1" si="523"/>
        <v>181</v>
      </c>
      <c r="FS181" s="5" t="str">
        <f t="shared" ca="1" si="524"/>
        <v>VIGENTE</v>
      </c>
      <c r="FT181" s="3"/>
      <c r="FU181" s="4">
        <v>45908</v>
      </c>
      <c r="FV181" s="4">
        <f>DATE(YEAR(FU181)+2,MONTH(FU181),DAY(FU181))</f>
        <v>46638</v>
      </c>
      <c r="FW181" s="8">
        <f t="shared" ca="1" si="525"/>
        <v>504</v>
      </c>
      <c r="FX181" s="5" t="str">
        <f t="shared" ca="1" si="526"/>
        <v>VIGENTE</v>
      </c>
      <c r="FY181" s="3"/>
      <c r="FZ181" s="4">
        <v>45667</v>
      </c>
      <c r="GA181" s="4">
        <f>DATE(YEAR(FZ181)+2,MONTH(FZ181),DAY(FZ181)-1)</f>
        <v>46396</v>
      </c>
      <c r="GB181" s="8">
        <f t="shared" ca="1" si="527"/>
        <v>262</v>
      </c>
      <c r="GC181" s="5" t="str">
        <f t="shared" ca="1" si="528"/>
        <v>VIGENTE</v>
      </c>
      <c r="GD181" s="3"/>
      <c r="GE181" s="4">
        <v>45579</v>
      </c>
      <c r="GF181" s="4">
        <f>DATE(YEAR(GE181)+2,MONTH(GE181),DAY(GE181)-1)</f>
        <v>46308</v>
      </c>
      <c r="GG181" s="8">
        <f t="shared" ca="1" si="529"/>
        <v>174</v>
      </c>
      <c r="GH181" s="5" t="str">
        <f t="shared" ca="1" si="530"/>
        <v>VIGENTE</v>
      </c>
      <c r="GI181" s="3"/>
      <c r="GJ181" s="4">
        <v>45923</v>
      </c>
      <c r="GK181" s="4">
        <f>DATE(YEAR(GJ181)+2,MONTH(GJ181),DAY(GJ181))</f>
        <v>46653</v>
      </c>
      <c r="GL181" s="8">
        <f t="shared" ca="1" si="531"/>
        <v>519</v>
      </c>
      <c r="GM181" s="5" t="str">
        <f t="shared" ca="1" si="532"/>
        <v>VIGENTE</v>
      </c>
      <c r="GN181" s="4"/>
      <c r="GO181" s="4">
        <v>45459</v>
      </c>
      <c r="GP181" s="4">
        <f t="shared" si="533"/>
        <v>47285</v>
      </c>
      <c r="GQ181" s="8">
        <f t="shared" ca="1" si="620"/>
        <v>1151</v>
      </c>
      <c r="GR181" s="5" t="str">
        <f t="shared" ca="1" si="630"/>
        <v>VIGENTE</v>
      </c>
      <c r="GS181" s="3"/>
      <c r="GT181" s="4">
        <v>45464</v>
      </c>
      <c r="GU181" s="4">
        <f t="shared" si="534"/>
        <v>47290</v>
      </c>
      <c r="GV181" s="8">
        <f t="shared" ca="1" si="535"/>
        <v>1156</v>
      </c>
      <c r="GW181" s="5" t="str">
        <f t="shared" ca="1" si="631"/>
        <v>VIGENTE</v>
      </c>
      <c r="GX181" s="3"/>
      <c r="GY181" s="4">
        <v>45466</v>
      </c>
      <c r="GZ181" s="4">
        <f t="shared" si="536"/>
        <v>47292</v>
      </c>
      <c r="HA181" s="8">
        <f t="shared" ca="1" si="537"/>
        <v>1158</v>
      </c>
      <c r="HB181" s="5" t="str">
        <f t="shared" ca="1" si="632"/>
        <v>VIGENTE</v>
      </c>
      <c r="HC181" s="6"/>
      <c r="HD181" s="4">
        <v>44862</v>
      </c>
      <c r="HE181" s="4">
        <f>DATE(YEAR(HD181)+5,MONTH(HD181),DAY(HD181))</f>
        <v>46688</v>
      </c>
      <c r="HF181" s="8">
        <f t="shared" ca="1" si="636"/>
        <v>554</v>
      </c>
      <c r="HG181" s="5" t="str">
        <f t="shared" ca="1" si="633"/>
        <v>VIGENTE</v>
      </c>
      <c r="HH181" s="2"/>
      <c r="HI181" s="4">
        <v>45341</v>
      </c>
      <c r="HJ181" s="4">
        <f>DATE(YEAR(HI181)+5,MONTH(HI181),DAY(HI181))</f>
        <v>47168</v>
      </c>
      <c r="HK181" s="8">
        <f ca="1">HJ181-TODAY()</f>
        <v>1034</v>
      </c>
      <c r="HL181" s="5" t="str">
        <f t="shared" ca="1" si="457"/>
        <v>VIGENTE</v>
      </c>
      <c r="HM181" s="2"/>
      <c r="HN181" s="3">
        <v>45374</v>
      </c>
      <c r="HO181" s="4">
        <f>DATE(YEAR(HN181)+5,MONTH(HN181),DAY(HN181))</f>
        <v>47200</v>
      </c>
      <c r="HP181" s="8">
        <f ca="1">HO181-TODAY()</f>
        <v>1066</v>
      </c>
      <c r="HQ181" s="5" t="str">
        <f t="shared" ca="1" si="538"/>
        <v>VIGENTE</v>
      </c>
      <c r="HR181" s="3"/>
      <c r="HS181" s="4">
        <v>45469</v>
      </c>
      <c r="HT181" s="4">
        <f>DATE(YEAR(HS181)+5,MONTH(HS181),DAY(HS181))</f>
        <v>47295</v>
      </c>
      <c r="HU181" s="8">
        <f ca="1">HT181-TODAY()</f>
        <v>1161</v>
      </c>
      <c r="HV181" s="5" t="str">
        <f t="shared" ca="1" si="539"/>
        <v>VIGENTE</v>
      </c>
      <c r="HW181" s="3"/>
      <c r="HX181" s="4">
        <v>45475</v>
      </c>
      <c r="HY181" s="4">
        <f>DATE(YEAR(HX181)+5,MONTH(HX181),DAY(HX181))</f>
        <v>47301</v>
      </c>
      <c r="HZ181" s="8">
        <f ca="1">HY181-TODAY()</f>
        <v>1167</v>
      </c>
      <c r="IA181" s="5" t="str">
        <f t="shared" ca="1" si="540"/>
        <v>VIGENTE</v>
      </c>
      <c r="IB181" s="3"/>
      <c r="IC181" s="4">
        <v>45470</v>
      </c>
      <c r="ID181" s="4">
        <f>DATE(YEAR(IC181)+5,MONTH(IC181),DAY(IC181))</f>
        <v>47296</v>
      </c>
      <c r="IE181" s="8">
        <f ca="1">ID181-TODAY()</f>
        <v>1162</v>
      </c>
      <c r="IF181" s="5" t="str">
        <f t="shared" ca="1" si="541"/>
        <v>VIGENTE</v>
      </c>
      <c r="IG181" s="4"/>
      <c r="IH181" s="4">
        <v>45429</v>
      </c>
      <c r="II181" s="4">
        <f>DATE(YEAR(IH181)+5,MONTH(IH181),DAY(IH181))</f>
        <v>47255</v>
      </c>
      <c r="IJ181" s="8">
        <f ca="1">II181-TODAY()</f>
        <v>1121</v>
      </c>
      <c r="IK181" s="5" t="str">
        <f t="shared" ca="1" si="542"/>
        <v>VIGENTE</v>
      </c>
      <c r="IL181" s="3"/>
      <c r="IM181" s="4">
        <v>45460</v>
      </c>
      <c r="IN181" s="4">
        <f>DATE(YEAR(IM181)+5,MONTH(IM181),DAY(IM181))</f>
        <v>47286</v>
      </c>
      <c r="IO181" s="8">
        <f ca="1">IN181-TODAY()</f>
        <v>1152</v>
      </c>
      <c r="IP181" s="5" t="str">
        <f t="shared" ca="1" si="543"/>
        <v>VIGENTE</v>
      </c>
      <c r="IQ181" s="3"/>
      <c r="IR181" s="4">
        <v>45471</v>
      </c>
      <c r="IS181" s="4">
        <f>DATE(YEAR(IR181)+5,MONTH(IR181),DAY(IR181))</f>
        <v>47297</v>
      </c>
      <c r="IT181" s="8">
        <f ca="1">IS181-TODAY()</f>
        <v>1163</v>
      </c>
      <c r="IU181" s="5" t="str">
        <f t="shared" ca="1" si="544"/>
        <v>VIGENTE</v>
      </c>
      <c r="IV181" s="3"/>
      <c r="IW181" s="4">
        <v>45461</v>
      </c>
      <c r="IX181" s="4">
        <f>DATE(YEAR(IW181)+5,MONTH(IW181),DAY(IW181))</f>
        <v>47287</v>
      </c>
      <c r="IY181" s="8">
        <f ca="1">IX181-TODAY()</f>
        <v>1153</v>
      </c>
      <c r="IZ181" s="5" t="str">
        <f t="shared" ca="1" si="545"/>
        <v>VIGENTE</v>
      </c>
      <c r="JA181" s="3"/>
      <c r="JB181" s="3"/>
      <c r="JC181" s="4"/>
      <c r="JD181" s="8"/>
      <c r="JE181" s="5" t="str">
        <f t="shared" si="546"/>
        <v>NO APLICA</v>
      </c>
      <c r="JF181" s="6"/>
      <c r="JG181" s="6"/>
      <c r="JH181" s="6"/>
      <c r="JI181" s="6"/>
      <c r="JJ181" s="5" t="str">
        <f t="shared" si="547"/>
        <v>NO APLICA</v>
      </c>
      <c r="JK181" s="6"/>
      <c r="JL181" s="6"/>
      <c r="JM181" s="6"/>
      <c r="JN181" s="6"/>
      <c r="JO181" s="5" t="str">
        <f t="shared" si="548"/>
        <v>NO APLICA</v>
      </c>
      <c r="JP181" s="6"/>
      <c r="JQ181" s="6"/>
      <c r="JR181" s="6"/>
      <c r="JS181" s="6"/>
      <c r="JT181" s="5" t="str">
        <f t="shared" si="549"/>
        <v>NO APLICA</v>
      </c>
      <c r="JU181" s="5"/>
      <c r="JV181" s="3"/>
      <c r="JW181" s="4"/>
      <c r="JX181" s="8"/>
      <c r="JY181" s="5" t="str">
        <f t="shared" si="550"/>
        <v>NO APLICA</v>
      </c>
      <c r="JZ181" s="5"/>
      <c r="KA181" s="5"/>
      <c r="KB181" s="4"/>
      <c r="KC181" s="8"/>
      <c r="KD181" s="5" t="str">
        <f t="shared" si="551"/>
        <v>NO APLICA</v>
      </c>
      <c r="KE181" s="5"/>
      <c r="KF181" s="5"/>
      <c r="KG181" s="4"/>
      <c r="KH181" s="8"/>
      <c r="KI181" s="5" t="str">
        <f t="shared" si="576"/>
        <v>NO APLICA</v>
      </c>
      <c r="KJ181" s="5"/>
      <c r="KK181" s="5"/>
      <c r="KL181" s="4"/>
      <c r="KM181" s="8"/>
      <c r="KN181" s="5" t="str">
        <f t="shared" si="552"/>
        <v>NO APLICA</v>
      </c>
      <c r="KO181" s="5"/>
      <c r="KP181" s="3">
        <v>45346</v>
      </c>
      <c r="KQ181" s="4">
        <f>DATE(YEAR(KP181)+5,MONTH(KP181),DAY(KP181))</f>
        <v>47173</v>
      </c>
      <c r="KR181" s="8">
        <f ca="1">KQ181-TODAY()</f>
        <v>1039</v>
      </c>
      <c r="KS181" s="5" t="str">
        <f t="shared" ca="1" si="577"/>
        <v>VIGENTE</v>
      </c>
      <c r="KT181" s="3"/>
      <c r="KU181" s="4">
        <v>44656</v>
      </c>
      <c r="KV181" s="4">
        <f>DATE(YEAR(KU181)+5,MONTH(KU181),DAY(KU181))</f>
        <v>46482</v>
      </c>
      <c r="KW181" s="8">
        <f ca="1">KV181-TODAY()</f>
        <v>348</v>
      </c>
      <c r="KX181" s="5" t="str">
        <f t="shared" ca="1" si="583"/>
        <v>VIGENTE</v>
      </c>
      <c r="KY181" s="5"/>
      <c r="KZ181" s="4">
        <v>44603</v>
      </c>
      <c r="LA181" s="4">
        <f>DATE(YEAR(KZ181)+5,MONTH(KZ181),DAY(KZ181))</f>
        <v>46429</v>
      </c>
      <c r="LB181" s="8">
        <f ca="1">LA181-TODAY()</f>
        <v>295</v>
      </c>
      <c r="LC181" s="5" t="str">
        <f t="shared" ca="1" si="578"/>
        <v>VIGENTE</v>
      </c>
      <c r="LD181" s="6"/>
      <c r="LE181" s="4">
        <v>45611</v>
      </c>
      <c r="LF181" s="4">
        <f>DATE(YEAR(LE181)+2,MONTH(LE181),DAY(LE181))</f>
        <v>46341</v>
      </c>
      <c r="LG181" s="8">
        <f ca="1">LF181-TODAY()</f>
        <v>207</v>
      </c>
      <c r="LH181" s="5" t="str">
        <f t="shared" ca="1" si="619"/>
        <v>VIGENTE</v>
      </c>
      <c r="LI181" s="5"/>
      <c r="LJ181" s="5"/>
      <c r="LK181" s="4"/>
      <c r="LL181" s="8"/>
      <c r="LM181" s="5" t="str">
        <f t="shared" si="584"/>
        <v>NO APLICA</v>
      </c>
      <c r="LN181" s="5"/>
      <c r="LO181" s="6"/>
      <c r="LP181" s="4"/>
      <c r="LQ181" s="8"/>
      <c r="LR181" s="5" t="str">
        <f t="shared" si="579"/>
        <v>NO APLICA</v>
      </c>
      <c r="LS181" s="6"/>
      <c r="LT181" s="6"/>
      <c r="LU181" s="4"/>
      <c r="LV181" s="8"/>
      <c r="LW181" s="5" t="str">
        <f t="shared" si="580"/>
        <v>NO APLICA</v>
      </c>
      <c r="LX181" s="6"/>
      <c r="LY181" s="6"/>
      <c r="LZ181" s="4"/>
      <c r="MA181" s="8"/>
      <c r="MB181" s="5" t="str">
        <f t="shared" si="581"/>
        <v>NO APLICA</v>
      </c>
      <c r="MC181" s="5"/>
      <c r="MD181" s="5"/>
      <c r="ME181" s="4"/>
      <c r="MF181" s="8"/>
      <c r="MG181" s="5" t="str">
        <f t="shared" si="554"/>
        <v>NO APLICA</v>
      </c>
      <c r="MH181" s="5"/>
      <c r="MI181" s="5"/>
      <c r="MJ181" s="4"/>
      <c r="MK181" s="8"/>
      <c r="ML181" s="5" t="str">
        <f t="shared" si="555"/>
        <v>NO APLICA</v>
      </c>
      <c r="MM181" s="5"/>
      <c r="MN181" s="3">
        <v>45154</v>
      </c>
      <c r="MO181" s="4">
        <f>DATE(YEAR(MN181)+5,MONTH(MN181),DAY(MN181))</f>
        <v>46981</v>
      </c>
      <c r="MP181" s="8">
        <f ca="1">MO181-TODAY()</f>
        <v>847</v>
      </c>
      <c r="MQ181" s="5" t="str">
        <f t="shared" ca="1" si="556"/>
        <v>VIGENTE</v>
      </c>
      <c r="MR181" s="5"/>
      <c r="MS181" s="3">
        <v>45155</v>
      </c>
      <c r="MT181" s="4">
        <f>DATE(YEAR(MS181)+5,MONTH(MS181),DAY(MS181))</f>
        <v>46982</v>
      </c>
      <c r="MU181" s="8">
        <f ca="1">MT181-TODAY()</f>
        <v>848</v>
      </c>
      <c r="MV181" s="5" t="str">
        <f t="shared" ca="1" si="557"/>
        <v>VIGENTE</v>
      </c>
      <c r="MW181" s="5"/>
      <c r="MX181" s="6"/>
      <c r="MY181" s="4"/>
      <c r="MZ181" s="8"/>
      <c r="NA181" s="5" t="str">
        <f t="shared" si="558"/>
        <v>NO APLICA</v>
      </c>
      <c r="NB181" s="5"/>
      <c r="NC181" s="6"/>
      <c r="ND181" s="4"/>
      <c r="NE181" s="8"/>
      <c r="NF181" s="5" t="str">
        <f t="shared" si="559"/>
        <v>NO APLICA</v>
      </c>
      <c r="NG181" s="5"/>
      <c r="NH181" s="6"/>
      <c r="NI181" s="4"/>
      <c r="NJ181" s="8"/>
      <c r="NK181" s="5" t="str">
        <f t="shared" si="560"/>
        <v>NO APLICA</v>
      </c>
      <c r="NL181" s="5"/>
      <c r="NM181" s="5"/>
      <c r="NN181" s="4"/>
      <c r="NO181" s="8"/>
      <c r="NP181" s="5" t="str">
        <f t="shared" si="561"/>
        <v>NO APLICA</v>
      </c>
      <c r="NQ181" s="5"/>
      <c r="NR181" s="5"/>
      <c r="NS181" s="5"/>
      <c r="NT181" s="5"/>
      <c r="NU181" s="5" t="str">
        <f t="shared" si="562"/>
        <v>NO APLICA</v>
      </c>
      <c r="NV181" s="6"/>
      <c r="NW181" s="6"/>
      <c r="NX181" s="4"/>
      <c r="NY181" s="8"/>
      <c r="NZ181" s="5" t="str">
        <f t="shared" si="563"/>
        <v>NO APLICA</v>
      </c>
      <c r="OA181" s="6"/>
      <c r="OB181" s="6"/>
      <c r="OC181" s="6"/>
      <c r="OD181" s="6"/>
      <c r="OE181" s="5" t="str">
        <f t="shared" si="564"/>
        <v>NO APLICA</v>
      </c>
      <c r="OF181" s="5"/>
      <c r="OG181" s="5"/>
      <c r="OH181" s="4"/>
      <c r="OI181" s="8"/>
      <c r="OJ181" s="5" t="str">
        <f t="shared" si="565"/>
        <v>NO APLICA</v>
      </c>
      <c r="OK181" s="6"/>
      <c r="OL181" s="6"/>
      <c r="OM181" s="6"/>
      <c r="ON181" s="6"/>
      <c r="OO181" s="5" t="str">
        <f t="shared" si="566"/>
        <v>NO APLICA</v>
      </c>
      <c r="OP181" s="6"/>
      <c r="OQ181" s="6"/>
      <c r="OR181" s="6"/>
      <c r="OS181" s="6"/>
      <c r="OT181" s="5" t="str">
        <f t="shared" si="567"/>
        <v>NO APLICA</v>
      </c>
      <c r="OU181" s="6"/>
      <c r="OV181" s="6"/>
      <c r="OW181" s="6"/>
      <c r="OX181" s="6"/>
      <c r="OY181" s="5" t="str">
        <f t="shared" si="568"/>
        <v>NO APLICA</v>
      </c>
      <c r="OZ181" s="6"/>
      <c r="PA181" s="6"/>
      <c r="PB181" s="6"/>
      <c r="PC181" s="6"/>
      <c r="PD181" s="5" t="str">
        <f t="shared" si="569"/>
        <v>NO APLICA</v>
      </c>
      <c r="PE181" s="6"/>
      <c r="PF181" s="6"/>
      <c r="PG181" s="6"/>
      <c r="PH181" s="6"/>
      <c r="PI181" s="5" t="str">
        <f t="shared" si="570"/>
        <v>NO APLICA</v>
      </c>
      <c r="PJ181" s="5"/>
      <c r="PK181" s="6"/>
      <c r="PL181" s="4"/>
      <c r="PM181" s="8"/>
      <c r="PN181" s="5" t="str">
        <f t="shared" si="571"/>
        <v>NO APLICA</v>
      </c>
      <c r="PO181" s="6"/>
      <c r="PP181" s="6"/>
      <c r="PQ181" s="6"/>
      <c r="PR181" s="6"/>
      <c r="PS181" s="5" t="str">
        <f t="shared" si="572"/>
        <v>NO APLICA</v>
      </c>
      <c r="PT181" s="5"/>
      <c r="PU181" s="6"/>
      <c r="PV181" s="6"/>
      <c r="PW181" s="6"/>
      <c r="PX181" s="5" t="str">
        <f t="shared" si="573"/>
        <v>NO APLICA</v>
      </c>
    </row>
    <row r="182" spans="1:440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185</v>
      </c>
      <c r="T182" s="5" t="str">
        <f t="shared" ca="1" si="574"/>
        <v>VIGENTE</v>
      </c>
      <c r="U182" s="2" t="s">
        <v>580</v>
      </c>
      <c r="V182" s="4">
        <v>45693</v>
      </c>
      <c r="W182" s="4">
        <f t="shared" si="606"/>
        <v>47519</v>
      </c>
      <c r="X182" s="8">
        <f t="shared" ca="1" si="607"/>
        <v>1385</v>
      </c>
      <c r="Y182" s="5" t="str">
        <f t="shared" ca="1" si="624"/>
        <v>VIGENTE</v>
      </c>
      <c r="Z182" s="2" t="s">
        <v>581</v>
      </c>
      <c r="AA182" s="4">
        <v>45190</v>
      </c>
      <c r="AB182" s="4">
        <f>DATE(YEAR(AA182)+5,MONTH(AA182),DAY(AA182))</f>
        <v>47017</v>
      </c>
      <c r="AC182" s="8">
        <f t="shared" ca="1" si="634"/>
        <v>883</v>
      </c>
      <c r="AD182" s="5" t="str">
        <f t="shared" ca="1" si="627"/>
        <v>VIGENTE</v>
      </c>
      <c r="AE182" s="3"/>
      <c r="AF182" s="4">
        <v>45902</v>
      </c>
      <c r="AG182" s="4">
        <f>DATE(YEAR(AF182)+2,MONTH(AF182),DAY(AF182))</f>
        <v>46632</v>
      </c>
      <c r="AH182" s="8">
        <f t="shared" ca="1" si="470"/>
        <v>498</v>
      </c>
      <c r="AI182" s="5" t="str">
        <f t="shared" ca="1" si="621"/>
        <v>VIGENTE</v>
      </c>
      <c r="AJ182" s="3"/>
      <c r="AK182" s="4">
        <v>45748</v>
      </c>
      <c r="AL182" s="4">
        <f>DATE(YEAR(AK182)+2,MONTH(AK182),DAY(AK182)-1)</f>
        <v>46477</v>
      </c>
      <c r="AM182" s="8">
        <f t="shared" ca="1" si="471"/>
        <v>343</v>
      </c>
      <c r="AN182" s="5" t="str">
        <f t="shared" ca="1" si="472"/>
        <v>VIGENTE</v>
      </c>
      <c r="AO182" s="3"/>
      <c r="AP182" s="4">
        <v>45904</v>
      </c>
      <c r="AQ182" s="4">
        <f t="shared" si="628"/>
        <v>46634</v>
      </c>
      <c r="AR182" s="8">
        <f t="shared" ca="1" si="473"/>
        <v>500</v>
      </c>
      <c r="AS182" s="5" t="str">
        <f t="shared" ca="1" si="474"/>
        <v>VIGENTE</v>
      </c>
      <c r="AT182" s="3"/>
      <c r="AU182" s="4">
        <v>45927</v>
      </c>
      <c r="AV182" s="4">
        <f>DATE(YEAR(AU182)+2,MONTH(AU182),DAY(AU182))</f>
        <v>46657</v>
      </c>
      <c r="AW182" s="8">
        <f t="shared" ca="1" si="475"/>
        <v>523</v>
      </c>
      <c r="AX182" s="5" t="str">
        <f t="shared" ca="1" si="476"/>
        <v>VIGENTE</v>
      </c>
      <c r="AY182" s="3"/>
      <c r="AZ182" s="4">
        <v>46041</v>
      </c>
      <c r="BA182" s="4">
        <f>DATE(YEAR(AZ182)+2,MONTH(AZ182),DAY(AZ182))</f>
        <v>46771</v>
      </c>
      <c r="BB182" s="8">
        <f t="shared" ca="1" si="477"/>
        <v>637</v>
      </c>
      <c r="BC182" s="5" t="str">
        <f t="shared" ca="1" si="478"/>
        <v>VIGENTE</v>
      </c>
      <c r="BD182" s="3"/>
      <c r="BE182" s="4">
        <v>46027</v>
      </c>
      <c r="BF182" s="4">
        <f t="shared" si="635"/>
        <v>46757</v>
      </c>
      <c r="BG182" s="8">
        <f t="shared" ca="1" si="479"/>
        <v>623</v>
      </c>
      <c r="BH182" s="5" t="str">
        <f t="shared" ca="1" si="480"/>
        <v>VIGENTE</v>
      </c>
      <c r="BI182" s="3"/>
      <c r="BJ182" s="4">
        <v>45600</v>
      </c>
      <c r="BK182" s="4">
        <f>DATE(YEAR(BJ182)+2,MONTH(BJ182),DAY(BJ182)-1)</f>
        <v>46329</v>
      </c>
      <c r="BL182" s="8">
        <f t="shared" ca="1" si="481"/>
        <v>195</v>
      </c>
      <c r="BM182" s="5" t="str">
        <f t="shared" ca="1" si="482"/>
        <v>VIGENTE</v>
      </c>
      <c r="BN182" s="3"/>
      <c r="BO182" s="4">
        <v>45988</v>
      </c>
      <c r="BP182" s="4">
        <f>DATE(YEAR(BO182)+2,MONTH(BO182),DAY(BO182))</f>
        <v>46718</v>
      </c>
      <c r="BQ182" s="8">
        <f t="shared" ca="1" si="483"/>
        <v>584</v>
      </c>
      <c r="BR182" s="5" t="str">
        <f t="shared" ca="1" si="484"/>
        <v>VIGENTE</v>
      </c>
      <c r="BS182" s="3"/>
      <c r="BT182" s="4">
        <v>45449</v>
      </c>
      <c r="BU182" s="4">
        <f>DATE(YEAR(BT182)+2,MONTH(BT182),DAY(BT182)-1)</f>
        <v>46178</v>
      </c>
      <c r="BV182" s="8">
        <f t="shared" ca="1" si="485"/>
        <v>44</v>
      </c>
      <c r="BW182" s="5" t="str">
        <f t="shared" ca="1" si="486"/>
        <v>POR VENCER</v>
      </c>
      <c r="BX182" s="3"/>
      <c r="BY182" s="4">
        <v>45629</v>
      </c>
      <c r="BZ182" s="4">
        <f>DATE(YEAR(BY182)+2,MONTH(BY182),DAY(BY182)-1)</f>
        <v>46358</v>
      </c>
      <c r="CA182" s="8">
        <f t="shared" ca="1" si="487"/>
        <v>224</v>
      </c>
      <c r="CB182" s="5" t="str">
        <f t="shared" ca="1" si="488"/>
        <v>VIGENTE</v>
      </c>
      <c r="CC182" s="6" t="s">
        <v>73</v>
      </c>
      <c r="CD182" s="4">
        <v>45616</v>
      </c>
      <c r="CE182" s="4">
        <f t="shared" si="609"/>
        <v>47077</v>
      </c>
      <c r="CF182" s="8">
        <f t="shared" ca="1" si="610"/>
        <v>943</v>
      </c>
      <c r="CG182" s="5" t="str">
        <f t="shared" ca="1" si="591"/>
        <v>VIGENTE</v>
      </c>
      <c r="CH182" s="4"/>
      <c r="CI182" s="4">
        <v>45929</v>
      </c>
      <c r="CJ182" s="4">
        <f>DATE(YEAR(CI182)+2,MONTH(CI182),DAY(CI182))</f>
        <v>46659</v>
      </c>
      <c r="CK182" s="8">
        <f t="shared" ca="1" si="489"/>
        <v>525</v>
      </c>
      <c r="CL182" s="5" t="str">
        <f t="shared" ca="1" si="490"/>
        <v>VIGENTE</v>
      </c>
      <c r="CM182" s="3"/>
      <c r="CN182" s="4">
        <v>45888</v>
      </c>
      <c r="CO182" s="4">
        <f>DATE(YEAR(CN182)+2,MONTH(CN182),DAY(CN182))</f>
        <v>46618</v>
      </c>
      <c r="CP182" s="8">
        <f t="shared" ca="1" si="491"/>
        <v>484</v>
      </c>
      <c r="CQ182" s="5" t="str">
        <f t="shared" ca="1" si="492"/>
        <v>VIGENTE</v>
      </c>
      <c r="CR182" s="3"/>
      <c r="CS182" s="4">
        <v>45905</v>
      </c>
      <c r="CT182" s="4">
        <f>DATE(YEAR(CS182)+2,MONTH(CS182),DAY(CS182))</f>
        <v>46635</v>
      </c>
      <c r="CU182" s="8">
        <f t="shared" ca="1" si="493"/>
        <v>501</v>
      </c>
      <c r="CV182" s="5" t="str">
        <f t="shared" ca="1" si="494"/>
        <v>VIGENTE</v>
      </c>
      <c r="CW182" s="3"/>
      <c r="CX182" s="4">
        <v>46000</v>
      </c>
      <c r="CY182" s="4">
        <f>DATE(YEAR(CX182)+2,MONTH(CX182),DAY(CX182))</f>
        <v>46730</v>
      </c>
      <c r="CZ182" s="8">
        <f t="shared" ca="1" si="495"/>
        <v>596</v>
      </c>
      <c r="DA182" s="5" t="str">
        <f t="shared" ca="1" si="496"/>
        <v>VIGENTE</v>
      </c>
      <c r="DB182" s="3"/>
      <c r="DC182" s="4">
        <v>45996</v>
      </c>
      <c r="DD182" s="4">
        <f>DATE(YEAR(DC182)+2,MONTH(DC182),DAY(DC182))</f>
        <v>46726</v>
      </c>
      <c r="DE182" s="8">
        <f t="shared" ca="1" si="497"/>
        <v>592</v>
      </c>
      <c r="DF182" s="5" t="str">
        <f t="shared" ca="1" si="498"/>
        <v>VIGENTE</v>
      </c>
      <c r="DG182" s="3"/>
      <c r="DH182" s="4">
        <v>45975</v>
      </c>
      <c r="DI182" s="4">
        <f>DATE(YEAR(DH182)+2,MONTH(DH182),DAY(DH182))</f>
        <v>46705</v>
      </c>
      <c r="DJ182" s="8">
        <f t="shared" ca="1" si="499"/>
        <v>571</v>
      </c>
      <c r="DK182" s="5" t="str">
        <f t="shared" ca="1" si="500"/>
        <v>VIGENTE</v>
      </c>
      <c r="DL182" s="3"/>
      <c r="DM182" s="4">
        <v>45982</v>
      </c>
      <c r="DN182" s="4">
        <f>DATE(YEAR(DM182)+2,MONTH(DM182),DAY(DM182))</f>
        <v>46712</v>
      </c>
      <c r="DO182" s="8">
        <f t="shared" ca="1" si="501"/>
        <v>578</v>
      </c>
      <c r="DP182" s="5" t="str">
        <f t="shared" ca="1" si="502"/>
        <v>VIGENTE</v>
      </c>
      <c r="DQ182" s="3"/>
      <c r="DR182" s="4">
        <v>46053</v>
      </c>
      <c r="DS182" s="4">
        <f>DATE(YEAR(DR182)+2,MONTH(DR182),DAY(DR182))</f>
        <v>46783</v>
      </c>
      <c r="DT182" s="8">
        <f t="shared" ca="1" si="503"/>
        <v>649</v>
      </c>
      <c r="DU182" s="5" t="str">
        <f t="shared" ca="1" si="504"/>
        <v>VIGENTE</v>
      </c>
      <c r="DV182" s="3"/>
      <c r="DW182" s="4">
        <v>46020</v>
      </c>
      <c r="DX182" s="4">
        <f>DATE(YEAR(DW182)+2,MONTH(DW182),DAY(DW182))</f>
        <v>46750</v>
      </c>
      <c r="DY182" s="8">
        <f t="shared" ca="1" si="505"/>
        <v>616</v>
      </c>
      <c r="DZ182" s="5" t="str">
        <f t="shared" ca="1" si="506"/>
        <v>VIGENTE</v>
      </c>
      <c r="EA182" s="3"/>
      <c r="EB182" s="4">
        <v>45913</v>
      </c>
      <c r="EC182" s="4">
        <f>DATE(YEAR(EB182)+2,MONTH(EB182),DAY(EB182))</f>
        <v>46643</v>
      </c>
      <c r="ED182" s="8">
        <f t="shared" ca="1" si="507"/>
        <v>509</v>
      </c>
      <c r="EE182" s="5" t="str">
        <f t="shared" ca="1" si="508"/>
        <v>VIGENTE</v>
      </c>
      <c r="EF182" s="3"/>
      <c r="EG182" s="3">
        <v>45911</v>
      </c>
      <c r="EH182" s="4">
        <f t="shared" si="575"/>
        <v>46276</v>
      </c>
      <c r="EI182" s="8">
        <f t="shared" ca="1" si="509"/>
        <v>142</v>
      </c>
      <c r="EJ182" s="5" t="str">
        <f t="shared" ca="1" si="510"/>
        <v>VIGENTE</v>
      </c>
      <c r="EK182" s="3"/>
      <c r="EL182" s="4">
        <v>45940</v>
      </c>
      <c r="EM182" s="4">
        <f>DATE(YEAR(EL182)+2,MONTH(EL182),DAY(EL182))</f>
        <v>46670</v>
      </c>
      <c r="EN182" s="8">
        <f t="shared" ca="1" si="511"/>
        <v>536</v>
      </c>
      <c r="EO182" s="5" t="str">
        <f t="shared" ca="1" si="512"/>
        <v>VIGENTE</v>
      </c>
      <c r="EP182" s="3"/>
      <c r="EQ182" s="4">
        <v>46042</v>
      </c>
      <c r="ER182" s="4">
        <f>DATE(YEAR(EQ182)+2,MONTH(EQ182),DAY(EQ182))</f>
        <v>46772</v>
      </c>
      <c r="ES182" s="8">
        <f t="shared" ca="1" si="513"/>
        <v>638</v>
      </c>
      <c r="ET182" s="5" t="str">
        <f t="shared" ca="1" si="514"/>
        <v>VIGENTE</v>
      </c>
      <c r="EU182" s="3"/>
      <c r="EV182" s="4">
        <v>45917</v>
      </c>
      <c r="EW182" s="4">
        <f t="shared" si="629"/>
        <v>46647</v>
      </c>
      <c r="EX182" s="8">
        <f t="shared" ca="1" si="515"/>
        <v>513</v>
      </c>
      <c r="EY182" s="5" t="str">
        <f t="shared" ca="1" si="516"/>
        <v>VIGENTE</v>
      </c>
      <c r="EZ182" s="3"/>
      <c r="FA182" s="4">
        <v>45931</v>
      </c>
      <c r="FB182" s="4">
        <f>DATE(YEAR(FA182)+2,MONTH(FA182),DAY(FA182))</f>
        <v>46661</v>
      </c>
      <c r="FC182" s="8">
        <f t="shared" ca="1" si="517"/>
        <v>527</v>
      </c>
      <c r="FD182" s="5" t="str">
        <f t="shared" ca="1" si="518"/>
        <v>VIGENTE</v>
      </c>
      <c r="FE182" s="3"/>
      <c r="FF182" s="4">
        <v>45919</v>
      </c>
      <c r="FG182" s="4">
        <f>DATE(YEAR(FF182)+2,MONTH(FF182),DAY(FF182))</f>
        <v>46649</v>
      </c>
      <c r="FH182" s="8">
        <f t="shared" ca="1" si="519"/>
        <v>515</v>
      </c>
      <c r="FI182" s="5" t="str">
        <f t="shared" ca="1" si="520"/>
        <v>VIGENTE</v>
      </c>
      <c r="FJ182" s="3"/>
      <c r="FK182" s="4">
        <v>45933</v>
      </c>
      <c r="FL182" s="4">
        <f>DATE(YEAR(FK182)+2,MONTH(FK182),DAY(FK182))</f>
        <v>46663</v>
      </c>
      <c r="FM182" s="8">
        <f t="shared" ca="1" si="521"/>
        <v>529</v>
      </c>
      <c r="FN182" s="5" t="str">
        <f t="shared" ca="1" si="522"/>
        <v>VIGENTE</v>
      </c>
      <c r="FO182" s="3"/>
      <c r="FP182" s="4">
        <v>45957</v>
      </c>
      <c r="FQ182" s="4">
        <f>DATE(YEAR(FP182)+2,MONTH(FP182),DAY(FP182))</f>
        <v>46687</v>
      </c>
      <c r="FR182" s="8">
        <f t="shared" ca="1" si="523"/>
        <v>553</v>
      </c>
      <c r="FS182" s="5" t="str">
        <f t="shared" ca="1" si="524"/>
        <v>VIGENTE</v>
      </c>
      <c r="FT182" s="3"/>
      <c r="FU182" s="4">
        <v>45941</v>
      </c>
      <c r="FV182" s="4">
        <f>DATE(YEAR(FU182)+2,MONTH(FU182),DAY(FU182))</f>
        <v>46671</v>
      </c>
      <c r="FW182" s="8">
        <f t="shared" ca="1" si="525"/>
        <v>537</v>
      </c>
      <c r="FX182" s="5" t="str">
        <f t="shared" ca="1" si="526"/>
        <v>VIGENTE</v>
      </c>
      <c r="FY182" s="3"/>
      <c r="FZ182" s="4">
        <v>46030</v>
      </c>
      <c r="GA182" s="4">
        <f>DATE(YEAR(FZ182)+2,MONTH(FZ182),DAY(FZ182))</f>
        <v>46760</v>
      </c>
      <c r="GB182" s="8">
        <f t="shared" ca="1" si="527"/>
        <v>626</v>
      </c>
      <c r="GC182" s="5" t="str">
        <f t="shared" ca="1" si="528"/>
        <v>VIGENTE</v>
      </c>
      <c r="GD182" s="3"/>
      <c r="GE182" s="4">
        <v>45960</v>
      </c>
      <c r="GF182" s="4">
        <f>DATE(YEAR(GE182)+2,MONTH(GE182),DAY(GE182))</f>
        <v>46690</v>
      </c>
      <c r="GG182" s="8">
        <f t="shared" ca="1" si="529"/>
        <v>556</v>
      </c>
      <c r="GH182" s="5" t="str">
        <f t="shared" ca="1" si="530"/>
        <v>VIGENTE</v>
      </c>
      <c r="GI182" s="3"/>
      <c r="GJ182" s="4">
        <v>45945</v>
      </c>
      <c r="GK182" s="4">
        <f>DATE(YEAR(GJ182)+2,MONTH(GJ182),DAY(GJ182))</f>
        <v>46675</v>
      </c>
      <c r="GL182" s="8">
        <f t="shared" ca="1" si="531"/>
        <v>541</v>
      </c>
      <c r="GM182" s="5" t="str">
        <f t="shared" ca="1" si="532"/>
        <v>VIGENTE</v>
      </c>
      <c r="GN182" s="4"/>
      <c r="GO182" s="4">
        <v>45495</v>
      </c>
      <c r="GP182" s="4">
        <f t="shared" si="533"/>
        <v>47321</v>
      </c>
      <c r="GQ182" s="8">
        <f t="shared" ca="1" si="620"/>
        <v>1187</v>
      </c>
      <c r="GR182" s="5" t="str">
        <f t="shared" ca="1" si="630"/>
        <v>VIGENTE</v>
      </c>
      <c r="GS182" s="3"/>
      <c r="GT182" s="4">
        <v>44979</v>
      </c>
      <c r="GU182" s="4">
        <f t="shared" si="534"/>
        <v>46805</v>
      </c>
      <c r="GV182" s="8">
        <f t="shared" ca="1" si="535"/>
        <v>671</v>
      </c>
      <c r="GW182" s="5" t="str">
        <f t="shared" ca="1" si="631"/>
        <v>VIGENTE</v>
      </c>
      <c r="GX182" s="3"/>
      <c r="GY182" s="4">
        <v>45294</v>
      </c>
      <c r="GZ182" s="4">
        <f t="shared" si="536"/>
        <v>47121</v>
      </c>
      <c r="HA182" s="8">
        <f t="shared" ca="1" si="537"/>
        <v>987</v>
      </c>
      <c r="HB182" s="5" t="str">
        <f t="shared" ca="1" si="632"/>
        <v>VIGENTE</v>
      </c>
      <c r="HC182" s="6"/>
      <c r="HD182" s="4">
        <v>44880</v>
      </c>
      <c r="HE182" s="4">
        <f>DATE(YEAR(HD182)+5,MONTH(HD182),DAY(HD182))</f>
        <v>46706</v>
      </c>
      <c r="HF182" s="8">
        <f t="shared" ca="1" si="636"/>
        <v>572</v>
      </c>
      <c r="HG182" s="5" t="str">
        <f t="shared" ca="1" si="633"/>
        <v>VIGENTE</v>
      </c>
      <c r="HH182" s="2"/>
      <c r="HI182" s="6"/>
      <c r="HJ182" s="4"/>
      <c r="HK182" s="8"/>
      <c r="HL182" s="5" t="str">
        <f t="shared" si="457"/>
        <v>NO APLICA</v>
      </c>
      <c r="HM182" s="2"/>
      <c r="HN182" s="2"/>
      <c r="HO182" s="4"/>
      <c r="HP182" s="2"/>
      <c r="HQ182" s="5" t="str">
        <f t="shared" si="538"/>
        <v>NO APLICA</v>
      </c>
      <c r="HR182" s="2"/>
      <c r="HS182" s="6"/>
      <c r="HT182" s="4"/>
      <c r="HU182" s="8"/>
      <c r="HV182" s="5" t="str">
        <f t="shared" si="539"/>
        <v>NO APLICA</v>
      </c>
      <c r="HW182" s="2"/>
      <c r="HX182" s="6"/>
      <c r="HY182" s="4"/>
      <c r="HZ182" s="8"/>
      <c r="IA182" s="5" t="str">
        <f t="shared" si="540"/>
        <v>NO APLICA</v>
      </c>
      <c r="IB182" s="2"/>
      <c r="IC182" s="6"/>
      <c r="ID182" s="4"/>
      <c r="IE182" s="8"/>
      <c r="IF182" s="5" t="str">
        <f t="shared" si="541"/>
        <v>NO APLICA</v>
      </c>
      <c r="IG182" s="6"/>
      <c r="IH182" s="6"/>
      <c r="II182" s="4"/>
      <c r="IJ182" s="8"/>
      <c r="IK182" s="5" t="str">
        <f t="shared" si="542"/>
        <v>NO APLICA</v>
      </c>
      <c r="IL182" s="2"/>
      <c r="IM182" s="6"/>
      <c r="IN182" s="4"/>
      <c r="IO182" s="8"/>
      <c r="IP182" s="5" t="str">
        <f t="shared" si="543"/>
        <v>NO APLICA</v>
      </c>
      <c r="IQ182" s="2"/>
      <c r="IR182" s="6"/>
      <c r="IS182" s="4"/>
      <c r="IT182" s="8"/>
      <c r="IU182" s="5" t="str">
        <f t="shared" si="544"/>
        <v>NO APLICA</v>
      </c>
      <c r="IV182" s="2"/>
      <c r="IW182" s="6"/>
      <c r="IX182" s="4"/>
      <c r="IY182" s="8"/>
      <c r="IZ182" s="5" t="str">
        <f t="shared" si="545"/>
        <v>NO APLICA</v>
      </c>
      <c r="JA182" s="3"/>
      <c r="JB182" s="3"/>
      <c r="JC182" s="4"/>
      <c r="JD182" s="8"/>
      <c r="JE182" s="5" t="str">
        <f t="shared" si="546"/>
        <v>NO APLICA</v>
      </c>
      <c r="JF182" s="6"/>
      <c r="JG182" s="6"/>
      <c r="JH182" s="6"/>
      <c r="JI182" s="6"/>
      <c r="JJ182" s="5" t="str">
        <f t="shared" si="547"/>
        <v>NO APLICA</v>
      </c>
      <c r="JK182" s="6"/>
      <c r="JL182" s="6"/>
      <c r="JM182" s="6"/>
      <c r="JN182" s="6"/>
      <c r="JO182" s="5" t="str">
        <f t="shared" si="548"/>
        <v>NO APLICA</v>
      </c>
      <c r="JP182" s="6"/>
      <c r="JQ182" s="6"/>
      <c r="JR182" s="6"/>
      <c r="JS182" s="6"/>
      <c r="JT182" s="5" t="str">
        <f t="shared" si="549"/>
        <v>NO APLICA</v>
      </c>
      <c r="JU182" s="5"/>
      <c r="JV182" s="5"/>
      <c r="JW182" s="5"/>
      <c r="JX182" s="5"/>
      <c r="JY182" s="5" t="str">
        <f t="shared" si="550"/>
        <v>NO APLICA</v>
      </c>
      <c r="JZ182" s="5"/>
      <c r="KA182" s="2"/>
      <c r="KB182" s="4"/>
      <c r="KC182" s="8"/>
      <c r="KD182" s="5" t="str">
        <f t="shared" si="551"/>
        <v>NO APLICA</v>
      </c>
      <c r="KE182" s="5"/>
      <c r="KF182" s="2"/>
      <c r="KG182" s="4"/>
      <c r="KH182" s="8"/>
      <c r="KI182" s="5" t="str">
        <f t="shared" si="576"/>
        <v>NO APLICA</v>
      </c>
      <c r="KJ182" s="5"/>
      <c r="KK182" s="3">
        <v>45364</v>
      </c>
      <c r="KL182" s="4">
        <f>DATE(YEAR(KK182)+5,MONTH(KK182),DAY(KK182))</f>
        <v>47190</v>
      </c>
      <c r="KM182" s="8">
        <f ca="1">KL182-TODAY()</f>
        <v>1056</v>
      </c>
      <c r="KN182" s="5" t="str">
        <f t="shared" ca="1" si="552"/>
        <v>VIGENTE</v>
      </c>
      <c r="KO182" s="5"/>
      <c r="KP182" s="2"/>
      <c r="KQ182" s="4"/>
      <c r="KR182" s="8"/>
      <c r="KS182" s="5" t="str">
        <f t="shared" si="577"/>
        <v>NO APLICA</v>
      </c>
      <c r="KT182" s="3"/>
      <c r="KU182" s="4">
        <v>44658</v>
      </c>
      <c r="KV182" s="4">
        <f>DATE(YEAR(KU182)+5,MONTH(KU182),DAY(KU182))</f>
        <v>46484</v>
      </c>
      <c r="KW182" s="8">
        <f ca="1">KV182-TODAY()</f>
        <v>350</v>
      </c>
      <c r="KX182" s="5" t="str">
        <f t="shared" ca="1" si="583"/>
        <v>VIGENTE</v>
      </c>
      <c r="KY182" s="5"/>
      <c r="KZ182" s="4">
        <v>44613</v>
      </c>
      <c r="LA182" s="4">
        <f>DATE(YEAR(KZ182)+5,MONTH(KZ182),DAY(KZ182))</f>
        <v>46439</v>
      </c>
      <c r="LB182" s="8">
        <f ca="1">LA182-TODAY()</f>
        <v>305</v>
      </c>
      <c r="LC182" s="5" t="str">
        <f t="shared" ca="1" si="578"/>
        <v>VIGENTE</v>
      </c>
      <c r="LD182" s="6"/>
      <c r="LE182" s="6"/>
      <c r="LF182" s="4"/>
      <c r="LG182" s="8"/>
      <c r="LH182" s="5" t="str">
        <f t="shared" si="619"/>
        <v>NO APLICA</v>
      </c>
      <c r="LI182" s="5"/>
      <c r="LJ182" s="5"/>
      <c r="LK182" s="5"/>
      <c r="LL182" s="5"/>
      <c r="LM182" s="5" t="str">
        <f t="shared" si="584"/>
        <v>NO APLICA</v>
      </c>
      <c r="LN182" s="2"/>
      <c r="LO182" s="6"/>
      <c r="LP182" s="4"/>
      <c r="LQ182" s="8"/>
      <c r="LR182" s="5" t="str">
        <f t="shared" si="579"/>
        <v>NO APLICA</v>
      </c>
      <c r="LS182" s="4"/>
      <c r="LT182" s="4">
        <v>44986</v>
      </c>
      <c r="LU182" s="4">
        <f>DATE(YEAR(LT182)+5,MONTH(LT182),DAY(LT182))</f>
        <v>46813</v>
      </c>
      <c r="LV182" s="8">
        <f ca="1">LU182-TODAY()</f>
        <v>679</v>
      </c>
      <c r="LW182" s="5" t="str">
        <f t="shared" ca="1" si="580"/>
        <v>VIGENTE</v>
      </c>
      <c r="LX182" s="4"/>
      <c r="LY182" s="4">
        <v>44988</v>
      </c>
      <c r="LZ182" s="4">
        <f>DATE(YEAR(LY182)+5,MONTH(LY182),DAY(LY182))</f>
        <v>46815</v>
      </c>
      <c r="MA182" s="8">
        <f ca="1">LZ182-TODAY()</f>
        <v>681</v>
      </c>
      <c r="MB182" s="5" t="str">
        <f t="shared" ca="1" si="581"/>
        <v>VIGENTE</v>
      </c>
      <c r="MC182" s="4"/>
      <c r="MD182" s="4">
        <v>45010</v>
      </c>
      <c r="ME182" s="4">
        <f>DATE(YEAR(MD182)+5,MONTH(MD182),DAY(MD182))</f>
        <v>46837</v>
      </c>
      <c r="MF182" s="8">
        <f ca="1">ME182-TODAY()</f>
        <v>703</v>
      </c>
      <c r="MG182" s="5" t="str">
        <f t="shared" ca="1" si="554"/>
        <v>VIGENTE</v>
      </c>
      <c r="MH182" s="3"/>
      <c r="MI182" s="3">
        <v>45231</v>
      </c>
      <c r="MJ182" s="4">
        <f>DATE(YEAR(MI182)+5,MONTH(MI182),DAY(MI182))</f>
        <v>47058</v>
      </c>
      <c r="MK182" s="8">
        <f ca="1">MJ182-TODAY()</f>
        <v>924</v>
      </c>
      <c r="ML182" s="5" t="str">
        <f t="shared" ca="1" si="555"/>
        <v>VIGENTE</v>
      </c>
      <c r="MM182" s="5"/>
      <c r="MN182" s="2"/>
      <c r="MO182" s="4"/>
      <c r="MP182" s="8"/>
      <c r="MQ182" s="5" t="str">
        <f t="shared" si="556"/>
        <v>NO APLICA</v>
      </c>
      <c r="MR182" s="5"/>
      <c r="MS182" s="2"/>
      <c r="MT182" s="4"/>
      <c r="MU182" s="2"/>
      <c r="MV182" s="5" t="str">
        <f t="shared" si="557"/>
        <v>NO APLICA</v>
      </c>
      <c r="MW182" s="2"/>
      <c r="MX182" s="6"/>
      <c r="MY182" s="4"/>
      <c r="MZ182" s="8"/>
      <c r="NA182" s="5" t="str">
        <f t="shared" si="558"/>
        <v>NO APLICA</v>
      </c>
      <c r="NB182" s="2"/>
      <c r="NC182" s="6"/>
      <c r="ND182" s="4"/>
      <c r="NE182" s="8"/>
      <c r="NF182" s="5" t="str">
        <f t="shared" si="559"/>
        <v>NO APLICA</v>
      </c>
      <c r="NG182" s="2"/>
      <c r="NH182" s="6"/>
      <c r="NI182" s="4"/>
      <c r="NJ182" s="8"/>
      <c r="NK182" s="5" t="str">
        <f t="shared" si="560"/>
        <v>NO APLICA</v>
      </c>
      <c r="NL182" s="2"/>
      <c r="NM182" s="2"/>
      <c r="NN182" s="4"/>
      <c r="NO182" s="2"/>
      <c r="NP182" s="5" t="str">
        <f t="shared" si="561"/>
        <v>NO APLICA</v>
      </c>
      <c r="NQ182" s="2"/>
      <c r="NR182" s="2"/>
      <c r="NS182" s="4"/>
      <c r="NT182" s="2"/>
      <c r="NU182" s="5" t="str">
        <f t="shared" si="562"/>
        <v>NO APLICA</v>
      </c>
      <c r="NV182" s="6"/>
      <c r="NW182" s="6"/>
      <c r="NX182" s="4"/>
      <c r="NY182" s="8"/>
      <c r="NZ182" s="5" t="str">
        <f t="shared" si="563"/>
        <v>NO APLICA</v>
      </c>
      <c r="OA182" s="4"/>
      <c r="OB182" s="4">
        <v>44762</v>
      </c>
      <c r="OC182" s="4">
        <f>DATE(YEAR(OB182)+5,MONTH(OB182),DAY(OB182))</f>
        <v>46588</v>
      </c>
      <c r="OD182" s="8">
        <f ca="1">OC182-TODAY()</f>
        <v>454</v>
      </c>
      <c r="OE182" s="5" t="str">
        <f t="shared" ca="1" si="564"/>
        <v>VIGENTE</v>
      </c>
      <c r="OF182" s="6"/>
      <c r="OG182" s="6"/>
      <c r="OH182" s="4"/>
      <c r="OI182" s="8"/>
      <c r="OJ182" s="5" t="str">
        <f t="shared" si="565"/>
        <v>NO APLICA</v>
      </c>
      <c r="OK182" s="6"/>
      <c r="OL182" s="6"/>
      <c r="OM182" s="6"/>
      <c r="ON182" s="6"/>
      <c r="OO182" s="5" t="str">
        <f t="shared" si="566"/>
        <v>NO APLICA</v>
      </c>
      <c r="OP182" s="6"/>
      <c r="OQ182" s="6"/>
      <c r="OR182" s="6"/>
      <c r="OS182" s="6"/>
      <c r="OT182" s="5" t="str">
        <f t="shared" si="567"/>
        <v>NO APLICA</v>
      </c>
      <c r="OU182" s="6"/>
      <c r="OV182" s="6"/>
      <c r="OW182" s="6"/>
      <c r="OX182" s="6"/>
      <c r="OY182" s="5" t="str">
        <f t="shared" si="568"/>
        <v>NO APLICA</v>
      </c>
      <c r="OZ182" s="6"/>
      <c r="PA182" s="6"/>
      <c r="PB182" s="6"/>
      <c r="PC182" s="6"/>
      <c r="PD182" s="5" t="str">
        <f t="shared" si="569"/>
        <v>NO APLICA</v>
      </c>
      <c r="PE182" s="6"/>
      <c r="PF182" s="6"/>
      <c r="PG182" s="6"/>
      <c r="PH182" s="6"/>
      <c r="PI182" s="5" t="str">
        <f t="shared" si="570"/>
        <v>NO APLICA</v>
      </c>
      <c r="PJ182" s="5"/>
      <c r="PK182" s="6"/>
      <c r="PL182" s="4"/>
      <c r="PM182" s="8"/>
      <c r="PN182" s="5" t="str">
        <f t="shared" si="571"/>
        <v>NO APLICA</v>
      </c>
      <c r="PO182" s="6"/>
      <c r="PP182" s="6"/>
      <c r="PQ182" s="6"/>
      <c r="PR182" s="6"/>
      <c r="PS182" s="5" t="str">
        <f t="shared" si="572"/>
        <v>NO APLICA</v>
      </c>
      <c r="PT182" s="5"/>
      <c r="PU182" s="6"/>
      <c r="PV182" s="6"/>
      <c r="PW182" s="6"/>
      <c r="PX182" s="5" t="str">
        <f t="shared" si="573"/>
        <v>NO APLICA</v>
      </c>
    </row>
    <row r="183" spans="1:440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583</v>
      </c>
      <c r="V183" s="4">
        <v>44829</v>
      </c>
      <c r="W183" s="4">
        <f t="shared" si="606"/>
        <v>46655</v>
      </c>
      <c r="X183" s="8">
        <f t="shared" ca="1" si="607"/>
        <v>521</v>
      </c>
      <c r="Y183" s="5" t="str">
        <f t="shared" ca="1" si="624"/>
        <v>VIGENTE</v>
      </c>
      <c r="Z183" s="2" t="s">
        <v>584</v>
      </c>
      <c r="AA183" s="4">
        <v>44603</v>
      </c>
      <c r="AB183" s="4">
        <f>DATE(YEAR(AA183)+5,MONTH(AA183),DAY(AA183))</f>
        <v>46429</v>
      </c>
      <c r="AC183" s="8">
        <f t="shared" ca="1" si="634"/>
        <v>295</v>
      </c>
      <c r="AD183" s="5" t="str">
        <f t="shared" ca="1" si="627"/>
        <v>VIGENTE</v>
      </c>
      <c r="AE183" s="3"/>
      <c r="AF183" s="4">
        <v>45609</v>
      </c>
      <c r="AG183" s="4">
        <f>DATE(YEAR(AF183)+2,MONTH(AF183),DAY(AF183)-1)</f>
        <v>46338</v>
      </c>
      <c r="AH183" s="8">
        <f t="shared" ca="1" si="470"/>
        <v>204</v>
      </c>
      <c r="AI183" s="5" t="str">
        <f t="shared" ca="1" si="621"/>
        <v>VIGENTE</v>
      </c>
      <c r="AJ183" s="3"/>
      <c r="AK183" s="4">
        <v>45937</v>
      </c>
      <c r="AL183" s="4">
        <f>DATE(YEAR(AK183)+2,MONTH(AK183),DAY(AK183))</f>
        <v>46667</v>
      </c>
      <c r="AM183" s="8">
        <f t="shared" ca="1" si="471"/>
        <v>533</v>
      </c>
      <c r="AN183" s="5" t="str">
        <f t="shared" ca="1" si="472"/>
        <v>VIGENTE</v>
      </c>
      <c r="AO183" s="3"/>
      <c r="AP183" s="4">
        <v>45967</v>
      </c>
      <c r="AQ183" s="4">
        <f t="shared" si="628"/>
        <v>46697</v>
      </c>
      <c r="AR183" s="8">
        <f t="shared" ca="1" si="473"/>
        <v>563</v>
      </c>
      <c r="AS183" s="5" t="str">
        <f t="shared" ca="1" si="474"/>
        <v>VIGENTE</v>
      </c>
      <c r="AT183" s="3"/>
      <c r="AU183" s="4">
        <v>45972</v>
      </c>
      <c r="AV183" s="4">
        <f>DATE(YEAR(AU183)+2,MONTH(AU183),DAY(AU183))</f>
        <v>46702</v>
      </c>
      <c r="AW183" s="8">
        <f t="shared" ca="1" si="475"/>
        <v>568</v>
      </c>
      <c r="AX183" s="5" t="str">
        <f t="shared" ca="1" si="476"/>
        <v>VIGENTE</v>
      </c>
      <c r="AY183" s="3"/>
      <c r="AZ183" s="4">
        <v>46071</v>
      </c>
      <c r="BA183" s="4">
        <f>DATE(YEAR(AZ183)+2,MONTH(AZ183),DAY(AZ183))</f>
        <v>46801</v>
      </c>
      <c r="BB183" s="8">
        <f t="shared" ca="1" si="477"/>
        <v>667</v>
      </c>
      <c r="BC183" s="5" t="str">
        <f t="shared" ca="1" si="478"/>
        <v>VIGENTE</v>
      </c>
      <c r="BD183" s="3"/>
      <c r="BE183" s="4">
        <v>46027</v>
      </c>
      <c r="BF183" s="4">
        <f t="shared" si="635"/>
        <v>46757</v>
      </c>
      <c r="BG183" s="8">
        <f t="shared" ca="1" si="479"/>
        <v>623</v>
      </c>
      <c r="BH183" s="5" t="str">
        <f t="shared" ca="1" si="480"/>
        <v>VIGENTE</v>
      </c>
      <c r="BI183" s="3"/>
      <c r="BJ183" s="4">
        <v>46035</v>
      </c>
      <c r="BK183" s="4">
        <f>DATE(YEAR(BJ183)+2,MONTH(BJ183),DAY(BJ183))</f>
        <v>46765</v>
      </c>
      <c r="BL183" s="8">
        <f t="shared" ca="1" si="481"/>
        <v>631</v>
      </c>
      <c r="BM183" s="5" t="str">
        <f t="shared" ca="1" si="482"/>
        <v>VIGENTE</v>
      </c>
      <c r="BN183" s="3"/>
      <c r="BO183" s="4">
        <v>46069</v>
      </c>
      <c r="BP183" s="4">
        <f>DATE(YEAR(BO183)+2,MONTH(BO183),DAY(BO183))</f>
        <v>46799</v>
      </c>
      <c r="BQ183" s="8">
        <f t="shared" ca="1" si="483"/>
        <v>665</v>
      </c>
      <c r="BR183" s="5" t="str">
        <f t="shared" ca="1" si="484"/>
        <v>VIGENTE</v>
      </c>
      <c r="BS183" s="3"/>
      <c r="BT183" s="4">
        <v>45455</v>
      </c>
      <c r="BU183" s="4">
        <f>DATE(YEAR(BT183)+2,MONTH(BT183),DAY(BT183)-1)</f>
        <v>46184</v>
      </c>
      <c r="BV183" s="8">
        <f t="shared" ca="1" si="485"/>
        <v>50</v>
      </c>
      <c r="BW183" s="5" t="str">
        <f t="shared" ca="1" si="486"/>
        <v>POR VENCER</v>
      </c>
      <c r="BX183" s="3"/>
      <c r="BY183" s="4">
        <v>45954</v>
      </c>
      <c r="BZ183" s="4">
        <f>DATE(YEAR(BY183)+2,MONTH(BY183),DAY(BY183))</f>
        <v>46684</v>
      </c>
      <c r="CA183" s="8">
        <f t="shared" ca="1" si="487"/>
        <v>550</v>
      </c>
      <c r="CB183" s="5" t="str">
        <f t="shared" ca="1" si="488"/>
        <v>VIGENTE</v>
      </c>
      <c r="CC183" s="6" t="s">
        <v>73</v>
      </c>
      <c r="CD183" s="4">
        <v>45241</v>
      </c>
      <c r="CE183" s="4">
        <f t="shared" si="609"/>
        <v>46702</v>
      </c>
      <c r="CF183" s="8">
        <f t="shared" ca="1" si="610"/>
        <v>568</v>
      </c>
      <c r="CG183" s="5" t="str">
        <f t="shared" ca="1" si="591"/>
        <v>VIGENTE</v>
      </c>
      <c r="CH183" s="4"/>
      <c r="CI183" s="4">
        <v>45500</v>
      </c>
      <c r="CJ183" s="4">
        <f>DATE(YEAR(CI183)+2,MONTH(CI183),DAY(CI183)-1)</f>
        <v>46229</v>
      </c>
      <c r="CK183" s="8">
        <f t="shared" ca="1" si="489"/>
        <v>95</v>
      </c>
      <c r="CL183" s="5" t="str">
        <f t="shared" ca="1" si="490"/>
        <v>VIGENTE</v>
      </c>
      <c r="CM183" s="3"/>
      <c r="CN183" s="4">
        <v>45513</v>
      </c>
      <c r="CO183" s="4">
        <f>DATE(YEAR(CN183)+2,MONTH(CN183),DAY(CN183)-1)</f>
        <v>46242</v>
      </c>
      <c r="CP183" s="8">
        <f t="shared" ca="1" si="491"/>
        <v>108</v>
      </c>
      <c r="CQ183" s="5" t="str">
        <f t="shared" ca="1" si="492"/>
        <v>VIGENTE</v>
      </c>
      <c r="CR183" s="3"/>
      <c r="CS183" s="4">
        <v>45639</v>
      </c>
      <c r="CT183" s="4">
        <f>DATE(YEAR(CS183)+2,MONTH(CS183),DAY(CS183)-1)</f>
        <v>46368</v>
      </c>
      <c r="CU183" s="8">
        <f t="shared" ca="1" si="493"/>
        <v>234</v>
      </c>
      <c r="CV183" s="5" t="str">
        <f t="shared" ca="1" si="494"/>
        <v>VIGENTE</v>
      </c>
      <c r="CW183" s="3"/>
      <c r="CX183" s="4">
        <v>45665</v>
      </c>
      <c r="CY183" s="4">
        <f>DATE(YEAR(CX183)+2,MONTH(CX183),DAY(CX183)-1)</f>
        <v>46394</v>
      </c>
      <c r="CZ183" s="8">
        <f t="shared" ca="1" si="495"/>
        <v>260</v>
      </c>
      <c r="DA183" s="5" t="str">
        <f t="shared" ca="1" si="496"/>
        <v>VIGENTE</v>
      </c>
      <c r="DB183" s="3"/>
      <c r="DC183" s="4">
        <v>45723</v>
      </c>
      <c r="DD183" s="4">
        <f>DATE(YEAR(DC183)+2,MONTH(DC183),DAY(DC183)-1)</f>
        <v>46452</v>
      </c>
      <c r="DE183" s="8">
        <f t="shared" ca="1" si="497"/>
        <v>318</v>
      </c>
      <c r="DF183" s="5" t="str">
        <f t="shared" ca="1" si="498"/>
        <v>VIGENTE</v>
      </c>
      <c r="DG183" s="3"/>
      <c r="DH183" s="4">
        <v>45779</v>
      </c>
      <c r="DI183" s="4">
        <f>DATE(YEAR(DH183)+2,MONTH(DH183),DAY(DH183))</f>
        <v>46509</v>
      </c>
      <c r="DJ183" s="8">
        <f t="shared" ca="1" si="499"/>
        <v>375</v>
      </c>
      <c r="DK183" s="5" t="str">
        <f t="shared" ca="1" si="500"/>
        <v>VIGENTE</v>
      </c>
      <c r="DL183" s="3"/>
      <c r="DM183" s="4">
        <v>45982</v>
      </c>
      <c r="DN183" s="4">
        <f>DATE(YEAR(DM183)+2,MONTH(DM183),DAY(DM183))</f>
        <v>46712</v>
      </c>
      <c r="DO183" s="8">
        <f t="shared" ca="1" si="501"/>
        <v>578</v>
      </c>
      <c r="DP183" s="5" t="str">
        <f t="shared" ca="1" si="502"/>
        <v>VIGENTE</v>
      </c>
      <c r="DQ183" s="3"/>
      <c r="DR183" s="4">
        <v>46053</v>
      </c>
      <c r="DS183" s="4">
        <f>DATE(YEAR(DR183)+2,MONTH(DR183),DAY(DR183))</f>
        <v>46783</v>
      </c>
      <c r="DT183" s="8">
        <f t="shared" ca="1" si="503"/>
        <v>649</v>
      </c>
      <c r="DU183" s="5" t="str">
        <f t="shared" ca="1" si="504"/>
        <v>VIGENTE</v>
      </c>
      <c r="DV183" s="4"/>
      <c r="DW183" s="4">
        <v>45709</v>
      </c>
      <c r="DX183" s="4">
        <f>DATE(YEAR(DW183)+2,MONTH(DW183),DAY(DW183)-1)</f>
        <v>46438</v>
      </c>
      <c r="DY183" s="8">
        <f t="shared" ca="1" si="505"/>
        <v>304</v>
      </c>
      <c r="DZ183" s="5" t="str">
        <f t="shared" ca="1" si="506"/>
        <v>VIGENTE</v>
      </c>
      <c r="EA183" s="3"/>
      <c r="EB183" s="4">
        <v>45674</v>
      </c>
      <c r="EC183" s="4">
        <f>DATE(YEAR(EB183)+2,MONTH(EB183),DAY(EB183)-1)</f>
        <v>46403</v>
      </c>
      <c r="ED183" s="8">
        <f t="shared" ca="1" si="507"/>
        <v>269</v>
      </c>
      <c r="EE183" s="5" t="str">
        <f t="shared" ca="1" si="508"/>
        <v>VIGENTE</v>
      </c>
      <c r="EF183" s="4"/>
      <c r="EG183" s="4">
        <v>45808</v>
      </c>
      <c r="EH183" s="4">
        <f t="shared" si="575"/>
        <v>46173</v>
      </c>
      <c r="EI183" s="8">
        <f t="shared" ca="1" si="509"/>
        <v>39</v>
      </c>
      <c r="EJ183" s="5" t="str">
        <f t="shared" ca="1" si="510"/>
        <v>POR VENCER</v>
      </c>
      <c r="EK183" s="4"/>
      <c r="EL183" s="4">
        <v>45671</v>
      </c>
      <c r="EM183" s="4">
        <f>DATE(YEAR(EL183)+2,MONTH(EL183),DAY(EL183)-1)</f>
        <v>46400</v>
      </c>
      <c r="EN183" s="8">
        <f t="shared" ca="1" si="511"/>
        <v>266</v>
      </c>
      <c r="EO183" s="5" t="str">
        <f t="shared" ca="1" si="512"/>
        <v>VIGENTE</v>
      </c>
      <c r="EP183" s="3"/>
      <c r="EQ183" s="4">
        <v>46062</v>
      </c>
      <c r="ER183" s="4">
        <f>DATE(YEAR(EQ183)+2,MONTH(EQ183),DAY(EQ183))</f>
        <v>46792</v>
      </c>
      <c r="ES183" s="8">
        <f t="shared" ca="1" si="513"/>
        <v>658</v>
      </c>
      <c r="ET183" s="5" t="str">
        <f t="shared" ca="1" si="514"/>
        <v>VIGENTE</v>
      </c>
      <c r="EU183" s="3"/>
      <c r="EV183" s="4">
        <v>45953</v>
      </c>
      <c r="EW183" s="4">
        <f t="shared" si="629"/>
        <v>46683</v>
      </c>
      <c r="EX183" s="8">
        <f t="shared" ca="1" si="515"/>
        <v>549</v>
      </c>
      <c r="EY183" s="5" t="str">
        <f t="shared" ca="1" si="516"/>
        <v>VIGENTE</v>
      </c>
      <c r="EZ183" s="3"/>
      <c r="FA183" s="4">
        <v>45931</v>
      </c>
      <c r="FB183" s="4">
        <f>DATE(YEAR(FA183)+2,MONTH(FA183),DAY(FA183))</f>
        <v>46661</v>
      </c>
      <c r="FC183" s="8">
        <f t="shared" ca="1" si="517"/>
        <v>527</v>
      </c>
      <c r="FD183" s="5" t="str">
        <f t="shared" ca="1" si="518"/>
        <v>VIGENTE</v>
      </c>
      <c r="FE183" s="3"/>
      <c r="FF183" s="4">
        <v>45962</v>
      </c>
      <c r="FG183" s="4">
        <f>DATE(YEAR(FF183)+2,MONTH(FF183),DAY(FF183))</f>
        <v>46692</v>
      </c>
      <c r="FH183" s="8">
        <f t="shared" ca="1" si="519"/>
        <v>558</v>
      </c>
      <c r="FI183" s="5" t="str">
        <f t="shared" ca="1" si="520"/>
        <v>VIGENTE</v>
      </c>
      <c r="FJ183" s="3"/>
      <c r="FK183" s="4">
        <v>45686</v>
      </c>
      <c r="FL183" s="4">
        <f>DATE(YEAR(FK183)+2,MONTH(FK183),DAY(FK183)-1)</f>
        <v>46415</v>
      </c>
      <c r="FM183" s="8">
        <f t="shared" ca="1" si="521"/>
        <v>281</v>
      </c>
      <c r="FN183" s="5" t="str">
        <f t="shared" ca="1" si="522"/>
        <v>VIGENTE</v>
      </c>
      <c r="FO183" s="3"/>
      <c r="FP183" s="4">
        <v>45586</v>
      </c>
      <c r="FQ183" s="4">
        <f>DATE(YEAR(FP183)+2,MONTH(FP183),DAY(FP183)-1)</f>
        <v>46315</v>
      </c>
      <c r="FR183" s="8">
        <f t="shared" ca="1" si="523"/>
        <v>181</v>
      </c>
      <c r="FS183" s="5" t="str">
        <f t="shared" ca="1" si="524"/>
        <v>VIGENTE</v>
      </c>
      <c r="FT183" s="4"/>
      <c r="FU183" s="4">
        <v>45536</v>
      </c>
      <c r="FV183" s="4">
        <f>DATE(YEAR(FU183)+2,MONTH(FU183),DAY(FU183)-1)</f>
        <v>46265</v>
      </c>
      <c r="FW183" s="8">
        <f t="shared" ca="1" si="525"/>
        <v>131</v>
      </c>
      <c r="FX183" s="5" t="str">
        <f t="shared" ca="1" si="526"/>
        <v>VIGENTE</v>
      </c>
      <c r="FY183" s="3"/>
      <c r="FZ183" s="4">
        <v>46073</v>
      </c>
      <c r="GA183" s="4">
        <f>DATE(YEAR(FZ183)+2,MONTH(FZ183),DAY(FZ183))</f>
        <v>46803</v>
      </c>
      <c r="GB183" s="8">
        <f t="shared" ca="1" si="527"/>
        <v>669</v>
      </c>
      <c r="GC183" s="5" t="str">
        <f t="shared" ca="1" si="528"/>
        <v>VIGENTE</v>
      </c>
      <c r="GD183" s="4"/>
      <c r="GE183" s="4">
        <v>45672</v>
      </c>
      <c r="GF183" s="4">
        <f>DATE(YEAR(GE183)+2,MONTH(GE183),DAY(GE183)-1)</f>
        <v>46401</v>
      </c>
      <c r="GG183" s="8">
        <f t="shared" ca="1" si="529"/>
        <v>267</v>
      </c>
      <c r="GH183" s="5" t="str">
        <f t="shared" ca="1" si="530"/>
        <v>VIGENTE</v>
      </c>
      <c r="GI183" s="3"/>
      <c r="GJ183" s="4">
        <v>45923</v>
      </c>
      <c r="GK183" s="4">
        <f>DATE(YEAR(GJ183)+2,MONTH(GJ183),DAY(GJ183))</f>
        <v>46653</v>
      </c>
      <c r="GL183" s="8">
        <f t="shared" ca="1" si="531"/>
        <v>519</v>
      </c>
      <c r="GM183" s="5" t="str">
        <f t="shared" ca="1" si="532"/>
        <v>VIGENTE</v>
      </c>
      <c r="GN183" s="4"/>
      <c r="GO183" s="4">
        <v>45299</v>
      </c>
      <c r="GP183" s="4">
        <f t="shared" si="533"/>
        <v>47126</v>
      </c>
      <c r="GQ183" s="8">
        <f t="shared" ca="1" si="620"/>
        <v>992</v>
      </c>
      <c r="GR183" s="5" t="str">
        <f t="shared" ca="1" si="630"/>
        <v>VIGENTE</v>
      </c>
      <c r="GS183" s="3"/>
      <c r="GT183" s="4">
        <v>45478</v>
      </c>
      <c r="GU183" s="4">
        <f t="shared" si="534"/>
        <v>47304</v>
      </c>
      <c r="GV183" s="8">
        <f t="shared" ca="1" si="535"/>
        <v>1170</v>
      </c>
      <c r="GW183" s="5" t="str">
        <f t="shared" ca="1" si="631"/>
        <v>VIGENTE</v>
      </c>
      <c r="GX183" s="3"/>
      <c r="GY183" s="4">
        <v>45258</v>
      </c>
      <c r="GZ183" s="4">
        <f t="shared" si="536"/>
        <v>47085</v>
      </c>
      <c r="HA183" s="8">
        <f t="shared" ca="1" si="537"/>
        <v>951</v>
      </c>
      <c r="HB183" s="5" t="str">
        <f t="shared" ca="1" si="632"/>
        <v>VIGENTE</v>
      </c>
      <c r="HC183" s="6"/>
      <c r="HD183" s="4">
        <v>44865</v>
      </c>
      <c r="HE183" s="4">
        <f>DATE(YEAR(HD183)+5,MONTH(HD183),DAY(HD183))</f>
        <v>46691</v>
      </c>
      <c r="HF183" s="8">
        <f t="shared" ca="1" si="636"/>
        <v>557</v>
      </c>
      <c r="HG183" s="5" t="str">
        <f t="shared" ca="1" si="633"/>
        <v>VIGENTE</v>
      </c>
      <c r="HH183" s="3"/>
      <c r="HI183" s="4">
        <v>45480</v>
      </c>
      <c r="HJ183" s="4">
        <f>DATE(YEAR(HI183)+5,MONTH(HI183),DAY(HI183))</f>
        <v>47306</v>
      </c>
      <c r="HK183" s="8">
        <f ca="1">HJ183-TODAY()</f>
        <v>1172</v>
      </c>
      <c r="HL183" s="5" t="str">
        <f t="shared" ca="1" si="457"/>
        <v>VIGENTE</v>
      </c>
      <c r="HM183" s="2"/>
      <c r="HN183" s="2"/>
      <c r="HO183" s="4"/>
      <c r="HP183" s="2"/>
      <c r="HQ183" s="5" t="str">
        <f t="shared" si="538"/>
        <v>NO APLICA</v>
      </c>
      <c r="HR183" s="3"/>
      <c r="HS183" s="4">
        <v>45469</v>
      </c>
      <c r="HT183" s="4">
        <f>DATE(YEAR(HS183)+5,MONTH(HS183),DAY(HS183))</f>
        <v>47295</v>
      </c>
      <c r="HU183" s="8">
        <f ca="1">HT183-TODAY()</f>
        <v>1161</v>
      </c>
      <c r="HV183" s="5" t="str">
        <f t="shared" ca="1" si="539"/>
        <v>VIGENTE</v>
      </c>
      <c r="HW183" s="3"/>
      <c r="HX183" s="4">
        <v>45475</v>
      </c>
      <c r="HY183" s="4">
        <f>DATE(YEAR(HX183)+5,MONTH(HX183),DAY(HX183))</f>
        <v>47301</v>
      </c>
      <c r="HZ183" s="8">
        <f ca="1">HY183-TODAY()</f>
        <v>1167</v>
      </c>
      <c r="IA183" s="5" t="str">
        <f t="shared" ca="1" si="540"/>
        <v>VIGENTE</v>
      </c>
      <c r="IB183" s="3"/>
      <c r="IC183" s="4">
        <v>45470</v>
      </c>
      <c r="ID183" s="4">
        <f>DATE(YEAR(IC183)+5,MONTH(IC183),DAY(IC183))</f>
        <v>47296</v>
      </c>
      <c r="IE183" s="8">
        <f ca="1">ID183-TODAY()</f>
        <v>1162</v>
      </c>
      <c r="IF183" s="5" t="str">
        <f t="shared" ca="1" si="541"/>
        <v>VIGENTE</v>
      </c>
      <c r="IG183" s="4"/>
      <c r="IH183" s="4">
        <v>45452</v>
      </c>
      <c r="II183" s="4">
        <f>DATE(YEAR(IH183)+5,MONTH(IH183),DAY(IH183))</f>
        <v>47278</v>
      </c>
      <c r="IJ183" s="8">
        <f ca="1">II183-TODAY()</f>
        <v>1144</v>
      </c>
      <c r="IK183" s="5" t="str">
        <f t="shared" ca="1" si="542"/>
        <v>VIGENTE</v>
      </c>
      <c r="IL183" s="3"/>
      <c r="IM183" s="4">
        <v>45453</v>
      </c>
      <c r="IN183" s="4">
        <f>DATE(YEAR(IM183)+5,MONTH(IM183),DAY(IM183))</f>
        <v>47279</v>
      </c>
      <c r="IO183" s="8">
        <f ca="1">IN183-TODAY()</f>
        <v>1145</v>
      </c>
      <c r="IP183" s="5" t="str">
        <f t="shared" ca="1" si="543"/>
        <v>VIGENTE</v>
      </c>
      <c r="IQ183" s="3"/>
      <c r="IR183" s="4">
        <v>45487</v>
      </c>
      <c r="IS183" s="4">
        <f>DATE(YEAR(IR183)+5,MONTH(IR183),DAY(IR183))</f>
        <v>47313</v>
      </c>
      <c r="IT183" s="8">
        <f t="shared" ref="IT183:IT188" ca="1" si="637">IS183-TODAY()</f>
        <v>1179</v>
      </c>
      <c r="IU183" s="5" t="str">
        <f t="shared" ca="1" si="544"/>
        <v>VIGENTE</v>
      </c>
      <c r="IV183" s="3"/>
      <c r="IW183" s="4">
        <v>45461</v>
      </c>
      <c r="IX183" s="4">
        <f>DATE(YEAR(IW183)+5,MONTH(IW183),DAY(IW183))</f>
        <v>47287</v>
      </c>
      <c r="IY183" s="8">
        <f t="shared" ref="IY183:IY188" ca="1" si="638">IX183-TODAY()</f>
        <v>1153</v>
      </c>
      <c r="IZ183" s="5" t="str">
        <f t="shared" ca="1" si="545"/>
        <v>VIGENTE</v>
      </c>
      <c r="JA183" s="3"/>
      <c r="JB183" s="3"/>
      <c r="JC183" s="4"/>
      <c r="JD183" s="8"/>
      <c r="JE183" s="5" t="str">
        <f t="shared" si="546"/>
        <v>NO APLICA</v>
      </c>
      <c r="JF183" s="6"/>
      <c r="JG183" s="6"/>
      <c r="JH183" s="6"/>
      <c r="JI183" s="6"/>
      <c r="JJ183" s="5" t="str">
        <f t="shared" si="547"/>
        <v>NO APLICA</v>
      </c>
      <c r="JK183" s="6"/>
      <c r="JL183" s="6"/>
      <c r="JM183" s="6"/>
      <c r="JN183" s="6"/>
      <c r="JO183" s="5" t="str">
        <f t="shared" si="548"/>
        <v>NO APLICA</v>
      </c>
      <c r="JP183" s="6"/>
      <c r="JQ183" s="6"/>
      <c r="JR183" s="6"/>
      <c r="JS183" s="6"/>
      <c r="JT183" s="5" t="str">
        <f t="shared" si="549"/>
        <v>NO APLICA</v>
      </c>
      <c r="JU183" s="5"/>
      <c r="JV183" s="5"/>
      <c r="JW183" s="5"/>
      <c r="JX183" s="5"/>
      <c r="JY183" s="5" t="str">
        <f t="shared" si="550"/>
        <v>NO APLICA</v>
      </c>
      <c r="JZ183" s="5"/>
      <c r="KA183" s="2"/>
      <c r="KB183" s="4"/>
      <c r="KC183" s="8"/>
      <c r="KD183" s="5" t="str">
        <f t="shared" si="551"/>
        <v>NO APLICA</v>
      </c>
      <c r="KE183" s="5"/>
      <c r="KF183" s="2"/>
      <c r="KG183" s="4"/>
      <c r="KH183" s="8"/>
      <c r="KI183" s="5" t="str">
        <f t="shared" si="576"/>
        <v>NO APLICA</v>
      </c>
      <c r="KJ183" s="5"/>
      <c r="KK183" s="2"/>
      <c r="KL183" s="4"/>
      <c r="KM183" s="8"/>
      <c r="KN183" s="5" t="str">
        <f t="shared" si="552"/>
        <v>NO APLICA</v>
      </c>
      <c r="KO183" s="5"/>
      <c r="KP183" s="3">
        <v>45346</v>
      </c>
      <c r="KQ183" s="4">
        <f>DATE(YEAR(KP183)+5,MONTH(KP183),DAY(KP183))</f>
        <v>47173</v>
      </c>
      <c r="KR183" s="8">
        <f ca="1">KQ183-TODAY()</f>
        <v>1039</v>
      </c>
      <c r="KS183" s="5" t="str">
        <f t="shared" ca="1" si="577"/>
        <v>VIGENTE</v>
      </c>
      <c r="KT183" s="3"/>
      <c r="KU183" s="4">
        <v>44649</v>
      </c>
      <c r="KV183" s="4">
        <f>DATE(YEAR(KU183)+5,MONTH(KU183),DAY(KU183))</f>
        <v>46475</v>
      </c>
      <c r="KW183" s="8">
        <f ca="1">KV183-TODAY()</f>
        <v>341</v>
      </c>
      <c r="KX183" s="5" t="str">
        <f t="shared" ca="1" si="583"/>
        <v>VIGENTE</v>
      </c>
      <c r="KY183" s="5"/>
      <c r="KZ183" s="6"/>
      <c r="LA183" s="4"/>
      <c r="LB183" s="8"/>
      <c r="LC183" s="5" t="str">
        <f t="shared" si="578"/>
        <v>NO APLICA</v>
      </c>
      <c r="LD183" s="6"/>
      <c r="LE183" s="4">
        <v>45611</v>
      </c>
      <c r="LF183" s="4">
        <f>DATE(YEAR(LE183)+2,MONTH(LE183),DAY(LE183))</f>
        <v>46341</v>
      </c>
      <c r="LG183" s="8">
        <f ca="1">LF183-TODAY()</f>
        <v>207</v>
      </c>
      <c r="LH183" s="5" t="str">
        <f t="shared" ca="1" si="619"/>
        <v>VIGENTE</v>
      </c>
      <c r="LI183" s="5"/>
      <c r="LJ183" s="5"/>
      <c r="LK183" s="4"/>
      <c r="LL183" s="8"/>
      <c r="LM183" s="5" t="str">
        <f t="shared" si="584"/>
        <v>NO APLICA</v>
      </c>
      <c r="LN183" s="2"/>
      <c r="LO183" s="6"/>
      <c r="LP183" s="4"/>
      <c r="LQ183" s="8"/>
      <c r="LR183" s="5" t="str">
        <f t="shared" si="579"/>
        <v>NO APLICA</v>
      </c>
      <c r="LS183" s="6"/>
      <c r="LT183" s="6"/>
      <c r="LU183" s="4"/>
      <c r="LV183" s="8"/>
      <c r="LW183" s="5" t="str">
        <f t="shared" si="580"/>
        <v>NO APLICA</v>
      </c>
      <c r="LX183" s="6"/>
      <c r="LY183" s="6"/>
      <c r="LZ183" s="4"/>
      <c r="MA183" s="8"/>
      <c r="MB183" s="5" t="str">
        <f t="shared" si="581"/>
        <v>NO APLICA</v>
      </c>
      <c r="MC183" s="2"/>
      <c r="MD183" s="2"/>
      <c r="ME183" s="4"/>
      <c r="MF183" s="8"/>
      <c r="MG183" s="5" t="str">
        <f t="shared" si="554"/>
        <v>NO APLICA</v>
      </c>
      <c r="MH183" s="2"/>
      <c r="MI183" s="2"/>
      <c r="MJ183" s="4"/>
      <c r="MK183" s="8"/>
      <c r="ML183" s="5" t="str">
        <f t="shared" si="555"/>
        <v>NO APLICA</v>
      </c>
      <c r="MM183" s="5"/>
      <c r="MN183" s="2"/>
      <c r="MO183" s="4"/>
      <c r="MP183" s="8"/>
      <c r="MQ183" s="5" t="str">
        <f t="shared" si="556"/>
        <v>NO APLICA</v>
      </c>
      <c r="MR183" s="5"/>
      <c r="MS183" s="2"/>
      <c r="MT183" s="4"/>
      <c r="MU183" s="2"/>
      <c r="MV183" s="5" t="str">
        <f t="shared" si="557"/>
        <v>NO APLICA</v>
      </c>
      <c r="MW183" s="2"/>
      <c r="MX183" s="6"/>
      <c r="MY183" s="4"/>
      <c r="MZ183" s="8"/>
      <c r="NA183" s="5" t="str">
        <f t="shared" si="558"/>
        <v>NO APLICA</v>
      </c>
      <c r="NB183" s="2"/>
      <c r="NC183" s="6"/>
      <c r="ND183" s="4"/>
      <c r="NE183" s="8"/>
      <c r="NF183" s="5" t="str">
        <f t="shared" si="559"/>
        <v>NO APLICA</v>
      </c>
      <c r="NG183" s="2"/>
      <c r="NH183" s="6"/>
      <c r="NI183" s="4"/>
      <c r="NJ183" s="8"/>
      <c r="NK183" s="5" t="str">
        <f t="shared" si="560"/>
        <v>NO APLICA</v>
      </c>
      <c r="NL183" s="2"/>
      <c r="NM183" s="2"/>
      <c r="NN183" s="4"/>
      <c r="NO183" s="2"/>
      <c r="NP183" s="5" t="str">
        <f t="shared" si="561"/>
        <v>NO APLICA</v>
      </c>
      <c r="NQ183" s="2"/>
      <c r="NR183" s="2"/>
      <c r="NS183" s="4"/>
      <c r="NT183" s="2"/>
      <c r="NU183" s="5" t="str">
        <f t="shared" si="562"/>
        <v>NO APLICA</v>
      </c>
      <c r="NV183" s="6"/>
      <c r="NW183" s="6"/>
      <c r="NX183" s="4"/>
      <c r="NY183" s="8"/>
      <c r="NZ183" s="5" t="str">
        <f t="shared" si="563"/>
        <v>NO APLICA</v>
      </c>
      <c r="OA183" s="6"/>
      <c r="OB183" s="6"/>
      <c r="OC183" s="6"/>
      <c r="OD183" s="6"/>
      <c r="OE183" s="5" t="str">
        <f t="shared" si="564"/>
        <v>NO APLICA</v>
      </c>
      <c r="OF183" s="6"/>
      <c r="OG183" s="6"/>
      <c r="OH183" s="4"/>
      <c r="OI183" s="8"/>
      <c r="OJ183" s="5" t="str">
        <f t="shared" si="565"/>
        <v>NO APLICA</v>
      </c>
      <c r="OK183" s="6"/>
      <c r="OL183" s="6"/>
      <c r="OM183" s="6"/>
      <c r="ON183" s="6"/>
      <c r="OO183" s="5" t="str">
        <f t="shared" si="566"/>
        <v>NO APLICA</v>
      </c>
      <c r="OP183" s="6"/>
      <c r="OQ183" s="6"/>
      <c r="OR183" s="6"/>
      <c r="OS183" s="6"/>
      <c r="OT183" s="5" t="str">
        <f t="shared" si="567"/>
        <v>NO APLICA</v>
      </c>
      <c r="OU183" s="6"/>
      <c r="OV183" s="6"/>
      <c r="OW183" s="6"/>
      <c r="OX183" s="6"/>
      <c r="OY183" s="5" t="str">
        <f t="shared" si="568"/>
        <v>NO APLICA</v>
      </c>
      <c r="OZ183" s="6"/>
      <c r="PA183" s="6"/>
      <c r="PB183" s="6"/>
      <c r="PC183" s="6"/>
      <c r="PD183" s="5" t="str">
        <f t="shared" si="569"/>
        <v>NO APLICA</v>
      </c>
      <c r="PE183" s="6"/>
      <c r="PF183" s="6"/>
      <c r="PG183" s="6"/>
      <c r="PH183" s="6"/>
      <c r="PI183" s="5" t="str">
        <f t="shared" si="570"/>
        <v>NO APLICA</v>
      </c>
      <c r="PJ183" s="5"/>
      <c r="PK183" s="6"/>
      <c r="PL183" s="4"/>
      <c r="PM183" s="8"/>
      <c r="PN183" s="5" t="str">
        <f t="shared" si="571"/>
        <v>NO APLICA</v>
      </c>
      <c r="PO183" s="6"/>
      <c r="PP183" s="6"/>
      <c r="PQ183" s="6"/>
      <c r="PR183" s="6"/>
      <c r="PS183" s="5" t="str">
        <f t="shared" si="572"/>
        <v>NO APLICA</v>
      </c>
      <c r="PT183" s="5"/>
      <c r="PU183" s="6"/>
      <c r="PV183" s="6"/>
      <c r="PW183" s="6"/>
      <c r="PX183" s="5" t="str">
        <f t="shared" si="573"/>
        <v>NO APLICA</v>
      </c>
    </row>
    <row r="184" spans="1:440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586</v>
      </c>
      <c r="V184" s="4">
        <v>44786</v>
      </c>
      <c r="W184" s="4">
        <f t="shared" si="606"/>
        <v>46612</v>
      </c>
      <c r="X184" s="8">
        <f t="shared" ca="1" si="607"/>
        <v>478</v>
      </c>
      <c r="Y184" s="5" t="str">
        <f t="shared" ca="1" si="624"/>
        <v>VIGENTE</v>
      </c>
      <c r="Z184" s="2" t="s">
        <v>587</v>
      </c>
      <c r="AA184" s="4">
        <v>44988</v>
      </c>
      <c r="AB184" s="4">
        <f t="shared" ref="AB184:AB189" si="639">DATE(YEAR(AA184)+5,MONTH(AA184),DAY(AA184))</f>
        <v>46815</v>
      </c>
      <c r="AC184" s="8">
        <f t="shared" ca="1" si="634"/>
        <v>681</v>
      </c>
      <c r="AD184" s="5" t="str">
        <f t="shared" ca="1" si="627"/>
        <v>VIGENTE</v>
      </c>
      <c r="AE184" s="3"/>
      <c r="AF184" s="4">
        <v>45589</v>
      </c>
      <c r="AG184" s="4">
        <f t="shared" ref="AG184:AG188" si="640">DATE(YEAR(AF184)+2,MONTH(AF184),DAY(AF184)-1)</f>
        <v>46318</v>
      </c>
      <c r="AH184" s="8">
        <f t="shared" ca="1" si="470"/>
        <v>184</v>
      </c>
      <c r="AI184" s="5" t="str">
        <f t="shared" ca="1" si="621"/>
        <v>VIGENTE</v>
      </c>
      <c r="AJ184" s="3"/>
      <c r="AK184" s="4">
        <v>46084</v>
      </c>
      <c r="AL184" s="4">
        <f t="shared" ref="AL184:AL186" si="641">DATE(YEAR(AK184)+2,MONTH(AK184),DAY(AK184))</f>
        <v>46815</v>
      </c>
      <c r="AM184" s="8">
        <f t="shared" ca="1" si="471"/>
        <v>681</v>
      </c>
      <c r="AN184" s="5" t="str">
        <f t="shared" ca="1" si="472"/>
        <v>VIGENTE</v>
      </c>
      <c r="AO184" s="3"/>
      <c r="AP184" s="4">
        <v>45505</v>
      </c>
      <c r="AQ184" s="4">
        <f t="shared" ref="AQ184" si="642">DATE(YEAR(AP184)+2,MONTH(AP184),DAY(AP184)-1)</f>
        <v>46234</v>
      </c>
      <c r="AR184" s="8">
        <f t="shared" ca="1" si="473"/>
        <v>100</v>
      </c>
      <c r="AS184" s="5" t="str">
        <f t="shared" ca="1" si="474"/>
        <v>VIGENTE</v>
      </c>
      <c r="AT184" s="3"/>
      <c r="AU184" s="4">
        <v>45464</v>
      </c>
      <c r="AV184" s="4">
        <f t="shared" ref="AV184:AV187" si="643">DATE(YEAR(AU184)+2,MONTH(AU184),DAY(AU184)-1)</f>
        <v>46193</v>
      </c>
      <c r="AW184" s="8">
        <f t="shared" ca="1" si="475"/>
        <v>59</v>
      </c>
      <c r="AX184" s="5" t="str">
        <f t="shared" ca="1" si="476"/>
        <v>POR VENCER</v>
      </c>
      <c r="AY184" s="3"/>
      <c r="AZ184" s="4">
        <v>45476</v>
      </c>
      <c r="BA184" s="4">
        <f t="shared" ref="BA184:BA190" si="644">DATE(YEAR(AZ184)+2,MONTH(AZ184),DAY(AZ184)-1)</f>
        <v>46205</v>
      </c>
      <c r="BB184" s="8">
        <f t="shared" ca="1" si="477"/>
        <v>71</v>
      </c>
      <c r="BC184" s="5" t="str">
        <f t="shared" ca="1" si="478"/>
        <v>POR VENCER</v>
      </c>
      <c r="BD184" s="3"/>
      <c r="BE184" s="4">
        <v>46067</v>
      </c>
      <c r="BF184" s="4">
        <f t="shared" si="635"/>
        <v>46797</v>
      </c>
      <c r="BG184" s="8">
        <f t="shared" ca="1" si="479"/>
        <v>663</v>
      </c>
      <c r="BH184" s="5" t="str">
        <f t="shared" ca="1" si="480"/>
        <v>VIGENTE</v>
      </c>
      <c r="BI184" s="3"/>
      <c r="BJ184" s="4">
        <v>46035</v>
      </c>
      <c r="BK184" s="4">
        <f t="shared" ref="BK184:BK186" si="645">DATE(YEAR(BJ184)+2,MONTH(BJ184),DAY(BJ184))</f>
        <v>46765</v>
      </c>
      <c r="BL184" s="8">
        <f t="shared" ca="1" si="481"/>
        <v>631</v>
      </c>
      <c r="BM184" s="5" t="str">
        <f t="shared" ca="1" si="482"/>
        <v>VIGENTE</v>
      </c>
      <c r="BN184" s="3"/>
      <c r="BO184" s="4">
        <v>46069</v>
      </c>
      <c r="BP184" s="4">
        <f t="shared" ref="BP184" si="646">DATE(YEAR(BO184)+2,MONTH(BO184),DAY(BO184))</f>
        <v>46799</v>
      </c>
      <c r="BQ184" s="8">
        <f t="shared" ca="1" si="483"/>
        <v>665</v>
      </c>
      <c r="BR184" s="5" t="str">
        <f t="shared" ca="1" si="484"/>
        <v>VIGENTE</v>
      </c>
      <c r="BS184" s="3"/>
      <c r="BT184" s="4">
        <v>45736</v>
      </c>
      <c r="BU184" s="4">
        <f t="shared" ref="BU184:BU188" si="647">DATE(YEAR(BT184)+2,MONTH(BT184),DAY(BT184)-1)</f>
        <v>46465</v>
      </c>
      <c r="BV184" s="8">
        <f t="shared" ca="1" si="485"/>
        <v>331</v>
      </c>
      <c r="BW184" s="5" t="str">
        <f t="shared" ca="1" si="486"/>
        <v>VIGENTE</v>
      </c>
      <c r="BX184" s="3"/>
      <c r="BY184" s="4">
        <v>45480</v>
      </c>
      <c r="BZ184" s="4">
        <f t="shared" ref="BZ184:BZ187" si="648">DATE(YEAR(BY184)+2,MONTH(BY184),DAY(BY184)-1)</f>
        <v>46209</v>
      </c>
      <c r="CA184" s="8">
        <f t="shared" ca="1" si="487"/>
        <v>75</v>
      </c>
      <c r="CB184" s="5" t="str">
        <f t="shared" ca="1" si="488"/>
        <v>POR VENCER</v>
      </c>
      <c r="CC184" s="6" t="s">
        <v>73</v>
      </c>
      <c r="CD184" s="4">
        <v>45282</v>
      </c>
      <c r="CE184" s="4">
        <f t="shared" si="609"/>
        <v>46743</v>
      </c>
      <c r="CF184" s="8">
        <f t="shared" ca="1" si="610"/>
        <v>609</v>
      </c>
      <c r="CG184" s="5" t="str">
        <f t="shared" ca="1" si="591"/>
        <v>VIGENTE</v>
      </c>
      <c r="CH184" s="4"/>
      <c r="CI184" s="4">
        <v>45688</v>
      </c>
      <c r="CJ184" s="4">
        <f t="shared" ref="CJ184:CJ190" si="649">DATE(YEAR(CI184)+2,MONTH(CI184),DAY(CI184)-1)</f>
        <v>46417</v>
      </c>
      <c r="CK184" s="8">
        <f t="shared" ca="1" si="489"/>
        <v>283</v>
      </c>
      <c r="CL184" s="5" t="str">
        <f t="shared" ca="1" si="490"/>
        <v>VIGENTE</v>
      </c>
      <c r="CM184" s="3"/>
      <c r="CN184" s="4">
        <v>45684</v>
      </c>
      <c r="CO184" s="4">
        <f t="shared" ref="CO184:CO190" si="650">DATE(YEAR(CN184)+2,MONTH(CN184),DAY(CN184)-1)</f>
        <v>46413</v>
      </c>
      <c r="CP184" s="8">
        <f t="shared" ca="1" si="491"/>
        <v>279</v>
      </c>
      <c r="CQ184" s="5" t="str">
        <f t="shared" ca="1" si="492"/>
        <v>VIGENTE</v>
      </c>
      <c r="CR184" s="3"/>
      <c r="CS184" s="4">
        <v>45645</v>
      </c>
      <c r="CT184" s="4">
        <f t="shared" ref="CT184:CT188" si="651">DATE(YEAR(CS184)+2,MONTH(CS184),DAY(CS184)-1)</f>
        <v>46374</v>
      </c>
      <c r="CU184" s="8">
        <f t="shared" ca="1" si="493"/>
        <v>240</v>
      </c>
      <c r="CV184" s="5" t="str">
        <f t="shared" ca="1" si="494"/>
        <v>VIGENTE</v>
      </c>
      <c r="CW184" s="3"/>
      <c r="CX184" s="4">
        <v>45665</v>
      </c>
      <c r="CY184" s="4">
        <f t="shared" ref="CY184:CY188" si="652">DATE(YEAR(CX184)+2,MONTH(CX184),DAY(CX184)-1)</f>
        <v>46394</v>
      </c>
      <c r="CZ184" s="8">
        <f t="shared" ca="1" si="495"/>
        <v>260</v>
      </c>
      <c r="DA184" s="5" t="str">
        <f t="shared" ca="1" si="496"/>
        <v>VIGENTE</v>
      </c>
      <c r="DB184" s="3"/>
      <c r="DC184" s="4">
        <v>45689</v>
      </c>
      <c r="DD184" s="4">
        <f t="shared" ref="DD184:DD190" si="653">DATE(YEAR(DC184)+2,MONTH(DC184),DAY(DC184)-1)</f>
        <v>46418</v>
      </c>
      <c r="DE184" s="8">
        <f t="shared" ca="1" si="497"/>
        <v>284</v>
      </c>
      <c r="DF184" s="5" t="str">
        <f t="shared" ca="1" si="498"/>
        <v>VIGENTE</v>
      </c>
      <c r="DG184" s="3"/>
      <c r="DH184" s="4">
        <v>46073</v>
      </c>
      <c r="DI184" s="4">
        <f t="shared" ref="DI184:DI186" si="654">DATE(YEAR(DH184)+2,MONTH(DH184),DAY(DH184))</f>
        <v>46803</v>
      </c>
      <c r="DJ184" s="8">
        <f t="shared" ca="1" si="499"/>
        <v>669</v>
      </c>
      <c r="DK184" s="5" t="str">
        <f t="shared" ca="1" si="500"/>
        <v>VIGENTE</v>
      </c>
      <c r="DL184" s="3"/>
      <c r="DM184" s="4">
        <v>45731</v>
      </c>
      <c r="DN184" s="4">
        <f t="shared" ref="DN184:DN187" si="655">DATE(YEAR(DM184)+2,MONTH(DM184),DAY(DM184)-1)</f>
        <v>46460</v>
      </c>
      <c r="DO184" s="8">
        <f t="shared" ca="1" si="501"/>
        <v>326</v>
      </c>
      <c r="DP184" s="5" t="str">
        <f t="shared" ca="1" si="502"/>
        <v>VIGENTE</v>
      </c>
      <c r="DQ184" s="3"/>
      <c r="DR184" s="4">
        <v>46072</v>
      </c>
      <c r="DS184" s="4">
        <f>DATE(YEAR(DR184)+2,MONTH(DR184),DAY(DR184))</f>
        <v>46802</v>
      </c>
      <c r="DT184" s="8">
        <f t="shared" ca="1" si="503"/>
        <v>668</v>
      </c>
      <c r="DU184" s="5" t="str">
        <f t="shared" ca="1" si="504"/>
        <v>VIGENTE</v>
      </c>
      <c r="DV184" s="3"/>
      <c r="DW184" s="4">
        <v>45709</v>
      </c>
      <c r="DX184" s="4">
        <f t="shared" ref="DX184:DX190" si="656">DATE(YEAR(DW184)+2,MONTH(DW184),DAY(DW184)-1)</f>
        <v>46438</v>
      </c>
      <c r="DY184" s="8">
        <f t="shared" ca="1" si="505"/>
        <v>304</v>
      </c>
      <c r="DZ184" s="5" t="str">
        <f t="shared" ca="1" si="506"/>
        <v>VIGENTE</v>
      </c>
      <c r="EA184" s="3"/>
      <c r="EB184" s="4">
        <v>46104</v>
      </c>
      <c r="EC184" s="4">
        <f t="shared" ref="EC184:EC189" si="657">DATE(YEAR(EB184)+2,MONTH(EB184),DAY(EB184))</f>
        <v>46835</v>
      </c>
      <c r="ED184" s="8">
        <f t="shared" ca="1" si="507"/>
        <v>701</v>
      </c>
      <c r="EE184" s="5" t="str">
        <f t="shared" ca="1" si="508"/>
        <v>VIGENTE</v>
      </c>
      <c r="EF184" s="3"/>
      <c r="EG184" s="4">
        <v>45948</v>
      </c>
      <c r="EH184" s="4">
        <f t="shared" si="575"/>
        <v>46313</v>
      </c>
      <c r="EI184" s="8">
        <f t="shared" ca="1" si="509"/>
        <v>179</v>
      </c>
      <c r="EJ184" s="5" t="str">
        <f t="shared" ca="1" si="510"/>
        <v>VIGENTE</v>
      </c>
      <c r="EK184" s="3"/>
      <c r="EL184" s="4">
        <v>45465</v>
      </c>
      <c r="EM184" s="4">
        <f t="shared" ref="EM184:EM190" si="658">DATE(YEAR(EL184)+2,MONTH(EL184),DAY(EL184)-1)</f>
        <v>46194</v>
      </c>
      <c r="EN184" s="8">
        <f t="shared" ca="1" si="511"/>
        <v>60</v>
      </c>
      <c r="EO184" s="5" t="str">
        <f t="shared" ca="1" si="512"/>
        <v>POR VENCER</v>
      </c>
      <c r="EP184" s="3"/>
      <c r="EQ184" s="4">
        <v>46094</v>
      </c>
      <c r="ER184" s="4">
        <f t="shared" ref="ER184:ER186" si="659">DATE(YEAR(EQ184)+2,MONTH(EQ184),DAY(EQ184))</f>
        <v>46825</v>
      </c>
      <c r="ES184" s="8">
        <f t="shared" ca="1" si="513"/>
        <v>691</v>
      </c>
      <c r="ET184" s="5" t="str">
        <f t="shared" ca="1" si="514"/>
        <v>VIGENTE</v>
      </c>
      <c r="EU184" s="3"/>
      <c r="EV184" s="4">
        <v>46070</v>
      </c>
      <c r="EW184" s="4">
        <f t="shared" si="629"/>
        <v>46800</v>
      </c>
      <c r="EX184" s="8">
        <f t="shared" ca="1" si="515"/>
        <v>666</v>
      </c>
      <c r="EY184" s="5" t="str">
        <f t="shared" ca="1" si="516"/>
        <v>VIGENTE</v>
      </c>
      <c r="EZ184" s="3"/>
      <c r="FA184" s="4">
        <v>46091</v>
      </c>
      <c r="FB184" s="4">
        <f t="shared" ref="FB184:FB186" si="660">DATE(YEAR(FA184)+2,MONTH(FA184),DAY(FA184))</f>
        <v>46822</v>
      </c>
      <c r="FC184" s="8">
        <f t="shared" ca="1" si="517"/>
        <v>688</v>
      </c>
      <c r="FD184" s="5" t="str">
        <f t="shared" ca="1" si="518"/>
        <v>VIGENTE</v>
      </c>
      <c r="FE184" s="3"/>
      <c r="FF184" s="4">
        <v>45506</v>
      </c>
      <c r="FG184" s="4">
        <f t="shared" ref="FG184:FG187" si="661">DATE(YEAR(FF184)+2,MONTH(FF184),DAY(FF184)-1)</f>
        <v>46235</v>
      </c>
      <c r="FH184" s="8">
        <f t="shared" ca="1" si="519"/>
        <v>101</v>
      </c>
      <c r="FI184" s="5" t="str">
        <f t="shared" ca="1" si="520"/>
        <v>VIGENTE</v>
      </c>
      <c r="FJ184" s="3"/>
      <c r="FK184" s="4">
        <v>46049</v>
      </c>
      <c r="FL184" s="4">
        <f t="shared" ref="FL184:FL186" si="662">DATE(YEAR(FK184)+2,MONTH(FK184),DAY(FK184))</f>
        <v>46779</v>
      </c>
      <c r="FM184" s="8">
        <f t="shared" ca="1" si="521"/>
        <v>645</v>
      </c>
      <c r="FN184" s="5" t="str">
        <f t="shared" ca="1" si="522"/>
        <v>VIGENTE</v>
      </c>
      <c r="FO184" s="3"/>
      <c r="FP184" s="4">
        <v>45471</v>
      </c>
      <c r="FQ184" s="4">
        <f t="shared" ref="FQ184:FQ190" si="663">DATE(YEAR(FP184)+2,MONTH(FP184),DAY(FP184)-1)</f>
        <v>46200</v>
      </c>
      <c r="FR184" s="8">
        <f t="shared" ca="1" si="523"/>
        <v>66</v>
      </c>
      <c r="FS184" s="5" t="str">
        <f t="shared" ca="1" si="524"/>
        <v>POR VENCER</v>
      </c>
      <c r="FT184" s="3"/>
      <c r="FU184" s="4">
        <v>45581</v>
      </c>
      <c r="FV184" s="4">
        <f t="shared" ref="FV184:FV188" si="664">DATE(YEAR(FU184)+2,MONTH(FU184),DAY(FU184)-1)</f>
        <v>46310</v>
      </c>
      <c r="FW184" s="8">
        <f t="shared" ca="1" si="525"/>
        <v>176</v>
      </c>
      <c r="FX184" s="5" t="str">
        <f t="shared" ca="1" si="526"/>
        <v>VIGENTE</v>
      </c>
      <c r="FY184" s="3"/>
      <c r="FZ184" s="4">
        <v>45507</v>
      </c>
      <c r="GA184" s="4">
        <f t="shared" ref="GA184:GA190" si="665">DATE(YEAR(FZ184)+2,MONTH(FZ184),DAY(FZ184)-1)</f>
        <v>46236</v>
      </c>
      <c r="GB184" s="8">
        <f t="shared" ca="1" si="527"/>
        <v>102</v>
      </c>
      <c r="GC184" s="5" t="str">
        <f t="shared" ca="1" si="528"/>
        <v>VIGENTE</v>
      </c>
      <c r="GD184" s="3"/>
      <c r="GE184" s="4">
        <v>45472</v>
      </c>
      <c r="GF184" s="4">
        <f t="shared" ref="GF184:GF187" si="666">DATE(YEAR(GE184)+2,MONTH(GE184),DAY(GE184)-1)</f>
        <v>46201</v>
      </c>
      <c r="GG184" s="8">
        <f t="shared" ca="1" si="529"/>
        <v>67</v>
      </c>
      <c r="GH184" s="5" t="str">
        <f t="shared" ca="1" si="530"/>
        <v>POR VENCER</v>
      </c>
      <c r="GI184" s="3"/>
      <c r="GJ184" s="4">
        <v>45687</v>
      </c>
      <c r="GK184" s="4">
        <f t="shared" ref="GK184:GK189" si="667">DATE(YEAR(GJ184)+2,MONTH(GJ184),DAY(GJ184)-1)</f>
        <v>46416</v>
      </c>
      <c r="GL184" s="8">
        <f t="shared" ca="1" si="531"/>
        <v>282</v>
      </c>
      <c r="GM184" s="5" t="str">
        <f t="shared" ca="1" si="532"/>
        <v>VIGENTE</v>
      </c>
      <c r="GN184" s="4"/>
      <c r="GO184" s="4">
        <v>45421</v>
      </c>
      <c r="GP184" s="4">
        <f t="shared" si="533"/>
        <v>47247</v>
      </c>
      <c r="GQ184" s="8">
        <f t="shared" ca="1" si="620"/>
        <v>1113</v>
      </c>
      <c r="GR184" s="5" t="str">
        <f t="shared" ca="1" si="630"/>
        <v>VIGENTE</v>
      </c>
      <c r="GS184" s="3"/>
      <c r="GT184" s="4">
        <v>45432</v>
      </c>
      <c r="GU184" s="4">
        <f t="shared" si="534"/>
        <v>47258</v>
      </c>
      <c r="GV184" s="8">
        <f t="shared" ca="1" si="535"/>
        <v>1124</v>
      </c>
      <c r="GW184" s="5" t="str">
        <f t="shared" ca="1" si="631"/>
        <v>VIGENTE</v>
      </c>
      <c r="GX184" s="2"/>
      <c r="GY184" s="4">
        <v>45016</v>
      </c>
      <c r="GZ184" s="4">
        <f t="shared" si="536"/>
        <v>46843</v>
      </c>
      <c r="HA184" s="8">
        <f t="shared" ca="1" si="537"/>
        <v>709</v>
      </c>
      <c r="HB184" s="5" t="str">
        <f t="shared" ca="1" si="632"/>
        <v>VIGENTE</v>
      </c>
      <c r="HC184" s="6"/>
      <c r="HD184" s="4">
        <v>44956</v>
      </c>
      <c r="HE184" s="4">
        <f t="shared" ref="HE184:HE189" si="668">DATE(YEAR(HD184)+5,MONTH(HD184),DAY(HD184))</f>
        <v>46782</v>
      </c>
      <c r="HF184" s="8">
        <f t="shared" ca="1" si="636"/>
        <v>648</v>
      </c>
      <c r="HG184" s="5" t="str">
        <f t="shared" ca="1" si="633"/>
        <v>VIGENTE</v>
      </c>
      <c r="HH184" s="2"/>
      <c r="HI184" s="6"/>
      <c r="HJ184" s="4"/>
      <c r="HK184" s="8"/>
      <c r="HL184" s="5" t="str">
        <f t="shared" si="457"/>
        <v>NO APLICA</v>
      </c>
      <c r="HM184" s="2"/>
      <c r="HN184" s="2"/>
      <c r="HO184" s="4"/>
      <c r="HP184" s="2"/>
      <c r="HQ184" s="5" t="str">
        <f t="shared" si="538"/>
        <v>NO APLICA</v>
      </c>
      <c r="HR184" s="3"/>
      <c r="HS184" s="4">
        <v>45420</v>
      </c>
      <c r="HT184" s="4">
        <f>DATE(YEAR(HS184)+5,MONTH(HS184),DAY(HS184))</f>
        <v>47246</v>
      </c>
      <c r="HU184" s="8">
        <f ca="1">HT184-TODAY()</f>
        <v>1112</v>
      </c>
      <c r="HV184" s="5" t="str">
        <f t="shared" ca="1" si="539"/>
        <v>VIGENTE</v>
      </c>
      <c r="HW184" s="3"/>
      <c r="HX184" s="4">
        <v>45447</v>
      </c>
      <c r="HY184" s="4">
        <f>DATE(YEAR(HX184)+5,MONTH(HX184),DAY(HX184))</f>
        <v>47273</v>
      </c>
      <c r="HZ184" s="8">
        <f ca="1">HY184-TODAY()</f>
        <v>1139</v>
      </c>
      <c r="IA184" s="5" t="str">
        <f t="shared" ca="1" si="540"/>
        <v>VIGENTE</v>
      </c>
      <c r="IB184" s="3"/>
      <c r="IC184" s="4">
        <v>45444</v>
      </c>
      <c r="ID184" s="4">
        <f>DATE(YEAR(IC184)+5,MONTH(IC184),DAY(IC184))</f>
        <v>47270</v>
      </c>
      <c r="IE184" s="8">
        <f ca="1">ID184-TODAY()</f>
        <v>1136</v>
      </c>
      <c r="IF184" s="5" t="str">
        <f t="shared" ca="1" si="541"/>
        <v>VIGENTE</v>
      </c>
      <c r="IG184" s="4"/>
      <c r="IH184" s="4">
        <v>45449</v>
      </c>
      <c r="II184" s="4">
        <f>DATE(YEAR(IH184)+5,MONTH(IH184),DAY(IH184))</f>
        <v>47275</v>
      </c>
      <c r="IJ184" s="8">
        <f ca="1">II184-TODAY()</f>
        <v>1141</v>
      </c>
      <c r="IK184" s="5" t="str">
        <f t="shared" ca="1" si="542"/>
        <v>VIGENTE</v>
      </c>
      <c r="IL184" s="2"/>
      <c r="IM184" s="4">
        <v>45064</v>
      </c>
      <c r="IN184" s="4">
        <f>DATE(YEAR(IM184)+5,MONTH(IM184),DAY(IM184))</f>
        <v>46891</v>
      </c>
      <c r="IO184" s="8">
        <f ca="1">IN184-TODAY()</f>
        <v>757</v>
      </c>
      <c r="IP184" s="5" t="str">
        <f t="shared" ca="1" si="543"/>
        <v>VIGENTE</v>
      </c>
      <c r="IQ184" s="3"/>
      <c r="IR184" s="4">
        <v>45423</v>
      </c>
      <c r="IS184" s="4">
        <f t="shared" ref="IS184:IS188" si="669">DATE(YEAR(IR184)+5,MONTH(IR184),DAY(IR184))</f>
        <v>47249</v>
      </c>
      <c r="IT184" s="8">
        <f t="shared" ca="1" si="637"/>
        <v>1115</v>
      </c>
      <c r="IU184" s="5" t="str">
        <f t="shared" ca="1" si="544"/>
        <v>VIGENTE</v>
      </c>
      <c r="IV184" s="2"/>
      <c r="IW184" s="4">
        <v>44973</v>
      </c>
      <c r="IX184" s="4">
        <f t="shared" ref="IX184:IX188" si="670">DATE(YEAR(IW184)+5,MONTH(IW184),DAY(IW184))</f>
        <v>46799</v>
      </c>
      <c r="IY184" s="8">
        <f t="shared" ca="1" si="638"/>
        <v>665</v>
      </c>
      <c r="IZ184" s="5" t="str">
        <f t="shared" ca="1" si="545"/>
        <v>VIGENTE</v>
      </c>
      <c r="JA184" s="3"/>
      <c r="JB184" s="3"/>
      <c r="JC184" s="4"/>
      <c r="JD184" s="8"/>
      <c r="JE184" s="5" t="str">
        <f t="shared" si="546"/>
        <v>NO APLICA</v>
      </c>
      <c r="JF184" s="6"/>
      <c r="JG184" s="6"/>
      <c r="JH184" s="6"/>
      <c r="JI184" s="6"/>
      <c r="JJ184" s="5" t="str">
        <f t="shared" si="547"/>
        <v>NO APLICA</v>
      </c>
      <c r="JK184" s="6"/>
      <c r="JL184" s="6"/>
      <c r="JM184" s="6"/>
      <c r="JN184" s="6"/>
      <c r="JO184" s="5" t="str">
        <f t="shared" si="548"/>
        <v>NO APLICA</v>
      </c>
      <c r="JP184" s="6"/>
      <c r="JQ184" s="6"/>
      <c r="JR184" s="6"/>
      <c r="JS184" s="6"/>
      <c r="JT184" s="5" t="str">
        <f t="shared" si="549"/>
        <v>NO APLICA</v>
      </c>
      <c r="JU184" s="5"/>
      <c r="JV184" s="5"/>
      <c r="JW184" s="5"/>
      <c r="JX184" s="5"/>
      <c r="JY184" s="5" t="str">
        <f t="shared" si="550"/>
        <v>NO APLICA</v>
      </c>
      <c r="JZ184" s="5"/>
      <c r="KA184" s="2"/>
      <c r="KB184" s="4"/>
      <c r="KC184" s="8"/>
      <c r="KD184" s="5" t="str">
        <f t="shared" si="551"/>
        <v>NO APLICA</v>
      </c>
      <c r="KE184" s="5"/>
      <c r="KF184" s="2"/>
      <c r="KG184" s="4"/>
      <c r="KH184" s="8"/>
      <c r="KI184" s="5" t="str">
        <f t="shared" si="576"/>
        <v>NO APLICA</v>
      </c>
      <c r="KJ184" s="5"/>
      <c r="KK184" s="2"/>
      <c r="KL184" s="4"/>
      <c r="KM184" s="8"/>
      <c r="KN184" s="5" t="str">
        <f t="shared" si="552"/>
        <v>NO APLICA</v>
      </c>
      <c r="KO184" s="5"/>
      <c r="KP184" s="2"/>
      <c r="KQ184" s="4"/>
      <c r="KR184" s="8"/>
      <c r="KS184" s="5" t="str">
        <f t="shared" si="577"/>
        <v>NO APLICA</v>
      </c>
      <c r="KT184" s="2"/>
      <c r="KU184" s="6"/>
      <c r="KV184" s="4"/>
      <c r="KW184" s="8"/>
      <c r="KX184" s="5" t="str">
        <f t="shared" si="583"/>
        <v>NO APLICA</v>
      </c>
      <c r="KY184" s="5"/>
      <c r="KZ184" s="6"/>
      <c r="LA184" s="4"/>
      <c r="LB184" s="8"/>
      <c r="LC184" s="5" t="str">
        <f t="shared" si="578"/>
        <v>NO APLICA</v>
      </c>
      <c r="LD184" s="6"/>
      <c r="LE184" s="6"/>
      <c r="LF184" s="4"/>
      <c r="LG184" s="8"/>
      <c r="LH184" s="5" t="str">
        <f t="shared" si="619"/>
        <v>NO APLICA</v>
      </c>
      <c r="LI184" s="5"/>
      <c r="LJ184" s="5"/>
      <c r="LK184" s="5"/>
      <c r="LL184" s="5"/>
      <c r="LM184" s="5" t="str">
        <f t="shared" si="584"/>
        <v>NO APLICA</v>
      </c>
      <c r="LN184" s="2"/>
      <c r="LO184" s="6"/>
      <c r="LP184" s="4"/>
      <c r="LQ184" s="8"/>
      <c r="LR184" s="5" t="str">
        <f t="shared" si="579"/>
        <v>NO APLICA</v>
      </c>
      <c r="LS184" s="6"/>
      <c r="LT184" s="6"/>
      <c r="LU184" s="4"/>
      <c r="LV184" s="8"/>
      <c r="LW184" s="5" t="str">
        <f t="shared" si="580"/>
        <v>NO APLICA</v>
      </c>
      <c r="LX184" s="6"/>
      <c r="LY184" s="6"/>
      <c r="LZ184" s="4"/>
      <c r="MA184" s="8"/>
      <c r="MB184" s="5" t="str">
        <f t="shared" si="581"/>
        <v>NO APLICA</v>
      </c>
      <c r="MC184" s="2"/>
      <c r="MD184" s="2"/>
      <c r="ME184" s="4"/>
      <c r="MF184" s="2"/>
      <c r="MG184" s="5" t="str">
        <f t="shared" si="554"/>
        <v>NO APLICA</v>
      </c>
      <c r="MH184" s="2"/>
      <c r="MI184" s="2"/>
      <c r="MJ184" s="4"/>
      <c r="MK184" s="8"/>
      <c r="ML184" s="5" t="str">
        <f t="shared" si="555"/>
        <v>NO APLICA</v>
      </c>
      <c r="MM184" s="5"/>
      <c r="MN184" s="2"/>
      <c r="MO184" s="4"/>
      <c r="MP184" s="8"/>
      <c r="MQ184" s="5" t="str">
        <f t="shared" si="556"/>
        <v>NO APLICA</v>
      </c>
      <c r="MR184" s="5"/>
      <c r="MS184" s="2"/>
      <c r="MT184" s="4"/>
      <c r="MU184" s="2"/>
      <c r="MV184" s="5" t="str">
        <f t="shared" si="557"/>
        <v>NO APLICA</v>
      </c>
      <c r="MW184" s="2"/>
      <c r="MX184" s="6"/>
      <c r="MY184" s="4"/>
      <c r="MZ184" s="8"/>
      <c r="NA184" s="5" t="str">
        <f t="shared" si="558"/>
        <v>NO APLICA</v>
      </c>
      <c r="NB184" s="2"/>
      <c r="NC184" s="6"/>
      <c r="ND184" s="4"/>
      <c r="NE184" s="8"/>
      <c r="NF184" s="5" t="str">
        <f t="shared" si="559"/>
        <v>NO APLICA</v>
      </c>
      <c r="NG184" s="2"/>
      <c r="NH184" s="6"/>
      <c r="NI184" s="4"/>
      <c r="NJ184" s="8"/>
      <c r="NK184" s="5" t="str">
        <f t="shared" si="560"/>
        <v>NO APLICA</v>
      </c>
      <c r="NL184" s="2"/>
      <c r="NM184" s="2"/>
      <c r="NN184" s="4"/>
      <c r="NO184" s="2"/>
      <c r="NP184" s="5" t="str">
        <f t="shared" si="561"/>
        <v>NO APLICA</v>
      </c>
      <c r="NQ184" s="2"/>
      <c r="NR184" s="2"/>
      <c r="NS184" s="4"/>
      <c r="NT184" s="2"/>
      <c r="NU184" s="5" t="str">
        <f t="shared" si="562"/>
        <v>NO APLICA</v>
      </c>
      <c r="NV184" s="6"/>
      <c r="NW184" s="6"/>
      <c r="NX184" s="4"/>
      <c r="NY184" s="8"/>
      <c r="NZ184" s="5" t="str">
        <f t="shared" si="563"/>
        <v>NO APLICA</v>
      </c>
      <c r="OA184" s="6"/>
      <c r="OB184" s="6"/>
      <c r="OC184" s="6"/>
      <c r="OD184" s="6"/>
      <c r="OE184" s="5" t="str">
        <f t="shared" si="564"/>
        <v>NO APLICA</v>
      </c>
      <c r="OF184" s="6"/>
      <c r="OG184" s="6"/>
      <c r="OH184" s="4"/>
      <c r="OI184" s="8"/>
      <c r="OJ184" s="5" t="str">
        <f t="shared" si="565"/>
        <v>NO APLICA</v>
      </c>
      <c r="OK184" s="6"/>
      <c r="OL184" s="6"/>
      <c r="OM184" s="6"/>
      <c r="ON184" s="6"/>
      <c r="OO184" s="5" t="str">
        <f t="shared" si="566"/>
        <v>NO APLICA</v>
      </c>
      <c r="OP184" s="6"/>
      <c r="OQ184" s="6"/>
      <c r="OR184" s="6"/>
      <c r="OS184" s="6"/>
      <c r="OT184" s="5" t="str">
        <f t="shared" si="567"/>
        <v>NO APLICA</v>
      </c>
      <c r="OU184" s="6"/>
      <c r="OV184" s="6"/>
      <c r="OW184" s="6"/>
      <c r="OX184" s="6"/>
      <c r="OY184" s="5" t="str">
        <f t="shared" si="568"/>
        <v>NO APLICA</v>
      </c>
      <c r="OZ184" s="6"/>
      <c r="PA184" s="6"/>
      <c r="PB184" s="6"/>
      <c r="PC184" s="6"/>
      <c r="PD184" s="5" t="str">
        <f t="shared" si="569"/>
        <v>NO APLICA</v>
      </c>
      <c r="PE184" s="6"/>
      <c r="PF184" s="6"/>
      <c r="PG184" s="6"/>
      <c r="PH184" s="6"/>
      <c r="PI184" s="5" t="str">
        <f t="shared" si="570"/>
        <v>NO APLICA</v>
      </c>
      <c r="PJ184" s="5"/>
      <c r="PK184" s="6"/>
      <c r="PL184" s="4"/>
      <c r="PM184" s="8"/>
      <c r="PN184" s="5" t="str">
        <f t="shared" si="571"/>
        <v>NO APLICA</v>
      </c>
      <c r="PO184" s="6"/>
      <c r="PP184" s="6"/>
      <c r="PQ184" s="6"/>
      <c r="PR184" s="6"/>
      <c r="PS184" s="5" t="str">
        <f t="shared" si="572"/>
        <v>NO APLICA</v>
      </c>
      <c r="PT184" s="5"/>
      <c r="PU184" s="6"/>
      <c r="PV184" s="6"/>
      <c r="PW184" s="6"/>
      <c r="PX184" s="5" t="str">
        <f t="shared" si="573"/>
        <v>NO APLICA</v>
      </c>
    </row>
    <row r="185" spans="1:440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589</v>
      </c>
      <c r="V185" s="4">
        <v>44590</v>
      </c>
      <c r="W185" s="4">
        <f t="shared" si="606"/>
        <v>46416</v>
      </c>
      <c r="X185" s="8">
        <f t="shared" ca="1" si="607"/>
        <v>282</v>
      </c>
      <c r="Y185" s="5" t="str">
        <f t="shared" ca="1" si="624"/>
        <v>VIGENTE</v>
      </c>
      <c r="Z185" s="2" t="s">
        <v>590</v>
      </c>
      <c r="AA185" s="4">
        <v>44824</v>
      </c>
      <c r="AB185" s="4">
        <f t="shared" si="639"/>
        <v>46650</v>
      </c>
      <c r="AC185" s="8">
        <f t="shared" ca="1" si="634"/>
        <v>516</v>
      </c>
      <c r="AD185" s="5" t="str">
        <f t="shared" ca="1" si="627"/>
        <v>VIGENTE</v>
      </c>
      <c r="AE185" s="3"/>
      <c r="AF185" s="4">
        <v>46002</v>
      </c>
      <c r="AG185" s="4">
        <f t="shared" ref="AG185:AG186" si="671">DATE(YEAR(AF185)+2,MONTH(AF185),DAY(AF185))</f>
        <v>46732</v>
      </c>
      <c r="AH185" s="8">
        <f t="shared" ca="1" si="470"/>
        <v>598</v>
      </c>
      <c r="AI185" s="5" t="str">
        <f t="shared" ca="1" si="621"/>
        <v>VIGENTE</v>
      </c>
      <c r="AJ185" s="3"/>
      <c r="AK185" s="4">
        <v>45959</v>
      </c>
      <c r="AL185" s="4">
        <f t="shared" si="641"/>
        <v>46689</v>
      </c>
      <c r="AM185" s="8">
        <f t="shared" ca="1" si="471"/>
        <v>555</v>
      </c>
      <c r="AN185" s="5" t="str">
        <f t="shared" ca="1" si="472"/>
        <v>VIGENTE</v>
      </c>
      <c r="AO185" s="3"/>
      <c r="AP185" s="4">
        <v>45967</v>
      </c>
      <c r="AQ185" s="4">
        <f t="shared" ref="AQ185:AQ186" si="672">DATE(YEAR(AP185)+2,MONTH(AP185),DAY(AP185))</f>
        <v>46697</v>
      </c>
      <c r="AR185" s="8">
        <f t="shared" ca="1" si="473"/>
        <v>563</v>
      </c>
      <c r="AS185" s="5" t="str">
        <f t="shared" ca="1" si="474"/>
        <v>VIGENTE</v>
      </c>
      <c r="AT185" s="3"/>
      <c r="AU185" s="4">
        <v>45972</v>
      </c>
      <c r="AV185" s="4">
        <f>DATE(YEAR(AU185)+2,MONTH(AU185),DAY(AU185))</f>
        <v>46702</v>
      </c>
      <c r="AW185" s="8">
        <f t="shared" ca="1" si="475"/>
        <v>568</v>
      </c>
      <c r="AX185" s="5" t="str">
        <f t="shared" ca="1" si="476"/>
        <v>VIGENTE</v>
      </c>
      <c r="AY185" s="3"/>
      <c r="AZ185" s="4">
        <v>45930</v>
      </c>
      <c r="BA185" s="4">
        <f t="shared" ref="BA185:BA186" si="673">DATE(YEAR(AZ185)+2,MONTH(AZ185),DAY(AZ185))</f>
        <v>46660</v>
      </c>
      <c r="BB185" s="8">
        <f t="shared" ca="1" si="477"/>
        <v>526</v>
      </c>
      <c r="BC185" s="5" t="str">
        <f t="shared" ca="1" si="478"/>
        <v>VIGENTE</v>
      </c>
      <c r="BD185" s="3"/>
      <c r="BE185" s="4">
        <v>45987</v>
      </c>
      <c r="BF185" s="4">
        <f t="shared" si="635"/>
        <v>46717</v>
      </c>
      <c r="BG185" s="8">
        <f t="shared" ca="1" si="479"/>
        <v>583</v>
      </c>
      <c r="BH185" s="5" t="str">
        <f t="shared" ca="1" si="480"/>
        <v>VIGENTE</v>
      </c>
      <c r="BI185" s="3"/>
      <c r="BJ185" s="4">
        <v>46051</v>
      </c>
      <c r="BK185" s="4">
        <f t="shared" si="645"/>
        <v>46781</v>
      </c>
      <c r="BL185" s="8">
        <f t="shared" ca="1" si="481"/>
        <v>647</v>
      </c>
      <c r="BM185" s="5" t="str">
        <f t="shared" ca="1" si="482"/>
        <v>VIGENTE</v>
      </c>
      <c r="BN185" s="3"/>
      <c r="BO185" s="4">
        <v>45841</v>
      </c>
      <c r="BP185" s="4">
        <f>DATE(YEAR(BO185)+2,MONTH(BO185),DAY(BO185))</f>
        <v>46571</v>
      </c>
      <c r="BQ185" s="8">
        <f t="shared" ca="1" si="483"/>
        <v>437</v>
      </c>
      <c r="BR185" s="5" t="str">
        <f t="shared" ca="1" si="484"/>
        <v>VIGENTE</v>
      </c>
      <c r="BS185" s="3"/>
      <c r="BT185" s="4">
        <v>45950</v>
      </c>
      <c r="BU185" s="4">
        <f t="shared" ref="BU185:BU186" si="674">DATE(YEAR(BT185)+2,MONTH(BT185),DAY(BT185))</f>
        <v>46680</v>
      </c>
      <c r="BV185" s="8">
        <f t="shared" ca="1" si="485"/>
        <v>546</v>
      </c>
      <c r="BW185" s="5" t="str">
        <f t="shared" ca="1" si="486"/>
        <v>VIGENTE</v>
      </c>
      <c r="BX185" s="3"/>
      <c r="BY185" s="4">
        <v>45954</v>
      </c>
      <c r="BZ185" s="4">
        <f t="shared" ref="BZ185:BZ186" si="675">DATE(YEAR(BY185)+2,MONTH(BY185),DAY(BY185))</f>
        <v>46684</v>
      </c>
      <c r="CA185" s="8">
        <f t="shared" ca="1" si="487"/>
        <v>550</v>
      </c>
      <c r="CB185" s="5" t="str">
        <f t="shared" ca="1" si="488"/>
        <v>VIGENTE</v>
      </c>
      <c r="CC185" s="6" t="s">
        <v>73</v>
      </c>
      <c r="CD185" s="4">
        <v>45247</v>
      </c>
      <c r="CE185" s="4">
        <f t="shared" si="609"/>
        <v>46708</v>
      </c>
      <c r="CF185" s="8">
        <f t="shared" ca="1" si="610"/>
        <v>574</v>
      </c>
      <c r="CG185" s="5" t="str">
        <f t="shared" ca="1" si="591"/>
        <v>VIGENTE</v>
      </c>
      <c r="CH185" s="4"/>
      <c r="CI185" s="4">
        <v>45688</v>
      </c>
      <c r="CJ185" s="4">
        <f t="shared" si="649"/>
        <v>46417</v>
      </c>
      <c r="CK185" s="8">
        <f t="shared" ca="1" si="489"/>
        <v>283</v>
      </c>
      <c r="CL185" s="5" t="str">
        <f t="shared" ca="1" si="490"/>
        <v>VIGENTE</v>
      </c>
      <c r="CM185" s="3"/>
      <c r="CN185" s="4">
        <v>45979</v>
      </c>
      <c r="CO185" s="4">
        <f t="shared" ref="CO185:CO186" si="676">DATE(YEAR(CN185)+2,MONTH(CN185),DAY(CN185))</f>
        <v>46709</v>
      </c>
      <c r="CP185" s="8">
        <f t="shared" ca="1" si="491"/>
        <v>575</v>
      </c>
      <c r="CQ185" s="5" t="str">
        <f t="shared" ca="1" si="492"/>
        <v>VIGENTE</v>
      </c>
      <c r="CR185" s="3"/>
      <c r="CS185" s="4">
        <v>45639</v>
      </c>
      <c r="CT185" s="4">
        <f t="shared" si="651"/>
        <v>46368</v>
      </c>
      <c r="CU185" s="8">
        <f t="shared" ca="1" si="493"/>
        <v>234</v>
      </c>
      <c r="CV185" s="5" t="str">
        <f t="shared" ca="1" si="494"/>
        <v>VIGENTE</v>
      </c>
      <c r="CW185" s="3"/>
      <c r="CX185" s="4">
        <v>45665</v>
      </c>
      <c r="CY185" s="4">
        <f t="shared" si="652"/>
        <v>46394</v>
      </c>
      <c r="CZ185" s="8">
        <f t="shared" ca="1" si="495"/>
        <v>260</v>
      </c>
      <c r="DA185" s="5" t="str">
        <f t="shared" ca="1" si="496"/>
        <v>VIGENTE</v>
      </c>
      <c r="DB185" s="3"/>
      <c r="DC185" s="4">
        <v>45689</v>
      </c>
      <c r="DD185" s="4">
        <f t="shared" si="653"/>
        <v>46418</v>
      </c>
      <c r="DE185" s="8">
        <f t="shared" ca="1" si="497"/>
        <v>284</v>
      </c>
      <c r="DF185" s="5" t="str">
        <f t="shared" ca="1" si="498"/>
        <v>VIGENTE</v>
      </c>
      <c r="DG185" s="3"/>
      <c r="DH185" s="4">
        <v>45955</v>
      </c>
      <c r="DI185" s="4">
        <f t="shared" si="654"/>
        <v>46685</v>
      </c>
      <c r="DJ185" s="8">
        <f t="shared" ca="1" si="499"/>
        <v>551</v>
      </c>
      <c r="DK185" s="5" t="str">
        <f t="shared" ca="1" si="500"/>
        <v>VIGENTE</v>
      </c>
      <c r="DL185" s="3"/>
      <c r="DM185" s="4">
        <v>45473</v>
      </c>
      <c r="DN185" s="4">
        <f t="shared" si="655"/>
        <v>46202</v>
      </c>
      <c r="DO185" s="8">
        <f t="shared" ca="1" si="501"/>
        <v>68</v>
      </c>
      <c r="DP185" s="5" t="str">
        <f t="shared" ca="1" si="502"/>
        <v>POR VENCER</v>
      </c>
      <c r="DQ185" s="3"/>
      <c r="DR185" s="4">
        <v>46018</v>
      </c>
      <c r="DS185" s="4">
        <f>DATE(YEAR(DR185)+2,MONTH(DR185),DAY(DR185))</f>
        <v>46748</v>
      </c>
      <c r="DT185" s="8">
        <f t="shared" ca="1" si="503"/>
        <v>614</v>
      </c>
      <c r="DU185" s="5" t="str">
        <f t="shared" ca="1" si="504"/>
        <v>VIGENTE</v>
      </c>
      <c r="DV185" s="3"/>
      <c r="DW185" s="4">
        <v>46020</v>
      </c>
      <c r="DX185" s="4">
        <f t="shared" ref="DX185:DX186" si="677">DATE(YEAR(DW185)+2,MONTH(DW185),DAY(DW185))</f>
        <v>46750</v>
      </c>
      <c r="DY185" s="8">
        <f t="shared" ca="1" si="505"/>
        <v>616</v>
      </c>
      <c r="DZ185" s="5" t="str">
        <f t="shared" ca="1" si="506"/>
        <v>VIGENTE</v>
      </c>
      <c r="EA185" s="3"/>
      <c r="EB185" s="4">
        <v>45938</v>
      </c>
      <c r="EC185" s="4">
        <f t="shared" si="657"/>
        <v>46668</v>
      </c>
      <c r="ED185" s="8">
        <f t="shared" ca="1" si="507"/>
        <v>534</v>
      </c>
      <c r="EE185" s="5" t="str">
        <f t="shared" ca="1" si="508"/>
        <v>VIGENTE</v>
      </c>
      <c r="EF185" s="3"/>
      <c r="EG185" s="4">
        <v>45948</v>
      </c>
      <c r="EH185" s="4">
        <f t="shared" si="575"/>
        <v>46313</v>
      </c>
      <c r="EI185" s="8">
        <f t="shared" ca="1" si="509"/>
        <v>179</v>
      </c>
      <c r="EJ185" s="5" t="str">
        <f t="shared" ca="1" si="510"/>
        <v>VIGENTE</v>
      </c>
      <c r="EK185" s="3"/>
      <c r="EL185" s="4">
        <v>45940</v>
      </c>
      <c r="EM185" s="4">
        <f t="shared" ref="EM185:EM186" si="678">DATE(YEAR(EL185)+2,MONTH(EL185),DAY(EL185))</f>
        <v>46670</v>
      </c>
      <c r="EN185" s="8">
        <f t="shared" ca="1" si="511"/>
        <v>536</v>
      </c>
      <c r="EO185" s="5" t="str">
        <f t="shared" ca="1" si="512"/>
        <v>VIGENTE</v>
      </c>
      <c r="EP185" s="3"/>
      <c r="EQ185" s="4">
        <v>45824</v>
      </c>
      <c r="ER185" s="4">
        <f t="shared" si="659"/>
        <v>46554</v>
      </c>
      <c r="ES185" s="8">
        <f t="shared" ca="1" si="513"/>
        <v>420</v>
      </c>
      <c r="ET185" s="5" t="str">
        <f t="shared" ca="1" si="514"/>
        <v>VIGENTE</v>
      </c>
      <c r="EU185" s="3"/>
      <c r="EV185" s="4">
        <v>45953</v>
      </c>
      <c r="EW185" s="4">
        <f t="shared" si="629"/>
        <v>46683</v>
      </c>
      <c r="EX185" s="8">
        <f t="shared" ca="1" si="515"/>
        <v>549</v>
      </c>
      <c r="EY185" s="5" t="str">
        <f t="shared" ca="1" si="516"/>
        <v>VIGENTE</v>
      </c>
      <c r="EZ185" s="3"/>
      <c r="FA185" s="4">
        <v>45951</v>
      </c>
      <c r="FB185" s="4">
        <f t="shared" si="660"/>
        <v>46681</v>
      </c>
      <c r="FC185" s="8">
        <f t="shared" ca="1" si="517"/>
        <v>547</v>
      </c>
      <c r="FD185" s="5" t="str">
        <f t="shared" ca="1" si="518"/>
        <v>VIGENTE</v>
      </c>
      <c r="FE185" s="3"/>
      <c r="FF185" s="4">
        <v>46009</v>
      </c>
      <c r="FG185" s="4">
        <f t="shared" ref="FG185:FG186" si="679">DATE(YEAR(FF185)+2,MONTH(FF185),DAY(FF185))</f>
        <v>46739</v>
      </c>
      <c r="FH185" s="8">
        <f t="shared" ca="1" si="519"/>
        <v>605</v>
      </c>
      <c r="FI185" s="5" t="str">
        <f t="shared" ca="1" si="520"/>
        <v>VIGENTE</v>
      </c>
      <c r="FJ185" s="3"/>
      <c r="FK185" s="4">
        <v>45920</v>
      </c>
      <c r="FL185" s="4">
        <f t="shared" si="662"/>
        <v>46650</v>
      </c>
      <c r="FM185" s="8">
        <f t="shared" ca="1" si="521"/>
        <v>516</v>
      </c>
      <c r="FN185" s="5" t="str">
        <f t="shared" ca="1" si="522"/>
        <v>VIGENTE</v>
      </c>
      <c r="FO185" s="3"/>
      <c r="FP185" s="4">
        <v>45957</v>
      </c>
      <c r="FQ185" s="4">
        <f t="shared" ref="FQ185:FQ186" si="680">DATE(YEAR(FP185)+2,MONTH(FP185),DAY(FP185))</f>
        <v>46687</v>
      </c>
      <c r="FR185" s="8">
        <f t="shared" ca="1" si="523"/>
        <v>553</v>
      </c>
      <c r="FS185" s="5" t="str">
        <f t="shared" ca="1" si="524"/>
        <v>VIGENTE</v>
      </c>
      <c r="FT185" s="3"/>
      <c r="FU185" s="4">
        <v>45547</v>
      </c>
      <c r="FV185" s="4">
        <f t="shared" si="664"/>
        <v>46276</v>
      </c>
      <c r="FW185" s="8">
        <f t="shared" ca="1" si="525"/>
        <v>142</v>
      </c>
      <c r="FX185" s="5" t="str">
        <f t="shared" ca="1" si="526"/>
        <v>VIGENTE</v>
      </c>
      <c r="FY185" s="3"/>
      <c r="FZ185" s="4">
        <v>45925</v>
      </c>
      <c r="GA185" s="4">
        <f t="shared" ref="GA185:GA186" si="681">DATE(YEAR(FZ185)+2,MONTH(FZ185),DAY(FZ185))</f>
        <v>46655</v>
      </c>
      <c r="GB185" s="8">
        <f t="shared" ca="1" si="527"/>
        <v>521</v>
      </c>
      <c r="GC185" s="5" t="str">
        <f t="shared" ca="1" si="528"/>
        <v>VIGENTE</v>
      </c>
      <c r="GD185" s="3"/>
      <c r="GE185" s="4">
        <v>45912</v>
      </c>
      <c r="GF185" s="4">
        <f t="shared" ref="GF185:GF186" si="682">DATE(YEAR(GE185)+2,MONTH(GE185),DAY(GE185))</f>
        <v>46642</v>
      </c>
      <c r="GG185" s="8">
        <f t="shared" ca="1" si="529"/>
        <v>508</v>
      </c>
      <c r="GH185" s="5" t="str">
        <f t="shared" ca="1" si="530"/>
        <v>VIGENTE</v>
      </c>
      <c r="GI185" s="3"/>
      <c r="GJ185" s="4">
        <v>45923</v>
      </c>
      <c r="GK185" s="4">
        <f t="shared" ref="GK185:GK186" si="683">DATE(YEAR(GJ185)+2,MONTH(GJ185),DAY(GJ185))</f>
        <v>46653</v>
      </c>
      <c r="GL185" s="8">
        <f t="shared" ca="1" si="531"/>
        <v>519</v>
      </c>
      <c r="GM185" s="5" t="str">
        <f t="shared" ca="1" si="532"/>
        <v>VIGENTE</v>
      </c>
      <c r="GN185" s="4"/>
      <c r="GO185" s="4">
        <v>45299</v>
      </c>
      <c r="GP185" s="4">
        <f t="shared" si="533"/>
        <v>47126</v>
      </c>
      <c r="GQ185" s="8">
        <f t="shared" ca="1" si="620"/>
        <v>992</v>
      </c>
      <c r="GR185" s="5" t="str">
        <f t="shared" ca="1" si="630"/>
        <v>VIGENTE</v>
      </c>
      <c r="GS185" s="3"/>
      <c r="GT185" s="4">
        <v>45200</v>
      </c>
      <c r="GU185" s="4">
        <f t="shared" si="534"/>
        <v>47027</v>
      </c>
      <c r="GV185" s="8">
        <f t="shared" ca="1" si="535"/>
        <v>893</v>
      </c>
      <c r="GW185" s="5" t="str">
        <f t="shared" ca="1" si="631"/>
        <v>VIGENTE</v>
      </c>
      <c r="GX185" s="3"/>
      <c r="GY185" s="4">
        <v>45258</v>
      </c>
      <c r="GZ185" s="4">
        <f t="shared" si="536"/>
        <v>47085</v>
      </c>
      <c r="HA185" s="8">
        <f t="shared" ca="1" si="537"/>
        <v>951</v>
      </c>
      <c r="HB185" s="5" t="str">
        <f t="shared" ca="1" si="632"/>
        <v>VIGENTE</v>
      </c>
      <c r="HC185" s="6"/>
      <c r="HD185" s="4">
        <v>44921</v>
      </c>
      <c r="HE185" s="4">
        <f t="shared" si="668"/>
        <v>46747</v>
      </c>
      <c r="HF185" s="8">
        <f t="shared" ca="1" si="636"/>
        <v>613</v>
      </c>
      <c r="HG185" s="5" t="str">
        <f t="shared" ca="1" si="633"/>
        <v>VIGENTE</v>
      </c>
      <c r="HH185" s="2"/>
      <c r="HI185" s="6"/>
      <c r="HJ185" s="4"/>
      <c r="HK185" s="8"/>
      <c r="HL185" s="5" t="str">
        <f t="shared" si="457"/>
        <v>NO APLICA</v>
      </c>
      <c r="HM185" s="2"/>
      <c r="HN185" s="2"/>
      <c r="HO185" s="4"/>
      <c r="HP185" s="2"/>
      <c r="HQ185" s="5" t="str">
        <f t="shared" si="538"/>
        <v>NO APLICA</v>
      </c>
      <c r="HR185" s="2"/>
      <c r="HS185" s="6"/>
      <c r="HT185" s="4"/>
      <c r="HU185" s="8"/>
      <c r="HV185" s="5" t="str">
        <f t="shared" si="539"/>
        <v>NO APLICA</v>
      </c>
      <c r="HW185" s="2"/>
      <c r="HX185" s="6"/>
      <c r="HY185" s="4"/>
      <c r="HZ185" s="8"/>
      <c r="IA185" s="5" t="str">
        <f t="shared" si="540"/>
        <v>NO APLICA</v>
      </c>
      <c r="IB185" s="2"/>
      <c r="IC185" s="6"/>
      <c r="ID185" s="4"/>
      <c r="IE185" s="8"/>
      <c r="IF185" s="5" t="str">
        <f t="shared" si="541"/>
        <v>NO APLICA</v>
      </c>
      <c r="IG185" s="6"/>
      <c r="IH185" s="6"/>
      <c r="II185" s="4"/>
      <c r="IJ185" s="8"/>
      <c r="IK185" s="5" t="str">
        <f t="shared" si="542"/>
        <v>NO APLICA</v>
      </c>
      <c r="IL185" s="2"/>
      <c r="IM185" s="6"/>
      <c r="IN185" s="4"/>
      <c r="IO185" s="8"/>
      <c r="IP185" s="5" t="str">
        <f t="shared" si="543"/>
        <v>NO APLICA</v>
      </c>
      <c r="IQ185" s="2"/>
      <c r="IR185" s="4">
        <v>45350</v>
      </c>
      <c r="IS185" s="4">
        <f t="shared" si="669"/>
        <v>47177</v>
      </c>
      <c r="IT185" s="8">
        <f t="shared" ca="1" si="637"/>
        <v>1043</v>
      </c>
      <c r="IU185" s="5" t="str">
        <f t="shared" ca="1" si="544"/>
        <v>VIGENTE</v>
      </c>
      <c r="IV185" s="2"/>
      <c r="IW185" s="4">
        <v>45339</v>
      </c>
      <c r="IX185" s="4">
        <f t="shared" si="670"/>
        <v>47166</v>
      </c>
      <c r="IY185" s="8">
        <f t="shared" ca="1" si="638"/>
        <v>1032</v>
      </c>
      <c r="IZ185" s="5" t="str">
        <f t="shared" ca="1" si="545"/>
        <v>VIGENTE</v>
      </c>
      <c r="JA185" s="3"/>
      <c r="JB185" s="3"/>
      <c r="JC185" s="4"/>
      <c r="JD185" s="8"/>
      <c r="JE185" s="5" t="str">
        <f t="shared" si="546"/>
        <v>NO APLICA</v>
      </c>
      <c r="JF185" s="6"/>
      <c r="JG185" s="6"/>
      <c r="JH185" s="6"/>
      <c r="JI185" s="6"/>
      <c r="JJ185" s="5" t="str">
        <f t="shared" si="547"/>
        <v>NO APLICA</v>
      </c>
      <c r="JK185" s="6"/>
      <c r="JL185" s="6"/>
      <c r="JM185" s="6"/>
      <c r="JN185" s="6"/>
      <c r="JO185" s="5" t="str">
        <f t="shared" si="548"/>
        <v>NO APLICA</v>
      </c>
      <c r="JP185" s="6"/>
      <c r="JQ185" s="6"/>
      <c r="JR185" s="6"/>
      <c r="JS185" s="6"/>
      <c r="JT185" s="5" t="str">
        <f t="shared" si="549"/>
        <v>NO APLICA</v>
      </c>
      <c r="JU185" s="5"/>
      <c r="JV185" s="5"/>
      <c r="JW185" s="5"/>
      <c r="JX185" s="5"/>
      <c r="JY185" s="5" t="str">
        <f t="shared" si="550"/>
        <v>NO APLICA</v>
      </c>
      <c r="JZ185" s="5"/>
      <c r="KA185" s="2"/>
      <c r="KB185" s="4"/>
      <c r="KC185" s="8"/>
      <c r="KD185" s="5" t="str">
        <f t="shared" si="551"/>
        <v>NO APLICA</v>
      </c>
      <c r="KE185" s="5"/>
      <c r="KF185" s="2"/>
      <c r="KG185" s="4"/>
      <c r="KH185" s="8"/>
      <c r="KI185" s="5" t="str">
        <f t="shared" si="576"/>
        <v>NO APLICA</v>
      </c>
      <c r="KJ185" s="5"/>
      <c r="KK185" s="2"/>
      <c r="KL185" s="4"/>
      <c r="KM185" s="8"/>
      <c r="KN185" s="5" t="str">
        <f t="shared" si="552"/>
        <v>NO APLICA</v>
      </c>
      <c r="KO185" s="5"/>
      <c r="KP185" s="3">
        <v>45346</v>
      </c>
      <c r="KQ185" s="4">
        <f>DATE(YEAR(KP185)+5,MONTH(KP185),DAY(KP185))</f>
        <v>47173</v>
      </c>
      <c r="KR185" s="8">
        <f ca="1">KQ185-TODAY()</f>
        <v>1039</v>
      </c>
      <c r="KS185" s="5" t="str">
        <f ca="1">IF(KR185&gt;=61,"VIGENTE",IF(KR185&gt;=1,"POR VENCER",IF(KR185&lt;=-1,"VENCIDA",IF(KP185=0,"NO APLICA"))))</f>
        <v>VIGENTE</v>
      </c>
      <c r="KT185" s="2"/>
      <c r="KU185" s="6"/>
      <c r="KV185" s="4"/>
      <c r="KW185" s="8"/>
      <c r="KX185" s="5" t="str">
        <f t="shared" si="583"/>
        <v>NO APLICA</v>
      </c>
      <c r="KY185" s="5"/>
      <c r="KZ185" s="4">
        <v>44615</v>
      </c>
      <c r="LA185" s="4">
        <f>DATE(YEAR(KZ185)+5,MONTH(KZ185),DAY(KZ185))</f>
        <v>46441</v>
      </c>
      <c r="LB185" s="8">
        <f ca="1">LA185-TODAY()</f>
        <v>307</v>
      </c>
      <c r="LC185" s="5" t="str">
        <f ca="1">IF(LB185&gt;=61,"VIGENTE",IF(LB185&gt;=1,"POR VENCER",IF(LB185&lt;=-1,"VENCIDA",IF(KZ185=0,"NO APLICA"))))</f>
        <v>VIGENTE</v>
      </c>
      <c r="LD185" s="6"/>
      <c r="LE185" s="4">
        <v>45611</v>
      </c>
      <c r="LF185" s="4">
        <f>DATE(YEAR(LE185)+2,MONTH(LE185),DAY(LE185))</f>
        <v>46341</v>
      </c>
      <c r="LG185" s="8">
        <f ca="1">LF185-TODAY()</f>
        <v>207</v>
      </c>
      <c r="LH185" s="5" t="str">
        <f ca="1">IF(LG185&gt;=61,"VIGENTE",IF(LG185&gt;=1,"POR VENCER",IF(LG185&lt;=-1,"VENCIDA",IF(LE185=0,"NO APLICA"))))</f>
        <v>VIGENTE</v>
      </c>
      <c r="LI185" s="5"/>
      <c r="LJ185" s="5"/>
      <c r="LK185" s="5"/>
      <c r="LL185" s="5"/>
      <c r="LM185" s="5" t="str">
        <f t="shared" si="584"/>
        <v>NO APLICA</v>
      </c>
      <c r="LN185" s="2"/>
      <c r="LO185" s="6"/>
      <c r="LP185" s="4"/>
      <c r="LQ185" s="8"/>
      <c r="LR185" s="5" t="str">
        <f t="shared" si="579"/>
        <v>NO APLICA</v>
      </c>
      <c r="LS185" s="6"/>
      <c r="LT185" s="6"/>
      <c r="LU185" s="4"/>
      <c r="LV185" s="8"/>
      <c r="LW185" s="5" t="str">
        <f t="shared" si="580"/>
        <v>NO APLICA</v>
      </c>
      <c r="LX185" s="6"/>
      <c r="LY185" s="6"/>
      <c r="LZ185" s="4"/>
      <c r="MA185" s="8"/>
      <c r="MB185" s="5" t="str">
        <f t="shared" si="581"/>
        <v>NO APLICA</v>
      </c>
      <c r="MC185" s="2"/>
      <c r="MD185" s="2"/>
      <c r="ME185" s="4"/>
      <c r="MF185" s="8"/>
      <c r="MG185" s="5" t="str">
        <f t="shared" si="554"/>
        <v>NO APLICA</v>
      </c>
      <c r="MH185" s="2"/>
      <c r="MI185" s="2"/>
      <c r="MJ185" s="4"/>
      <c r="MK185" s="8"/>
      <c r="ML185" s="5" t="str">
        <f t="shared" si="555"/>
        <v>NO APLICA</v>
      </c>
      <c r="MM185" s="5"/>
      <c r="MN185" s="2"/>
      <c r="MO185" s="4"/>
      <c r="MP185" s="8"/>
      <c r="MQ185" s="5" t="str">
        <f t="shared" si="556"/>
        <v>NO APLICA</v>
      </c>
      <c r="MR185" s="5"/>
      <c r="MS185" s="2"/>
      <c r="MT185" s="4"/>
      <c r="MU185" s="2"/>
      <c r="MV185" s="5" t="str">
        <f t="shared" si="557"/>
        <v>NO APLICA</v>
      </c>
      <c r="MW185" s="2"/>
      <c r="MX185" s="6"/>
      <c r="MY185" s="4"/>
      <c r="MZ185" s="8"/>
      <c r="NA185" s="5" t="str">
        <f t="shared" si="558"/>
        <v>NO APLICA</v>
      </c>
      <c r="NB185" s="2"/>
      <c r="NC185" s="6"/>
      <c r="ND185" s="4"/>
      <c r="NE185" s="8"/>
      <c r="NF185" s="5" t="str">
        <f t="shared" si="559"/>
        <v>NO APLICA</v>
      </c>
      <c r="NG185" s="2"/>
      <c r="NH185" s="6"/>
      <c r="NI185" s="4"/>
      <c r="NJ185" s="8"/>
      <c r="NK185" s="5" t="str">
        <f t="shared" si="560"/>
        <v>NO APLICA</v>
      </c>
      <c r="NL185" s="2"/>
      <c r="NM185" s="2"/>
      <c r="NN185" s="4"/>
      <c r="NO185" s="2"/>
      <c r="NP185" s="5" t="str">
        <f t="shared" si="561"/>
        <v>NO APLICA</v>
      </c>
      <c r="NQ185" s="2"/>
      <c r="NR185" s="2"/>
      <c r="NS185" s="4"/>
      <c r="NT185" s="2"/>
      <c r="NU185" s="5" t="str">
        <f t="shared" si="562"/>
        <v>NO APLICA</v>
      </c>
      <c r="NV185" s="6"/>
      <c r="NW185" s="6"/>
      <c r="NX185" s="4"/>
      <c r="NY185" s="8"/>
      <c r="NZ185" s="5" t="str">
        <f t="shared" si="563"/>
        <v>NO APLICA</v>
      </c>
      <c r="OA185" s="6"/>
      <c r="OB185" s="6"/>
      <c r="OC185" s="6"/>
      <c r="OD185" s="6"/>
      <c r="OE185" s="5" t="str">
        <f t="shared" si="564"/>
        <v>NO APLICA</v>
      </c>
      <c r="OF185" s="6"/>
      <c r="OG185" s="6"/>
      <c r="OH185" s="4"/>
      <c r="OI185" s="8"/>
      <c r="OJ185" s="5" t="str">
        <f t="shared" si="565"/>
        <v>NO APLICA</v>
      </c>
      <c r="OK185" s="6"/>
      <c r="OL185" s="6"/>
      <c r="OM185" s="6"/>
      <c r="ON185" s="6"/>
      <c r="OO185" s="5" t="str">
        <f t="shared" si="566"/>
        <v>NO APLICA</v>
      </c>
      <c r="OP185" s="6"/>
      <c r="OQ185" s="6"/>
      <c r="OR185" s="6"/>
      <c r="OS185" s="6"/>
      <c r="OT185" s="5" t="str">
        <f t="shared" si="567"/>
        <v>NO APLICA</v>
      </c>
      <c r="OU185" s="6"/>
      <c r="OV185" s="6"/>
      <c r="OW185" s="6"/>
      <c r="OX185" s="6"/>
      <c r="OY185" s="5" t="str">
        <f t="shared" si="568"/>
        <v>NO APLICA</v>
      </c>
      <c r="OZ185" s="6"/>
      <c r="PA185" s="6"/>
      <c r="PB185" s="6"/>
      <c r="PC185" s="6"/>
      <c r="PD185" s="5" t="str">
        <f t="shared" si="569"/>
        <v>NO APLICA</v>
      </c>
      <c r="PE185" s="6"/>
      <c r="PF185" s="6"/>
      <c r="PG185" s="6"/>
      <c r="PH185" s="6"/>
      <c r="PI185" s="5" t="str">
        <f t="shared" si="570"/>
        <v>NO APLICA</v>
      </c>
      <c r="PJ185" s="5"/>
      <c r="PK185" s="6"/>
      <c r="PL185" s="4"/>
      <c r="PM185" s="8"/>
      <c r="PN185" s="5" t="str">
        <f t="shared" si="571"/>
        <v>NO APLICA</v>
      </c>
      <c r="PO185" s="6"/>
      <c r="PP185" s="6"/>
      <c r="PQ185" s="6"/>
      <c r="PR185" s="6"/>
      <c r="PS185" s="5" t="str">
        <f t="shared" si="572"/>
        <v>NO APLICA</v>
      </c>
      <c r="PT185" s="5"/>
      <c r="PU185" s="6"/>
      <c r="PV185" s="6"/>
      <c r="PW185" s="6"/>
      <c r="PX185" s="5" t="str">
        <f t="shared" si="573"/>
        <v>NO APLICA</v>
      </c>
    </row>
    <row r="186" spans="1:440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199</v>
      </c>
      <c r="T186" s="5" t="str">
        <f ca="1">IF(S186&gt;=61,"VIGENTE",IF(S186&gt;=1,"POR VENCER",IF(S186&lt;=-1,"VENCIDA",IF(S186=0,"NO APLICA"))))</f>
        <v>VIGENTE</v>
      </c>
      <c r="U186" s="2" t="s">
        <v>592</v>
      </c>
      <c r="V186" s="4">
        <v>44716</v>
      </c>
      <c r="W186" s="4">
        <f t="shared" si="606"/>
        <v>46542</v>
      </c>
      <c r="X186" s="8">
        <f t="shared" ca="1" si="607"/>
        <v>408</v>
      </c>
      <c r="Y186" s="5" t="str">
        <f t="shared" ca="1" si="624"/>
        <v>VIGENTE</v>
      </c>
      <c r="Z186" s="2" t="s">
        <v>593</v>
      </c>
      <c r="AA186" s="4">
        <v>45162</v>
      </c>
      <c r="AB186" s="4">
        <f t="shared" si="639"/>
        <v>46989</v>
      </c>
      <c r="AC186" s="8">
        <f t="shared" ca="1" si="634"/>
        <v>855</v>
      </c>
      <c r="AD186" s="5" t="str">
        <f t="shared" ca="1" si="627"/>
        <v>VIGENTE</v>
      </c>
      <c r="AE186" s="3"/>
      <c r="AF186" s="4">
        <v>45936</v>
      </c>
      <c r="AG186" s="4">
        <f t="shared" si="671"/>
        <v>46666</v>
      </c>
      <c r="AH186" s="8">
        <f t="shared" ca="1" si="470"/>
        <v>532</v>
      </c>
      <c r="AI186" s="5" t="str">
        <f t="shared" ca="1" si="621"/>
        <v>VIGENTE</v>
      </c>
      <c r="AJ186" s="3"/>
      <c r="AK186" s="4">
        <v>45937</v>
      </c>
      <c r="AL186" s="4">
        <f t="shared" si="641"/>
        <v>46667</v>
      </c>
      <c r="AM186" s="8">
        <f t="shared" ca="1" si="471"/>
        <v>533</v>
      </c>
      <c r="AN186" s="5" t="str">
        <f t="shared" ca="1" si="472"/>
        <v>VIGENTE</v>
      </c>
      <c r="AO186" s="3"/>
      <c r="AP186" s="4">
        <v>45904</v>
      </c>
      <c r="AQ186" s="4">
        <f t="shared" si="672"/>
        <v>46634</v>
      </c>
      <c r="AR186" s="8">
        <f t="shared" ca="1" si="473"/>
        <v>500</v>
      </c>
      <c r="AS186" s="5" t="str">
        <f t="shared" ca="1" si="474"/>
        <v>VIGENTE</v>
      </c>
      <c r="AT186" s="3"/>
      <c r="AU186" s="4">
        <v>45927</v>
      </c>
      <c r="AV186" s="4">
        <f>DATE(YEAR(AU186)+2,MONTH(AU186),DAY(AU186))</f>
        <v>46657</v>
      </c>
      <c r="AW186" s="8">
        <f t="shared" ca="1" si="475"/>
        <v>523</v>
      </c>
      <c r="AX186" s="5" t="str">
        <f t="shared" ca="1" si="476"/>
        <v>VIGENTE</v>
      </c>
      <c r="AY186" s="3"/>
      <c r="AZ186" s="4">
        <v>45930</v>
      </c>
      <c r="BA186" s="4">
        <f t="shared" si="673"/>
        <v>46660</v>
      </c>
      <c r="BB186" s="8">
        <f t="shared" ca="1" si="477"/>
        <v>526</v>
      </c>
      <c r="BC186" s="5" t="str">
        <f t="shared" ca="1" si="478"/>
        <v>VIGENTE</v>
      </c>
      <c r="BD186" s="3"/>
      <c r="BE186" s="4">
        <v>45997</v>
      </c>
      <c r="BF186" s="4">
        <f t="shared" si="635"/>
        <v>46727</v>
      </c>
      <c r="BG186" s="8">
        <f t="shared" ca="1" si="479"/>
        <v>593</v>
      </c>
      <c r="BH186" s="5" t="str">
        <f t="shared" ca="1" si="480"/>
        <v>VIGENTE</v>
      </c>
      <c r="BI186" s="3"/>
      <c r="BJ186" s="4">
        <v>46051</v>
      </c>
      <c r="BK186" s="4">
        <f t="shared" si="645"/>
        <v>46781</v>
      </c>
      <c r="BL186" s="8">
        <f t="shared" ca="1" si="481"/>
        <v>647</v>
      </c>
      <c r="BM186" s="5" t="str">
        <f t="shared" ca="1" si="482"/>
        <v>VIGENTE</v>
      </c>
      <c r="BN186" s="3"/>
      <c r="BO186" s="4">
        <v>45841</v>
      </c>
      <c r="BP186" s="4">
        <f>DATE(YEAR(BO186)+2,MONTH(BO186),DAY(BO186))</f>
        <v>46571</v>
      </c>
      <c r="BQ186" s="8">
        <f t="shared" ca="1" si="483"/>
        <v>437</v>
      </c>
      <c r="BR186" s="5" t="str">
        <f t="shared" ca="1" si="484"/>
        <v>VIGENTE</v>
      </c>
      <c r="BS186" s="3"/>
      <c r="BT186" s="4">
        <v>45950</v>
      </c>
      <c r="BU186" s="4">
        <f t="shared" si="674"/>
        <v>46680</v>
      </c>
      <c r="BV186" s="8">
        <f t="shared" ca="1" si="485"/>
        <v>546</v>
      </c>
      <c r="BW186" s="5" t="str">
        <f t="shared" ca="1" si="486"/>
        <v>VIGENTE</v>
      </c>
      <c r="BX186" s="3"/>
      <c r="BY186" s="4">
        <v>45944</v>
      </c>
      <c r="BZ186" s="4">
        <f t="shared" si="675"/>
        <v>46674</v>
      </c>
      <c r="CA186" s="8">
        <f t="shared" ca="1" si="487"/>
        <v>540</v>
      </c>
      <c r="CB186" s="5" t="str">
        <f t="shared" ca="1" si="488"/>
        <v>VIGENTE</v>
      </c>
      <c r="CC186" s="6" t="s">
        <v>68</v>
      </c>
      <c r="CD186" s="4">
        <v>45828</v>
      </c>
      <c r="CE186" s="4">
        <f t="shared" si="609"/>
        <v>47289</v>
      </c>
      <c r="CF186" s="8">
        <f t="shared" ca="1" si="610"/>
        <v>1155</v>
      </c>
      <c r="CG186" s="5" t="str">
        <f t="shared" ca="1" si="591"/>
        <v>VIGENTE</v>
      </c>
      <c r="CH186" s="4"/>
      <c r="CI186" s="4">
        <v>45929</v>
      </c>
      <c r="CJ186" s="4">
        <f>DATE(YEAR(CI186)+2,MONTH(CI186),DAY(CI186))</f>
        <v>46659</v>
      </c>
      <c r="CK186" s="8">
        <f t="shared" ca="1" si="489"/>
        <v>525</v>
      </c>
      <c r="CL186" s="5" t="str">
        <f t="shared" ca="1" si="490"/>
        <v>VIGENTE</v>
      </c>
      <c r="CM186" s="3"/>
      <c r="CN186" s="4">
        <v>45888</v>
      </c>
      <c r="CO186" s="4">
        <f t="shared" si="676"/>
        <v>46618</v>
      </c>
      <c r="CP186" s="8">
        <f t="shared" ca="1" si="491"/>
        <v>484</v>
      </c>
      <c r="CQ186" s="5" t="str">
        <f t="shared" ca="1" si="492"/>
        <v>VIGENTE</v>
      </c>
      <c r="CR186" s="3"/>
      <c r="CS186" s="4">
        <v>45905</v>
      </c>
      <c r="CT186" s="4">
        <f>DATE(YEAR(CS186)+2,MONTH(CS186),DAY(CS186))</f>
        <v>46635</v>
      </c>
      <c r="CU186" s="8">
        <f t="shared" ca="1" si="493"/>
        <v>501</v>
      </c>
      <c r="CV186" s="5" t="str">
        <f t="shared" ca="1" si="494"/>
        <v>VIGENTE</v>
      </c>
      <c r="CW186" s="3"/>
      <c r="CX186" s="4">
        <v>45924</v>
      </c>
      <c r="CY186" s="4">
        <f>DATE(YEAR(CX186)+2,MONTH(CX186),DAY(CX186))</f>
        <v>46654</v>
      </c>
      <c r="CZ186" s="8">
        <f t="shared" ca="1" si="495"/>
        <v>520</v>
      </c>
      <c r="DA186" s="5" t="str">
        <f t="shared" ca="1" si="496"/>
        <v>VIGENTE</v>
      </c>
      <c r="DB186" s="3"/>
      <c r="DC186" s="4">
        <v>45896</v>
      </c>
      <c r="DD186" s="4">
        <f>DATE(YEAR(DC186)+2,MONTH(DC186),DAY(DC186))</f>
        <v>46626</v>
      </c>
      <c r="DE186" s="8">
        <f t="shared" ca="1" si="497"/>
        <v>492</v>
      </c>
      <c r="DF186" s="5" t="str">
        <f t="shared" ca="1" si="498"/>
        <v>VIGENTE</v>
      </c>
      <c r="DG186" s="3"/>
      <c r="DH186" s="4">
        <v>45899</v>
      </c>
      <c r="DI186" s="4">
        <f t="shared" si="654"/>
        <v>46629</v>
      </c>
      <c r="DJ186" s="8">
        <f t="shared" ca="1" si="499"/>
        <v>495</v>
      </c>
      <c r="DK186" s="5" t="str">
        <f t="shared" ca="1" si="500"/>
        <v>VIGENTE</v>
      </c>
      <c r="DL186" s="3"/>
      <c r="DM186" s="4">
        <v>45982</v>
      </c>
      <c r="DN186" s="4">
        <f>DATE(YEAR(DM186)+2,MONTH(DM186),DAY(DM186))</f>
        <v>46712</v>
      </c>
      <c r="DO186" s="8">
        <f t="shared" ca="1" si="501"/>
        <v>578</v>
      </c>
      <c r="DP186" s="5" t="str">
        <f t="shared" ca="1" si="502"/>
        <v>VIGENTE</v>
      </c>
      <c r="DQ186" s="3"/>
      <c r="DR186" s="4">
        <v>45885</v>
      </c>
      <c r="DS186" s="4">
        <f>DATE(YEAR(DR186)+2,MONTH(DR186),DAY(DR186))</f>
        <v>46615</v>
      </c>
      <c r="DT186" s="8">
        <f t="shared" ca="1" si="503"/>
        <v>481</v>
      </c>
      <c r="DU186" s="5" t="str">
        <f t="shared" ca="1" si="504"/>
        <v>VIGENTE</v>
      </c>
      <c r="DV186" s="3"/>
      <c r="DW186" s="4">
        <v>46020</v>
      </c>
      <c r="DX186" s="4">
        <f t="shared" si="677"/>
        <v>46750</v>
      </c>
      <c r="DY186" s="8">
        <f t="shared" ca="1" si="505"/>
        <v>616</v>
      </c>
      <c r="DZ186" s="5" t="str">
        <f t="shared" ca="1" si="506"/>
        <v>VIGENTE</v>
      </c>
      <c r="EA186" s="3"/>
      <c r="EB186" s="4">
        <v>45938</v>
      </c>
      <c r="EC186" s="4">
        <f t="shared" si="657"/>
        <v>46668</v>
      </c>
      <c r="ED186" s="8">
        <f t="shared" ca="1" si="507"/>
        <v>534</v>
      </c>
      <c r="EE186" s="5" t="str">
        <f t="shared" ca="1" si="508"/>
        <v>VIGENTE</v>
      </c>
      <c r="EF186" s="3"/>
      <c r="EG186" s="3">
        <v>45911</v>
      </c>
      <c r="EH186" s="4">
        <f t="shared" si="575"/>
        <v>46276</v>
      </c>
      <c r="EI186" s="8">
        <f t="shared" ca="1" si="509"/>
        <v>142</v>
      </c>
      <c r="EJ186" s="5" t="str">
        <f t="shared" ca="1" si="510"/>
        <v>VIGENTE</v>
      </c>
      <c r="EK186" s="3"/>
      <c r="EL186" s="4">
        <v>45940</v>
      </c>
      <c r="EM186" s="4">
        <f t="shared" si="678"/>
        <v>46670</v>
      </c>
      <c r="EN186" s="8">
        <f t="shared" ca="1" si="511"/>
        <v>536</v>
      </c>
      <c r="EO186" s="5" t="str">
        <f t="shared" ca="1" si="512"/>
        <v>VIGENTE</v>
      </c>
      <c r="EP186" s="3"/>
      <c r="EQ186" s="4">
        <v>45922</v>
      </c>
      <c r="ER186" s="4">
        <f t="shared" si="659"/>
        <v>46652</v>
      </c>
      <c r="ES186" s="8">
        <f t="shared" ca="1" si="513"/>
        <v>518</v>
      </c>
      <c r="ET186" s="5" t="str">
        <f t="shared" ca="1" si="514"/>
        <v>VIGENTE</v>
      </c>
      <c r="EU186" s="3"/>
      <c r="EV186" s="4">
        <v>45917</v>
      </c>
      <c r="EW186" s="4">
        <f t="shared" si="629"/>
        <v>46647</v>
      </c>
      <c r="EX186" s="8">
        <f t="shared" ca="1" si="515"/>
        <v>513</v>
      </c>
      <c r="EY186" s="5" t="str">
        <f t="shared" ca="1" si="516"/>
        <v>VIGENTE</v>
      </c>
      <c r="EZ186" s="3"/>
      <c r="FA186" s="4">
        <v>45931</v>
      </c>
      <c r="FB186" s="4">
        <f t="shared" si="660"/>
        <v>46661</v>
      </c>
      <c r="FC186" s="8">
        <f t="shared" ca="1" si="517"/>
        <v>527</v>
      </c>
      <c r="FD186" s="5" t="str">
        <f t="shared" ca="1" si="518"/>
        <v>VIGENTE</v>
      </c>
      <c r="FE186" s="3"/>
      <c r="FF186" s="4">
        <v>45919</v>
      </c>
      <c r="FG186" s="4">
        <f t="shared" si="679"/>
        <v>46649</v>
      </c>
      <c r="FH186" s="8">
        <f t="shared" ca="1" si="519"/>
        <v>515</v>
      </c>
      <c r="FI186" s="5" t="str">
        <f t="shared" ca="1" si="520"/>
        <v>VIGENTE</v>
      </c>
      <c r="FJ186" s="3"/>
      <c r="FK186" s="4">
        <v>45933</v>
      </c>
      <c r="FL186" s="4">
        <f t="shared" si="662"/>
        <v>46663</v>
      </c>
      <c r="FM186" s="8">
        <f t="shared" ca="1" si="521"/>
        <v>529</v>
      </c>
      <c r="FN186" s="5" t="str">
        <f t="shared" ca="1" si="522"/>
        <v>VIGENTE</v>
      </c>
      <c r="FO186" s="3"/>
      <c r="FP186" s="4">
        <v>45957</v>
      </c>
      <c r="FQ186" s="4">
        <f t="shared" si="680"/>
        <v>46687</v>
      </c>
      <c r="FR186" s="8">
        <f t="shared" ca="1" si="523"/>
        <v>553</v>
      </c>
      <c r="FS186" s="5" t="str">
        <f t="shared" ca="1" si="524"/>
        <v>VIGENTE</v>
      </c>
      <c r="FT186" s="3"/>
      <c r="FU186" s="4">
        <v>45961</v>
      </c>
      <c r="FV186" s="4">
        <f>DATE(YEAR(FU186)+2,MONTH(FU186),DAY(FU186))</f>
        <v>46691</v>
      </c>
      <c r="FW186" s="8">
        <f t="shared" ca="1" si="525"/>
        <v>557</v>
      </c>
      <c r="FX186" s="5" t="str">
        <f t="shared" ca="1" si="526"/>
        <v>VIGENTE</v>
      </c>
      <c r="FY186" s="3"/>
      <c r="FZ186" s="4">
        <v>45925</v>
      </c>
      <c r="GA186" s="4">
        <f t="shared" si="681"/>
        <v>46655</v>
      </c>
      <c r="GB186" s="8">
        <f t="shared" ca="1" si="527"/>
        <v>521</v>
      </c>
      <c r="GC186" s="5" t="str">
        <f t="shared" ca="1" si="528"/>
        <v>VIGENTE</v>
      </c>
      <c r="GD186" s="3"/>
      <c r="GE186" s="4">
        <v>45912</v>
      </c>
      <c r="GF186" s="4">
        <f t="shared" si="682"/>
        <v>46642</v>
      </c>
      <c r="GG186" s="8">
        <f t="shared" ca="1" si="529"/>
        <v>508</v>
      </c>
      <c r="GH186" s="5" t="str">
        <f t="shared" ca="1" si="530"/>
        <v>VIGENTE</v>
      </c>
      <c r="GI186" s="3"/>
      <c r="GJ186" s="4">
        <v>45945</v>
      </c>
      <c r="GK186" s="4">
        <f t="shared" si="683"/>
        <v>46675</v>
      </c>
      <c r="GL186" s="8">
        <f t="shared" ca="1" si="531"/>
        <v>541</v>
      </c>
      <c r="GM186" s="5" t="str">
        <f t="shared" ca="1" si="532"/>
        <v>VIGENTE</v>
      </c>
      <c r="GN186" s="4"/>
      <c r="GO186" s="4">
        <v>45048</v>
      </c>
      <c r="GP186" s="4">
        <f t="shared" si="533"/>
        <v>46875</v>
      </c>
      <c r="GQ186" s="8">
        <f t="shared" ca="1" si="620"/>
        <v>741</v>
      </c>
      <c r="GR186" s="5" t="str">
        <f t="shared" ca="1" si="630"/>
        <v>VIGENTE</v>
      </c>
      <c r="GS186" s="3"/>
      <c r="GT186" s="4">
        <v>45006</v>
      </c>
      <c r="GU186" s="4">
        <f t="shared" si="534"/>
        <v>46833</v>
      </c>
      <c r="GV186" s="8">
        <f t="shared" ca="1" si="535"/>
        <v>699</v>
      </c>
      <c r="GW186" s="5" t="str">
        <f t="shared" ca="1" si="631"/>
        <v>VIGENTE</v>
      </c>
      <c r="GX186" s="2"/>
      <c r="GY186" s="4">
        <v>45073</v>
      </c>
      <c r="GZ186" s="4">
        <f t="shared" si="536"/>
        <v>46900</v>
      </c>
      <c r="HA186" s="8">
        <f t="shared" ca="1" si="537"/>
        <v>766</v>
      </c>
      <c r="HB186" s="5" t="str">
        <f t="shared" ca="1" si="632"/>
        <v>VIGENTE</v>
      </c>
      <c r="HC186" s="6"/>
      <c r="HD186" s="4">
        <v>45020</v>
      </c>
      <c r="HE186" s="4">
        <f t="shared" si="668"/>
        <v>46847</v>
      </c>
      <c r="HF186" s="8">
        <f t="shared" ca="1" si="636"/>
        <v>713</v>
      </c>
      <c r="HG186" s="5" t="str">
        <f t="shared" ca="1" si="633"/>
        <v>VIGENTE</v>
      </c>
      <c r="HH186" s="2"/>
      <c r="HI186" s="6"/>
      <c r="HJ186" s="4"/>
      <c r="HK186" s="8"/>
      <c r="HL186" s="5" t="str">
        <f t="shared" si="457"/>
        <v>NO APLICA</v>
      </c>
      <c r="HM186" s="2"/>
      <c r="HN186" s="2"/>
      <c r="HO186" s="4"/>
      <c r="HP186" s="2"/>
      <c r="HQ186" s="5" t="str">
        <f t="shared" si="538"/>
        <v>NO APLICA</v>
      </c>
      <c r="HR186" s="2"/>
      <c r="HS186" s="4">
        <v>45089</v>
      </c>
      <c r="HT186" s="4">
        <f>DATE(YEAR(HS186)+5,MONTH(HS186),DAY(HS186))</f>
        <v>46916</v>
      </c>
      <c r="HU186" s="8">
        <f ca="1">HT186-TODAY()</f>
        <v>782</v>
      </c>
      <c r="HV186" s="5" t="str">
        <f ca="1">IF(HU186&gt;=61,"VIGENTE",IF(HU186&gt;=1,"POR VENCER",IF(HU186&lt;=-1,"VENCIDA",IF(HS186=0,"NO APLICA"))))</f>
        <v>VIGENTE</v>
      </c>
      <c r="HW186" s="2"/>
      <c r="HX186" s="4">
        <v>44981</v>
      </c>
      <c r="HY186" s="4">
        <f>DATE(YEAR(HX186)+5,MONTH(HX186),DAY(HX186))</f>
        <v>46807</v>
      </c>
      <c r="HZ186" s="8">
        <f ca="1">HY186-TODAY()</f>
        <v>673</v>
      </c>
      <c r="IA186" s="5" t="str">
        <f ca="1">IF(HZ186&gt;=61,"VIGENTE",IF(HZ186&gt;=1,"POR VENCER",IF(HZ186&lt;=-1,"VENCIDA",IF(HX186=0,"NO APLICA"))))</f>
        <v>VIGENTE</v>
      </c>
      <c r="IB186" s="2"/>
      <c r="IC186" s="4">
        <v>45049</v>
      </c>
      <c r="ID186" s="4">
        <f>DATE(YEAR(IC186)+5,MONTH(IC186),DAY(IC186))</f>
        <v>46876</v>
      </c>
      <c r="IE186" s="8">
        <f ca="1">ID186-TODAY()</f>
        <v>742</v>
      </c>
      <c r="IF186" s="5" t="str">
        <f ca="1">IF(IE186&gt;=61,"VIGENTE",IF(IE186&gt;=1,"POR VENCER",IF(IE186&lt;=-1,"VENCIDA",IF(IC186=0,"NO APLICA"))))</f>
        <v>VIGENTE</v>
      </c>
      <c r="IG186" s="6"/>
      <c r="IH186" s="4">
        <v>45058</v>
      </c>
      <c r="II186" s="4">
        <f>DATE(YEAR(IH186)+5,MONTH(IH186),DAY(IH186))</f>
        <v>46885</v>
      </c>
      <c r="IJ186" s="8">
        <f ca="1">II186-TODAY()</f>
        <v>751</v>
      </c>
      <c r="IK186" s="5" t="str">
        <f ca="1">IF(IJ186&gt;=61,"VIGENTE",IF(IJ186&gt;=1,"POR VENCER",IF(IJ186&lt;=-1,"VENCIDA",IF(IH186=0,"NO APLICA"))))</f>
        <v>VIGENTE</v>
      </c>
      <c r="IL186" s="2"/>
      <c r="IM186" s="4">
        <v>45064</v>
      </c>
      <c r="IN186" s="4">
        <f>DATE(YEAR(IM186)+5,MONTH(IM186),DAY(IM186))</f>
        <v>46891</v>
      </c>
      <c r="IO186" s="8">
        <f ca="1">IN186-TODAY()</f>
        <v>757</v>
      </c>
      <c r="IP186" s="5" t="str">
        <f ca="1">IF(IO186&gt;=61,"VIGENTE",IF(IO186&gt;=1,"POR VENCER",IF(IO186&lt;=-1,"VENCIDA",IF(IM186=0,"NO APLICA"))))</f>
        <v>VIGENTE</v>
      </c>
      <c r="IQ186" s="2"/>
      <c r="IR186" s="4">
        <v>45062</v>
      </c>
      <c r="IS186" s="4">
        <f t="shared" si="669"/>
        <v>46889</v>
      </c>
      <c r="IT186" s="8">
        <f t="shared" ca="1" si="637"/>
        <v>755</v>
      </c>
      <c r="IU186" s="5" t="str">
        <f t="shared" ca="1" si="544"/>
        <v>VIGENTE</v>
      </c>
      <c r="IV186" s="2"/>
      <c r="IW186" s="4">
        <v>44996</v>
      </c>
      <c r="IX186" s="4">
        <f t="shared" si="670"/>
        <v>46823</v>
      </c>
      <c r="IY186" s="8">
        <f t="shared" ca="1" si="638"/>
        <v>689</v>
      </c>
      <c r="IZ186" s="5" t="str">
        <f t="shared" ca="1" si="545"/>
        <v>VIGENTE</v>
      </c>
      <c r="JA186" s="3"/>
      <c r="JB186" s="3"/>
      <c r="JC186" s="4"/>
      <c r="JD186" s="8"/>
      <c r="JE186" s="5" t="str">
        <f t="shared" si="546"/>
        <v>NO APLICA</v>
      </c>
      <c r="JF186" s="6"/>
      <c r="JG186" s="6"/>
      <c r="JH186" s="6"/>
      <c r="JI186" s="6"/>
      <c r="JJ186" s="5" t="str">
        <f t="shared" si="547"/>
        <v>NO APLICA</v>
      </c>
      <c r="JK186" s="6"/>
      <c r="JL186" s="6"/>
      <c r="JM186" s="6"/>
      <c r="JN186" s="6"/>
      <c r="JO186" s="5" t="str">
        <f t="shared" si="548"/>
        <v>NO APLICA</v>
      </c>
      <c r="JP186" s="6"/>
      <c r="JQ186" s="6"/>
      <c r="JR186" s="6"/>
      <c r="JS186" s="6"/>
      <c r="JT186" s="5" t="str">
        <f t="shared" si="549"/>
        <v>NO APLICA</v>
      </c>
      <c r="JU186" s="5"/>
      <c r="JV186" s="5"/>
      <c r="JW186" s="5"/>
      <c r="JX186" s="5"/>
      <c r="JY186" s="5" t="str">
        <f t="shared" si="550"/>
        <v>NO APLICA</v>
      </c>
      <c r="JZ186" s="5"/>
      <c r="KA186" s="2"/>
      <c r="KB186" s="4"/>
      <c r="KC186" s="8"/>
      <c r="KD186" s="5" t="str">
        <f t="shared" si="551"/>
        <v>NO APLICA</v>
      </c>
      <c r="KE186" s="5"/>
      <c r="KF186" s="2"/>
      <c r="KG186" s="4"/>
      <c r="KH186" s="8"/>
      <c r="KI186" s="5" t="str">
        <f t="shared" si="576"/>
        <v>NO APLICA</v>
      </c>
      <c r="KJ186" s="5"/>
      <c r="KK186" s="2"/>
      <c r="KL186" s="4"/>
      <c r="KM186" s="8"/>
      <c r="KN186" s="5" t="str">
        <f t="shared" si="552"/>
        <v>NO APLICA</v>
      </c>
      <c r="KO186" s="5"/>
      <c r="KP186" s="3">
        <v>45346</v>
      </c>
      <c r="KQ186" s="4">
        <f>DATE(YEAR(KP186)+5,MONTH(KP186),DAY(KP186))</f>
        <v>47173</v>
      </c>
      <c r="KR186" s="8">
        <f ca="1">KQ186-TODAY()</f>
        <v>1039</v>
      </c>
      <c r="KS186" s="5" t="str">
        <f ca="1">IF(KR186&gt;=61,"VIGENTE",IF(KR186&gt;=1,"POR VENCER",IF(KR186&lt;=-1,"VENCIDA",IF(KP186=0,"NO APLICA"))))</f>
        <v>VIGENTE</v>
      </c>
      <c r="KT186" s="3"/>
      <c r="KU186" s="4">
        <v>44656</v>
      </c>
      <c r="KV186" s="4">
        <f>DATE(YEAR(KU186)+5,MONTH(KU186),DAY(KU186))</f>
        <v>46482</v>
      </c>
      <c r="KW186" s="8">
        <f ca="1">KV186-TODAY()</f>
        <v>348</v>
      </c>
      <c r="KX186" s="5" t="str">
        <f ca="1">IF(KW186&gt;=61,"VIGENTE",IF(KW186&gt;=1,"POR VENCER",IF(KW186&lt;=-1,"VENCIDA",IF(KU186=0,"NO APLICA"))))</f>
        <v>VIGENTE</v>
      </c>
      <c r="KY186" s="5"/>
      <c r="KZ186" s="4">
        <v>44603</v>
      </c>
      <c r="LA186" s="4">
        <f>DATE(YEAR(KZ186)+5,MONTH(KZ186),DAY(KZ186))</f>
        <v>46429</v>
      </c>
      <c r="LB186" s="8">
        <f ca="1">LA186-TODAY()</f>
        <v>295</v>
      </c>
      <c r="LC186" s="5" t="str">
        <f ca="1">IF(LB186&gt;=61,"VIGENTE",IF(LB186&gt;=1,"POR VENCER",IF(LB186&lt;=-1,"VENCIDA",IF(KZ186=0,"NO APLICA"))))</f>
        <v>VIGENTE</v>
      </c>
      <c r="LD186" s="6"/>
      <c r="LE186" s="6"/>
      <c r="LF186" s="4"/>
      <c r="LG186" s="8"/>
      <c r="LH186" s="5" t="str">
        <f t="shared" si="619"/>
        <v>NO APLICA</v>
      </c>
      <c r="LI186" s="5"/>
      <c r="LJ186" s="5"/>
      <c r="LK186" s="4"/>
      <c r="LL186" s="8"/>
      <c r="LM186" s="5" t="str">
        <f t="shared" si="584"/>
        <v>NO APLICA</v>
      </c>
      <c r="LN186" s="2"/>
      <c r="LO186" s="6"/>
      <c r="LP186" s="4"/>
      <c r="LQ186" s="8"/>
      <c r="LR186" s="5" t="str">
        <f t="shared" si="579"/>
        <v>NO APLICA</v>
      </c>
      <c r="LS186" s="6"/>
      <c r="LT186" s="6"/>
      <c r="LU186" s="4"/>
      <c r="LV186" s="8"/>
      <c r="LW186" s="5" t="str">
        <f t="shared" si="580"/>
        <v>NO APLICA</v>
      </c>
      <c r="LX186" s="6"/>
      <c r="LY186" s="6"/>
      <c r="LZ186" s="4"/>
      <c r="MA186" s="8"/>
      <c r="MB186" s="5" t="str">
        <f t="shared" si="581"/>
        <v>NO APLICA</v>
      </c>
      <c r="MC186" s="2"/>
      <c r="MD186" s="2"/>
      <c r="ME186" s="4"/>
      <c r="MF186" s="8"/>
      <c r="MG186" s="5" t="str">
        <f t="shared" si="554"/>
        <v>NO APLICA</v>
      </c>
      <c r="MH186" s="2"/>
      <c r="MI186" s="2"/>
      <c r="MJ186" s="4"/>
      <c r="MK186" s="8"/>
      <c r="ML186" s="5" t="str">
        <f t="shared" si="555"/>
        <v>NO APLICA</v>
      </c>
      <c r="MM186" s="5"/>
      <c r="MN186" s="2"/>
      <c r="MO186" s="4"/>
      <c r="MP186" s="8"/>
      <c r="MQ186" s="5" t="str">
        <f t="shared" si="556"/>
        <v>NO APLICA</v>
      </c>
      <c r="MR186" s="5"/>
      <c r="MS186" s="2"/>
      <c r="MT186" s="4"/>
      <c r="MU186" s="2"/>
      <c r="MV186" s="5" t="str">
        <f t="shared" si="557"/>
        <v>NO APLICA</v>
      </c>
      <c r="MW186" s="2"/>
      <c r="MX186" s="6"/>
      <c r="MY186" s="4"/>
      <c r="MZ186" s="8"/>
      <c r="NA186" s="5" t="str">
        <f t="shared" si="558"/>
        <v>NO APLICA</v>
      </c>
      <c r="NB186" s="2"/>
      <c r="NC186" s="6"/>
      <c r="ND186" s="4"/>
      <c r="NE186" s="8"/>
      <c r="NF186" s="5" t="str">
        <f t="shared" si="559"/>
        <v>NO APLICA</v>
      </c>
      <c r="NG186" s="2"/>
      <c r="NH186" s="6"/>
      <c r="NI186" s="4"/>
      <c r="NJ186" s="8"/>
      <c r="NK186" s="5" t="str">
        <f t="shared" si="560"/>
        <v>NO APLICA</v>
      </c>
      <c r="NL186" s="2"/>
      <c r="NM186" s="2"/>
      <c r="NN186" s="4"/>
      <c r="NO186" s="8"/>
      <c r="NP186" s="5" t="str">
        <f t="shared" si="561"/>
        <v>NO APLICA</v>
      </c>
      <c r="NQ186" s="2"/>
      <c r="NR186" s="2"/>
      <c r="NS186" s="2"/>
      <c r="NT186" s="2"/>
      <c r="NU186" s="5" t="str">
        <f t="shared" si="562"/>
        <v>NO APLICA</v>
      </c>
      <c r="NV186" s="6"/>
      <c r="NW186" s="4">
        <v>45568</v>
      </c>
      <c r="NX186" s="4">
        <f>DATE(YEAR(NW186)+2,MONTH(NW186),DAY(NW186))</f>
        <v>46298</v>
      </c>
      <c r="NY186" s="8">
        <f ca="1">NX186-TODAY()</f>
        <v>164</v>
      </c>
      <c r="NZ186" s="5" t="str">
        <f ca="1">IF(NY186&gt;=61,"VIGENTE",IF(NY186&gt;=1,"POR VENCER",IF(NY186&lt;=-1,"VENCIDA",IF(NW186=0,"NO APLICA"))))</f>
        <v>VIGENTE</v>
      </c>
      <c r="OA186" s="6"/>
      <c r="OB186" s="6"/>
      <c r="OC186" s="6"/>
      <c r="OD186" s="6"/>
      <c r="OE186" s="5" t="str">
        <f t="shared" si="564"/>
        <v>NO APLICA</v>
      </c>
      <c r="OF186" s="2"/>
      <c r="OG186" s="2"/>
      <c r="OH186" s="4"/>
      <c r="OI186" s="8"/>
      <c r="OJ186" s="5" t="str">
        <f t="shared" si="565"/>
        <v>NO APLICA</v>
      </c>
      <c r="OK186" s="6"/>
      <c r="OL186" s="6"/>
      <c r="OM186" s="6"/>
      <c r="ON186" s="6"/>
      <c r="OO186" s="5" t="str">
        <f t="shared" si="566"/>
        <v>NO APLICA</v>
      </c>
      <c r="OP186" s="6"/>
      <c r="OQ186" s="6"/>
      <c r="OR186" s="6"/>
      <c r="OS186" s="6"/>
      <c r="OT186" s="5" t="str">
        <f t="shared" si="567"/>
        <v>NO APLICA</v>
      </c>
      <c r="OU186" s="6"/>
      <c r="OV186" s="6"/>
      <c r="OW186" s="6"/>
      <c r="OX186" s="6"/>
      <c r="OY186" s="5" t="str">
        <f t="shared" si="568"/>
        <v>NO APLICA</v>
      </c>
      <c r="OZ186" s="6"/>
      <c r="PA186" s="6"/>
      <c r="PB186" s="6"/>
      <c r="PC186" s="6"/>
      <c r="PD186" s="5" t="str">
        <f t="shared" si="569"/>
        <v>NO APLICA</v>
      </c>
      <c r="PE186" s="6"/>
      <c r="PF186" s="6"/>
      <c r="PG186" s="6"/>
      <c r="PH186" s="6"/>
      <c r="PI186" s="5" t="str">
        <f t="shared" si="570"/>
        <v>NO APLICA</v>
      </c>
      <c r="PJ186" s="5"/>
      <c r="PK186" s="6"/>
      <c r="PL186" s="4"/>
      <c r="PM186" s="8"/>
      <c r="PN186" s="5" t="str">
        <f t="shared" si="571"/>
        <v>NO APLICA</v>
      </c>
      <c r="PO186" s="6"/>
      <c r="PP186" s="6"/>
      <c r="PQ186" s="6"/>
      <c r="PR186" s="6"/>
      <c r="PS186" s="5" t="str">
        <f t="shared" si="572"/>
        <v>NO APLICA</v>
      </c>
      <c r="PT186" s="5"/>
      <c r="PU186" s="6"/>
      <c r="PV186" s="6"/>
      <c r="PW186" s="6"/>
      <c r="PX186" s="5" t="str">
        <f t="shared" si="573"/>
        <v>NO APLICA</v>
      </c>
    </row>
    <row r="187" spans="1:440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595</v>
      </c>
      <c r="V187" s="4">
        <v>45849</v>
      </c>
      <c r="W187" s="4">
        <f t="shared" si="606"/>
        <v>47675</v>
      </c>
      <c r="X187" s="8">
        <f t="shared" ca="1" si="607"/>
        <v>1541</v>
      </c>
      <c r="Y187" s="5" t="str">
        <f t="shared" ca="1" si="624"/>
        <v>VIGENTE</v>
      </c>
      <c r="Z187" s="2" t="s">
        <v>596</v>
      </c>
      <c r="AA187" s="4">
        <v>45136</v>
      </c>
      <c r="AB187" s="4">
        <f t="shared" si="639"/>
        <v>46963</v>
      </c>
      <c r="AC187" s="8">
        <f t="shared" ca="1" si="634"/>
        <v>829</v>
      </c>
      <c r="AD187" s="5" t="str">
        <f t="shared" ca="1" si="627"/>
        <v>VIGENTE</v>
      </c>
      <c r="AE187" s="3"/>
      <c r="AF187" s="4">
        <v>45609</v>
      </c>
      <c r="AG187" s="4">
        <f t="shared" si="640"/>
        <v>46338</v>
      </c>
      <c r="AH187" s="8">
        <f t="shared" ca="1" si="470"/>
        <v>204</v>
      </c>
      <c r="AI187" s="5" t="str">
        <f t="shared" ca="1" si="621"/>
        <v>VIGENTE</v>
      </c>
      <c r="AJ187" s="3"/>
      <c r="AK187" s="4">
        <v>45516</v>
      </c>
      <c r="AL187" s="4">
        <f>DATE(YEAR(AK187)+2,MONTH(AK187),DAY(AK187)-1)</f>
        <v>46245</v>
      </c>
      <c r="AM187" s="8">
        <f t="shared" ca="1" si="471"/>
        <v>111</v>
      </c>
      <c r="AN187" s="5" t="str">
        <f t="shared" ca="1" si="472"/>
        <v>VIGENTE</v>
      </c>
      <c r="AO187" s="3"/>
      <c r="AP187" s="4">
        <v>45529</v>
      </c>
      <c r="AQ187" s="4">
        <f t="shared" ref="AQ187" si="684">DATE(YEAR(AP187)+2,MONTH(AP187),DAY(AP187)-1)</f>
        <v>46258</v>
      </c>
      <c r="AR187" s="8">
        <f t="shared" ca="1" si="473"/>
        <v>124</v>
      </c>
      <c r="AS187" s="5" t="str">
        <f t="shared" ca="1" si="474"/>
        <v>VIGENTE</v>
      </c>
      <c r="AT187" s="3"/>
      <c r="AU187" s="4">
        <v>45523</v>
      </c>
      <c r="AV187" s="4">
        <f t="shared" si="643"/>
        <v>46252</v>
      </c>
      <c r="AW187" s="8">
        <f t="shared" ca="1" si="475"/>
        <v>118</v>
      </c>
      <c r="AX187" s="5" t="str">
        <f t="shared" ca="1" si="476"/>
        <v>VIGENTE</v>
      </c>
      <c r="AY187" s="3"/>
      <c r="AZ187" s="4">
        <v>45534</v>
      </c>
      <c r="BA187" s="4">
        <f t="shared" si="644"/>
        <v>46263</v>
      </c>
      <c r="BB187" s="8">
        <f t="shared" ca="1" si="477"/>
        <v>129</v>
      </c>
      <c r="BC187" s="5" t="str">
        <f t="shared" ca="1" si="478"/>
        <v>VIGENTE</v>
      </c>
      <c r="BD187" s="3"/>
      <c r="BE187" s="4">
        <v>45531</v>
      </c>
      <c r="BF187" s="4">
        <f t="shared" ref="BF187" si="685">DATE(YEAR(BE187)+2,MONTH(BE187),DAY(BE187)-1)</f>
        <v>46260</v>
      </c>
      <c r="BG187" s="8">
        <f t="shared" ca="1" si="479"/>
        <v>126</v>
      </c>
      <c r="BH187" s="5" t="str">
        <f t="shared" ca="1" si="480"/>
        <v>VIGENTE</v>
      </c>
      <c r="BI187" s="3"/>
      <c r="BJ187" s="4">
        <v>45519</v>
      </c>
      <c r="BK187" s="4">
        <f t="shared" ref="BK187" si="686">DATE(YEAR(BJ187)+2,MONTH(BJ187),DAY(BJ187)-1)</f>
        <v>46248</v>
      </c>
      <c r="BL187" s="8">
        <f t="shared" ca="1" si="481"/>
        <v>114</v>
      </c>
      <c r="BM187" s="5" t="str">
        <f t="shared" ca="1" si="482"/>
        <v>VIGENTE</v>
      </c>
      <c r="BN187" s="3"/>
      <c r="BO187" s="4">
        <v>45532</v>
      </c>
      <c r="BP187" s="4">
        <f>DATE(YEAR(BO187)+2,MONTH(BO187),DAY(BO187)-1)</f>
        <v>46261</v>
      </c>
      <c r="BQ187" s="8">
        <f t="shared" ca="1" si="483"/>
        <v>127</v>
      </c>
      <c r="BR187" s="5" t="str">
        <f t="shared" ca="1" si="484"/>
        <v>VIGENTE</v>
      </c>
      <c r="BS187" s="3"/>
      <c r="BT187" s="4">
        <v>45484</v>
      </c>
      <c r="BU187" s="4">
        <f t="shared" si="647"/>
        <v>46213</v>
      </c>
      <c r="BV187" s="8">
        <f t="shared" ca="1" si="485"/>
        <v>79</v>
      </c>
      <c r="BW187" s="5" t="str">
        <f t="shared" ca="1" si="486"/>
        <v>POR VENCER</v>
      </c>
      <c r="BX187" s="3"/>
      <c r="BY187" s="4">
        <v>45730</v>
      </c>
      <c r="BZ187" s="4">
        <f t="shared" si="648"/>
        <v>46459</v>
      </c>
      <c r="CA187" s="8">
        <f t="shared" ca="1" si="487"/>
        <v>325</v>
      </c>
      <c r="CB187" s="5" t="str">
        <f t="shared" ca="1" si="488"/>
        <v>VIGENTE</v>
      </c>
      <c r="CC187" s="6" t="s">
        <v>73</v>
      </c>
      <c r="CD187" s="4">
        <v>45262</v>
      </c>
      <c r="CE187" s="4">
        <f t="shared" si="609"/>
        <v>46723</v>
      </c>
      <c r="CF187" s="8">
        <f t="shared" ca="1" si="610"/>
        <v>589</v>
      </c>
      <c r="CG187" s="5" t="str">
        <f t="shared" ca="1" si="591"/>
        <v>VIGENTE</v>
      </c>
      <c r="CH187" s="4"/>
      <c r="CI187" s="4">
        <v>45500</v>
      </c>
      <c r="CJ187" s="4">
        <f t="shared" si="649"/>
        <v>46229</v>
      </c>
      <c r="CK187" s="8">
        <f t="shared" ca="1" si="489"/>
        <v>95</v>
      </c>
      <c r="CL187" s="5" t="str">
        <f t="shared" ca="1" si="490"/>
        <v>VIGENTE</v>
      </c>
      <c r="CM187" s="3"/>
      <c r="CN187" s="4">
        <v>45481</v>
      </c>
      <c r="CO187" s="4">
        <f t="shared" si="650"/>
        <v>46210</v>
      </c>
      <c r="CP187" s="8">
        <f t="shared" ca="1" si="491"/>
        <v>76</v>
      </c>
      <c r="CQ187" s="5" t="str">
        <f t="shared" ca="1" si="492"/>
        <v>POR VENCER</v>
      </c>
      <c r="CR187" s="3"/>
      <c r="CS187" s="4">
        <v>45639</v>
      </c>
      <c r="CT187" s="4">
        <f t="shared" si="651"/>
        <v>46368</v>
      </c>
      <c r="CU187" s="8">
        <f t="shared" ca="1" si="493"/>
        <v>234</v>
      </c>
      <c r="CV187" s="5" t="str">
        <f t="shared" ca="1" si="494"/>
        <v>VIGENTE</v>
      </c>
      <c r="CW187" s="3"/>
      <c r="CX187" s="4">
        <v>45681</v>
      </c>
      <c r="CY187" s="4">
        <f t="shared" si="652"/>
        <v>46410</v>
      </c>
      <c r="CZ187" s="8">
        <f t="shared" ca="1" si="495"/>
        <v>276</v>
      </c>
      <c r="DA187" s="5" t="str">
        <f t="shared" ca="1" si="496"/>
        <v>VIGENTE</v>
      </c>
      <c r="DB187" s="3"/>
      <c r="DC187" s="4">
        <v>45689</v>
      </c>
      <c r="DD187" s="4">
        <f t="shared" si="653"/>
        <v>46418</v>
      </c>
      <c r="DE187" s="8">
        <f t="shared" ca="1" si="497"/>
        <v>284</v>
      </c>
      <c r="DF187" s="5" t="str">
        <f t="shared" ca="1" si="498"/>
        <v>VIGENTE</v>
      </c>
      <c r="DG187" s="3"/>
      <c r="DH187" s="4">
        <v>45580</v>
      </c>
      <c r="DI187" s="4">
        <f t="shared" ref="DI187" si="687">DATE(YEAR(DH187)+2,MONTH(DH187),DAY(DH187)-1)</f>
        <v>46309</v>
      </c>
      <c r="DJ187" s="8">
        <f t="shared" ca="1" si="499"/>
        <v>175</v>
      </c>
      <c r="DK187" s="5" t="str">
        <f t="shared" ca="1" si="500"/>
        <v>VIGENTE</v>
      </c>
      <c r="DL187" s="3"/>
      <c r="DM187" s="4">
        <v>45577</v>
      </c>
      <c r="DN187" s="4">
        <f t="shared" si="655"/>
        <v>46306</v>
      </c>
      <c r="DO187" s="8">
        <f t="shared" ca="1" si="501"/>
        <v>172</v>
      </c>
      <c r="DP187" s="5" t="str">
        <f t="shared" ca="1" si="502"/>
        <v>VIGENTE</v>
      </c>
      <c r="DQ187" s="3"/>
      <c r="DR187" s="4">
        <v>45619</v>
      </c>
      <c r="DS187" s="4">
        <f t="shared" ref="DS187:DS190" si="688">DATE(YEAR(DR187)+2,MONTH(DR187),DAY(DR187)-1)</f>
        <v>46348</v>
      </c>
      <c r="DT187" s="8">
        <f t="shared" ca="1" si="503"/>
        <v>214</v>
      </c>
      <c r="DU187" s="5" t="str">
        <f t="shared" ca="1" si="504"/>
        <v>VIGENTE</v>
      </c>
      <c r="DV187" s="3"/>
      <c r="DW187" s="4">
        <v>45751</v>
      </c>
      <c r="DX187" s="4">
        <f t="shared" si="656"/>
        <v>46480</v>
      </c>
      <c r="DY187" s="8">
        <f t="shared" ca="1" si="505"/>
        <v>346</v>
      </c>
      <c r="DZ187" s="5" t="str">
        <f t="shared" ca="1" si="506"/>
        <v>VIGENTE</v>
      </c>
      <c r="EA187" s="3"/>
      <c r="EB187" s="4">
        <v>45768</v>
      </c>
      <c r="EC187" s="4">
        <f t="shared" si="657"/>
        <v>46498</v>
      </c>
      <c r="ED187" s="8">
        <f t="shared" ca="1" si="507"/>
        <v>364</v>
      </c>
      <c r="EE187" s="5" t="str">
        <f t="shared" ca="1" si="508"/>
        <v>VIGENTE</v>
      </c>
      <c r="EF187" s="3"/>
      <c r="EG187" s="3">
        <v>46107</v>
      </c>
      <c r="EH187" s="4">
        <f t="shared" si="575"/>
        <v>46472</v>
      </c>
      <c r="EI187" s="8">
        <f t="shared" ca="1" si="509"/>
        <v>338</v>
      </c>
      <c r="EJ187" s="5" t="str">
        <f t="shared" ca="1" si="510"/>
        <v>VIGENTE</v>
      </c>
      <c r="EK187" s="3"/>
      <c r="EL187" s="4">
        <v>45660</v>
      </c>
      <c r="EM187" s="4">
        <f t="shared" si="658"/>
        <v>46389</v>
      </c>
      <c r="EN187" s="8">
        <f t="shared" ca="1" si="511"/>
        <v>255</v>
      </c>
      <c r="EO187" s="5" t="str">
        <f t="shared" ca="1" si="512"/>
        <v>VIGENTE</v>
      </c>
      <c r="EP187" s="3"/>
      <c r="EQ187" s="4">
        <v>45524</v>
      </c>
      <c r="ER187" s="4">
        <f t="shared" ref="ER187:ER190" si="689">DATE(YEAR(EQ187)+2,MONTH(EQ187),DAY(EQ187)-1)</f>
        <v>46253</v>
      </c>
      <c r="ES187" s="8">
        <f t="shared" ca="1" si="513"/>
        <v>119</v>
      </c>
      <c r="ET187" s="5" t="str">
        <f t="shared" ca="1" si="514"/>
        <v>VIGENTE</v>
      </c>
      <c r="EU187" s="3"/>
      <c r="EV187" s="4">
        <v>45694</v>
      </c>
      <c r="EW187" s="4">
        <f t="shared" ref="EW187" si="690">DATE(YEAR(EV187)+2,MONTH(EV187),DAY(EV187)-1)</f>
        <v>46423</v>
      </c>
      <c r="EX187" s="8">
        <f t="shared" ca="1" si="515"/>
        <v>289</v>
      </c>
      <c r="EY187" s="5" t="str">
        <f t="shared" ca="1" si="516"/>
        <v>VIGENTE</v>
      </c>
      <c r="EZ187" s="3"/>
      <c r="FA187" s="4">
        <v>45611</v>
      </c>
      <c r="FB187" s="4">
        <f t="shared" ref="FB187:FB190" si="691">DATE(YEAR(FA187)+2,MONTH(FA187),DAY(FA187)-1)</f>
        <v>46340</v>
      </c>
      <c r="FC187" s="8">
        <f t="shared" ca="1" si="517"/>
        <v>206</v>
      </c>
      <c r="FD187" s="5" t="str">
        <f t="shared" ca="1" si="518"/>
        <v>VIGENTE</v>
      </c>
      <c r="FE187" s="3"/>
      <c r="FF187" s="4">
        <v>45668</v>
      </c>
      <c r="FG187" s="4">
        <f t="shared" si="661"/>
        <v>46397</v>
      </c>
      <c r="FH187" s="8">
        <f t="shared" ca="1" si="519"/>
        <v>263</v>
      </c>
      <c r="FI187" s="5" t="str">
        <f t="shared" ca="1" si="520"/>
        <v>VIGENTE</v>
      </c>
      <c r="FJ187" s="3"/>
      <c r="FK187" s="4">
        <v>45530</v>
      </c>
      <c r="FL187" s="4">
        <f t="shared" ref="FL187:FL190" si="692">DATE(YEAR(FK187)+2,MONTH(FK187),DAY(FK187)-1)</f>
        <v>46259</v>
      </c>
      <c r="FM187" s="8">
        <f t="shared" ca="1" si="521"/>
        <v>125</v>
      </c>
      <c r="FN187" s="5" t="str">
        <f t="shared" ca="1" si="522"/>
        <v>VIGENTE</v>
      </c>
      <c r="FO187" s="3"/>
      <c r="FP187" s="4">
        <v>45605</v>
      </c>
      <c r="FQ187" s="4">
        <f t="shared" si="663"/>
        <v>46334</v>
      </c>
      <c r="FR187" s="8">
        <f t="shared" ca="1" si="523"/>
        <v>200</v>
      </c>
      <c r="FS187" s="5" t="str">
        <f t="shared" ca="1" si="524"/>
        <v>VIGENTE</v>
      </c>
      <c r="FT187" s="3"/>
      <c r="FU187" s="4">
        <v>45581</v>
      </c>
      <c r="FV187" s="4">
        <f t="shared" si="664"/>
        <v>46310</v>
      </c>
      <c r="FW187" s="8">
        <f t="shared" ca="1" si="525"/>
        <v>176</v>
      </c>
      <c r="FX187" s="5" t="str">
        <f t="shared" ca="1" si="526"/>
        <v>VIGENTE</v>
      </c>
      <c r="FY187" s="3"/>
      <c r="FZ187" s="4">
        <v>45595</v>
      </c>
      <c r="GA187" s="4">
        <f t="shared" si="665"/>
        <v>46324</v>
      </c>
      <c r="GB187" s="8">
        <f t="shared" ca="1" si="527"/>
        <v>190</v>
      </c>
      <c r="GC187" s="5" t="str">
        <f t="shared" ca="1" si="528"/>
        <v>VIGENTE</v>
      </c>
      <c r="GD187" s="3"/>
      <c r="GE187" s="4">
        <v>45579</v>
      </c>
      <c r="GF187" s="4">
        <f t="shared" si="666"/>
        <v>46308</v>
      </c>
      <c r="GG187" s="8">
        <f t="shared" ca="1" si="529"/>
        <v>174</v>
      </c>
      <c r="GH187" s="5" t="str">
        <f t="shared" ca="1" si="530"/>
        <v>VIGENTE</v>
      </c>
      <c r="GI187" s="3"/>
      <c r="GJ187" s="4">
        <v>45557</v>
      </c>
      <c r="GK187" s="4">
        <f t="shared" si="667"/>
        <v>46286</v>
      </c>
      <c r="GL187" s="8">
        <f t="shared" ca="1" si="531"/>
        <v>152</v>
      </c>
      <c r="GM187" s="5" t="str">
        <f t="shared" ca="1" si="532"/>
        <v>VIGENTE</v>
      </c>
      <c r="GN187" s="4"/>
      <c r="GO187" s="4">
        <v>44912</v>
      </c>
      <c r="GP187" s="4">
        <f t="shared" si="533"/>
        <v>46738</v>
      </c>
      <c r="GQ187" s="8">
        <f t="shared" ca="1" si="620"/>
        <v>604</v>
      </c>
      <c r="GR187" s="5" t="str">
        <f t="shared" ca="1" si="630"/>
        <v>VIGENTE</v>
      </c>
      <c r="GS187" s="3"/>
      <c r="GT187" s="4">
        <v>44910</v>
      </c>
      <c r="GU187" s="4">
        <f t="shared" si="534"/>
        <v>46736</v>
      </c>
      <c r="GV187" s="8">
        <f t="shared" ca="1" si="535"/>
        <v>602</v>
      </c>
      <c r="GW187" s="5" t="str">
        <f t="shared" ca="1" si="631"/>
        <v>VIGENTE</v>
      </c>
      <c r="GX187" s="2"/>
      <c r="GY187" s="4">
        <v>44911</v>
      </c>
      <c r="GZ187" s="4">
        <f t="shared" si="536"/>
        <v>46737</v>
      </c>
      <c r="HA187" s="8">
        <f t="shared" ca="1" si="537"/>
        <v>603</v>
      </c>
      <c r="HB187" s="5" t="str">
        <f t="shared" ca="1" si="632"/>
        <v>VIGENTE</v>
      </c>
      <c r="HC187" s="6"/>
      <c r="HD187" s="4">
        <v>45020</v>
      </c>
      <c r="HE187" s="4">
        <f t="shared" si="668"/>
        <v>46847</v>
      </c>
      <c r="HF187" s="8">
        <f t="shared" ca="1" si="636"/>
        <v>713</v>
      </c>
      <c r="HG187" s="5" t="str">
        <f t="shared" ca="1" si="633"/>
        <v>VIGENTE</v>
      </c>
      <c r="HH187" s="2"/>
      <c r="HI187" s="6"/>
      <c r="HJ187" s="4"/>
      <c r="HK187" s="8"/>
      <c r="HL187" s="5" t="str">
        <f t="shared" si="457"/>
        <v>NO APLICA</v>
      </c>
      <c r="HM187" s="2"/>
      <c r="HN187" s="2"/>
      <c r="HO187" s="4"/>
      <c r="HP187" s="2"/>
      <c r="HQ187" s="5" t="str">
        <f t="shared" si="538"/>
        <v>NO APLICA</v>
      </c>
      <c r="HR187" s="2"/>
      <c r="HS187" s="4">
        <v>44990</v>
      </c>
      <c r="HT187" s="4">
        <f>DATE(YEAR(HS187)+5,MONTH(HS187),DAY(HS187))</f>
        <v>46817</v>
      </c>
      <c r="HU187" s="8">
        <f ca="1">HT187-TODAY()</f>
        <v>683</v>
      </c>
      <c r="HV187" s="5" t="str">
        <f ca="1">IF(HU187&gt;=61,"VIGENTE",IF(HU187&gt;=1,"POR VENCER",IF(HU187&lt;=-1,"VENCIDA",IF(HS187=0,"NO APLICA"))))</f>
        <v>VIGENTE</v>
      </c>
      <c r="HW187" s="2"/>
      <c r="HX187" s="4">
        <v>44978</v>
      </c>
      <c r="HY187" s="4">
        <f>DATE(YEAR(HX187)+5,MONTH(HX187),DAY(HX187))</f>
        <v>46804</v>
      </c>
      <c r="HZ187" s="8">
        <f ca="1">HY187-TODAY()</f>
        <v>670</v>
      </c>
      <c r="IA187" s="5" t="str">
        <f ca="1">IF(HZ187&gt;=61,"VIGENTE",IF(HZ187&gt;=1,"POR VENCER",IF(HZ187&lt;=-1,"VENCIDA",IF(HX187=0,"NO APLICA"))))</f>
        <v>VIGENTE</v>
      </c>
      <c r="IB187" s="2"/>
      <c r="IC187" s="4">
        <v>44972</v>
      </c>
      <c r="ID187" s="4">
        <f>DATE(YEAR(IC187)+5,MONTH(IC187),DAY(IC187))</f>
        <v>46798</v>
      </c>
      <c r="IE187" s="8">
        <f ca="1">ID187-TODAY()</f>
        <v>664</v>
      </c>
      <c r="IF187" s="5" t="str">
        <f ca="1">IF(IE187&gt;=61,"VIGENTE",IF(IE187&gt;=1,"POR VENCER",IF(IE187&lt;=-1,"VENCIDA",IF(IC187=0,"NO APLICA"))))</f>
        <v>VIGENTE</v>
      </c>
      <c r="IG187" s="6"/>
      <c r="IH187" s="4">
        <v>45058</v>
      </c>
      <c r="II187" s="4">
        <f>DATE(YEAR(IH187)+5,MONTH(IH187),DAY(IH187))</f>
        <v>46885</v>
      </c>
      <c r="IJ187" s="8">
        <f ca="1">II187-TODAY()</f>
        <v>751</v>
      </c>
      <c r="IK187" s="5" t="str">
        <f ca="1">IF(IJ187&gt;=61,"VIGENTE",IF(IJ187&gt;=1,"POR VENCER",IF(IJ187&lt;=-1,"VENCIDA",IF(IH187=0,"NO APLICA"))))</f>
        <v>VIGENTE</v>
      </c>
      <c r="IL187" s="2"/>
      <c r="IM187" s="4">
        <v>45064</v>
      </c>
      <c r="IN187" s="4">
        <f>DATE(YEAR(IM187)+5,MONTH(IM187),DAY(IM187))</f>
        <v>46891</v>
      </c>
      <c r="IO187" s="8">
        <f ca="1">IN187-TODAY()</f>
        <v>757</v>
      </c>
      <c r="IP187" s="5" t="str">
        <f ca="1">IF(IO187&gt;=61,"VIGENTE",IF(IO187&gt;=1,"POR VENCER",IF(IO187&lt;=-1,"VENCIDA",IF(IM187=0,"NO APLICA"))))</f>
        <v>VIGENTE</v>
      </c>
      <c r="IQ187" s="2"/>
      <c r="IR187" s="4">
        <v>45013</v>
      </c>
      <c r="IS187" s="4">
        <f t="shared" si="669"/>
        <v>46840</v>
      </c>
      <c r="IT187" s="8">
        <f t="shared" ca="1" si="637"/>
        <v>706</v>
      </c>
      <c r="IU187" s="5" t="str">
        <f t="shared" ca="1" si="544"/>
        <v>VIGENTE</v>
      </c>
      <c r="IV187" s="2"/>
      <c r="IW187" s="4">
        <v>44973</v>
      </c>
      <c r="IX187" s="4">
        <f t="shared" si="670"/>
        <v>46799</v>
      </c>
      <c r="IY187" s="8">
        <f t="shared" ca="1" si="638"/>
        <v>665</v>
      </c>
      <c r="IZ187" s="5" t="str">
        <f t="shared" ca="1" si="545"/>
        <v>VIGENTE</v>
      </c>
      <c r="JA187" s="3"/>
      <c r="JB187" s="3"/>
      <c r="JC187" s="4"/>
      <c r="JD187" s="8"/>
      <c r="JE187" s="5" t="str">
        <f t="shared" si="546"/>
        <v>NO APLICA</v>
      </c>
      <c r="JF187" s="6"/>
      <c r="JG187" s="6"/>
      <c r="JH187" s="6"/>
      <c r="JI187" s="6"/>
      <c r="JJ187" s="5" t="str">
        <f t="shared" si="547"/>
        <v>NO APLICA</v>
      </c>
      <c r="JK187" s="6"/>
      <c r="JL187" s="6"/>
      <c r="JM187" s="6"/>
      <c r="JN187" s="6"/>
      <c r="JO187" s="5" t="str">
        <f t="shared" si="548"/>
        <v>NO APLICA</v>
      </c>
      <c r="JP187" s="6"/>
      <c r="JQ187" s="6"/>
      <c r="JR187" s="6"/>
      <c r="JS187" s="6"/>
      <c r="JT187" s="5" t="str">
        <f t="shared" si="549"/>
        <v>NO APLICA</v>
      </c>
      <c r="JU187" s="5"/>
      <c r="JV187" s="5"/>
      <c r="JW187" s="5"/>
      <c r="JX187" s="5"/>
      <c r="JY187" s="5" t="str">
        <f t="shared" si="550"/>
        <v>NO APLICA</v>
      </c>
      <c r="JZ187" s="5"/>
      <c r="KA187" s="2"/>
      <c r="KB187" s="4"/>
      <c r="KC187" s="8"/>
      <c r="KD187" s="5" t="str">
        <f t="shared" si="551"/>
        <v>NO APLICA</v>
      </c>
      <c r="KE187" s="5"/>
      <c r="KF187" s="2"/>
      <c r="KG187" s="4"/>
      <c r="KH187" s="8"/>
      <c r="KI187" s="5" t="str">
        <f t="shared" si="576"/>
        <v>NO APLICA</v>
      </c>
      <c r="KJ187" s="5"/>
      <c r="KK187" s="2"/>
      <c r="KL187" s="4"/>
      <c r="KM187" s="8"/>
      <c r="KN187" s="5" t="str">
        <f t="shared" si="552"/>
        <v>NO APLICA</v>
      </c>
      <c r="KO187" s="5"/>
      <c r="KP187" s="2"/>
      <c r="KQ187" s="4"/>
      <c r="KR187" s="8"/>
      <c r="KS187" s="5" t="str">
        <f t="shared" si="577"/>
        <v>NO APLICA</v>
      </c>
      <c r="KT187" s="2"/>
      <c r="KU187" s="6"/>
      <c r="KV187" s="4"/>
      <c r="KW187" s="8"/>
      <c r="KX187" s="5" t="str">
        <f t="shared" si="583"/>
        <v>NO APLICA</v>
      </c>
      <c r="KY187" s="5"/>
      <c r="KZ187" s="6"/>
      <c r="LA187" s="4"/>
      <c r="LB187" s="8"/>
      <c r="LC187" s="5" t="str">
        <f t="shared" si="578"/>
        <v>NO APLICA</v>
      </c>
      <c r="LD187" s="6"/>
      <c r="LE187" s="4"/>
      <c r="LF187" s="4"/>
      <c r="LG187" s="8"/>
      <c r="LH187" s="5" t="str">
        <f>IF(LG187&gt;=61,"VIGENTE",IF(LG187&gt;=1,"POR VENCER",IF(LG187&lt;=-1,"VENCIDA",IF(LE187=0,"NO APLICA"))))</f>
        <v>NO APLICA</v>
      </c>
      <c r="LI187" s="5"/>
      <c r="LJ187" s="5"/>
      <c r="LK187" s="5"/>
      <c r="LL187" s="5"/>
      <c r="LM187" s="5" t="str">
        <f t="shared" si="584"/>
        <v>NO APLICA</v>
      </c>
      <c r="LN187" s="2"/>
      <c r="LO187" s="6"/>
      <c r="LP187" s="4"/>
      <c r="LQ187" s="8"/>
      <c r="LR187" s="5" t="str">
        <f t="shared" si="579"/>
        <v>NO APLICA</v>
      </c>
      <c r="LS187" s="6"/>
      <c r="LT187" s="6"/>
      <c r="LU187" s="4"/>
      <c r="LV187" s="8"/>
      <c r="LW187" s="5" t="str">
        <f t="shared" si="580"/>
        <v>NO APLICA</v>
      </c>
      <c r="LX187" s="6"/>
      <c r="LY187" s="6"/>
      <c r="LZ187" s="4"/>
      <c r="MA187" s="8"/>
      <c r="MB187" s="5" t="str">
        <f t="shared" si="581"/>
        <v>NO APLICA</v>
      </c>
      <c r="MC187" s="2"/>
      <c r="MD187" s="2"/>
      <c r="ME187" s="4"/>
      <c r="MF187" s="8"/>
      <c r="MG187" s="5" t="str">
        <f t="shared" si="554"/>
        <v>NO APLICA</v>
      </c>
      <c r="MH187" s="2"/>
      <c r="MI187" s="2"/>
      <c r="MJ187" s="4"/>
      <c r="MK187" s="8"/>
      <c r="ML187" s="5" t="str">
        <f t="shared" si="555"/>
        <v>NO APLICA</v>
      </c>
      <c r="MM187" s="5"/>
      <c r="MN187" s="2"/>
      <c r="MO187" s="4"/>
      <c r="MP187" s="8"/>
      <c r="MQ187" s="5" t="str">
        <f t="shared" si="556"/>
        <v>NO APLICA</v>
      </c>
      <c r="MR187" s="5"/>
      <c r="MS187" s="2"/>
      <c r="MT187" s="4"/>
      <c r="MU187" s="2"/>
      <c r="MV187" s="5" t="str">
        <f t="shared" si="557"/>
        <v>NO APLICA</v>
      </c>
      <c r="MW187" s="2"/>
      <c r="MX187" s="6"/>
      <c r="MY187" s="4"/>
      <c r="MZ187" s="8"/>
      <c r="NA187" s="5" t="str">
        <f t="shared" si="558"/>
        <v>NO APLICA</v>
      </c>
      <c r="NB187" s="2"/>
      <c r="NC187" s="6"/>
      <c r="ND187" s="4"/>
      <c r="NE187" s="8"/>
      <c r="NF187" s="5" t="str">
        <f t="shared" si="559"/>
        <v>NO APLICA</v>
      </c>
      <c r="NG187" s="2"/>
      <c r="NH187" s="6"/>
      <c r="NI187" s="4"/>
      <c r="NJ187" s="8"/>
      <c r="NK187" s="5" t="str">
        <f t="shared" si="560"/>
        <v>NO APLICA</v>
      </c>
      <c r="NL187" s="2"/>
      <c r="NM187" s="2"/>
      <c r="NN187" s="4"/>
      <c r="NO187" s="2"/>
      <c r="NP187" s="5" t="str">
        <f t="shared" si="561"/>
        <v>NO APLICA</v>
      </c>
      <c r="NQ187" s="2"/>
      <c r="NR187" s="2"/>
      <c r="NS187" s="4"/>
      <c r="NT187" s="2"/>
      <c r="NU187" s="5" t="str">
        <f t="shared" si="562"/>
        <v>NO APLICA</v>
      </c>
      <c r="NV187" s="6"/>
      <c r="NW187" s="6"/>
      <c r="NX187" s="4"/>
      <c r="NY187" s="8"/>
      <c r="NZ187" s="5" t="str">
        <f t="shared" si="563"/>
        <v>NO APLICA</v>
      </c>
      <c r="OA187" s="6"/>
      <c r="OB187" s="6"/>
      <c r="OC187" s="6"/>
      <c r="OD187" s="6"/>
      <c r="OE187" s="5" t="str">
        <f t="shared" si="564"/>
        <v>NO APLICA</v>
      </c>
      <c r="OF187" s="6"/>
      <c r="OG187" s="6"/>
      <c r="OH187" s="4"/>
      <c r="OI187" s="8"/>
      <c r="OJ187" s="5" t="str">
        <f t="shared" si="565"/>
        <v>NO APLICA</v>
      </c>
      <c r="OK187" s="6"/>
      <c r="OL187" s="6"/>
      <c r="OM187" s="6"/>
      <c r="ON187" s="6"/>
      <c r="OO187" s="5" t="str">
        <f t="shared" si="566"/>
        <v>NO APLICA</v>
      </c>
      <c r="OP187" s="6"/>
      <c r="OQ187" s="6"/>
      <c r="OR187" s="6"/>
      <c r="OS187" s="6"/>
      <c r="OT187" s="5" t="str">
        <f t="shared" si="567"/>
        <v>NO APLICA</v>
      </c>
      <c r="OU187" s="6"/>
      <c r="OV187" s="6"/>
      <c r="OW187" s="6"/>
      <c r="OX187" s="6"/>
      <c r="OY187" s="5" t="str">
        <f t="shared" si="568"/>
        <v>NO APLICA</v>
      </c>
      <c r="OZ187" s="6"/>
      <c r="PA187" s="6"/>
      <c r="PB187" s="6"/>
      <c r="PC187" s="6"/>
      <c r="PD187" s="5" t="str">
        <f t="shared" si="569"/>
        <v>NO APLICA</v>
      </c>
      <c r="PE187" s="6"/>
      <c r="PF187" s="6"/>
      <c r="PG187" s="6"/>
      <c r="PH187" s="6"/>
      <c r="PI187" s="5" t="str">
        <f t="shared" si="570"/>
        <v>NO APLICA</v>
      </c>
      <c r="PJ187" s="5"/>
      <c r="PK187" s="6"/>
      <c r="PL187" s="4"/>
      <c r="PM187" s="8"/>
      <c r="PN187" s="5" t="str">
        <f t="shared" si="571"/>
        <v>NO APLICA</v>
      </c>
      <c r="PO187" s="6"/>
      <c r="PP187" s="6"/>
      <c r="PQ187" s="6"/>
      <c r="PR187" s="6"/>
      <c r="PS187" s="5" t="str">
        <f t="shared" si="572"/>
        <v>NO APLICA</v>
      </c>
      <c r="PT187" s="5"/>
      <c r="PU187" s="6"/>
      <c r="PV187" s="6"/>
      <c r="PW187" s="6"/>
      <c r="PX187" s="5" t="str">
        <f t="shared" si="573"/>
        <v>NO APLICA</v>
      </c>
    </row>
    <row r="188" spans="1:440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598</v>
      </c>
      <c r="V188" s="4">
        <v>45337</v>
      </c>
      <c r="W188" s="4">
        <f t="shared" si="606"/>
        <v>47164</v>
      </c>
      <c r="X188" s="8">
        <f t="shared" ca="1" si="607"/>
        <v>1030</v>
      </c>
      <c r="Y188" s="5" t="str">
        <f t="shared" ca="1" si="624"/>
        <v>VIGENTE</v>
      </c>
      <c r="Z188" s="2" t="s">
        <v>599</v>
      </c>
      <c r="AA188" s="4">
        <v>44824</v>
      </c>
      <c r="AB188" s="4">
        <f t="shared" si="639"/>
        <v>46650</v>
      </c>
      <c r="AC188" s="8">
        <f t="shared" ca="1" si="634"/>
        <v>516</v>
      </c>
      <c r="AD188" s="5" t="str">
        <f t="shared" ca="1" si="627"/>
        <v>VIGENTE</v>
      </c>
      <c r="AE188" s="3"/>
      <c r="AF188" s="4">
        <v>45609</v>
      </c>
      <c r="AG188" s="4">
        <f t="shared" si="640"/>
        <v>46338</v>
      </c>
      <c r="AH188" s="8">
        <f t="shared" ca="1" si="470"/>
        <v>204</v>
      </c>
      <c r="AI188" s="5" t="str">
        <f t="shared" ca="1" si="621"/>
        <v>VIGENTE</v>
      </c>
      <c r="AJ188" s="3"/>
      <c r="AK188" s="4">
        <v>45926</v>
      </c>
      <c r="AL188" s="4">
        <f t="shared" ref="AL188:AL191" si="693">DATE(YEAR(AK188)+2,MONTH(AK188),DAY(AK188))</f>
        <v>46656</v>
      </c>
      <c r="AM188" s="8">
        <f t="shared" ca="1" si="471"/>
        <v>522</v>
      </c>
      <c r="AN188" s="5" t="str">
        <f t="shared" ca="1" si="472"/>
        <v>VIGENTE</v>
      </c>
      <c r="AO188" s="3"/>
      <c r="AP188" s="4">
        <v>45904</v>
      </c>
      <c r="AQ188" s="4">
        <f t="shared" ref="AQ188:AQ191" si="694">DATE(YEAR(AP188)+2,MONTH(AP188),DAY(AP188))</f>
        <v>46634</v>
      </c>
      <c r="AR188" s="8">
        <f t="shared" ca="1" si="473"/>
        <v>500</v>
      </c>
      <c r="AS188" s="5" t="str">
        <f t="shared" ca="1" si="474"/>
        <v>VIGENTE</v>
      </c>
      <c r="AT188" s="3"/>
      <c r="AU188" s="4">
        <v>45927</v>
      </c>
      <c r="AV188" s="4">
        <f>DATE(YEAR(AU188)+2,MONTH(AU188),DAY(AU188))</f>
        <v>46657</v>
      </c>
      <c r="AW188" s="8">
        <f t="shared" ca="1" si="475"/>
        <v>523</v>
      </c>
      <c r="AX188" s="5" t="str">
        <f t="shared" ca="1" si="476"/>
        <v>VIGENTE</v>
      </c>
      <c r="AY188" s="3"/>
      <c r="AZ188" s="4">
        <v>45901</v>
      </c>
      <c r="BA188" s="4">
        <f t="shared" ref="BA188:BA189" si="695">DATE(YEAR(AZ188)+2,MONTH(AZ188),DAY(AZ188))</f>
        <v>46631</v>
      </c>
      <c r="BB188" s="8">
        <f t="shared" ca="1" si="477"/>
        <v>497</v>
      </c>
      <c r="BC188" s="5" t="str">
        <f t="shared" ca="1" si="478"/>
        <v>VIGENTE</v>
      </c>
      <c r="BD188" s="3"/>
      <c r="BE188" s="4">
        <v>45968</v>
      </c>
      <c r="BF188" s="4">
        <f>DATE(YEAR(BE188)+2,MONTH(BE188),DAY(BE188))</f>
        <v>46698</v>
      </c>
      <c r="BG188" s="8">
        <f t="shared" ca="1" si="479"/>
        <v>564</v>
      </c>
      <c r="BH188" s="5" t="str">
        <f t="shared" ca="1" si="480"/>
        <v>VIGENTE</v>
      </c>
      <c r="BI188" s="3"/>
      <c r="BJ188" s="4">
        <v>46035</v>
      </c>
      <c r="BK188" s="4">
        <f t="shared" ref="BK188:BK191" si="696">DATE(YEAR(BJ188)+2,MONTH(BJ188),DAY(BJ188))</f>
        <v>46765</v>
      </c>
      <c r="BL188" s="8">
        <f t="shared" ca="1" si="481"/>
        <v>631</v>
      </c>
      <c r="BM188" s="5" t="str">
        <f t="shared" ca="1" si="482"/>
        <v>VIGENTE</v>
      </c>
      <c r="BN188" s="3"/>
      <c r="BO188" s="4">
        <v>45447</v>
      </c>
      <c r="BP188" s="4">
        <f>DATE(YEAR(BO188)+2,MONTH(BO188),DAY(BO188)-1)</f>
        <v>46176</v>
      </c>
      <c r="BQ188" s="8">
        <f t="shared" ca="1" si="483"/>
        <v>42</v>
      </c>
      <c r="BR188" s="5" t="str">
        <f t="shared" ca="1" si="484"/>
        <v>POR VENCER</v>
      </c>
      <c r="BS188" s="3"/>
      <c r="BT188" s="4">
        <v>45449</v>
      </c>
      <c r="BU188" s="4">
        <f t="shared" si="647"/>
        <v>46178</v>
      </c>
      <c r="BV188" s="8">
        <f t="shared" ca="1" si="485"/>
        <v>44</v>
      </c>
      <c r="BW188" s="5" t="str">
        <f t="shared" ca="1" si="486"/>
        <v>POR VENCER</v>
      </c>
      <c r="BX188" s="3"/>
      <c r="BY188" s="3">
        <v>45894</v>
      </c>
      <c r="BZ188" s="4">
        <f t="shared" ref="BZ188:BZ191" si="697">DATE(YEAR(BY188)+2,MONTH(BY188),DAY(BY188))</f>
        <v>46624</v>
      </c>
      <c r="CA188" s="8">
        <f t="shared" ca="1" si="487"/>
        <v>490</v>
      </c>
      <c r="CB188" s="5" t="str">
        <f t="shared" ca="1" si="488"/>
        <v>VIGENTE</v>
      </c>
      <c r="CC188" s="6" t="s">
        <v>73</v>
      </c>
      <c r="CD188" s="4">
        <v>45227</v>
      </c>
      <c r="CE188" s="4">
        <f t="shared" si="609"/>
        <v>46688</v>
      </c>
      <c r="CF188" s="8">
        <f t="shared" ca="1" si="610"/>
        <v>554</v>
      </c>
      <c r="CG188" s="5" t="str">
        <f t="shared" ca="1" si="591"/>
        <v>VIGENTE</v>
      </c>
      <c r="CH188" s="4"/>
      <c r="CI188" s="4">
        <v>45929</v>
      </c>
      <c r="CJ188" s="4">
        <f>DATE(YEAR(CI188)+2,MONTH(CI188),DAY(CI188))</f>
        <v>46659</v>
      </c>
      <c r="CK188" s="8">
        <f t="shared" ca="1" si="489"/>
        <v>525</v>
      </c>
      <c r="CL188" s="5" t="str">
        <f t="shared" ca="1" si="490"/>
        <v>VIGENTE</v>
      </c>
      <c r="CM188" s="3"/>
      <c r="CN188" s="4">
        <v>45898</v>
      </c>
      <c r="CO188" s="4">
        <f t="shared" ref="CO188:CO189" si="698">DATE(YEAR(CN188)+2,MONTH(CN188),DAY(CN188))</f>
        <v>46628</v>
      </c>
      <c r="CP188" s="8">
        <f t="shared" ca="1" si="491"/>
        <v>494</v>
      </c>
      <c r="CQ188" s="5" t="str">
        <f t="shared" ca="1" si="492"/>
        <v>VIGENTE</v>
      </c>
      <c r="CR188" s="3"/>
      <c r="CS188" s="4">
        <v>45631</v>
      </c>
      <c r="CT188" s="4">
        <f t="shared" si="651"/>
        <v>46360</v>
      </c>
      <c r="CU188" s="8">
        <f t="shared" ca="1" si="493"/>
        <v>226</v>
      </c>
      <c r="CV188" s="5" t="str">
        <f t="shared" ca="1" si="494"/>
        <v>VIGENTE</v>
      </c>
      <c r="CW188" s="3"/>
      <c r="CX188" s="4">
        <v>45665</v>
      </c>
      <c r="CY188" s="4">
        <f t="shared" si="652"/>
        <v>46394</v>
      </c>
      <c r="CZ188" s="8">
        <f t="shared" ca="1" si="495"/>
        <v>260</v>
      </c>
      <c r="DA188" s="5" t="str">
        <f t="shared" ca="1" si="496"/>
        <v>VIGENTE</v>
      </c>
      <c r="DB188" s="3"/>
      <c r="DC188" s="4">
        <v>45689</v>
      </c>
      <c r="DD188" s="4">
        <f t="shared" si="653"/>
        <v>46418</v>
      </c>
      <c r="DE188" s="8">
        <f t="shared" ca="1" si="497"/>
        <v>284</v>
      </c>
      <c r="DF188" s="5" t="str">
        <f t="shared" ca="1" si="498"/>
        <v>VIGENTE</v>
      </c>
      <c r="DG188" s="3"/>
      <c r="DH188" s="4">
        <v>45899</v>
      </c>
      <c r="DI188" s="4">
        <f t="shared" ref="DI188:DI191" si="699">DATE(YEAR(DH188)+2,MONTH(DH188),DAY(DH188))</f>
        <v>46629</v>
      </c>
      <c r="DJ188" s="8">
        <f t="shared" ca="1" si="499"/>
        <v>495</v>
      </c>
      <c r="DK188" s="5" t="str">
        <f t="shared" ca="1" si="500"/>
        <v>VIGENTE</v>
      </c>
      <c r="DL188" s="3"/>
      <c r="DM188" s="4">
        <v>45982</v>
      </c>
      <c r="DN188" s="4">
        <f t="shared" ref="DN188:DN191" si="700">DATE(YEAR(DM188)+2,MONTH(DM188),DAY(DM188))</f>
        <v>46712</v>
      </c>
      <c r="DO188" s="8">
        <f t="shared" ca="1" si="501"/>
        <v>578</v>
      </c>
      <c r="DP188" s="5" t="str">
        <f t="shared" ca="1" si="502"/>
        <v>VIGENTE</v>
      </c>
      <c r="DQ188" s="3"/>
      <c r="DR188" s="4">
        <v>45918</v>
      </c>
      <c r="DS188" s="4">
        <f>DATE(YEAR(DR188)+2,MONTH(DR188),DAY(DR188))</f>
        <v>46648</v>
      </c>
      <c r="DT188" s="8">
        <f t="shared" ca="1" si="503"/>
        <v>514</v>
      </c>
      <c r="DU188" s="5" t="str">
        <f t="shared" ca="1" si="504"/>
        <v>VIGENTE</v>
      </c>
      <c r="DV188" s="3"/>
      <c r="DW188" s="4">
        <v>45915</v>
      </c>
      <c r="DX188" s="4">
        <f t="shared" ref="DX188:DX189" si="701">DATE(YEAR(DW188)+2,MONTH(DW188),DAY(DW188))</f>
        <v>46645</v>
      </c>
      <c r="DY188" s="8">
        <f t="shared" ca="1" si="505"/>
        <v>511</v>
      </c>
      <c r="DZ188" s="5" t="str">
        <f t="shared" ca="1" si="506"/>
        <v>VIGENTE</v>
      </c>
      <c r="EA188" s="3"/>
      <c r="EB188" s="4">
        <v>45883</v>
      </c>
      <c r="EC188" s="4">
        <f t="shared" si="657"/>
        <v>46613</v>
      </c>
      <c r="ED188" s="8">
        <f t="shared" ca="1" si="507"/>
        <v>479</v>
      </c>
      <c r="EE188" s="5" t="str">
        <f t="shared" ca="1" si="508"/>
        <v>VIGENTE</v>
      </c>
      <c r="EF188" s="3"/>
      <c r="EG188" s="4">
        <v>45948</v>
      </c>
      <c r="EH188" s="4">
        <f t="shared" si="575"/>
        <v>46313</v>
      </c>
      <c r="EI188" s="8">
        <f t="shared" ca="1" si="509"/>
        <v>179</v>
      </c>
      <c r="EJ188" s="5" t="str">
        <f t="shared" ca="1" si="510"/>
        <v>VIGENTE</v>
      </c>
      <c r="EK188" s="3"/>
      <c r="EL188" s="4">
        <v>45983</v>
      </c>
      <c r="EM188" s="4">
        <f t="shared" ref="EM188:EM189" si="702">DATE(YEAR(EL188)+2,MONTH(EL188),DAY(EL188))</f>
        <v>46713</v>
      </c>
      <c r="EN188" s="8">
        <f t="shared" ca="1" si="511"/>
        <v>579</v>
      </c>
      <c r="EO188" s="5" t="str">
        <f t="shared" ca="1" si="512"/>
        <v>VIGENTE</v>
      </c>
      <c r="EP188" s="3"/>
      <c r="EQ188" s="4">
        <v>45999</v>
      </c>
      <c r="ER188" s="4">
        <f t="shared" ref="ER188:ER189" si="703">DATE(YEAR(EQ188)+2,MONTH(EQ188),DAY(EQ188))</f>
        <v>46729</v>
      </c>
      <c r="ES188" s="8">
        <f t="shared" ca="1" si="513"/>
        <v>595</v>
      </c>
      <c r="ET188" s="5" t="str">
        <f t="shared" ca="1" si="514"/>
        <v>VIGENTE</v>
      </c>
      <c r="EU188" s="3"/>
      <c r="EV188" s="4">
        <v>45917</v>
      </c>
      <c r="EW188" s="4">
        <f t="shared" ref="EW188:EW191" si="704">DATE(YEAR(EV188)+2,MONTH(EV188),DAY(EV188))</f>
        <v>46647</v>
      </c>
      <c r="EX188" s="8">
        <f t="shared" ca="1" si="515"/>
        <v>513</v>
      </c>
      <c r="EY188" s="5" t="str">
        <f t="shared" ca="1" si="516"/>
        <v>VIGENTE</v>
      </c>
      <c r="EZ188" s="3"/>
      <c r="FA188" s="4">
        <v>45922</v>
      </c>
      <c r="FB188" s="4">
        <f t="shared" ref="FB188:FB189" si="705">DATE(YEAR(FA188)+2,MONTH(FA188),DAY(FA188))</f>
        <v>46652</v>
      </c>
      <c r="FC188" s="8">
        <f t="shared" ca="1" si="517"/>
        <v>518</v>
      </c>
      <c r="FD188" s="5" t="str">
        <f t="shared" ca="1" si="518"/>
        <v>VIGENTE</v>
      </c>
      <c r="FE188" s="3"/>
      <c r="FF188" s="4">
        <v>45932</v>
      </c>
      <c r="FG188" s="4">
        <f t="shared" ref="FG188:FG191" si="706">DATE(YEAR(FF188)+2,MONTH(FF188),DAY(FF188))</f>
        <v>46662</v>
      </c>
      <c r="FH188" s="8">
        <f t="shared" ca="1" si="519"/>
        <v>528</v>
      </c>
      <c r="FI188" s="5" t="str">
        <f t="shared" ca="1" si="520"/>
        <v>VIGENTE</v>
      </c>
      <c r="FJ188" s="3"/>
      <c r="FK188" s="4">
        <v>45920</v>
      </c>
      <c r="FL188" s="4">
        <f t="shared" ref="FL188:FL189" si="707">DATE(YEAR(FK188)+2,MONTH(FK188),DAY(FK188))</f>
        <v>46650</v>
      </c>
      <c r="FM188" s="8">
        <f t="shared" ca="1" si="521"/>
        <v>516</v>
      </c>
      <c r="FN188" s="5" t="str">
        <f t="shared" ca="1" si="522"/>
        <v>VIGENTE</v>
      </c>
      <c r="FO188" s="3"/>
      <c r="FP188" s="4">
        <v>45957</v>
      </c>
      <c r="FQ188" s="4">
        <f t="shared" ref="FQ188:FQ189" si="708">DATE(YEAR(FP188)+2,MONTH(FP188),DAY(FP188))</f>
        <v>46687</v>
      </c>
      <c r="FR188" s="8">
        <f t="shared" ca="1" si="523"/>
        <v>553</v>
      </c>
      <c r="FS188" s="5" t="str">
        <f t="shared" ca="1" si="524"/>
        <v>VIGENTE</v>
      </c>
      <c r="FT188" s="3"/>
      <c r="FU188" s="4">
        <v>45587</v>
      </c>
      <c r="FV188" s="4">
        <f t="shared" si="664"/>
        <v>46316</v>
      </c>
      <c r="FW188" s="8">
        <f t="shared" ca="1" si="525"/>
        <v>182</v>
      </c>
      <c r="FX188" s="5" t="str">
        <f t="shared" ca="1" si="526"/>
        <v>VIGENTE</v>
      </c>
      <c r="FY188" s="3"/>
      <c r="FZ188" s="4">
        <v>45925</v>
      </c>
      <c r="GA188" s="4">
        <f>DATE(YEAR(FZ188)+2,MONTH(FZ188),DAY(FZ188))</f>
        <v>46655</v>
      </c>
      <c r="GB188" s="8">
        <f t="shared" ca="1" si="527"/>
        <v>521</v>
      </c>
      <c r="GC188" s="5" t="str">
        <f t="shared" ca="1" si="528"/>
        <v>VIGENTE</v>
      </c>
      <c r="GD188" s="3"/>
      <c r="GE188" s="4">
        <v>45912</v>
      </c>
      <c r="GF188" s="4">
        <f t="shared" ref="GF188:GF191" si="709">DATE(YEAR(GE188)+2,MONTH(GE188),DAY(GE188))</f>
        <v>46642</v>
      </c>
      <c r="GG188" s="8">
        <f t="shared" ca="1" si="529"/>
        <v>508</v>
      </c>
      <c r="GH188" s="5" t="str">
        <f t="shared" ca="1" si="530"/>
        <v>VIGENTE</v>
      </c>
      <c r="GI188" s="3"/>
      <c r="GJ188" s="4">
        <v>45923</v>
      </c>
      <c r="GK188" s="4">
        <f>DATE(YEAR(GJ188)+2,MONTH(GJ188),DAY(GJ188))</f>
        <v>46653</v>
      </c>
      <c r="GL188" s="8">
        <f t="shared" ca="1" si="531"/>
        <v>519</v>
      </c>
      <c r="GM188" s="5" t="str">
        <f t="shared" ca="1" si="532"/>
        <v>VIGENTE</v>
      </c>
      <c r="GN188" s="4"/>
      <c r="GO188" s="4">
        <v>45244</v>
      </c>
      <c r="GP188" s="4">
        <f t="shared" si="533"/>
        <v>47071</v>
      </c>
      <c r="GQ188" s="8">
        <f t="shared" ca="1" si="620"/>
        <v>937</v>
      </c>
      <c r="GR188" s="5" t="str">
        <f t="shared" ca="1" si="630"/>
        <v>VIGENTE</v>
      </c>
      <c r="GS188" s="4"/>
      <c r="GT188" s="4">
        <v>45245</v>
      </c>
      <c r="GU188" s="4">
        <f t="shared" si="534"/>
        <v>47072</v>
      </c>
      <c r="GV188" s="8">
        <f t="shared" ca="1" si="535"/>
        <v>938</v>
      </c>
      <c r="GW188" s="5" t="str">
        <f t="shared" ca="1" si="631"/>
        <v>VIGENTE</v>
      </c>
      <c r="GX188" s="3"/>
      <c r="GY188" s="4">
        <v>45249</v>
      </c>
      <c r="GZ188" s="4">
        <f t="shared" si="536"/>
        <v>47076</v>
      </c>
      <c r="HA188" s="8">
        <f t="shared" ca="1" si="537"/>
        <v>942</v>
      </c>
      <c r="HB188" s="5" t="str">
        <f t="shared" ca="1" si="632"/>
        <v>VIGENTE</v>
      </c>
      <c r="HC188" s="6"/>
      <c r="HD188" s="4">
        <v>44879</v>
      </c>
      <c r="HE188" s="4">
        <f t="shared" si="668"/>
        <v>46705</v>
      </c>
      <c r="HF188" s="8">
        <f t="shared" ca="1" si="636"/>
        <v>571</v>
      </c>
      <c r="HG188" s="5" t="str">
        <f t="shared" ca="1" si="633"/>
        <v>VIGENTE</v>
      </c>
      <c r="HH188" s="3"/>
      <c r="HI188" s="4">
        <v>45370</v>
      </c>
      <c r="HJ188" s="4">
        <f>DATE(YEAR(HI188)+5,MONTH(HI188),DAY(HI188))</f>
        <v>47196</v>
      </c>
      <c r="HK188" s="8">
        <f ca="1">HJ188-TODAY()</f>
        <v>1062</v>
      </c>
      <c r="HL188" s="5" t="str">
        <f ca="1">IF(HK188&gt;=61,"VIGENTE",IF(HK188&gt;=1,"POR VENCER",IF(HK188&lt;=-1,"VENCIDA",IF(HI188=0,"NO APLICA"))))</f>
        <v>VIGENTE</v>
      </c>
      <c r="HM188" s="2"/>
      <c r="HN188" s="3">
        <v>45374</v>
      </c>
      <c r="HO188" s="4">
        <f>DATE(YEAR(HN188)+5,MONTH(HN188),DAY(HN188))</f>
        <v>47200</v>
      </c>
      <c r="HP188" s="8">
        <f ca="1">HO188-TODAY()</f>
        <v>1066</v>
      </c>
      <c r="HQ188" s="5" t="str">
        <f ca="1">IF(HP188&gt;=61,"VIGENTE",IF(HP188&gt;=1,"POR VENCER",IF(HP188&lt;=-1,"VENCIDA",IF(HN188=0,"NO APLICA"))))</f>
        <v>VIGENTE</v>
      </c>
      <c r="HR188" s="3"/>
      <c r="HS188" s="4">
        <v>45243</v>
      </c>
      <c r="HT188" s="4">
        <f>DATE(YEAR(HS188)+5,MONTH(HS188),DAY(HS188))</f>
        <v>47070</v>
      </c>
      <c r="HU188" s="8">
        <f ca="1">HT188-TODAY()</f>
        <v>936</v>
      </c>
      <c r="HV188" s="5" t="str">
        <f ca="1">IF(HU188&gt;=61,"VIGENTE",IF(HU188&gt;=1,"POR VENCER",IF(HU188&lt;=-1,"VENCIDA",IF(HS188=0,"NO APLICA"))))</f>
        <v>VIGENTE</v>
      </c>
      <c r="HW188" s="3"/>
      <c r="HX188" s="4">
        <v>45234</v>
      </c>
      <c r="HY188" s="4">
        <f>DATE(YEAR(HX188)+5,MONTH(HX188),DAY(HX188))</f>
        <v>47061</v>
      </c>
      <c r="HZ188" s="8">
        <f ca="1">HY188-TODAY()</f>
        <v>927</v>
      </c>
      <c r="IA188" s="5" t="str">
        <f ca="1">IF(HZ188&gt;=61,"VIGENTE",IF(HZ188&gt;=1,"POR VENCER",IF(HZ188&lt;=-1,"VENCIDA",IF(HX188=0,"NO APLICA"))))</f>
        <v>VIGENTE</v>
      </c>
      <c r="IB188" s="3"/>
      <c r="IC188" s="4">
        <v>45236</v>
      </c>
      <c r="ID188" s="4">
        <f>DATE(YEAR(IC188)+5,MONTH(IC188),DAY(IC188))</f>
        <v>47063</v>
      </c>
      <c r="IE188" s="8">
        <f ca="1">ID188-TODAY()</f>
        <v>929</v>
      </c>
      <c r="IF188" s="5" t="str">
        <f ca="1">IF(IE188&gt;=61,"VIGENTE",IF(IE188&gt;=1,"POR VENCER",IF(IE188&lt;=-1,"VENCIDA",IF(IC188=0,"NO APLICA"))))</f>
        <v>VIGENTE</v>
      </c>
      <c r="IG188" s="4"/>
      <c r="IH188" s="4">
        <v>45238</v>
      </c>
      <c r="II188" s="4">
        <f>DATE(YEAR(IH188)+5,MONTH(IH188),DAY(IH188))</f>
        <v>47065</v>
      </c>
      <c r="IJ188" s="8">
        <f ca="1">II188-TODAY()</f>
        <v>931</v>
      </c>
      <c r="IK188" s="5" t="str">
        <f ca="1">IF(IJ188&gt;=61,"VIGENTE",IF(IJ188&gt;=1,"POR VENCER",IF(IJ188&lt;=-1,"VENCIDA",IF(IH188=0,"NO APLICA"))))</f>
        <v>VIGENTE</v>
      </c>
      <c r="IL188" s="3"/>
      <c r="IM188" s="4">
        <v>45239</v>
      </c>
      <c r="IN188" s="4">
        <f>DATE(YEAR(IM188)+5,MONTH(IM188),DAY(IM188))</f>
        <v>47066</v>
      </c>
      <c r="IO188" s="8">
        <f ca="1">IN188-TODAY()</f>
        <v>932</v>
      </c>
      <c r="IP188" s="5" t="str">
        <f ca="1">IF(IO188&gt;=61,"VIGENTE",IF(IO188&gt;=1,"POR VENCER",IF(IO188&lt;=-1,"VENCIDA",IF(IM188=0,"NO APLICA"))))</f>
        <v>VIGENTE</v>
      </c>
      <c r="IQ188" s="3"/>
      <c r="IR188" s="4">
        <v>45233</v>
      </c>
      <c r="IS188" s="4">
        <f t="shared" si="669"/>
        <v>47060</v>
      </c>
      <c r="IT188" s="8">
        <f t="shared" ca="1" si="637"/>
        <v>926</v>
      </c>
      <c r="IU188" s="5" t="str">
        <f t="shared" ca="1" si="544"/>
        <v>VIGENTE</v>
      </c>
      <c r="IV188" s="3"/>
      <c r="IW188" s="4">
        <v>45261</v>
      </c>
      <c r="IX188" s="4">
        <f t="shared" si="670"/>
        <v>47088</v>
      </c>
      <c r="IY188" s="8">
        <f t="shared" ca="1" si="638"/>
        <v>954</v>
      </c>
      <c r="IZ188" s="5" t="str">
        <f t="shared" ca="1" si="545"/>
        <v>VIGENTE</v>
      </c>
      <c r="JA188" s="3"/>
      <c r="JB188" s="3"/>
      <c r="JC188" s="4"/>
      <c r="JD188" s="8"/>
      <c r="JE188" s="5" t="str">
        <f t="shared" si="546"/>
        <v>NO APLICA</v>
      </c>
      <c r="JF188" s="6"/>
      <c r="JG188" s="6"/>
      <c r="JH188" s="6"/>
      <c r="JI188" s="6"/>
      <c r="JJ188" s="5" t="str">
        <f t="shared" si="547"/>
        <v>NO APLICA</v>
      </c>
      <c r="JK188" s="6"/>
      <c r="JL188" s="6"/>
      <c r="JM188" s="6"/>
      <c r="JN188" s="6"/>
      <c r="JO188" s="5" t="str">
        <f t="shared" si="548"/>
        <v>NO APLICA</v>
      </c>
      <c r="JP188" s="6"/>
      <c r="JQ188" s="6"/>
      <c r="JR188" s="6"/>
      <c r="JS188" s="6"/>
      <c r="JT188" s="5" t="str">
        <f t="shared" si="549"/>
        <v>NO APLICA</v>
      </c>
      <c r="JU188" s="5"/>
      <c r="JV188" s="5"/>
      <c r="JW188" s="5"/>
      <c r="JX188" s="5"/>
      <c r="JY188" s="5" t="str">
        <f t="shared" si="550"/>
        <v>NO APLICA</v>
      </c>
      <c r="JZ188" s="5"/>
      <c r="KA188" s="2"/>
      <c r="KB188" s="4"/>
      <c r="KC188" s="8"/>
      <c r="KD188" s="5" t="str">
        <f t="shared" si="551"/>
        <v>NO APLICA</v>
      </c>
      <c r="KE188" s="5"/>
      <c r="KF188" s="2"/>
      <c r="KG188" s="4"/>
      <c r="KH188" s="8"/>
      <c r="KI188" s="5" t="str">
        <f t="shared" si="576"/>
        <v>NO APLICA</v>
      </c>
      <c r="KJ188" s="5"/>
      <c r="KK188" s="2"/>
      <c r="KL188" s="4"/>
      <c r="KM188" s="8"/>
      <c r="KN188" s="5" t="str">
        <f t="shared" si="552"/>
        <v>NO APLICA</v>
      </c>
      <c r="KO188" s="5"/>
      <c r="KP188" s="2"/>
      <c r="KQ188" s="4"/>
      <c r="KR188" s="8"/>
      <c r="KS188" s="5" t="str">
        <f t="shared" si="577"/>
        <v>NO APLICA</v>
      </c>
      <c r="KT188" s="2"/>
      <c r="KU188" s="6"/>
      <c r="KV188" s="4"/>
      <c r="KW188" s="8"/>
      <c r="KX188" s="5" t="str">
        <f t="shared" si="583"/>
        <v>NO APLICA</v>
      </c>
      <c r="KY188" s="5"/>
      <c r="KZ188" s="6"/>
      <c r="LA188" s="4"/>
      <c r="LB188" s="8"/>
      <c r="LC188" s="5" t="str">
        <f t="shared" si="578"/>
        <v>NO APLICA</v>
      </c>
      <c r="LD188" s="4"/>
      <c r="LE188" s="4"/>
      <c r="LF188" s="4"/>
      <c r="LG188" s="8"/>
      <c r="LH188" s="5" t="str">
        <f>IF(LG188&gt;=61,"VIGENTE",IF(LG188&gt;=1,"POR VENCER",IF(LG188&lt;=-1,"VENCIDA",IF(LE188=0,"NO APLICA"))))</f>
        <v>NO APLICA</v>
      </c>
      <c r="LI188" s="5"/>
      <c r="LJ188" s="5"/>
      <c r="LK188" s="5"/>
      <c r="LL188" s="5"/>
      <c r="LM188" s="5" t="str">
        <f t="shared" si="584"/>
        <v>NO APLICA</v>
      </c>
      <c r="LN188" s="2"/>
      <c r="LO188" s="6"/>
      <c r="LP188" s="4"/>
      <c r="LQ188" s="8"/>
      <c r="LR188" s="5" t="str">
        <f t="shared" si="579"/>
        <v>NO APLICA</v>
      </c>
      <c r="LS188" s="4"/>
      <c r="LT188" s="4">
        <v>44986</v>
      </c>
      <c r="LU188" s="4">
        <f>DATE(YEAR(LT188)+5,MONTH(LT188),DAY(LT188))</f>
        <v>46813</v>
      </c>
      <c r="LV188" s="8">
        <f ca="1">LU188-TODAY()</f>
        <v>679</v>
      </c>
      <c r="LW188" s="5" t="str">
        <f ca="1">IF(LV188&gt;=61,"VIGENTE",IF(LV188&gt;=1,"POR VENCER",IF(LV188&lt;=-1,"VENCIDA",IF(LT188=0,"NO APLICA"))))</f>
        <v>VIGENTE</v>
      </c>
      <c r="LX188" s="4"/>
      <c r="LY188" s="4">
        <v>44988</v>
      </c>
      <c r="LZ188" s="4">
        <f>DATE(YEAR(LY188)+5,MONTH(LY188),DAY(LY188))</f>
        <v>46815</v>
      </c>
      <c r="MA188" s="8">
        <f ca="1">LZ188-TODAY()</f>
        <v>681</v>
      </c>
      <c r="MB188" s="5" t="str">
        <f ca="1">IF(MA188&gt;=61,"VIGENTE",IF(MA188&gt;=1,"POR VENCER",IF(MA188&lt;=-1,"VENCIDA",IF(LY188=0,"NO APLICA"))))</f>
        <v>VIGENTE</v>
      </c>
      <c r="MC188" s="2"/>
      <c r="MD188" s="2"/>
      <c r="ME188" s="4"/>
      <c r="MF188" s="8"/>
      <c r="MG188" s="5" t="str">
        <f t="shared" si="554"/>
        <v>NO APLICA</v>
      </c>
      <c r="MH188" s="2"/>
      <c r="MI188" s="2"/>
      <c r="MJ188" s="4"/>
      <c r="MK188" s="8"/>
      <c r="ML188" s="5" t="str">
        <f t="shared" si="555"/>
        <v>NO APLICA</v>
      </c>
      <c r="MM188" s="5"/>
      <c r="MN188" s="2"/>
      <c r="MO188" s="4"/>
      <c r="MP188" s="8"/>
      <c r="MQ188" s="5" t="str">
        <f t="shared" si="556"/>
        <v>NO APLICA</v>
      </c>
      <c r="MR188" s="5"/>
      <c r="MS188" s="2"/>
      <c r="MT188" s="4"/>
      <c r="MU188" s="2"/>
      <c r="MV188" s="5" t="str">
        <f t="shared" si="557"/>
        <v>NO APLICA</v>
      </c>
      <c r="MW188" s="2"/>
      <c r="MX188" s="6"/>
      <c r="MY188" s="4"/>
      <c r="MZ188" s="8"/>
      <c r="NA188" s="5" t="str">
        <f t="shared" si="558"/>
        <v>NO APLICA</v>
      </c>
      <c r="NB188" s="2"/>
      <c r="NC188" s="6"/>
      <c r="ND188" s="4"/>
      <c r="NE188" s="8"/>
      <c r="NF188" s="5" t="str">
        <f t="shared" si="559"/>
        <v>NO APLICA</v>
      </c>
      <c r="NG188" s="2"/>
      <c r="NH188" s="6"/>
      <c r="NI188" s="4"/>
      <c r="NJ188" s="8"/>
      <c r="NK188" s="5" t="str">
        <f t="shared" si="560"/>
        <v>NO APLICA</v>
      </c>
      <c r="NL188" s="2"/>
      <c r="NM188" s="2"/>
      <c r="NN188" s="4"/>
      <c r="NO188" s="2"/>
      <c r="NP188" s="5" t="str">
        <f t="shared" si="561"/>
        <v>NO APLICA</v>
      </c>
      <c r="NQ188" s="2"/>
      <c r="NR188" s="2"/>
      <c r="NS188" s="4"/>
      <c r="NT188" s="2"/>
      <c r="NU188" s="5" t="str">
        <f t="shared" si="562"/>
        <v>NO APLICA</v>
      </c>
      <c r="NV188" s="6"/>
      <c r="NW188" s="6"/>
      <c r="NX188" s="4"/>
      <c r="NY188" s="8"/>
      <c r="NZ188" s="5" t="str">
        <f t="shared" si="563"/>
        <v>NO APLICA</v>
      </c>
      <c r="OA188" s="6"/>
      <c r="OB188" s="6"/>
      <c r="OC188" s="6"/>
      <c r="OD188" s="6"/>
      <c r="OE188" s="5" t="str">
        <f t="shared" si="564"/>
        <v>NO APLICA</v>
      </c>
      <c r="OF188" s="6"/>
      <c r="OG188" s="6"/>
      <c r="OH188" s="4"/>
      <c r="OI188" s="8"/>
      <c r="OJ188" s="5" t="str">
        <f t="shared" si="565"/>
        <v>NO APLICA</v>
      </c>
      <c r="OK188" s="6"/>
      <c r="OL188" s="6"/>
      <c r="OM188" s="6"/>
      <c r="ON188" s="6"/>
      <c r="OO188" s="5" t="str">
        <f t="shared" si="566"/>
        <v>NO APLICA</v>
      </c>
      <c r="OP188" s="6"/>
      <c r="OQ188" s="6"/>
      <c r="OR188" s="6"/>
      <c r="OS188" s="6"/>
      <c r="OT188" s="5" t="str">
        <f t="shared" si="567"/>
        <v>NO APLICA</v>
      </c>
      <c r="OU188" s="6"/>
      <c r="OV188" s="6"/>
      <c r="OW188" s="6"/>
      <c r="OX188" s="6"/>
      <c r="OY188" s="5" t="str">
        <f t="shared" si="568"/>
        <v>NO APLICA</v>
      </c>
      <c r="OZ188" s="6"/>
      <c r="PA188" s="6"/>
      <c r="PB188" s="6"/>
      <c r="PC188" s="6"/>
      <c r="PD188" s="5" t="str">
        <f t="shared" si="569"/>
        <v>NO APLICA</v>
      </c>
      <c r="PE188" s="6"/>
      <c r="PF188" s="6"/>
      <c r="PG188" s="6"/>
      <c r="PH188" s="6"/>
      <c r="PI188" s="5" t="str">
        <f t="shared" si="570"/>
        <v>NO APLICA</v>
      </c>
      <c r="PJ188" s="5"/>
      <c r="PK188" s="6"/>
      <c r="PL188" s="4"/>
      <c r="PM188" s="8"/>
      <c r="PN188" s="5" t="str">
        <f t="shared" si="571"/>
        <v>NO APLICA</v>
      </c>
      <c r="PO188" s="6"/>
      <c r="PP188" s="6"/>
      <c r="PQ188" s="6"/>
      <c r="PR188" s="6"/>
      <c r="PS188" s="5" t="str">
        <f t="shared" si="572"/>
        <v>NO APLICA</v>
      </c>
      <c r="PT188" s="5"/>
      <c r="PU188" s="6"/>
      <c r="PV188" s="6"/>
      <c r="PW188" s="6"/>
      <c r="PX188" s="5" t="str">
        <f t="shared" si="573"/>
        <v>NO APLICA</v>
      </c>
    </row>
    <row r="189" spans="1:440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2" t="s">
        <v>601</v>
      </c>
      <c r="V189" s="4">
        <v>45156</v>
      </c>
      <c r="W189" s="4">
        <f t="shared" si="606"/>
        <v>46983</v>
      </c>
      <c r="X189" s="8">
        <f t="shared" ca="1" si="607"/>
        <v>849</v>
      </c>
      <c r="Y189" s="5" t="str">
        <f t="shared" ca="1" si="624"/>
        <v>VIGENTE</v>
      </c>
      <c r="Z189" s="2" t="s">
        <v>602</v>
      </c>
      <c r="AA189" s="4">
        <v>45162</v>
      </c>
      <c r="AB189" s="4">
        <f t="shared" si="639"/>
        <v>46989</v>
      </c>
      <c r="AC189" s="8">
        <f t="shared" ca="1" si="634"/>
        <v>855</v>
      </c>
      <c r="AD189" s="5" t="str">
        <f t="shared" ca="1" si="627"/>
        <v>VIGENTE</v>
      </c>
      <c r="AE189" s="3"/>
      <c r="AF189" s="4">
        <v>46006</v>
      </c>
      <c r="AG189" s="4">
        <f t="shared" ref="AG189:AG191" si="710">DATE(YEAR(AF189)+2,MONTH(AF189),DAY(AF189))</f>
        <v>46736</v>
      </c>
      <c r="AH189" s="8">
        <f t="shared" ca="1" si="470"/>
        <v>602</v>
      </c>
      <c r="AI189" s="5" t="str">
        <f t="shared" ca="1" si="621"/>
        <v>VIGENTE</v>
      </c>
      <c r="AJ189" s="3"/>
      <c r="AK189" s="4">
        <v>45959</v>
      </c>
      <c r="AL189" s="4">
        <f t="shared" si="693"/>
        <v>46689</v>
      </c>
      <c r="AM189" s="8">
        <f t="shared" ca="1" si="471"/>
        <v>555</v>
      </c>
      <c r="AN189" s="5" t="str">
        <f t="shared" ca="1" si="472"/>
        <v>VIGENTE</v>
      </c>
      <c r="AO189" s="3"/>
      <c r="AP189" s="4">
        <v>45971</v>
      </c>
      <c r="AQ189" s="4">
        <f t="shared" si="694"/>
        <v>46701</v>
      </c>
      <c r="AR189" s="8">
        <f t="shared" ca="1" si="473"/>
        <v>567</v>
      </c>
      <c r="AS189" s="5" t="str">
        <f t="shared" ca="1" si="474"/>
        <v>VIGENTE</v>
      </c>
      <c r="AT189" s="2"/>
      <c r="AU189" s="4">
        <v>45952</v>
      </c>
      <c r="AV189" s="4">
        <f>DATE(YEAR(AU189)+2,MONTH(AU189),DAY(AU189))</f>
        <v>46682</v>
      </c>
      <c r="AW189" s="8">
        <f t="shared" ca="1" si="475"/>
        <v>548</v>
      </c>
      <c r="AX189" s="5" t="str">
        <f t="shared" ca="1" si="476"/>
        <v>VIGENTE</v>
      </c>
      <c r="AY189" s="3"/>
      <c r="AZ189" s="4">
        <v>46041</v>
      </c>
      <c r="BA189" s="4">
        <f t="shared" si="695"/>
        <v>46771</v>
      </c>
      <c r="BB189" s="8">
        <f t="shared" ca="1" si="477"/>
        <v>637</v>
      </c>
      <c r="BC189" s="5" t="str">
        <f t="shared" ca="1" si="478"/>
        <v>VIGENTE</v>
      </c>
      <c r="BD189" s="2"/>
      <c r="BE189" s="4">
        <v>45987</v>
      </c>
      <c r="BF189" s="4">
        <f>DATE(YEAR(BE189)+2,MONTH(BE189),DAY(BE189))</f>
        <v>46717</v>
      </c>
      <c r="BG189" s="8">
        <f t="shared" ca="1" si="479"/>
        <v>583</v>
      </c>
      <c r="BH189" s="5" t="str">
        <f t="shared" ca="1" si="480"/>
        <v>VIGENTE</v>
      </c>
      <c r="BI189" s="3"/>
      <c r="BJ189" s="4">
        <v>46007</v>
      </c>
      <c r="BK189" s="4">
        <f t="shared" si="696"/>
        <v>46737</v>
      </c>
      <c r="BL189" s="8">
        <f t="shared" ca="1" si="481"/>
        <v>603</v>
      </c>
      <c r="BM189" s="5" t="str">
        <f t="shared" ca="1" si="482"/>
        <v>VIGENTE</v>
      </c>
      <c r="BN189" s="4"/>
      <c r="BO189" s="4">
        <v>45981</v>
      </c>
      <c r="BP189" s="4">
        <f>DATE(YEAR(BO189)+2,MONTH(BO189),DAY(BO189))</f>
        <v>46711</v>
      </c>
      <c r="BQ189" s="8">
        <f t="shared" ca="1" si="483"/>
        <v>577</v>
      </c>
      <c r="BR189" s="5" t="str">
        <f t="shared" ca="1" si="484"/>
        <v>VIGENTE</v>
      </c>
      <c r="BS189" s="3"/>
      <c r="BT189" s="4">
        <v>46031</v>
      </c>
      <c r="BU189" s="4">
        <f>DATE(YEAR(BT189)+2,MONTH(BT189),DAY(BT189))</f>
        <v>46761</v>
      </c>
      <c r="BV189" s="8">
        <f t="shared" ca="1" si="485"/>
        <v>627</v>
      </c>
      <c r="BW189" s="5" t="str">
        <f t="shared" ca="1" si="486"/>
        <v>VIGENTE</v>
      </c>
      <c r="BX189" s="2"/>
      <c r="BY189" s="4">
        <v>45986</v>
      </c>
      <c r="BZ189" s="4">
        <f t="shared" si="697"/>
        <v>46716</v>
      </c>
      <c r="CA189" s="8">
        <f t="shared" ca="1" si="487"/>
        <v>582</v>
      </c>
      <c r="CB189" s="5" t="str">
        <f t="shared" ca="1" si="488"/>
        <v>VIGENTE</v>
      </c>
      <c r="CC189" s="6" t="s">
        <v>73</v>
      </c>
      <c r="CD189" s="4">
        <v>45164</v>
      </c>
      <c r="CE189" s="4">
        <f t="shared" si="609"/>
        <v>46625</v>
      </c>
      <c r="CF189" s="8">
        <f t="shared" ca="1" si="610"/>
        <v>491</v>
      </c>
      <c r="CG189" s="5" t="str">
        <f t="shared" ca="1" si="591"/>
        <v>VIGENTE</v>
      </c>
      <c r="CH189" s="4"/>
      <c r="CI189" s="4">
        <v>46018</v>
      </c>
      <c r="CJ189" s="4">
        <f>DATE(YEAR(CI189)+2,MONTH(CI189),DAY(CI189))</f>
        <v>46748</v>
      </c>
      <c r="CK189" s="8">
        <f t="shared" ca="1" si="489"/>
        <v>614</v>
      </c>
      <c r="CL189" s="5" t="str">
        <f t="shared" ca="1" si="490"/>
        <v>VIGENTE</v>
      </c>
      <c r="CM189" s="4"/>
      <c r="CN189" s="4">
        <v>45979</v>
      </c>
      <c r="CO189" s="4">
        <f t="shared" si="698"/>
        <v>46709</v>
      </c>
      <c r="CP189" s="8">
        <f t="shared" ca="1" si="491"/>
        <v>575</v>
      </c>
      <c r="CQ189" s="5" t="str">
        <f t="shared" ca="1" si="492"/>
        <v>VIGENTE</v>
      </c>
      <c r="CR189" s="2"/>
      <c r="CS189" s="4">
        <v>45939</v>
      </c>
      <c r="CT189" s="4">
        <f t="shared" ref="CT189:CT191" si="711">DATE(YEAR(CS189)+2,MONTH(CS189),DAY(CS189))</f>
        <v>46669</v>
      </c>
      <c r="CU189" s="8">
        <f t="shared" ca="1" si="493"/>
        <v>535</v>
      </c>
      <c r="CV189" s="5" t="str">
        <f t="shared" ca="1" si="494"/>
        <v>VIGENTE</v>
      </c>
      <c r="CW189" s="3"/>
      <c r="CX189" s="4">
        <v>46000</v>
      </c>
      <c r="CY189" s="4">
        <f t="shared" ref="CY189:CY191" si="712">DATE(YEAR(CX189)+2,MONTH(CX189),DAY(CX189))</f>
        <v>46730</v>
      </c>
      <c r="CZ189" s="8">
        <f t="shared" ca="1" si="495"/>
        <v>596</v>
      </c>
      <c r="DA189" s="5" t="str">
        <f t="shared" ca="1" si="496"/>
        <v>VIGENTE</v>
      </c>
      <c r="DB189" s="4"/>
      <c r="DC189" s="4">
        <v>46045</v>
      </c>
      <c r="DD189" s="4">
        <f>DATE(YEAR(DC189)+2,MONTH(DC189),DAY(DC189))</f>
        <v>46775</v>
      </c>
      <c r="DE189" s="8">
        <f t="shared" ca="1" si="497"/>
        <v>641</v>
      </c>
      <c r="DF189" s="5" t="str">
        <f t="shared" ca="1" si="498"/>
        <v>VIGENTE</v>
      </c>
      <c r="DG189" s="3"/>
      <c r="DH189" s="4">
        <v>45955</v>
      </c>
      <c r="DI189" s="4">
        <f t="shared" si="699"/>
        <v>46685</v>
      </c>
      <c r="DJ189" s="8">
        <f t="shared" ca="1" si="499"/>
        <v>551</v>
      </c>
      <c r="DK189" s="5" t="str">
        <f t="shared" ca="1" si="500"/>
        <v>VIGENTE</v>
      </c>
      <c r="DL189" s="3"/>
      <c r="DM189" s="4">
        <v>45982</v>
      </c>
      <c r="DN189" s="4">
        <f t="shared" si="700"/>
        <v>46712</v>
      </c>
      <c r="DO189" s="8">
        <f t="shared" ca="1" si="501"/>
        <v>578</v>
      </c>
      <c r="DP189" s="5" t="str">
        <f t="shared" ca="1" si="502"/>
        <v>VIGENTE</v>
      </c>
      <c r="DQ189" s="3"/>
      <c r="DR189" s="4">
        <v>46003</v>
      </c>
      <c r="DS189" s="4">
        <f>DATE(YEAR(DR189)+2,MONTH(DR189),DAY(DR189))</f>
        <v>46733</v>
      </c>
      <c r="DT189" s="8">
        <f t="shared" ca="1" si="503"/>
        <v>599</v>
      </c>
      <c r="DU189" s="5" t="str">
        <f t="shared" ca="1" si="504"/>
        <v>VIGENTE</v>
      </c>
      <c r="DV189" s="4"/>
      <c r="DW189" s="4">
        <v>46032</v>
      </c>
      <c r="DX189" s="4">
        <f t="shared" si="701"/>
        <v>46762</v>
      </c>
      <c r="DY189" s="8">
        <f t="shared" ca="1" si="505"/>
        <v>628</v>
      </c>
      <c r="DZ189" s="5" t="str">
        <f t="shared" ca="1" si="506"/>
        <v>VIGENTE</v>
      </c>
      <c r="EA189" s="4"/>
      <c r="EB189" s="4">
        <v>45994</v>
      </c>
      <c r="EC189" s="4">
        <f t="shared" si="657"/>
        <v>46724</v>
      </c>
      <c r="ED189" s="8">
        <f t="shared" ca="1" si="507"/>
        <v>590</v>
      </c>
      <c r="EE189" s="5" t="str">
        <f t="shared" ca="1" si="508"/>
        <v>VIGENTE</v>
      </c>
      <c r="EF189" s="3"/>
      <c r="EG189" s="4">
        <v>45812</v>
      </c>
      <c r="EH189" s="4">
        <f t="shared" si="575"/>
        <v>46177</v>
      </c>
      <c r="EI189" s="8">
        <f t="shared" ca="1" si="509"/>
        <v>43</v>
      </c>
      <c r="EJ189" s="5" t="str">
        <f t="shared" ca="1" si="510"/>
        <v>POR VENCER</v>
      </c>
      <c r="EK189" s="3"/>
      <c r="EL189" s="4">
        <v>45995</v>
      </c>
      <c r="EM189" s="4">
        <f t="shared" si="702"/>
        <v>46725</v>
      </c>
      <c r="EN189" s="8">
        <f t="shared" ca="1" si="511"/>
        <v>591</v>
      </c>
      <c r="EO189" s="5" t="str">
        <f t="shared" ca="1" si="512"/>
        <v>VIGENTE</v>
      </c>
      <c r="EP189" s="2"/>
      <c r="EQ189" s="4">
        <v>45999</v>
      </c>
      <c r="ER189" s="4">
        <f t="shared" si="703"/>
        <v>46729</v>
      </c>
      <c r="ES189" s="8">
        <f t="shared" ca="1" si="513"/>
        <v>595</v>
      </c>
      <c r="ET189" s="5" t="str">
        <f t="shared" ca="1" si="514"/>
        <v>VIGENTE</v>
      </c>
      <c r="EU189" s="3"/>
      <c r="EV189" s="4">
        <v>46063</v>
      </c>
      <c r="EW189" s="4">
        <f t="shared" si="704"/>
        <v>46793</v>
      </c>
      <c r="EX189" s="8">
        <f t="shared" ca="1" si="515"/>
        <v>659</v>
      </c>
      <c r="EY189" s="5" t="str">
        <f t="shared" ca="1" si="516"/>
        <v>VIGENTE</v>
      </c>
      <c r="EZ189" s="2"/>
      <c r="FA189" s="4">
        <v>45988</v>
      </c>
      <c r="FB189" s="4">
        <f t="shared" si="705"/>
        <v>46718</v>
      </c>
      <c r="FC189" s="8">
        <f t="shared" ca="1" si="517"/>
        <v>584</v>
      </c>
      <c r="FD189" s="5" t="str">
        <f t="shared" ca="1" si="518"/>
        <v>VIGENTE</v>
      </c>
      <c r="FE189" s="2"/>
      <c r="FF189" s="4">
        <v>45992</v>
      </c>
      <c r="FG189" s="4">
        <f t="shared" si="706"/>
        <v>46722</v>
      </c>
      <c r="FH189" s="8">
        <f t="shared" ca="1" si="519"/>
        <v>588</v>
      </c>
      <c r="FI189" s="5" t="str">
        <f t="shared" ca="1" si="520"/>
        <v>VIGENTE</v>
      </c>
      <c r="FJ189" s="4"/>
      <c r="FK189" s="4">
        <v>46039</v>
      </c>
      <c r="FL189" s="4">
        <f t="shared" si="707"/>
        <v>46769</v>
      </c>
      <c r="FM189" s="8">
        <f t="shared" ca="1" si="521"/>
        <v>635</v>
      </c>
      <c r="FN189" s="5" t="str">
        <f t="shared" ca="1" si="522"/>
        <v>VIGENTE</v>
      </c>
      <c r="FO189" s="4"/>
      <c r="FP189" s="4">
        <v>46034</v>
      </c>
      <c r="FQ189" s="4">
        <f t="shared" si="708"/>
        <v>46764</v>
      </c>
      <c r="FR189" s="8">
        <f t="shared" ca="1" si="523"/>
        <v>630</v>
      </c>
      <c r="FS189" s="5" t="str">
        <f t="shared" ca="1" si="524"/>
        <v>VIGENTE</v>
      </c>
      <c r="FT189" s="3"/>
      <c r="FU189" s="4">
        <v>45993</v>
      </c>
      <c r="FV189" s="4">
        <f t="shared" ref="FV189:FV191" si="713">DATE(YEAR(FU189)+2,MONTH(FU189),DAY(FU189))</f>
        <v>46723</v>
      </c>
      <c r="FW189" s="8">
        <f t="shared" ca="1" si="525"/>
        <v>589</v>
      </c>
      <c r="FX189" s="5" t="str">
        <f t="shared" ca="1" si="526"/>
        <v>VIGENTE</v>
      </c>
      <c r="FY189" s="3"/>
      <c r="FZ189" s="4">
        <v>45925</v>
      </c>
      <c r="GA189" s="4">
        <f>DATE(YEAR(FZ189)+2,MONTH(FZ189),DAY(FZ189))</f>
        <v>46655</v>
      </c>
      <c r="GB189" s="8">
        <f t="shared" ca="1" si="527"/>
        <v>521</v>
      </c>
      <c r="GC189" s="5" t="str">
        <f t="shared" ca="1" si="528"/>
        <v>VIGENTE</v>
      </c>
      <c r="GD189" s="3"/>
      <c r="GE189" s="4">
        <v>45960</v>
      </c>
      <c r="GF189" s="4">
        <f t="shared" si="709"/>
        <v>46690</v>
      </c>
      <c r="GG189" s="8">
        <f t="shared" ca="1" si="529"/>
        <v>556</v>
      </c>
      <c r="GH189" s="5" t="str">
        <f t="shared" ca="1" si="530"/>
        <v>VIGENTE</v>
      </c>
      <c r="GI189" s="3"/>
      <c r="GJ189" s="4">
        <v>45499</v>
      </c>
      <c r="GK189" s="4">
        <f t="shared" si="667"/>
        <v>46228</v>
      </c>
      <c r="GL189" s="8">
        <f t="shared" ca="1" si="531"/>
        <v>94</v>
      </c>
      <c r="GM189" s="5" t="str">
        <f t="shared" ca="1" si="532"/>
        <v>VIGENTE</v>
      </c>
      <c r="GN189" s="4"/>
      <c r="GO189" s="4">
        <v>45299</v>
      </c>
      <c r="GP189" s="4">
        <f t="shared" si="533"/>
        <v>47126</v>
      </c>
      <c r="GQ189" s="8">
        <f t="shared" ca="1" si="620"/>
        <v>992</v>
      </c>
      <c r="GR189" s="5" t="str">
        <f t="shared" ca="1" si="630"/>
        <v>VIGENTE</v>
      </c>
      <c r="GS189" s="3"/>
      <c r="GT189" s="4">
        <v>45329</v>
      </c>
      <c r="GU189" s="4">
        <f t="shared" si="534"/>
        <v>47156</v>
      </c>
      <c r="GV189" s="8">
        <f t="shared" ca="1" si="535"/>
        <v>1022</v>
      </c>
      <c r="GW189" s="5" t="str">
        <f t="shared" ca="1" si="631"/>
        <v>VIGENTE</v>
      </c>
      <c r="GX189" s="2"/>
      <c r="GY189" s="4">
        <v>45343</v>
      </c>
      <c r="GZ189" s="4">
        <f t="shared" si="536"/>
        <v>47170</v>
      </c>
      <c r="HA189" s="8">
        <f t="shared" ca="1" si="537"/>
        <v>1036</v>
      </c>
      <c r="HB189" s="5" t="str">
        <f t="shared" ca="1" si="632"/>
        <v>VIGENTE</v>
      </c>
      <c r="HC189" s="6"/>
      <c r="HD189" s="4">
        <v>45317</v>
      </c>
      <c r="HE189" s="4">
        <f t="shared" si="668"/>
        <v>47144</v>
      </c>
      <c r="HF189" s="8">
        <f t="shared" ca="1" si="636"/>
        <v>1010</v>
      </c>
      <c r="HG189" s="5" t="str">
        <f t="shared" ca="1" si="633"/>
        <v>VIGENTE</v>
      </c>
      <c r="HH189" s="2"/>
      <c r="HI189" s="6"/>
      <c r="HJ189" s="4"/>
      <c r="HK189" s="8"/>
      <c r="HL189" s="5" t="str">
        <f t="shared" ref="HL189:HL240" si="714">IF(HK189&gt;=61,"VIGENTE",IF(HK189&gt;=1,"POR VENCER",IF(HK189&lt;=-1,"VENCIDA",IF(HI189=0,"NO APLICA"))))</f>
        <v>NO APLICA</v>
      </c>
      <c r="HM189" s="2"/>
      <c r="HN189" s="2"/>
      <c r="HO189" s="4"/>
      <c r="HP189" s="2"/>
      <c r="HQ189" s="5" t="str">
        <f t="shared" si="538"/>
        <v>NO APLICA</v>
      </c>
      <c r="HR189" s="2"/>
      <c r="HS189" s="6"/>
      <c r="HT189" s="4"/>
      <c r="HU189" s="8"/>
      <c r="HV189" s="5" t="str">
        <f t="shared" si="539"/>
        <v>NO APLICA</v>
      </c>
      <c r="HW189" s="2"/>
      <c r="HX189" s="6"/>
      <c r="HY189" s="4"/>
      <c r="HZ189" s="8"/>
      <c r="IA189" s="5" t="str">
        <f t="shared" si="540"/>
        <v>NO APLICA</v>
      </c>
      <c r="IB189" s="2"/>
      <c r="IC189" s="6"/>
      <c r="ID189" s="4"/>
      <c r="IE189" s="8"/>
      <c r="IF189" s="5" t="str">
        <f t="shared" si="541"/>
        <v>NO APLICA</v>
      </c>
      <c r="IG189" s="6"/>
      <c r="IH189" s="6"/>
      <c r="II189" s="4"/>
      <c r="IJ189" s="8"/>
      <c r="IK189" s="5" t="str">
        <f t="shared" si="542"/>
        <v>NO APLICA</v>
      </c>
      <c r="IL189" s="2"/>
      <c r="IM189" s="6"/>
      <c r="IN189" s="4"/>
      <c r="IO189" s="8"/>
      <c r="IP189" s="5" t="str">
        <f t="shared" si="543"/>
        <v>NO APLICA</v>
      </c>
      <c r="IQ189" s="2"/>
      <c r="IR189" s="6"/>
      <c r="IS189" s="4"/>
      <c r="IT189" s="8"/>
      <c r="IU189" s="5" t="str">
        <f t="shared" si="544"/>
        <v>NO APLICA</v>
      </c>
      <c r="IV189" s="2"/>
      <c r="IW189" s="6"/>
      <c r="IX189" s="4"/>
      <c r="IY189" s="8"/>
      <c r="IZ189" s="5" t="str">
        <f t="shared" si="545"/>
        <v>NO APLICA</v>
      </c>
      <c r="JA189" s="3"/>
      <c r="JB189" s="3"/>
      <c r="JC189" s="4"/>
      <c r="JD189" s="8"/>
      <c r="JE189" s="5" t="str">
        <f t="shared" si="546"/>
        <v>NO APLICA</v>
      </c>
      <c r="JF189" s="6"/>
      <c r="JG189" s="6"/>
      <c r="JH189" s="6"/>
      <c r="JI189" s="6"/>
      <c r="JJ189" s="5" t="str">
        <f t="shared" si="547"/>
        <v>NO APLICA</v>
      </c>
      <c r="JK189" s="6"/>
      <c r="JL189" s="6"/>
      <c r="JM189" s="6"/>
      <c r="JN189" s="6"/>
      <c r="JO189" s="5" t="str">
        <f t="shared" si="548"/>
        <v>NO APLICA</v>
      </c>
      <c r="JP189" s="6"/>
      <c r="JQ189" s="6"/>
      <c r="JR189" s="6"/>
      <c r="JS189" s="6"/>
      <c r="JT189" s="5" t="str">
        <f t="shared" si="549"/>
        <v>NO APLICA</v>
      </c>
      <c r="JU189" s="5"/>
      <c r="JV189" s="5"/>
      <c r="JW189" s="5"/>
      <c r="JX189" s="5"/>
      <c r="JY189" s="5" t="str">
        <f t="shared" si="550"/>
        <v>NO APLICA</v>
      </c>
      <c r="JZ189" s="5"/>
      <c r="KA189" s="2"/>
      <c r="KB189" s="4"/>
      <c r="KC189" s="8"/>
      <c r="KD189" s="5" t="str">
        <f t="shared" si="551"/>
        <v>NO APLICA</v>
      </c>
      <c r="KE189" s="5"/>
      <c r="KF189" s="3">
        <v>45328</v>
      </c>
      <c r="KG189" s="4">
        <f>DATE(YEAR(KF189)+5,MONTH(KF189),DAY(KF189)-1)</f>
        <v>47154</v>
      </c>
      <c r="KH189" s="8">
        <f ca="1">KG189-TODAY()</f>
        <v>1020</v>
      </c>
      <c r="KI189" s="5" t="str">
        <f ca="1">IF(KH189&gt;=61,"VIGENTE",IF(KH189&gt;=1,"POR VENCER",IF(KH189&lt;=-1,"VENCIDA",IF(KF189=0,"NO APLICA"))))</f>
        <v>VIGENTE</v>
      </c>
      <c r="KJ189" s="5"/>
      <c r="KK189" s="2"/>
      <c r="KL189" s="4"/>
      <c r="KM189" s="8"/>
      <c r="KN189" s="5" t="str">
        <f t="shared" si="552"/>
        <v>NO APLICA</v>
      </c>
      <c r="KO189" s="5"/>
      <c r="KP189" s="3">
        <v>45346</v>
      </c>
      <c r="KQ189" s="4">
        <f>DATE(YEAR(KP189)+5,MONTH(KP189),DAY(KP189))</f>
        <v>47173</v>
      </c>
      <c r="KR189" s="8">
        <f ca="1">KQ189-TODAY()</f>
        <v>1039</v>
      </c>
      <c r="KS189" s="5" t="str">
        <f ca="1">IF(KR189&gt;=61,"VIGENTE",IF(KR189&gt;=1,"POR VENCER",IF(KR189&lt;=-1,"VENCIDA",IF(KP189=0,"NO APLICA"))))</f>
        <v>VIGENTE</v>
      </c>
      <c r="KT189" s="2"/>
      <c r="KU189" s="6"/>
      <c r="KV189" s="4"/>
      <c r="KW189" s="8"/>
      <c r="KX189" s="5" t="str">
        <f t="shared" si="583"/>
        <v>NO APLICA</v>
      </c>
      <c r="KY189" s="5"/>
      <c r="KZ189" s="6"/>
      <c r="LA189" s="4"/>
      <c r="LB189" s="8"/>
      <c r="LC189" s="5" t="str">
        <f t="shared" si="578"/>
        <v>NO APLICA</v>
      </c>
      <c r="LD189" s="6"/>
      <c r="LE189" s="6"/>
      <c r="LF189" s="4"/>
      <c r="LG189" s="8"/>
      <c r="LH189" s="5" t="str">
        <f t="shared" si="619"/>
        <v>NO APLICA</v>
      </c>
      <c r="LI189" s="5"/>
      <c r="LJ189" s="5"/>
      <c r="LK189" s="4"/>
      <c r="LL189" s="8"/>
      <c r="LM189" s="5" t="str">
        <f t="shared" si="584"/>
        <v>NO APLICA</v>
      </c>
      <c r="LN189" s="2"/>
      <c r="LO189" s="6"/>
      <c r="LP189" s="4"/>
      <c r="LQ189" s="8"/>
      <c r="LR189" s="5" t="str">
        <f t="shared" si="579"/>
        <v>NO APLICA</v>
      </c>
      <c r="LS189" s="6"/>
      <c r="LT189" s="6"/>
      <c r="LU189" s="4"/>
      <c r="LV189" s="8"/>
      <c r="LW189" s="5" t="str">
        <f t="shared" si="580"/>
        <v>NO APLICA</v>
      </c>
      <c r="LX189" s="6"/>
      <c r="LY189" s="6"/>
      <c r="LZ189" s="4"/>
      <c r="MA189" s="8"/>
      <c r="MB189" s="5" t="str">
        <f t="shared" si="581"/>
        <v>NO APLICA</v>
      </c>
      <c r="MC189" s="2"/>
      <c r="MD189" s="2"/>
      <c r="ME189" s="4"/>
      <c r="MF189" s="8"/>
      <c r="MG189" s="5" t="str">
        <f t="shared" si="554"/>
        <v>NO APLICA</v>
      </c>
      <c r="MH189" s="2"/>
      <c r="MI189" s="2"/>
      <c r="MJ189" s="4"/>
      <c r="MK189" s="8"/>
      <c r="ML189" s="5" t="str">
        <f t="shared" si="555"/>
        <v>NO APLICA</v>
      </c>
      <c r="MM189" s="5"/>
      <c r="MN189" s="2"/>
      <c r="MO189" s="4"/>
      <c r="MP189" s="8"/>
      <c r="MQ189" s="5" t="str">
        <f t="shared" si="556"/>
        <v>NO APLICA</v>
      </c>
      <c r="MR189" s="5"/>
      <c r="MS189" s="2"/>
      <c r="MT189" s="4"/>
      <c r="MU189" s="2"/>
      <c r="MV189" s="5" t="str">
        <f t="shared" si="557"/>
        <v>NO APLICA</v>
      </c>
      <c r="MW189" s="2"/>
      <c r="MX189" s="6"/>
      <c r="MY189" s="4"/>
      <c r="MZ189" s="8"/>
      <c r="NA189" s="5" t="str">
        <f t="shared" si="558"/>
        <v>NO APLICA</v>
      </c>
      <c r="NB189" s="2"/>
      <c r="NC189" s="6"/>
      <c r="ND189" s="4"/>
      <c r="NE189" s="8"/>
      <c r="NF189" s="5" t="str">
        <f t="shared" si="559"/>
        <v>NO APLICA</v>
      </c>
      <c r="NG189" s="2"/>
      <c r="NH189" s="6"/>
      <c r="NI189" s="4"/>
      <c r="NJ189" s="8"/>
      <c r="NK189" s="5" t="str">
        <f t="shared" si="560"/>
        <v>NO APLICA</v>
      </c>
      <c r="NL189" s="2"/>
      <c r="NM189" s="2"/>
      <c r="NN189" s="4"/>
      <c r="NO189" s="8"/>
      <c r="NP189" s="5" t="str">
        <f t="shared" si="561"/>
        <v>NO APLICA</v>
      </c>
      <c r="NQ189" s="2"/>
      <c r="NR189" s="2"/>
      <c r="NS189" s="4"/>
      <c r="NT189" s="2"/>
      <c r="NU189" s="5" t="str">
        <f t="shared" si="562"/>
        <v>NO APLICA</v>
      </c>
      <c r="NV189" s="6"/>
      <c r="NW189" s="6"/>
      <c r="NX189" s="4"/>
      <c r="NY189" s="8"/>
      <c r="NZ189" s="5" t="str">
        <f t="shared" si="563"/>
        <v>NO APLICA</v>
      </c>
      <c r="OA189" s="6"/>
      <c r="OB189" s="6"/>
      <c r="OC189" s="6"/>
      <c r="OD189" s="6"/>
      <c r="OE189" s="5" t="str">
        <f t="shared" si="564"/>
        <v>NO APLICA</v>
      </c>
      <c r="OF189" s="6"/>
      <c r="OG189" s="6"/>
      <c r="OH189" s="4"/>
      <c r="OI189" s="8"/>
      <c r="OJ189" s="5" t="str">
        <f t="shared" si="565"/>
        <v>NO APLICA</v>
      </c>
      <c r="OK189" s="6"/>
      <c r="OL189" s="6"/>
      <c r="OM189" s="6"/>
      <c r="ON189" s="6"/>
      <c r="OO189" s="5" t="str">
        <f t="shared" si="566"/>
        <v>NO APLICA</v>
      </c>
      <c r="OP189" s="6"/>
      <c r="OQ189" s="6"/>
      <c r="OR189" s="6"/>
      <c r="OS189" s="6"/>
      <c r="OT189" s="5" t="str">
        <f t="shared" si="567"/>
        <v>NO APLICA</v>
      </c>
      <c r="OU189" s="6"/>
      <c r="OV189" s="6"/>
      <c r="OW189" s="6"/>
      <c r="OX189" s="6"/>
      <c r="OY189" s="5" t="str">
        <f t="shared" si="568"/>
        <v>NO APLICA</v>
      </c>
      <c r="OZ189" s="6"/>
      <c r="PA189" s="6"/>
      <c r="PB189" s="6"/>
      <c r="PC189" s="6"/>
      <c r="PD189" s="5" t="str">
        <f t="shared" si="569"/>
        <v>NO APLICA</v>
      </c>
      <c r="PE189" s="6"/>
      <c r="PF189" s="6"/>
      <c r="PG189" s="6"/>
      <c r="PH189" s="6"/>
      <c r="PI189" s="5" t="str">
        <f t="shared" si="570"/>
        <v>NO APLICA</v>
      </c>
      <c r="PJ189" s="5"/>
      <c r="PK189" s="6"/>
      <c r="PL189" s="4"/>
      <c r="PM189" s="8"/>
      <c r="PN189" s="5" t="str">
        <f t="shared" si="571"/>
        <v>NO APLICA</v>
      </c>
      <c r="PO189" s="6"/>
      <c r="PP189" s="6"/>
      <c r="PQ189" s="6"/>
      <c r="PR189" s="6"/>
      <c r="PS189" s="5" t="str">
        <f t="shared" si="572"/>
        <v>NO APLICA</v>
      </c>
      <c r="PT189" s="5"/>
      <c r="PU189" s="6"/>
      <c r="PV189" s="6"/>
      <c r="PW189" s="6"/>
      <c r="PX189" s="5" t="str">
        <f t="shared" si="573"/>
        <v>NO APLICA</v>
      </c>
    </row>
    <row r="190" spans="1:440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654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604</v>
      </c>
      <c r="V190" s="4">
        <v>44801</v>
      </c>
      <c r="W190" s="4">
        <f t="shared" si="606"/>
        <v>46627</v>
      </c>
      <c r="X190" s="8">
        <f t="shared" ca="1" si="607"/>
        <v>493</v>
      </c>
      <c r="Y190" s="5" t="str">
        <f t="shared" ca="1" si="624"/>
        <v>VIGENTE</v>
      </c>
      <c r="Z190" s="2"/>
      <c r="AA190" s="6"/>
      <c r="AB190" s="4"/>
      <c r="AC190" s="8"/>
      <c r="AD190" s="5" t="str">
        <f t="shared" si="627"/>
        <v>NO APLICA</v>
      </c>
      <c r="AE190" s="3"/>
      <c r="AF190" s="4">
        <v>45936</v>
      </c>
      <c r="AG190" s="4">
        <f t="shared" si="710"/>
        <v>46666</v>
      </c>
      <c r="AH190" s="8">
        <f t="shared" ca="1" si="470"/>
        <v>532</v>
      </c>
      <c r="AI190" s="5" t="str">
        <f t="shared" ca="1" si="621"/>
        <v>VIGENTE</v>
      </c>
      <c r="AJ190" s="3"/>
      <c r="AK190" s="4">
        <v>45903</v>
      </c>
      <c r="AL190" s="4">
        <f t="shared" si="693"/>
        <v>46633</v>
      </c>
      <c r="AM190" s="8">
        <f t="shared" ca="1" si="471"/>
        <v>499</v>
      </c>
      <c r="AN190" s="5" t="str">
        <f t="shared" ca="1" si="472"/>
        <v>VIGENTE</v>
      </c>
      <c r="AO190" s="3"/>
      <c r="AP190" s="4">
        <v>45904</v>
      </c>
      <c r="AQ190" s="4">
        <f t="shared" si="694"/>
        <v>46634</v>
      </c>
      <c r="AR190" s="8">
        <f t="shared" ca="1" si="473"/>
        <v>500</v>
      </c>
      <c r="AS190" s="5" t="str">
        <f t="shared" ca="1" si="474"/>
        <v>VIGENTE</v>
      </c>
      <c r="AT190" s="3"/>
      <c r="AU190" s="4">
        <v>45990</v>
      </c>
      <c r="AV190" s="4">
        <f>DATE(YEAR(AU190)+2,MONTH(AU190),DAY(AU190))</f>
        <v>46720</v>
      </c>
      <c r="AW190" s="8">
        <f t="shared" ca="1" si="475"/>
        <v>586</v>
      </c>
      <c r="AX190" s="5" t="str">
        <f t="shared" ca="1" si="476"/>
        <v>VIGENTE</v>
      </c>
      <c r="AY190" s="3"/>
      <c r="AZ190" s="4">
        <v>45603</v>
      </c>
      <c r="BA190" s="4">
        <f t="shared" si="644"/>
        <v>46332</v>
      </c>
      <c r="BB190" s="8">
        <f t="shared" ca="1" si="477"/>
        <v>198</v>
      </c>
      <c r="BC190" s="5" t="str">
        <f t="shared" ca="1" si="478"/>
        <v>VIGENTE</v>
      </c>
      <c r="BD190" s="3"/>
      <c r="BE190" s="4">
        <v>45968</v>
      </c>
      <c r="BF190" s="4">
        <f>DATE(YEAR(BE190)+2,MONTH(BE190),DAY(BE190))</f>
        <v>46698</v>
      </c>
      <c r="BG190" s="8">
        <f t="shared" ca="1" si="479"/>
        <v>564</v>
      </c>
      <c r="BH190" s="5" t="str">
        <f t="shared" ca="1" si="480"/>
        <v>VIGENTE</v>
      </c>
      <c r="BI190" s="3"/>
      <c r="BJ190" s="4">
        <v>46090</v>
      </c>
      <c r="BK190" s="4">
        <f t="shared" si="696"/>
        <v>46821</v>
      </c>
      <c r="BL190" s="8">
        <f t="shared" ca="1" si="481"/>
        <v>687</v>
      </c>
      <c r="BM190" s="5" t="str">
        <f t="shared" ca="1" si="482"/>
        <v>VIGENTE</v>
      </c>
      <c r="BN190" s="3"/>
      <c r="BO190" s="4">
        <v>45447</v>
      </c>
      <c r="BP190" s="4">
        <f>DATE(YEAR(BO190)+2,MONTH(BO190),DAY(BO190)-1)</f>
        <v>46176</v>
      </c>
      <c r="BQ190" s="8">
        <f t="shared" ca="1" si="483"/>
        <v>42</v>
      </c>
      <c r="BR190" s="5" t="str">
        <f t="shared" ca="1" si="484"/>
        <v>POR VENCER</v>
      </c>
      <c r="BS190" s="3"/>
      <c r="BT190" s="4">
        <v>45853</v>
      </c>
      <c r="BU190" s="4">
        <f>DATE(YEAR(BT190)+2,MONTH(BT190),DAY(BT190))</f>
        <v>46583</v>
      </c>
      <c r="BV190" s="8">
        <f t="shared" ca="1" si="485"/>
        <v>449</v>
      </c>
      <c r="BW190" s="5" t="str">
        <f t="shared" ca="1" si="486"/>
        <v>VIGENTE</v>
      </c>
      <c r="BX190" s="3"/>
      <c r="BY190" s="4">
        <v>45944</v>
      </c>
      <c r="BZ190" s="4">
        <f t="shared" si="697"/>
        <v>46674</v>
      </c>
      <c r="CA190" s="8">
        <f t="shared" ca="1" si="487"/>
        <v>540</v>
      </c>
      <c r="CB190" s="5" t="str">
        <f t="shared" ca="1" si="488"/>
        <v>VIGENTE</v>
      </c>
      <c r="CC190" s="6" t="s">
        <v>73</v>
      </c>
      <c r="CD190" s="4">
        <v>45616</v>
      </c>
      <c r="CE190" s="4">
        <f t="shared" si="609"/>
        <v>47077</v>
      </c>
      <c r="CF190" s="8">
        <f t="shared" ca="1" si="610"/>
        <v>943</v>
      </c>
      <c r="CG190" s="5" t="str">
        <f t="shared" ca="1" si="591"/>
        <v>VIGENTE</v>
      </c>
      <c r="CH190" s="4"/>
      <c r="CI190" s="4">
        <v>45504</v>
      </c>
      <c r="CJ190" s="4">
        <f t="shared" si="649"/>
        <v>46233</v>
      </c>
      <c r="CK190" s="8">
        <f t="shared" ca="1" si="489"/>
        <v>99</v>
      </c>
      <c r="CL190" s="5" t="str">
        <f t="shared" ca="1" si="490"/>
        <v>VIGENTE</v>
      </c>
      <c r="CM190" s="3"/>
      <c r="CN190" s="4">
        <v>45517</v>
      </c>
      <c r="CO190" s="4">
        <f t="shared" si="650"/>
        <v>46246</v>
      </c>
      <c r="CP190" s="8">
        <f t="shared" ca="1" si="491"/>
        <v>112</v>
      </c>
      <c r="CQ190" s="5" t="str">
        <f t="shared" ca="1" si="492"/>
        <v>VIGENTE</v>
      </c>
      <c r="CR190" s="3"/>
      <c r="CS190" s="4">
        <v>45905</v>
      </c>
      <c r="CT190" s="4">
        <f t="shared" si="711"/>
        <v>46635</v>
      </c>
      <c r="CU190" s="8">
        <f t="shared" ca="1" si="493"/>
        <v>501</v>
      </c>
      <c r="CV190" s="5" t="str">
        <f t="shared" ca="1" si="494"/>
        <v>VIGENTE</v>
      </c>
      <c r="CW190" s="3"/>
      <c r="CX190" s="4">
        <v>45924</v>
      </c>
      <c r="CY190" s="4">
        <f t="shared" si="712"/>
        <v>46654</v>
      </c>
      <c r="CZ190" s="8">
        <f t="shared" ca="1" si="495"/>
        <v>520</v>
      </c>
      <c r="DA190" s="5" t="str">
        <f t="shared" ca="1" si="496"/>
        <v>VIGENTE</v>
      </c>
      <c r="DB190" s="3"/>
      <c r="DC190" s="4">
        <v>45463</v>
      </c>
      <c r="DD190" s="4">
        <f t="shared" si="653"/>
        <v>46192</v>
      </c>
      <c r="DE190" s="8">
        <f t="shared" ca="1" si="497"/>
        <v>58</v>
      </c>
      <c r="DF190" s="5" t="str">
        <f t="shared" ca="1" si="498"/>
        <v>POR VENCER</v>
      </c>
      <c r="DG190" s="3"/>
      <c r="DH190" s="4">
        <v>45899</v>
      </c>
      <c r="DI190" s="4">
        <f t="shared" si="699"/>
        <v>46629</v>
      </c>
      <c r="DJ190" s="8">
        <f t="shared" ca="1" si="499"/>
        <v>495</v>
      </c>
      <c r="DK190" s="5" t="str">
        <f t="shared" ca="1" si="500"/>
        <v>VIGENTE</v>
      </c>
      <c r="DL190" s="3"/>
      <c r="DM190" s="4">
        <v>45982</v>
      </c>
      <c r="DN190" s="4">
        <f t="shared" si="700"/>
        <v>46712</v>
      </c>
      <c r="DO190" s="8">
        <f t="shared" ca="1" si="501"/>
        <v>578</v>
      </c>
      <c r="DP190" s="5" t="str">
        <f t="shared" ca="1" si="502"/>
        <v>VIGENTE</v>
      </c>
      <c r="DQ190" s="3"/>
      <c r="DR190" s="4">
        <v>45608</v>
      </c>
      <c r="DS190" s="4">
        <f t="shared" si="688"/>
        <v>46337</v>
      </c>
      <c r="DT190" s="8">
        <f t="shared" ca="1" si="503"/>
        <v>203</v>
      </c>
      <c r="DU190" s="5" t="str">
        <f t="shared" ca="1" si="504"/>
        <v>VIGENTE</v>
      </c>
      <c r="DV190" s="3"/>
      <c r="DW190" s="4">
        <v>45612</v>
      </c>
      <c r="DX190" s="4">
        <f t="shared" si="656"/>
        <v>46341</v>
      </c>
      <c r="DY190" s="8">
        <f t="shared" ca="1" si="505"/>
        <v>207</v>
      </c>
      <c r="DZ190" s="5" t="str">
        <f t="shared" ca="1" si="506"/>
        <v>VIGENTE</v>
      </c>
      <c r="EA190" s="3"/>
      <c r="EB190" s="4">
        <v>45674</v>
      </c>
      <c r="EC190" s="4">
        <f>DATE(YEAR(EB190)+2,MONTH(EB190),DAY(EB190)-1)</f>
        <v>46403</v>
      </c>
      <c r="ED190" s="8">
        <f t="shared" ca="1" si="507"/>
        <v>269</v>
      </c>
      <c r="EE190" s="5" t="str">
        <f t="shared" ca="1" si="508"/>
        <v>VIGENTE</v>
      </c>
      <c r="EF190" s="3"/>
      <c r="EG190" s="3">
        <v>46085</v>
      </c>
      <c r="EH190" s="4">
        <f t="shared" si="575"/>
        <v>46450</v>
      </c>
      <c r="EI190" s="8">
        <f t="shared" ca="1" si="509"/>
        <v>316</v>
      </c>
      <c r="EJ190" s="5" t="str">
        <f t="shared" ca="1" si="510"/>
        <v>VIGENTE</v>
      </c>
      <c r="EK190" s="3"/>
      <c r="EL190" s="4">
        <v>45465</v>
      </c>
      <c r="EM190" s="4">
        <f t="shared" si="658"/>
        <v>46194</v>
      </c>
      <c r="EN190" s="8">
        <f t="shared" ca="1" si="511"/>
        <v>60</v>
      </c>
      <c r="EO190" s="5" t="str">
        <f t="shared" ca="1" si="512"/>
        <v>POR VENCER</v>
      </c>
      <c r="EP190" s="3"/>
      <c r="EQ190" s="4">
        <v>45575</v>
      </c>
      <c r="ER190" s="4">
        <f t="shared" si="689"/>
        <v>46304</v>
      </c>
      <c r="ES190" s="8">
        <f t="shared" ca="1" si="513"/>
        <v>170</v>
      </c>
      <c r="ET190" s="5" t="str">
        <f t="shared" ca="1" si="514"/>
        <v>VIGENTE</v>
      </c>
      <c r="EU190" s="3"/>
      <c r="EV190" s="4">
        <v>45917</v>
      </c>
      <c r="EW190" s="4">
        <f t="shared" si="704"/>
        <v>46647</v>
      </c>
      <c r="EX190" s="8">
        <f t="shared" ca="1" si="515"/>
        <v>513</v>
      </c>
      <c r="EY190" s="5" t="str">
        <f t="shared" ca="1" si="516"/>
        <v>VIGENTE</v>
      </c>
      <c r="EZ190" s="3"/>
      <c r="FA190" s="4">
        <v>45611</v>
      </c>
      <c r="FB190" s="4">
        <f t="shared" si="691"/>
        <v>46340</v>
      </c>
      <c r="FC190" s="8">
        <f t="shared" ca="1" si="517"/>
        <v>206</v>
      </c>
      <c r="FD190" s="5" t="str">
        <f t="shared" ca="1" si="518"/>
        <v>VIGENTE</v>
      </c>
      <c r="FE190" s="3"/>
      <c r="FF190" s="4">
        <v>45932</v>
      </c>
      <c r="FG190" s="4">
        <f t="shared" si="706"/>
        <v>46662</v>
      </c>
      <c r="FH190" s="8">
        <f t="shared" ca="1" si="519"/>
        <v>528</v>
      </c>
      <c r="FI190" s="5" t="str">
        <f t="shared" ca="1" si="520"/>
        <v>VIGENTE</v>
      </c>
      <c r="FJ190" s="3"/>
      <c r="FK190" s="4">
        <v>45588</v>
      </c>
      <c r="FL190" s="4">
        <f t="shared" si="692"/>
        <v>46317</v>
      </c>
      <c r="FM190" s="8">
        <f t="shared" ca="1" si="521"/>
        <v>183</v>
      </c>
      <c r="FN190" s="5" t="str">
        <f t="shared" ca="1" si="522"/>
        <v>VIGENTE</v>
      </c>
      <c r="FO190" s="3"/>
      <c r="FP190" s="4">
        <v>45466</v>
      </c>
      <c r="FQ190" s="4">
        <f t="shared" si="663"/>
        <v>46195</v>
      </c>
      <c r="FR190" s="8">
        <f t="shared" ca="1" si="523"/>
        <v>61</v>
      </c>
      <c r="FS190" s="5" t="str">
        <f t="shared" ca="1" si="524"/>
        <v>POR VENCER</v>
      </c>
      <c r="FT190" s="3"/>
      <c r="FU190" s="4">
        <v>45941</v>
      </c>
      <c r="FV190" s="4">
        <f t="shared" si="713"/>
        <v>46671</v>
      </c>
      <c r="FW190" s="8">
        <f t="shared" ca="1" si="525"/>
        <v>537</v>
      </c>
      <c r="FX190" s="5" t="str">
        <f t="shared" ca="1" si="526"/>
        <v>VIGENTE</v>
      </c>
      <c r="FY190" s="3"/>
      <c r="FZ190" s="4">
        <v>45667</v>
      </c>
      <c r="GA190" s="4">
        <f t="shared" si="665"/>
        <v>46396</v>
      </c>
      <c r="GB190" s="8">
        <f t="shared" ca="1" si="527"/>
        <v>262</v>
      </c>
      <c r="GC190" s="5" t="str">
        <f t="shared" ca="1" si="528"/>
        <v>VIGENTE</v>
      </c>
      <c r="GD190" s="3"/>
      <c r="GE190" s="4">
        <v>46092</v>
      </c>
      <c r="GF190" s="4">
        <f t="shared" si="709"/>
        <v>46823</v>
      </c>
      <c r="GG190" s="8">
        <f t="shared" ca="1" si="529"/>
        <v>689</v>
      </c>
      <c r="GH190" s="5" t="str">
        <f t="shared" ca="1" si="530"/>
        <v>VIGENTE</v>
      </c>
      <c r="GI190" s="3"/>
      <c r="GJ190" s="4">
        <v>45945</v>
      </c>
      <c r="GK190" s="4">
        <f t="shared" ref="GK190:GK191" si="715">DATE(YEAR(GJ190)+2,MONTH(GJ190),DAY(GJ190))</f>
        <v>46675</v>
      </c>
      <c r="GL190" s="8">
        <f t="shared" ca="1" si="531"/>
        <v>541</v>
      </c>
      <c r="GM190" s="5" t="str">
        <f t="shared" ca="1" si="532"/>
        <v>VIGENTE</v>
      </c>
      <c r="GN190" s="4"/>
      <c r="GO190" s="4">
        <v>45048</v>
      </c>
      <c r="GP190" s="4">
        <f t="shared" si="533"/>
        <v>46875</v>
      </c>
      <c r="GQ190" s="8">
        <f t="shared" ca="1" si="620"/>
        <v>741</v>
      </c>
      <c r="GR190" s="5" t="str">
        <f t="shared" ca="1" si="630"/>
        <v>VIGENTE</v>
      </c>
      <c r="GS190" s="3"/>
      <c r="GT190" s="4">
        <v>44979</v>
      </c>
      <c r="GU190" s="4">
        <f t="shared" si="534"/>
        <v>46805</v>
      </c>
      <c r="GV190" s="8">
        <f t="shared" ca="1" si="535"/>
        <v>671</v>
      </c>
      <c r="GW190" s="5" t="str">
        <f t="shared" ca="1" si="631"/>
        <v>VIGENTE</v>
      </c>
      <c r="GX190" s="2"/>
      <c r="GY190" s="4">
        <v>45003</v>
      </c>
      <c r="GZ190" s="4">
        <f t="shared" si="536"/>
        <v>46830</v>
      </c>
      <c r="HA190" s="8">
        <f t="shared" ca="1" si="537"/>
        <v>696</v>
      </c>
      <c r="HB190" s="5" t="str">
        <f t="shared" ca="1" si="632"/>
        <v>VIGENTE</v>
      </c>
      <c r="HC190" s="6"/>
      <c r="HD190" s="6"/>
      <c r="HE190" s="4"/>
      <c r="HF190" s="8"/>
      <c r="HG190" s="5" t="str">
        <f t="shared" si="633"/>
        <v>NO APLICA</v>
      </c>
      <c r="HH190" s="2"/>
      <c r="HI190" s="6"/>
      <c r="HJ190" s="4"/>
      <c r="HK190" s="8"/>
      <c r="HL190" s="5" t="str">
        <f t="shared" si="714"/>
        <v>NO APLICA</v>
      </c>
      <c r="HM190" s="2"/>
      <c r="HN190" s="2"/>
      <c r="HO190" s="4"/>
      <c r="HP190" s="2"/>
      <c r="HQ190" s="5" t="str">
        <f t="shared" si="538"/>
        <v>NO APLICA</v>
      </c>
      <c r="HR190" s="2"/>
      <c r="HS190" s="6"/>
      <c r="HT190" s="4"/>
      <c r="HU190" s="8"/>
      <c r="HV190" s="5" t="str">
        <f t="shared" si="539"/>
        <v>NO APLICA</v>
      </c>
      <c r="HW190" s="2"/>
      <c r="HX190" s="6"/>
      <c r="HY190" s="4"/>
      <c r="HZ190" s="8"/>
      <c r="IA190" s="5" t="str">
        <f t="shared" si="540"/>
        <v>NO APLICA</v>
      </c>
      <c r="IB190" s="2"/>
      <c r="IC190" s="6"/>
      <c r="ID190" s="4"/>
      <c r="IE190" s="8"/>
      <c r="IF190" s="5" t="str">
        <f t="shared" si="541"/>
        <v>NO APLICA</v>
      </c>
      <c r="IG190" s="6"/>
      <c r="IH190" s="6"/>
      <c r="II190" s="4"/>
      <c r="IJ190" s="8"/>
      <c r="IK190" s="5" t="str">
        <f t="shared" si="542"/>
        <v>NO APLICA</v>
      </c>
      <c r="IL190" s="2"/>
      <c r="IM190" s="6"/>
      <c r="IN190" s="4"/>
      <c r="IO190" s="8"/>
      <c r="IP190" s="5" t="str">
        <f t="shared" si="543"/>
        <v>NO APLICA</v>
      </c>
      <c r="IQ190" s="2"/>
      <c r="IR190" s="6"/>
      <c r="IS190" s="4"/>
      <c r="IT190" s="8"/>
      <c r="IU190" s="5" t="str">
        <f t="shared" si="544"/>
        <v>NO APLICA</v>
      </c>
      <c r="IV190" s="2"/>
      <c r="IW190" s="6"/>
      <c r="IX190" s="4"/>
      <c r="IY190" s="8"/>
      <c r="IZ190" s="5" t="str">
        <f t="shared" si="545"/>
        <v>NO APLICA</v>
      </c>
      <c r="JA190" s="3"/>
      <c r="JB190" s="3"/>
      <c r="JC190" s="4"/>
      <c r="JD190" s="8"/>
      <c r="JE190" s="5" t="str">
        <f t="shared" si="546"/>
        <v>NO APLICA</v>
      </c>
      <c r="JF190" s="6"/>
      <c r="JG190" s="6"/>
      <c r="JH190" s="6"/>
      <c r="JI190" s="6"/>
      <c r="JJ190" s="5" t="str">
        <f t="shared" si="547"/>
        <v>NO APLICA</v>
      </c>
      <c r="JK190" s="6"/>
      <c r="JL190" s="6"/>
      <c r="JM190" s="6"/>
      <c r="JN190" s="6"/>
      <c r="JO190" s="5" t="str">
        <f t="shared" si="548"/>
        <v>NO APLICA</v>
      </c>
      <c r="JP190" s="6"/>
      <c r="JQ190" s="6"/>
      <c r="JR190" s="6"/>
      <c r="JS190" s="6"/>
      <c r="JT190" s="5" t="str">
        <f t="shared" si="549"/>
        <v>NO APLICA</v>
      </c>
      <c r="JU190" s="5"/>
      <c r="JV190" s="5"/>
      <c r="JW190" s="5"/>
      <c r="JX190" s="5"/>
      <c r="JY190" s="5" t="str">
        <f t="shared" si="550"/>
        <v>NO APLICA</v>
      </c>
      <c r="JZ190" s="5"/>
      <c r="KA190" s="2"/>
      <c r="KB190" s="4"/>
      <c r="KC190" s="8"/>
      <c r="KD190" s="5" t="str">
        <f t="shared" si="551"/>
        <v>NO APLICA</v>
      </c>
      <c r="KE190" s="5"/>
      <c r="KF190" s="2"/>
      <c r="KG190" s="4"/>
      <c r="KH190" s="8"/>
      <c r="KI190" s="5" t="str">
        <f t="shared" si="576"/>
        <v>NO APLICA</v>
      </c>
      <c r="KJ190" s="5"/>
      <c r="KK190" s="2"/>
      <c r="KL190" s="4"/>
      <c r="KM190" s="8"/>
      <c r="KN190" s="5" t="str">
        <f t="shared" si="552"/>
        <v>NO APLICA</v>
      </c>
      <c r="KO190" s="5"/>
      <c r="KP190" s="2"/>
      <c r="KQ190" s="4"/>
      <c r="KR190" s="8"/>
      <c r="KS190" s="5" t="str">
        <f t="shared" si="577"/>
        <v>NO APLICA</v>
      </c>
      <c r="KT190" s="2"/>
      <c r="KU190" s="6"/>
      <c r="KV190" s="4"/>
      <c r="KW190" s="8"/>
      <c r="KX190" s="5" t="str">
        <f t="shared" si="583"/>
        <v>NO APLICA</v>
      </c>
      <c r="KY190" s="5"/>
      <c r="KZ190" s="6"/>
      <c r="LA190" s="4"/>
      <c r="LB190" s="8"/>
      <c r="LC190" s="5" t="str">
        <f t="shared" si="578"/>
        <v>NO APLICA</v>
      </c>
      <c r="LD190" s="6"/>
      <c r="LE190" s="6"/>
      <c r="LF190" s="4"/>
      <c r="LG190" s="8"/>
      <c r="LH190" s="5" t="str">
        <f t="shared" si="619"/>
        <v>NO APLICA</v>
      </c>
      <c r="LI190" s="5"/>
      <c r="LJ190" s="5"/>
      <c r="LK190" s="5"/>
      <c r="LL190" s="5"/>
      <c r="LM190" s="5" t="str">
        <f t="shared" si="584"/>
        <v>NO APLICA</v>
      </c>
      <c r="LN190" s="2"/>
      <c r="LO190" s="6"/>
      <c r="LP190" s="4"/>
      <c r="LQ190" s="8"/>
      <c r="LR190" s="5" t="str">
        <f t="shared" si="579"/>
        <v>NO APLICA</v>
      </c>
      <c r="LS190" s="6"/>
      <c r="LT190" s="6"/>
      <c r="LU190" s="4"/>
      <c r="LV190" s="8"/>
      <c r="LW190" s="5" t="str">
        <f t="shared" si="580"/>
        <v>NO APLICA</v>
      </c>
      <c r="LX190" s="6"/>
      <c r="LY190" s="6"/>
      <c r="LZ190" s="4"/>
      <c r="MA190" s="8"/>
      <c r="MB190" s="5" t="str">
        <f t="shared" si="581"/>
        <v>NO APLICA</v>
      </c>
      <c r="MC190" s="2"/>
      <c r="MD190" s="2"/>
      <c r="ME190" s="4"/>
      <c r="MF190" s="8"/>
      <c r="MG190" s="5" t="str">
        <f t="shared" si="554"/>
        <v>NO APLICA</v>
      </c>
      <c r="MH190" s="2"/>
      <c r="MI190" s="2"/>
      <c r="MJ190" s="4"/>
      <c r="MK190" s="8"/>
      <c r="ML190" s="5" t="str">
        <f t="shared" si="555"/>
        <v>NO APLICA</v>
      </c>
      <c r="MM190" s="5"/>
      <c r="MN190" s="2"/>
      <c r="MO190" s="4"/>
      <c r="MP190" s="8"/>
      <c r="MQ190" s="5" t="str">
        <f t="shared" si="556"/>
        <v>NO APLICA</v>
      </c>
      <c r="MR190" s="5"/>
      <c r="MS190" s="2"/>
      <c r="MT190" s="4"/>
      <c r="MU190" s="2"/>
      <c r="MV190" s="5" t="str">
        <f t="shared" si="557"/>
        <v>NO APLICA</v>
      </c>
      <c r="MW190" s="2"/>
      <c r="MX190" s="6"/>
      <c r="MY190" s="4"/>
      <c r="MZ190" s="8"/>
      <c r="NA190" s="5" t="str">
        <f t="shared" si="558"/>
        <v>NO APLICA</v>
      </c>
      <c r="NB190" s="2"/>
      <c r="NC190" s="6"/>
      <c r="ND190" s="4"/>
      <c r="NE190" s="8"/>
      <c r="NF190" s="5" t="str">
        <f t="shared" si="559"/>
        <v>NO APLICA</v>
      </c>
      <c r="NG190" s="2"/>
      <c r="NH190" s="6"/>
      <c r="NI190" s="4"/>
      <c r="NJ190" s="8"/>
      <c r="NK190" s="5" t="str">
        <f t="shared" si="560"/>
        <v>NO APLICA</v>
      </c>
      <c r="NL190" s="2"/>
      <c r="NM190" s="2"/>
      <c r="NN190" s="4"/>
      <c r="NO190" s="2"/>
      <c r="NP190" s="5" t="str">
        <f t="shared" si="561"/>
        <v>NO APLICA</v>
      </c>
      <c r="NQ190" s="2"/>
      <c r="NR190" s="2"/>
      <c r="NS190" s="2"/>
      <c r="NT190" s="2"/>
      <c r="NU190" s="5" t="str">
        <f t="shared" si="562"/>
        <v>NO APLICA</v>
      </c>
      <c r="NV190" s="6"/>
      <c r="NW190" s="6"/>
      <c r="NX190" s="4"/>
      <c r="NY190" s="8"/>
      <c r="NZ190" s="5" t="str">
        <f t="shared" si="563"/>
        <v>NO APLICA</v>
      </c>
      <c r="OA190" s="6"/>
      <c r="OB190" s="6"/>
      <c r="OC190" s="6"/>
      <c r="OD190" s="6"/>
      <c r="OE190" s="5" t="str">
        <f t="shared" si="564"/>
        <v>NO APLICA</v>
      </c>
      <c r="OF190" s="6"/>
      <c r="OG190" s="6"/>
      <c r="OH190" s="4"/>
      <c r="OI190" s="8"/>
      <c r="OJ190" s="5" t="str">
        <f t="shared" si="565"/>
        <v>NO APLICA</v>
      </c>
      <c r="OK190" s="6"/>
      <c r="OL190" s="6"/>
      <c r="OM190" s="6"/>
      <c r="ON190" s="6"/>
      <c r="OO190" s="5" t="str">
        <f t="shared" si="566"/>
        <v>NO APLICA</v>
      </c>
      <c r="OP190" s="6"/>
      <c r="OQ190" s="6"/>
      <c r="OR190" s="6"/>
      <c r="OS190" s="6"/>
      <c r="OT190" s="5" t="str">
        <f t="shared" si="567"/>
        <v>NO APLICA</v>
      </c>
      <c r="OU190" s="6"/>
      <c r="OV190" s="6"/>
      <c r="OW190" s="6"/>
      <c r="OX190" s="6"/>
      <c r="OY190" s="5" t="str">
        <f t="shared" si="568"/>
        <v>NO APLICA</v>
      </c>
      <c r="OZ190" s="6"/>
      <c r="PA190" s="6"/>
      <c r="PB190" s="6"/>
      <c r="PC190" s="6"/>
      <c r="PD190" s="5" t="str">
        <f t="shared" si="569"/>
        <v>NO APLICA</v>
      </c>
      <c r="PE190" s="6"/>
      <c r="PF190" s="6"/>
      <c r="PG190" s="6"/>
      <c r="PH190" s="6"/>
      <c r="PI190" s="5" t="str">
        <f t="shared" si="570"/>
        <v>NO APLICA</v>
      </c>
      <c r="PJ190" s="5"/>
      <c r="PK190" s="6"/>
      <c r="PL190" s="4"/>
      <c r="PM190" s="8"/>
      <c r="PN190" s="5" t="str">
        <f t="shared" si="571"/>
        <v>NO APLICA</v>
      </c>
      <c r="PO190" s="6"/>
      <c r="PP190" s="6"/>
      <c r="PQ190" s="6"/>
      <c r="PR190" s="6"/>
      <c r="PS190" s="5" t="str">
        <f t="shared" si="572"/>
        <v>NO APLICA</v>
      </c>
      <c r="PT190" s="5"/>
      <c r="PU190" s="6"/>
      <c r="PV190" s="6"/>
      <c r="PW190" s="6"/>
      <c r="PX190" s="5" t="str">
        <f t="shared" si="573"/>
        <v>NO APLICA</v>
      </c>
    </row>
    <row r="191" spans="1:440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185</v>
      </c>
      <c r="T191" s="5" t="str">
        <f ca="1">IF(S191&gt;=61,"VIGENTE",IF(S191&gt;=1,"POR VENCER",IF(S191&lt;=-1,"VENCIDA",IF(S191=0,"NO APLICA"))))</f>
        <v>VIGENTE</v>
      </c>
      <c r="U191" s="2" t="s">
        <v>606</v>
      </c>
      <c r="V191" s="4">
        <v>45142</v>
      </c>
      <c r="W191" s="4">
        <f t="shared" si="606"/>
        <v>46969</v>
      </c>
      <c r="X191" s="8">
        <f t="shared" ca="1" si="607"/>
        <v>835</v>
      </c>
      <c r="Y191" s="5" t="str">
        <f t="shared" ca="1" si="624"/>
        <v>VIGENTE</v>
      </c>
      <c r="Z191" s="2" t="s">
        <v>607</v>
      </c>
      <c r="AA191" s="4">
        <v>45192</v>
      </c>
      <c r="AB191" s="4">
        <f>DATE(YEAR(AA191)+5,MONTH(AA191),DAY(AA191))</f>
        <v>47019</v>
      </c>
      <c r="AC191" s="8">
        <f ca="1">AB191-TODAY()</f>
        <v>885</v>
      </c>
      <c r="AD191" s="5" t="str">
        <f ca="1">IF(AC191&gt;=91,"VIGENTE",IF(AC191&gt;=1,"POR VENCER",IF(AC191&lt;=-1,"VENCIDA",IF(AA191=0,"NO APLICA"))))</f>
        <v>VIGENTE</v>
      </c>
      <c r="AE191" s="6"/>
      <c r="AF191" s="4">
        <v>45936</v>
      </c>
      <c r="AG191" s="4">
        <f t="shared" si="710"/>
        <v>46666</v>
      </c>
      <c r="AH191" s="8">
        <f t="shared" ca="1" si="470"/>
        <v>532</v>
      </c>
      <c r="AI191" s="5" t="str">
        <f t="shared" ca="1" si="621"/>
        <v>VIGENTE</v>
      </c>
      <c r="AJ191" s="6"/>
      <c r="AK191" s="4">
        <v>45937</v>
      </c>
      <c r="AL191" s="4">
        <f t="shared" si="693"/>
        <v>46667</v>
      </c>
      <c r="AM191" s="8">
        <f t="shared" ca="1" si="471"/>
        <v>533</v>
      </c>
      <c r="AN191" s="5" t="str">
        <f t="shared" ca="1" si="472"/>
        <v>VIGENTE</v>
      </c>
      <c r="AO191" s="6"/>
      <c r="AP191" s="4">
        <v>45904</v>
      </c>
      <c r="AQ191" s="4">
        <f t="shared" si="694"/>
        <v>46634</v>
      </c>
      <c r="AR191" s="8">
        <f t="shared" ca="1" si="473"/>
        <v>500</v>
      </c>
      <c r="AS191" s="5" t="str">
        <f t="shared" ca="1" si="474"/>
        <v>VIGENTE</v>
      </c>
      <c r="AT191" s="4"/>
      <c r="AU191" s="4">
        <v>45972</v>
      </c>
      <c r="AV191" s="4">
        <f>DATE(YEAR(AU191)+2,MONTH(AU191),DAY(AU191))</f>
        <v>46702</v>
      </c>
      <c r="AW191" s="8">
        <f t="shared" ca="1" si="475"/>
        <v>568</v>
      </c>
      <c r="AX191" s="5" t="str">
        <f t="shared" ca="1" si="476"/>
        <v>VIGENTE</v>
      </c>
      <c r="AY191" s="3"/>
      <c r="AZ191" s="4">
        <v>46041</v>
      </c>
      <c r="BA191" s="4">
        <f>DATE(YEAR(AZ191)+2,MONTH(AZ191),DAY(AZ191))</f>
        <v>46771</v>
      </c>
      <c r="BB191" s="8">
        <f t="shared" ca="1" si="477"/>
        <v>637</v>
      </c>
      <c r="BC191" s="5" t="str">
        <f t="shared" ca="1" si="478"/>
        <v>VIGENTE</v>
      </c>
      <c r="BD191" s="6"/>
      <c r="BE191" s="4">
        <v>45997</v>
      </c>
      <c r="BF191" s="4">
        <f>DATE(YEAR(BE191)+2,MONTH(BE191),DAY(BE191))</f>
        <v>46727</v>
      </c>
      <c r="BG191" s="8">
        <f t="shared" ca="1" si="479"/>
        <v>593</v>
      </c>
      <c r="BH191" s="5" t="str">
        <f t="shared" ca="1" si="480"/>
        <v>VIGENTE</v>
      </c>
      <c r="BI191" s="4"/>
      <c r="BJ191" s="4">
        <v>46017</v>
      </c>
      <c r="BK191" s="4">
        <f t="shared" si="696"/>
        <v>46747</v>
      </c>
      <c r="BL191" s="8">
        <f t="shared" ca="1" si="481"/>
        <v>613</v>
      </c>
      <c r="BM191" s="5" t="str">
        <f t="shared" ca="1" si="482"/>
        <v>VIGENTE</v>
      </c>
      <c r="BN191" s="4"/>
      <c r="BO191" s="4">
        <v>45988</v>
      </c>
      <c r="BP191" s="4">
        <f>DATE(YEAR(BO191)+2,MONTH(BO191),DAY(BO191))</f>
        <v>46718</v>
      </c>
      <c r="BQ191" s="8">
        <f t="shared" ca="1" si="483"/>
        <v>584</v>
      </c>
      <c r="BR191" s="5" t="str">
        <f t="shared" ca="1" si="484"/>
        <v>VIGENTE</v>
      </c>
      <c r="BS191" s="3"/>
      <c r="BT191" s="4">
        <v>46031</v>
      </c>
      <c r="BU191" s="4">
        <f>DATE(YEAR(BT191)+2,MONTH(BT191),DAY(BT191))</f>
        <v>46761</v>
      </c>
      <c r="BV191" s="8">
        <f t="shared" ca="1" si="485"/>
        <v>627</v>
      </c>
      <c r="BW191" s="5" t="str">
        <f t="shared" ca="1" si="486"/>
        <v>VIGENTE</v>
      </c>
      <c r="BX191" s="6"/>
      <c r="BY191" s="4">
        <v>45986</v>
      </c>
      <c r="BZ191" s="4">
        <f t="shared" si="697"/>
        <v>46716</v>
      </c>
      <c r="CA191" s="8">
        <f t="shared" ca="1" si="487"/>
        <v>582</v>
      </c>
      <c r="CB191" s="5" t="str">
        <f t="shared" ca="1" si="488"/>
        <v>VIGENTE</v>
      </c>
      <c r="CC191" s="6" t="s">
        <v>68</v>
      </c>
      <c r="CD191" s="4">
        <v>45828</v>
      </c>
      <c r="CE191" s="4">
        <f t="shared" si="609"/>
        <v>47289</v>
      </c>
      <c r="CF191" s="8">
        <f t="shared" ca="1" si="610"/>
        <v>1155</v>
      </c>
      <c r="CG191" s="5" t="str">
        <f t="shared" ca="1" si="591"/>
        <v>VIGENTE</v>
      </c>
      <c r="CH191" s="4"/>
      <c r="CI191" s="4">
        <v>46018</v>
      </c>
      <c r="CJ191" s="4">
        <f>DATE(YEAR(CI191)+2,MONTH(CI191),DAY(CI191))</f>
        <v>46748</v>
      </c>
      <c r="CK191" s="8">
        <f t="shared" ca="1" si="489"/>
        <v>614</v>
      </c>
      <c r="CL191" s="5" t="str">
        <f t="shared" ca="1" si="490"/>
        <v>VIGENTE</v>
      </c>
      <c r="CM191" s="4"/>
      <c r="CN191" s="4">
        <v>45979</v>
      </c>
      <c r="CO191" s="4">
        <f>DATE(YEAR(CN191)+2,MONTH(CN191),DAY(CN191))</f>
        <v>46709</v>
      </c>
      <c r="CP191" s="8">
        <f t="shared" ca="1" si="491"/>
        <v>575</v>
      </c>
      <c r="CQ191" s="5" t="str">
        <f t="shared" ca="1" si="492"/>
        <v>VIGENTE</v>
      </c>
      <c r="CR191" s="6"/>
      <c r="CS191" s="4">
        <v>45905</v>
      </c>
      <c r="CT191" s="4">
        <f t="shared" si="711"/>
        <v>46635</v>
      </c>
      <c r="CU191" s="8">
        <f t="shared" ca="1" si="493"/>
        <v>501</v>
      </c>
      <c r="CV191" s="5" t="str">
        <f t="shared" ca="1" si="494"/>
        <v>VIGENTE</v>
      </c>
      <c r="CW191" s="4"/>
      <c r="CX191" s="4">
        <v>46000</v>
      </c>
      <c r="CY191" s="4">
        <f t="shared" si="712"/>
        <v>46730</v>
      </c>
      <c r="CZ191" s="8">
        <f t="shared" ca="1" si="495"/>
        <v>596</v>
      </c>
      <c r="DA191" s="5" t="str">
        <f t="shared" ca="1" si="496"/>
        <v>VIGENTE</v>
      </c>
      <c r="DB191" s="3"/>
      <c r="DC191" s="4">
        <v>45996</v>
      </c>
      <c r="DD191" s="4">
        <f>DATE(YEAR(DC191)+2,MONTH(DC191),DAY(DC191))</f>
        <v>46726</v>
      </c>
      <c r="DE191" s="8">
        <f t="shared" ca="1" si="497"/>
        <v>592</v>
      </c>
      <c r="DF191" s="5" t="str">
        <f t="shared" ca="1" si="498"/>
        <v>VIGENTE</v>
      </c>
      <c r="DG191" s="4"/>
      <c r="DH191" s="4">
        <v>45975</v>
      </c>
      <c r="DI191" s="4">
        <f t="shared" si="699"/>
        <v>46705</v>
      </c>
      <c r="DJ191" s="8">
        <f t="shared" ca="1" si="499"/>
        <v>571</v>
      </c>
      <c r="DK191" s="5" t="str">
        <f t="shared" ca="1" si="500"/>
        <v>VIGENTE</v>
      </c>
      <c r="DL191" s="4"/>
      <c r="DM191" s="4">
        <v>45982</v>
      </c>
      <c r="DN191" s="4">
        <f t="shared" si="700"/>
        <v>46712</v>
      </c>
      <c r="DO191" s="8">
        <f t="shared" ca="1" si="501"/>
        <v>578</v>
      </c>
      <c r="DP191" s="5" t="str">
        <f t="shared" ca="1" si="502"/>
        <v>VIGENTE</v>
      </c>
      <c r="DQ191" s="4"/>
      <c r="DR191" s="3">
        <v>46009</v>
      </c>
      <c r="DS191" s="4">
        <f>DATE(YEAR(DR191)+2,MONTH(DR191),DAY(DR191))</f>
        <v>46739</v>
      </c>
      <c r="DT191" s="8">
        <f t="shared" ca="1" si="503"/>
        <v>605</v>
      </c>
      <c r="DU191" s="5" t="str">
        <f t="shared" ca="1" si="504"/>
        <v>VIGENTE</v>
      </c>
      <c r="DV191" s="4"/>
      <c r="DW191" s="4">
        <v>46032</v>
      </c>
      <c r="DX191" s="4">
        <f>DATE(YEAR(DW191)+2,MONTH(DW191),DAY(DW191))</f>
        <v>46762</v>
      </c>
      <c r="DY191" s="8">
        <f t="shared" ca="1" si="505"/>
        <v>628</v>
      </c>
      <c r="DZ191" s="5" t="str">
        <f t="shared" ca="1" si="506"/>
        <v>VIGENTE</v>
      </c>
      <c r="EA191" s="4"/>
      <c r="EB191" s="4">
        <v>45994</v>
      </c>
      <c r="EC191" s="4">
        <f>DATE(YEAR(EB191)+2,MONTH(EB191),DAY(EB191))</f>
        <v>46724</v>
      </c>
      <c r="ED191" s="8">
        <f t="shared" ca="1" si="507"/>
        <v>590</v>
      </c>
      <c r="EE191" s="5" t="str">
        <f t="shared" ca="1" si="508"/>
        <v>VIGENTE</v>
      </c>
      <c r="EF191" s="3"/>
      <c r="EG191" s="3">
        <v>46015</v>
      </c>
      <c r="EH191" s="4">
        <f t="shared" si="575"/>
        <v>46380</v>
      </c>
      <c r="EI191" s="8">
        <f t="shared" ca="1" si="509"/>
        <v>246</v>
      </c>
      <c r="EJ191" s="5" t="str">
        <f t="shared" ca="1" si="510"/>
        <v>VIGENTE</v>
      </c>
      <c r="EK191" s="3"/>
      <c r="EL191" s="4">
        <v>45983</v>
      </c>
      <c r="EM191" s="4">
        <f>DATE(YEAR(EL191)+2,MONTH(EL191),DAY(EL191))</f>
        <v>46713</v>
      </c>
      <c r="EN191" s="8">
        <f t="shared" ca="1" si="511"/>
        <v>579</v>
      </c>
      <c r="EO191" s="5" t="str">
        <f t="shared" ca="1" si="512"/>
        <v>VIGENTE</v>
      </c>
      <c r="EP191" s="6"/>
      <c r="EQ191" s="4">
        <v>45999</v>
      </c>
      <c r="ER191" s="4">
        <f>DATE(YEAR(EQ191)+2,MONTH(EQ191),DAY(EQ191))</f>
        <v>46729</v>
      </c>
      <c r="ES191" s="8">
        <f t="shared" ca="1" si="513"/>
        <v>595</v>
      </c>
      <c r="ET191" s="5" t="str">
        <f t="shared" ca="1" si="514"/>
        <v>VIGENTE</v>
      </c>
      <c r="EU191" s="4"/>
      <c r="EV191" s="4">
        <v>46037</v>
      </c>
      <c r="EW191" s="4">
        <f t="shared" si="704"/>
        <v>46767</v>
      </c>
      <c r="EX191" s="8">
        <f t="shared" ca="1" si="515"/>
        <v>633</v>
      </c>
      <c r="EY191" s="5" t="str">
        <f t="shared" ca="1" si="516"/>
        <v>VIGENTE</v>
      </c>
      <c r="EZ191" s="4"/>
      <c r="FA191" s="4">
        <v>46010</v>
      </c>
      <c r="FB191" s="4">
        <f>DATE(YEAR(FA191)+2,MONTH(FA191),DAY(FA191))</f>
        <v>46740</v>
      </c>
      <c r="FC191" s="8">
        <f t="shared" ca="1" si="517"/>
        <v>606</v>
      </c>
      <c r="FD191" s="5" t="str">
        <f t="shared" ca="1" si="518"/>
        <v>VIGENTE</v>
      </c>
      <c r="FE191" s="4"/>
      <c r="FF191" s="4">
        <v>45962</v>
      </c>
      <c r="FG191" s="4">
        <f t="shared" si="706"/>
        <v>46692</v>
      </c>
      <c r="FH191" s="8">
        <f t="shared" ca="1" si="519"/>
        <v>558</v>
      </c>
      <c r="FI191" s="5" t="str">
        <f t="shared" ca="1" si="520"/>
        <v>VIGENTE</v>
      </c>
      <c r="FJ191" s="4"/>
      <c r="FK191" s="4">
        <v>46039</v>
      </c>
      <c r="FL191" s="4">
        <f>DATE(YEAR(FK191)+2,MONTH(FK191),DAY(FK191))</f>
        <v>46769</v>
      </c>
      <c r="FM191" s="8">
        <f t="shared" ca="1" si="521"/>
        <v>635</v>
      </c>
      <c r="FN191" s="5" t="str">
        <f t="shared" ca="1" si="522"/>
        <v>VIGENTE</v>
      </c>
      <c r="FO191" s="4"/>
      <c r="FP191" s="4">
        <v>46034</v>
      </c>
      <c r="FQ191" s="4">
        <f>DATE(YEAR(FP191)+2,MONTH(FP191),DAY(FP191))</f>
        <v>46764</v>
      </c>
      <c r="FR191" s="8">
        <f t="shared" ca="1" si="523"/>
        <v>630</v>
      </c>
      <c r="FS191" s="5" t="str">
        <f t="shared" ca="1" si="524"/>
        <v>VIGENTE</v>
      </c>
      <c r="FT191" s="4"/>
      <c r="FU191" s="4">
        <v>46004</v>
      </c>
      <c r="FV191" s="4">
        <f t="shared" si="713"/>
        <v>46734</v>
      </c>
      <c r="FW191" s="8">
        <f t="shared" ca="1" si="525"/>
        <v>600</v>
      </c>
      <c r="FX191" s="5" t="str">
        <f t="shared" ca="1" si="526"/>
        <v>VIGENTE</v>
      </c>
      <c r="FY191" s="4"/>
      <c r="FZ191" s="4">
        <v>45925</v>
      </c>
      <c r="GA191" s="4">
        <f>DATE(YEAR(FZ191)+2,MONTH(FZ191),DAY(FZ191))</f>
        <v>46655</v>
      </c>
      <c r="GB191" s="8">
        <f t="shared" ca="1" si="527"/>
        <v>521</v>
      </c>
      <c r="GC191" s="5" t="str">
        <f t="shared" ca="1" si="528"/>
        <v>VIGENTE</v>
      </c>
      <c r="GD191" s="4"/>
      <c r="GE191" s="4">
        <v>45960</v>
      </c>
      <c r="GF191" s="4">
        <f t="shared" si="709"/>
        <v>46690</v>
      </c>
      <c r="GG191" s="8">
        <f t="shared" ca="1" si="529"/>
        <v>556</v>
      </c>
      <c r="GH191" s="5" t="str">
        <f t="shared" ca="1" si="530"/>
        <v>VIGENTE</v>
      </c>
      <c r="GI191" s="3"/>
      <c r="GJ191" s="4">
        <v>46044</v>
      </c>
      <c r="GK191" s="4">
        <f t="shared" si="715"/>
        <v>46774</v>
      </c>
      <c r="GL191" s="8">
        <f t="shared" ca="1" si="531"/>
        <v>640</v>
      </c>
      <c r="GM191" s="5" t="str">
        <f t="shared" ca="1" si="532"/>
        <v>VIGENTE</v>
      </c>
      <c r="GN191" s="4"/>
      <c r="GO191" s="4">
        <v>45299</v>
      </c>
      <c r="GP191" s="4">
        <f t="shared" si="533"/>
        <v>47126</v>
      </c>
      <c r="GQ191" s="8">
        <f t="shared" ca="1" si="620"/>
        <v>992</v>
      </c>
      <c r="GR191" s="5" t="str">
        <f t="shared" ca="1" si="630"/>
        <v>VIGENTE</v>
      </c>
      <c r="GS191" s="4"/>
      <c r="GT191" s="4">
        <v>45329</v>
      </c>
      <c r="GU191" s="4">
        <f t="shared" si="534"/>
        <v>47156</v>
      </c>
      <c r="GV191" s="8">
        <f t="shared" ca="1" si="535"/>
        <v>1022</v>
      </c>
      <c r="GW191" s="5" t="str">
        <f t="shared" ca="1" si="631"/>
        <v>VIGENTE</v>
      </c>
      <c r="GX191" s="6"/>
      <c r="GY191" s="4">
        <v>45343</v>
      </c>
      <c r="GZ191" s="4">
        <f t="shared" si="536"/>
        <v>47170</v>
      </c>
      <c r="HA191" s="8">
        <f t="shared" ca="1" si="537"/>
        <v>1036</v>
      </c>
      <c r="HB191" s="5" t="str">
        <f t="shared" ca="1" si="632"/>
        <v>VIGENTE</v>
      </c>
      <c r="HC191" s="6"/>
      <c r="HD191" s="4">
        <v>45317</v>
      </c>
      <c r="HE191" s="4">
        <f>DATE(YEAR(HD191)+5,MONTH(HD191),DAY(HD191))</f>
        <v>47144</v>
      </c>
      <c r="HF191" s="8">
        <f ca="1">HE191-TODAY()</f>
        <v>1010</v>
      </c>
      <c r="HG191" s="5" t="str">
        <f ca="1">IF(HF191&gt;=61,"VIGENTE",IF(HF191&gt;=1,"POR VENCER",IF(HF191&lt;=-1,"VENCIDA",IF(HD191=0,"NO APLICA"))))</f>
        <v>VIGENTE</v>
      </c>
      <c r="HH191" s="6"/>
      <c r="HI191" s="6"/>
      <c r="HJ191" s="4"/>
      <c r="HK191" s="8"/>
      <c r="HL191" s="5" t="str">
        <f t="shared" si="714"/>
        <v>NO APLICA</v>
      </c>
      <c r="HM191" s="2"/>
      <c r="HN191" s="2"/>
      <c r="HO191" s="4"/>
      <c r="HP191" s="2"/>
      <c r="HQ191" s="5" t="str">
        <f t="shared" si="538"/>
        <v>NO APLICA</v>
      </c>
      <c r="HR191" s="6"/>
      <c r="HS191" s="6"/>
      <c r="HT191" s="4"/>
      <c r="HU191" s="8"/>
      <c r="HV191" s="5" t="str">
        <f t="shared" si="539"/>
        <v>NO APLICA</v>
      </c>
      <c r="HW191" s="6"/>
      <c r="HX191" s="6"/>
      <c r="HY191" s="4"/>
      <c r="HZ191" s="8"/>
      <c r="IA191" s="5" t="str">
        <f t="shared" si="540"/>
        <v>NO APLICA</v>
      </c>
      <c r="IB191" s="6"/>
      <c r="IC191" s="6"/>
      <c r="ID191" s="4"/>
      <c r="IE191" s="8"/>
      <c r="IF191" s="5" t="str">
        <f t="shared" si="541"/>
        <v>NO APLICA</v>
      </c>
      <c r="IG191" s="6"/>
      <c r="IH191" s="6"/>
      <c r="II191" s="4"/>
      <c r="IJ191" s="8"/>
      <c r="IK191" s="5" t="str">
        <f t="shared" si="542"/>
        <v>NO APLICA</v>
      </c>
      <c r="IL191" s="6"/>
      <c r="IM191" s="6"/>
      <c r="IN191" s="4"/>
      <c r="IO191" s="8"/>
      <c r="IP191" s="5" t="str">
        <f t="shared" si="543"/>
        <v>NO APLICA</v>
      </c>
      <c r="IQ191" s="6"/>
      <c r="IR191" s="6"/>
      <c r="IS191" s="4"/>
      <c r="IT191" s="8"/>
      <c r="IU191" s="5" t="str">
        <f t="shared" si="544"/>
        <v>NO APLICA</v>
      </c>
      <c r="IV191" s="6"/>
      <c r="IW191" s="6"/>
      <c r="IX191" s="4"/>
      <c r="IY191" s="8"/>
      <c r="IZ191" s="5" t="str">
        <f t="shared" si="545"/>
        <v>NO APLICA</v>
      </c>
      <c r="JA191" s="3"/>
      <c r="JB191" s="3"/>
      <c r="JC191" s="4"/>
      <c r="JD191" s="8"/>
      <c r="JE191" s="5" t="str">
        <f t="shared" si="546"/>
        <v>NO APLICA</v>
      </c>
      <c r="JF191" s="6"/>
      <c r="JG191" s="6"/>
      <c r="JH191" s="6"/>
      <c r="JI191" s="6"/>
      <c r="JJ191" s="5" t="str">
        <f t="shared" si="547"/>
        <v>NO APLICA</v>
      </c>
      <c r="JK191" s="6"/>
      <c r="JL191" s="6"/>
      <c r="JM191" s="6"/>
      <c r="JN191" s="6"/>
      <c r="JO191" s="5" t="str">
        <f t="shared" si="548"/>
        <v>NO APLICA</v>
      </c>
      <c r="JP191" s="6"/>
      <c r="JQ191" s="6"/>
      <c r="JR191" s="6"/>
      <c r="JS191" s="6"/>
      <c r="JT191" s="5" t="str">
        <f t="shared" si="549"/>
        <v>NO APLICA</v>
      </c>
      <c r="JU191" s="5"/>
      <c r="JV191" s="5"/>
      <c r="JW191" s="5"/>
      <c r="JX191" s="5"/>
      <c r="JY191" s="5" t="str">
        <f t="shared" si="550"/>
        <v>NO APLICA</v>
      </c>
      <c r="JZ191" s="5"/>
      <c r="KA191" s="2"/>
      <c r="KB191" s="4"/>
      <c r="KC191" s="8"/>
      <c r="KD191" s="5" t="str">
        <f t="shared" si="551"/>
        <v>NO APLICA</v>
      </c>
      <c r="KE191" s="5"/>
      <c r="KF191" s="2"/>
      <c r="KG191" s="4"/>
      <c r="KH191" s="8"/>
      <c r="KI191" s="5" t="str">
        <f t="shared" si="576"/>
        <v>NO APLICA</v>
      </c>
      <c r="KJ191" s="5"/>
      <c r="KK191" s="2"/>
      <c r="KL191" s="4"/>
      <c r="KM191" s="8"/>
      <c r="KN191" s="5" t="str">
        <f t="shared" si="552"/>
        <v>NO APLICA</v>
      </c>
      <c r="KO191" s="5"/>
      <c r="KP191" s="2"/>
      <c r="KQ191" s="4"/>
      <c r="KR191" s="8"/>
      <c r="KS191" s="5" t="str">
        <f t="shared" si="577"/>
        <v>NO APLICA</v>
      </c>
      <c r="KT191" s="6"/>
      <c r="KU191" s="6"/>
      <c r="KV191" s="4"/>
      <c r="KW191" s="8"/>
      <c r="KX191" s="5" t="str">
        <f t="shared" si="583"/>
        <v>NO APLICA</v>
      </c>
      <c r="KY191" s="5"/>
      <c r="KZ191" s="6"/>
      <c r="LA191" s="4"/>
      <c r="LB191" s="8"/>
      <c r="LC191" s="5" t="str">
        <f t="shared" si="578"/>
        <v>NO APLICA</v>
      </c>
      <c r="LD191" s="6"/>
      <c r="LE191" s="6"/>
      <c r="LF191" s="4"/>
      <c r="LG191" s="8"/>
      <c r="LH191" s="5" t="str">
        <f t="shared" si="619"/>
        <v>NO APLICA</v>
      </c>
      <c r="LI191" s="5"/>
      <c r="LJ191" s="5"/>
      <c r="LK191" s="5"/>
      <c r="LL191" s="5"/>
      <c r="LM191" s="5" t="str">
        <f t="shared" si="584"/>
        <v>NO APLICA</v>
      </c>
      <c r="LN191" s="6"/>
      <c r="LO191" s="6"/>
      <c r="LP191" s="4"/>
      <c r="LQ191" s="8"/>
      <c r="LR191" s="5" t="str">
        <f t="shared" si="579"/>
        <v>NO APLICA</v>
      </c>
      <c r="LS191" s="6"/>
      <c r="LT191" s="6"/>
      <c r="LU191" s="4"/>
      <c r="LV191" s="8"/>
      <c r="LW191" s="5" t="str">
        <f t="shared" si="580"/>
        <v>NO APLICA</v>
      </c>
      <c r="LX191" s="6"/>
      <c r="LY191" s="6"/>
      <c r="LZ191" s="4"/>
      <c r="MA191" s="8"/>
      <c r="MB191" s="5" t="str">
        <f t="shared" si="581"/>
        <v>NO APLICA</v>
      </c>
      <c r="MC191" s="2"/>
      <c r="MD191" s="2"/>
      <c r="ME191" s="4"/>
      <c r="MF191" s="8"/>
      <c r="MG191" s="5" t="str">
        <f t="shared" si="554"/>
        <v>NO APLICA</v>
      </c>
      <c r="MH191" s="2"/>
      <c r="MI191" s="2"/>
      <c r="MJ191" s="4"/>
      <c r="MK191" s="8"/>
      <c r="ML191" s="5" t="str">
        <f t="shared" si="555"/>
        <v>NO APLICA</v>
      </c>
      <c r="MM191" s="5"/>
      <c r="MN191" s="2"/>
      <c r="MO191" s="4"/>
      <c r="MP191" s="8"/>
      <c r="MQ191" s="5" t="str">
        <f t="shared" si="556"/>
        <v>NO APLICA</v>
      </c>
      <c r="MR191" s="5"/>
      <c r="MS191" s="2"/>
      <c r="MT191" s="4"/>
      <c r="MU191" s="2"/>
      <c r="MV191" s="5" t="str">
        <f t="shared" si="557"/>
        <v>NO APLICA</v>
      </c>
      <c r="MW191" s="6"/>
      <c r="MX191" s="6"/>
      <c r="MY191" s="4"/>
      <c r="MZ191" s="8"/>
      <c r="NA191" s="5" t="str">
        <f t="shared" si="558"/>
        <v>NO APLICA</v>
      </c>
      <c r="NB191" s="6"/>
      <c r="NC191" s="6"/>
      <c r="ND191" s="4"/>
      <c r="NE191" s="8"/>
      <c r="NF191" s="5" t="str">
        <f t="shared" si="559"/>
        <v>NO APLICA</v>
      </c>
      <c r="NG191" s="6"/>
      <c r="NH191" s="6"/>
      <c r="NI191" s="4"/>
      <c r="NJ191" s="8"/>
      <c r="NK191" s="5" t="str">
        <f t="shared" si="560"/>
        <v>NO APLICA</v>
      </c>
      <c r="NL191" s="2"/>
      <c r="NM191" s="2"/>
      <c r="NN191" s="4"/>
      <c r="NO191" s="2"/>
      <c r="NP191" s="5" t="str">
        <f t="shared" si="561"/>
        <v>NO APLICA</v>
      </c>
      <c r="NQ191" s="2"/>
      <c r="NR191" s="2"/>
      <c r="NS191" s="4"/>
      <c r="NT191" s="2"/>
      <c r="NU191" s="5" t="str">
        <f t="shared" si="562"/>
        <v>NO APLICA</v>
      </c>
      <c r="NV191" s="6"/>
      <c r="NW191" s="6"/>
      <c r="NX191" s="4"/>
      <c r="NY191" s="8"/>
      <c r="NZ191" s="5" t="str">
        <f t="shared" si="563"/>
        <v>NO APLICA</v>
      </c>
      <c r="OA191" s="6"/>
      <c r="OB191" s="6"/>
      <c r="OC191" s="6"/>
      <c r="OD191" s="6"/>
      <c r="OE191" s="5" t="str">
        <f t="shared" si="564"/>
        <v>NO APLICA</v>
      </c>
      <c r="OF191" s="6"/>
      <c r="OG191" s="6"/>
      <c r="OH191" s="4"/>
      <c r="OI191" s="8"/>
      <c r="OJ191" s="5" t="str">
        <f t="shared" si="565"/>
        <v>NO APLICA</v>
      </c>
      <c r="OK191" s="6"/>
      <c r="OL191" s="6"/>
      <c r="OM191" s="6"/>
      <c r="ON191" s="6"/>
      <c r="OO191" s="5" t="str">
        <f t="shared" si="566"/>
        <v>NO APLICA</v>
      </c>
      <c r="OP191" s="6"/>
      <c r="OQ191" s="6"/>
      <c r="OR191" s="6"/>
      <c r="OS191" s="6"/>
      <c r="OT191" s="5" t="str">
        <f t="shared" si="567"/>
        <v>NO APLICA</v>
      </c>
      <c r="OU191" s="6"/>
      <c r="OV191" s="6"/>
      <c r="OW191" s="6"/>
      <c r="OX191" s="6"/>
      <c r="OY191" s="5" t="str">
        <f t="shared" si="568"/>
        <v>NO APLICA</v>
      </c>
      <c r="OZ191" s="6"/>
      <c r="PA191" s="6"/>
      <c r="PB191" s="6"/>
      <c r="PC191" s="6"/>
      <c r="PD191" s="5" t="str">
        <f t="shared" si="569"/>
        <v>NO APLICA</v>
      </c>
      <c r="PE191" s="6"/>
      <c r="PF191" s="6"/>
      <c r="PG191" s="6"/>
      <c r="PH191" s="6"/>
      <c r="PI191" s="5" t="str">
        <f t="shared" si="570"/>
        <v>NO APLICA</v>
      </c>
      <c r="PJ191" s="5"/>
      <c r="PK191" s="6"/>
      <c r="PL191" s="4"/>
      <c r="PM191" s="8"/>
      <c r="PN191" s="5" t="str">
        <f t="shared" si="571"/>
        <v>NO APLICA</v>
      </c>
      <c r="PO191" s="6"/>
      <c r="PP191" s="6"/>
      <c r="PQ191" s="6"/>
      <c r="PR191" s="6"/>
      <c r="PS191" s="5" t="str">
        <f t="shared" si="572"/>
        <v>NO APLICA</v>
      </c>
      <c r="PT191" s="5"/>
      <c r="PU191" s="6"/>
      <c r="PV191" s="6"/>
      <c r="PW191" s="6"/>
      <c r="PX191" s="5" t="str">
        <f t="shared" si="573"/>
        <v>NO APLICA</v>
      </c>
    </row>
    <row r="192" spans="1:440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6"/>
      <c r="V192" s="4"/>
      <c r="W192" s="4"/>
      <c r="X192" s="8"/>
      <c r="Y192" s="5" t="str">
        <f t="shared" si="624"/>
        <v>NO APLICA</v>
      </c>
      <c r="Z192" s="6"/>
      <c r="AA192" s="6"/>
      <c r="AB192" s="6"/>
      <c r="AC192" s="6"/>
      <c r="AD192" s="5" t="str">
        <f t="shared" si="627"/>
        <v>NO APLICA</v>
      </c>
      <c r="AE192" s="4"/>
      <c r="AF192" s="4"/>
      <c r="AG192" s="4"/>
      <c r="AH192" s="6"/>
      <c r="AI192" s="5" t="str">
        <f t="shared" si="621"/>
        <v>NO APLICA</v>
      </c>
      <c r="AJ192" s="4"/>
      <c r="AK192" s="4"/>
      <c r="AL192" s="4"/>
      <c r="AM192" s="6"/>
      <c r="AN192" s="5" t="str">
        <f t="shared" si="472"/>
        <v>NO APLICA</v>
      </c>
      <c r="AO192" s="4"/>
      <c r="AP192" s="4"/>
      <c r="AQ192" s="4"/>
      <c r="AR192" s="6"/>
      <c r="AS192" s="5" t="str">
        <f t="shared" si="474"/>
        <v>NO APLICA</v>
      </c>
      <c r="AT192" s="4"/>
      <c r="AU192" s="4"/>
      <c r="AV192" s="4"/>
      <c r="AW192" s="6"/>
      <c r="AX192" s="5" t="str">
        <f t="shared" si="476"/>
        <v>NO APLICA</v>
      </c>
      <c r="AY192" s="4"/>
      <c r="AZ192" s="4"/>
      <c r="BA192" s="4"/>
      <c r="BB192" s="6"/>
      <c r="BC192" s="5" t="str">
        <f t="shared" si="478"/>
        <v>NO APLICA</v>
      </c>
      <c r="BD192" s="4"/>
      <c r="BE192" s="4"/>
      <c r="BF192" s="4"/>
      <c r="BG192" s="6"/>
      <c r="BH192" s="5" t="str">
        <f t="shared" si="480"/>
        <v>NO APLICA</v>
      </c>
      <c r="BI192" s="4"/>
      <c r="BJ192" s="4"/>
      <c r="BK192" s="4"/>
      <c r="BL192" s="6"/>
      <c r="BM192" s="5" t="str">
        <f t="shared" si="482"/>
        <v>NO APLICA</v>
      </c>
      <c r="BN192" s="4"/>
      <c r="BO192" s="4"/>
      <c r="BP192" s="4"/>
      <c r="BQ192" s="6"/>
      <c r="BR192" s="5" t="str">
        <f t="shared" si="484"/>
        <v>NO APLICA</v>
      </c>
      <c r="BS192" s="4"/>
      <c r="BT192" s="4"/>
      <c r="BU192" s="4"/>
      <c r="BV192" s="6"/>
      <c r="BW192" s="5" t="str">
        <f t="shared" si="486"/>
        <v>NO APLICA</v>
      </c>
      <c r="BX192" s="4"/>
      <c r="BY192" s="4"/>
      <c r="BZ192" s="4"/>
      <c r="CA192" s="6"/>
      <c r="CB192" s="5" t="str">
        <f t="shared" si="488"/>
        <v>NO APLICA</v>
      </c>
      <c r="CC192" s="6"/>
      <c r="CD192" s="6"/>
      <c r="CE192" s="6"/>
      <c r="CF192" s="6"/>
      <c r="CG192" s="5" t="str">
        <f t="shared" si="591"/>
        <v>NO APLICA</v>
      </c>
      <c r="CH192" s="4"/>
      <c r="CI192" s="4"/>
      <c r="CJ192" s="4"/>
      <c r="CK192" s="6"/>
      <c r="CL192" s="5" t="str">
        <f t="shared" si="490"/>
        <v>NO APLICA</v>
      </c>
      <c r="CM192" s="4"/>
      <c r="CN192" s="4"/>
      <c r="CO192" s="4"/>
      <c r="CP192" s="6"/>
      <c r="CQ192" s="5" t="str">
        <f t="shared" si="492"/>
        <v>NO APLICA</v>
      </c>
      <c r="CR192" s="4"/>
      <c r="CS192" s="4"/>
      <c r="CT192" s="4"/>
      <c r="CU192" s="6"/>
      <c r="CV192" s="5" t="str">
        <f t="shared" si="494"/>
        <v>NO APLICA</v>
      </c>
      <c r="CW192" s="4"/>
      <c r="CX192" s="4"/>
      <c r="CY192" s="4"/>
      <c r="CZ192" s="6"/>
      <c r="DA192" s="5" t="str">
        <f t="shared" si="496"/>
        <v>NO APLICA</v>
      </c>
      <c r="DB192" s="4"/>
      <c r="DC192" s="4"/>
      <c r="DD192" s="4"/>
      <c r="DE192" s="6"/>
      <c r="DF192" s="5" t="str">
        <f t="shared" si="498"/>
        <v>NO APLICA</v>
      </c>
      <c r="DG192" s="4"/>
      <c r="DH192" s="4"/>
      <c r="DI192" s="4"/>
      <c r="DJ192" s="6"/>
      <c r="DK192" s="5" t="str">
        <f t="shared" si="500"/>
        <v>NO APLICA</v>
      </c>
      <c r="DL192" s="4"/>
      <c r="DM192" s="4"/>
      <c r="DN192" s="4"/>
      <c r="DO192" s="6"/>
      <c r="DP192" s="5" t="str">
        <f t="shared" si="502"/>
        <v>NO APLICA</v>
      </c>
      <c r="DQ192" s="4"/>
      <c r="DR192" s="4"/>
      <c r="DS192" s="4"/>
      <c r="DT192" s="6"/>
      <c r="DU192" s="5" t="str">
        <f t="shared" si="504"/>
        <v>NO APLICA</v>
      </c>
      <c r="DV192" s="4"/>
      <c r="DW192" s="4"/>
      <c r="DX192" s="4"/>
      <c r="DY192" s="6"/>
      <c r="DZ192" s="5" t="str">
        <f t="shared" si="506"/>
        <v>NO APLICA</v>
      </c>
      <c r="EA192" s="4"/>
      <c r="EB192" s="4"/>
      <c r="EC192" s="4"/>
      <c r="ED192" s="6"/>
      <c r="EE192" s="5" t="str">
        <f t="shared" si="508"/>
        <v>NO APLICA</v>
      </c>
      <c r="EF192" s="4"/>
      <c r="EG192" s="4"/>
      <c r="EH192" s="4"/>
      <c r="EI192" s="8"/>
      <c r="EJ192" s="5" t="str">
        <f t="shared" si="510"/>
        <v>NO APLICA</v>
      </c>
      <c r="EK192" s="4"/>
      <c r="EL192" s="4"/>
      <c r="EM192" s="4"/>
      <c r="EN192" s="8"/>
      <c r="EO192" s="5" t="str">
        <f t="shared" si="512"/>
        <v>NO APLICA</v>
      </c>
      <c r="EP192" s="4"/>
      <c r="EQ192" s="4"/>
      <c r="ER192" s="4"/>
      <c r="ES192" s="8"/>
      <c r="ET192" s="5" t="str">
        <f t="shared" si="514"/>
        <v>NO APLICA</v>
      </c>
      <c r="EU192" s="4"/>
      <c r="EV192" s="4"/>
      <c r="EW192" s="4"/>
      <c r="EX192" s="6"/>
      <c r="EY192" s="5" t="str">
        <f t="shared" si="516"/>
        <v>NO APLICA</v>
      </c>
      <c r="EZ192" s="4"/>
      <c r="FA192" s="4"/>
      <c r="FB192" s="4"/>
      <c r="FC192" s="6"/>
      <c r="FD192" s="5" t="str">
        <f t="shared" si="518"/>
        <v>NO APLICA</v>
      </c>
      <c r="FE192" s="4"/>
      <c r="FF192" s="4"/>
      <c r="FG192" s="4"/>
      <c r="FH192" s="6"/>
      <c r="FI192" s="5" t="str">
        <f t="shared" si="520"/>
        <v>NO APLICA</v>
      </c>
      <c r="FJ192" s="4"/>
      <c r="FK192" s="4"/>
      <c r="FL192" s="4"/>
      <c r="FM192" s="6"/>
      <c r="FN192" s="5" t="str">
        <f t="shared" si="522"/>
        <v>NO APLICA</v>
      </c>
      <c r="FO192" s="4"/>
      <c r="FP192" s="4"/>
      <c r="FQ192" s="4"/>
      <c r="FR192" s="6"/>
      <c r="FS192" s="5" t="str">
        <f t="shared" si="524"/>
        <v>NO APLICA</v>
      </c>
      <c r="FT192" s="4"/>
      <c r="FU192" s="4"/>
      <c r="FV192" s="4"/>
      <c r="FW192" s="6"/>
      <c r="FX192" s="5" t="str">
        <f t="shared" si="526"/>
        <v>NO APLICA</v>
      </c>
      <c r="FY192" s="4"/>
      <c r="FZ192" s="4"/>
      <c r="GA192" s="4"/>
      <c r="GB192" s="6"/>
      <c r="GC192" s="5" t="str">
        <f t="shared" si="528"/>
        <v>NO APLICA</v>
      </c>
      <c r="GD192" s="4"/>
      <c r="GE192" s="4"/>
      <c r="GF192" s="4"/>
      <c r="GG192" s="8"/>
      <c r="GH192" s="5" t="str">
        <f t="shared" si="530"/>
        <v>NO APLICA</v>
      </c>
      <c r="GI192" s="4"/>
      <c r="GJ192" s="6"/>
      <c r="GK192" s="6"/>
      <c r="GL192" s="6"/>
      <c r="GM192" s="5" t="str">
        <f t="shared" si="532"/>
        <v>NO APLICA</v>
      </c>
      <c r="GN192" s="4"/>
      <c r="GO192" s="6"/>
      <c r="GP192" s="6"/>
      <c r="GQ192" s="6"/>
      <c r="GR192" s="5" t="str">
        <f t="shared" si="630"/>
        <v>NO APLICA</v>
      </c>
      <c r="GS192" s="4"/>
      <c r="GT192" s="6"/>
      <c r="GU192" s="6"/>
      <c r="GV192" s="6"/>
      <c r="GW192" s="5" t="str">
        <f t="shared" si="631"/>
        <v>NO APLICA</v>
      </c>
      <c r="GX192" s="6"/>
      <c r="GY192" s="6"/>
      <c r="GZ192" s="6"/>
      <c r="HA192" s="6"/>
      <c r="HB192" s="5" t="str">
        <f t="shared" si="632"/>
        <v>NO APLICA</v>
      </c>
      <c r="HC192" s="6"/>
      <c r="HD192" s="6"/>
      <c r="HE192" s="4"/>
      <c r="HF192" s="8"/>
      <c r="HG192" s="5" t="str">
        <f t="shared" ref="HG192:HG240" si="718">IF(HF192&gt;=61,"VIGENTE",IF(HF192&gt;=1,"POR VENCER",IF(HF192&lt;=-1,"VENCIDA",IF(HD192=0,"NO APLICA"))))</f>
        <v>NO APLICA</v>
      </c>
      <c r="HH192" s="6"/>
      <c r="HI192" s="6"/>
      <c r="HJ192" s="6"/>
      <c r="HK192" s="6"/>
      <c r="HL192" s="5" t="str">
        <f t="shared" si="714"/>
        <v>NO APLICA</v>
      </c>
      <c r="HM192" s="6"/>
      <c r="HN192" s="6"/>
      <c r="HO192" s="6"/>
      <c r="HP192" s="6"/>
      <c r="HQ192" s="5" t="str">
        <f t="shared" si="538"/>
        <v>NO APLICA</v>
      </c>
      <c r="HR192" s="6"/>
      <c r="HS192" s="6"/>
      <c r="HT192" s="6"/>
      <c r="HU192" s="6"/>
      <c r="HV192" s="5" t="str">
        <f t="shared" si="539"/>
        <v>NO APLICA</v>
      </c>
      <c r="HW192" s="6"/>
      <c r="HX192" s="6"/>
      <c r="HY192" s="6"/>
      <c r="HZ192" s="6"/>
      <c r="IA192" s="5" t="str">
        <f t="shared" si="540"/>
        <v>NO APLICA</v>
      </c>
      <c r="IB192" s="6"/>
      <c r="IC192" s="6"/>
      <c r="ID192" s="6"/>
      <c r="IE192" s="6"/>
      <c r="IF192" s="5" t="str">
        <f t="shared" si="541"/>
        <v>NO APLICA</v>
      </c>
      <c r="IG192" s="6"/>
      <c r="IH192" s="6"/>
      <c r="II192" s="6"/>
      <c r="IJ192" s="6"/>
      <c r="IK192" s="5" t="str">
        <f t="shared" si="542"/>
        <v>NO APLICA</v>
      </c>
      <c r="IL192" s="6"/>
      <c r="IM192" s="6"/>
      <c r="IN192" s="6"/>
      <c r="IO192" s="6"/>
      <c r="IP192" s="5" t="str">
        <f t="shared" si="543"/>
        <v>NO APLICA</v>
      </c>
      <c r="IQ192" s="6"/>
      <c r="IR192" s="6"/>
      <c r="IS192" s="6"/>
      <c r="IT192" s="6"/>
      <c r="IU192" s="5" t="str">
        <f t="shared" si="544"/>
        <v>NO APLICA</v>
      </c>
      <c r="IV192" s="6"/>
      <c r="IW192" s="6"/>
      <c r="IX192" s="6"/>
      <c r="IY192" s="6"/>
      <c r="IZ192" s="5" t="str">
        <f t="shared" si="545"/>
        <v>NO APLICA</v>
      </c>
      <c r="JA192" s="6"/>
      <c r="JB192" s="6"/>
      <c r="JC192" s="6"/>
      <c r="JD192" s="6"/>
      <c r="JE192" s="5" t="str">
        <f t="shared" si="546"/>
        <v>NO APLICA</v>
      </c>
      <c r="JF192" s="6"/>
      <c r="JG192" s="6"/>
      <c r="JH192" s="6"/>
      <c r="JI192" s="6"/>
      <c r="JJ192" s="5" t="str">
        <f t="shared" si="547"/>
        <v>NO APLICA</v>
      </c>
      <c r="JK192" s="6"/>
      <c r="JL192" s="6"/>
      <c r="JM192" s="6"/>
      <c r="JN192" s="6"/>
      <c r="JO192" s="5" t="str">
        <f t="shared" si="548"/>
        <v>NO APLICA</v>
      </c>
      <c r="JP192" s="6"/>
      <c r="JQ192" s="6"/>
      <c r="JR192" s="6"/>
      <c r="JS192" s="6"/>
      <c r="JT192" s="5" t="str">
        <f t="shared" si="549"/>
        <v>NO APLICA</v>
      </c>
      <c r="JU192" s="5"/>
      <c r="JV192" s="5"/>
      <c r="JW192" s="5"/>
      <c r="JX192" s="5"/>
      <c r="JY192" s="5" t="str">
        <f t="shared" si="550"/>
        <v>NO APLICA</v>
      </c>
      <c r="JZ192" s="5"/>
      <c r="KA192" s="6"/>
      <c r="KB192" s="6"/>
      <c r="KC192" s="6"/>
      <c r="KD192" s="5" t="str">
        <f t="shared" si="551"/>
        <v>NO APLICA</v>
      </c>
      <c r="KE192" s="5"/>
      <c r="KF192" s="6"/>
      <c r="KG192" s="6"/>
      <c r="KH192" s="6"/>
      <c r="KI192" s="5" t="str">
        <f t="shared" si="576"/>
        <v>NO APLICA</v>
      </c>
      <c r="KJ192" s="5"/>
      <c r="KK192" s="6"/>
      <c r="KL192" s="6"/>
      <c r="KM192" s="6"/>
      <c r="KN192" s="5" t="str">
        <f t="shared" si="552"/>
        <v>NO APLICA</v>
      </c>
      <c r="KO192" s="5"/>
      <c r="KP192" s="6"/>
      <c r="KQ192" s="6"/>
      <c r="KR192" s="6"/>
      <c r="KS192" s="5" t="str">
        <f t="shared" si="577"/>
        <v>NO APLICA</v>
      </c>
      <c r="KT192" s="6"/>
      <c r="KU192" s="6"/>
      <c r="KV192" s="6"/>
      <c r="KW192" s="6"/>
      <c r="KX192" s="5" t="str">
        <f t="shared" si="583"/>
        <v>NO APLICA</v>
      </c>
      <c r="KY192" s="5"/>
      <c r="KZ192" s="6"/>
      <c r="LA192" s="6"/>
      <c r="LB192" s="6"/>
      <c r="LC192" s="5" t="str">
        <f t="shared" si="578"/>
        <v>NO APLICA</v>
      </c>
      <c r="LD192" s="6"/>
      <c r="LE192" s="6"/>
      <c r="LF192" s="6"/>
      <c r="LG192" s="6"/>
      <c r="LH192" s="5" t="str">
        <f t="shared" si="619"/>
        <v>NO APLICA</v>
      </c>
      <c r="LI192" s="5"/>
      <c r="LJ192" s="5"/>
      <c r="LK192" s="4"/>
      <c r="LL192" s="8"/>
      <c r="LM192" s="5" t="str">
        <f t="shared" si="584"/>
        <v>NO APLICA</v>
      </c>
      <c r="LN192" s="6"/>
      <c r="LO192" s="6"/>
      <c r="LP192" s="6"/>
      <c r="LQ192" s="6"/>
      <c r="LR192" s="5" t="str">
        <f t="shared" si="579"/>
        <v>NO APLICA</v>
      </c>
      <c r="LS192" s="6"/>
      <c r="LT192" s="6"/>
      <c r="LU192" s="6"/>
      <c r="LV192" s="6"/>
      <c r="LW192" s="5" t="str">
        <f t="shared" si="580"/>
        <v>NO APLICA</v>
      </c>
      <c r="LX192" s="6"/>
      <c r="LY192" s="6"/>
      <c r="LZ192" s="6"/>
      <c r="MA192" s="6"/>
      <c r="MB192" s="5" t="str">
        <f t="shared" si="581"/>
        <v>NO APLICA</v>
      </c>
      <c r="MC192" s="6"/>
      <c r="MD192" s="6"/>
      <c r="ME192" s="6"/>
      <c r="MF192" s="6"/>
      <c r="MG192" s="5" t="str">
        <f t="shared" si="554"/>
        <v>NO APLICA</v>
      </c>
      <c r="MH192" s="6"/>
      <c r="MI192" s="6"/>
      <c r="MJ192" s="6"/>
      <c r="MK192" s="6"/>
      <c r="ML192" s="5" t="str">
        <f t="shared" si="555"/>
        <v>NO APLICA</v>
      </c>
      <c r="MM192" s="5"/>
      <c r="MN192" s="6"/>
      <c r="MO192" s="6"/>
      <c r="MP192" s="6"/>
      <c r="MQ192" s="5" t="str">
        <f t="shared" si="556"/>
        <v>NO APLICA</v>
      </c>
      <c r="MR192" s="5"/>
      <c r="MS192" s="6"/>
      <c r="MT192" s="6"/>
      <c r="MU192" s="6"/>
      <c r="MV192" s="5" t="str">
        <f t="shared" si="557"/>
        <v>NO APLICA</v>
      </c>
      <c r="MW192" s="6"/>
      <c r="MX192" s="6"/>
      <c r="MY192" s="6"/>
      <c r="MZ192" s="6"/>
      <c r="NA192" s="5" t="str">
        <f t="shared" si="558"/>
        <v>NO APLICA</v>
      </c>
      <c r="NB192" s="6"/>
      <c r="NC192" s="6"/>
      <c r="ND192" s="6"/>
      <c r="NE192" s="6"/>
      <c r="NF192" s="5" t="str">
        <f t="shared" si="559"/>
        <v>NO APLICA</v>
      </c>
      <c r="NG192" s="6"/>
      <c r="NH192" s="6"/>
      <c r="NI192" s="6"/>
      <c r="NJ192" s="6"/>
      <c r="NK192" s="5" t="str">
        <f t="shared" si="560"/>
        <v>NO APLICA</v>
      </c>
      <c r="NL192" s="6"/>
      <c r="NM192" s="6"/>
      <c r="NN192" s="6"/>
      <c r="NO192" s="6"/>
      <c r="NP192" s="5" t="str">
        <f t="shared" si="561"/>
        <v>NO APLICA</v>
      </c>
      <c r="NQ192" s="6"/>
      <c r="NR192" s="6"/>
      <c r="NS192" s="6"/>
      <c r="NT192" s="6"/>
      <c r="NU192" s="5" t="str">
        <f t="shared" si="562"/>
        <v>NO APLICA</v>
      </c>
      <c r="NV192" s="6"/>
      <c r="NW192" s="6"/>
      <c r="NX192" s="6"/>
      <c r="NY192" s="6"/>
      <c r="NZ192" s="5" t="str">
        <f t="shared" si="563"/>
        <v>NO APLICA</v>
      </c>
      <c r="OA192" s="6"/>
      <c r="OB192" s="6"/>
      <c r="OC192" s="6"/>
      <c r="OD192" s="6"/>
      <c r="OE192" s="5" t="str">
        <f t="shared" si="564"/>
        <v>NO APLICA</v>
      </c>
      <c r="OF192" s="6"/>
      <c r="OG192" s="6"/>
      <c r="OH192" s="6"/>
      <c r="OI192" s="6"/>
      <c r="OJ192" s="5" t="str">
        <f t="shared" si="565"/>
        <v>NO APLICA</v>
      </c>
      <c r="OK192" s="6"/>
      <c r="OL192" s="6"/>
      <c r="OM192" s="6"/>
      <c r="ON192" s="6"/>
      <c r="OO192" s="5" t="str">
        <f t="shared" si="566"/>
        <v>NO APLICA</v>
      </c>
      <c r="OP192" s="6"/>
      <c r="OQ192" s="6"/>
      <c r="OR192" s="6"/>
      <c r="OS192" s="6"/>
      <c r="OT192" s="5" t="str">
        <f t="shared" si="567"/>
        <v>NO APLICA</v>
      </c>
      <c r="OU192" s="6"/>
      <c r="OV192" s="6"/>
      <c r="OW192" s="6"/>
      <c r="OX192" s="6"/>
      <c r="OY192" s="5" t="str">
        <f t="shared" si="568"/>
        <v>NO APLICA</v>
      </c>
      <c r="OZ192" s="6"/>
      <c r="PA192" s="6"/>
      <c r="PB192" s="6"/>
      <c r="PC192" s="6"/>
      <c r="PD192" s="5" t="str">
        <f t="shared" si="569"/>
        <v>NO APLICA</v>
      </c>
      <c r="PE192" s="6"/>
      <c r="PF192" s="6"/>
      <c r="PG192" s="6"/>
      <c r="PH192" s="6"/>
      <c r="PI192" s="5" t="str">
        <f t="shared" si="570"/>
        <v>NO APLICA</v>
      </c>
      <c r="PJ192" s="5"/>
      <c r="PK192" s="6"/>
      <c r="PL192" s="6"/>
      <c r="PM192" s="6"/>
      <c r="PN192" s="5" t="str">
        <f t="shared" si="571"/>
        <v>NO APLICA</v>
      </c>
      <c r="PO192" s="6"/>
      <c r="PP192" s="6"/>
      <c r="PQ192" s="6"/>
      <c r="PR192" s="6"/>
      <c r="PS192" s="5" t="str">
        <f t="shared" si="572"/>
        <v>NO APLICA</v>
      </c>
      <c r="PT192" s="5"/>
      <c r="PU192" s="4">
        <v>46126</v>
      </c>
      <c r="PV192" s="4">
        <f>DATE(YEAR(PU192)+1,MONTH(PU192),DAY(PU192))</f>
        <v>46491</v>
      </c>
      <c r="PW192" s="8">
        <f ca="1">PV192-TODAY()</f>
        <v>357</v>
      </c>
      <c r="PX192" s="5" t="str">
        <f t="shared" ca="1" si="573"/>
        <v>VIGENTE</v>
      </c>
    </row>
    <row r="193" spans="1:440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2"/>
      <c r="V193" s="4"/>
      <c r="W193" s="4"/>
      <c r="X193" s="8"/>
      <c r="Y193" s="5" t="str">
        <f t="shared" si="624"/>
        <v>NO APLICA</v>
      </c>
      <c r="Z193" s="2"/>
      <c r="AA193" s="6"/>
      <c r="AB193" s="4"/>
      <c r="AC193" s="8"/>
      <c r="AD193" s="5" t="str">
        <f t="shared" si="627"/>
        <v>NO APLICA</v>
      </c>
      <c r="AE193" s="2"/>
      <c r="AF193" s="4"/>
      <c r="AG193" s="4"/>
      <c r="AH193" s="8"/>
      <c r="AI193" s="5" t="str">
        <f t="shared" si="621"/>
        <v>NO APLICA</v>
      </c>
      <c r="AJ193" s="2"/>
      <c r="AK193" s="4"/>
      <c r="AL193" s="4"/>
      <c r="AM193" s="8"/>
      <c r="AN193" s="5" t="str">
        <f t="shared" si="472"/>
        <v>NO APLICA</v>
      </c>
      <c r="AO193" s="2"/>
      <c r="AP193" s="4"/>
      <c r="AQ193" s="4"/>
      <c r="AR193" s="8"/>
      <c r="AS193" s="5" t="str">
        <f t="shared" si="474"/>
        <v>NO APLICA</v>
      </c>
      <c r="AT193" s="2"/>
      <c r="AU193" s="4"/>
      <c r="AV193" s="4"/>
      <c r="AW193" s="8"/>
      <c r="AX193" s="5" t="str">
        <f t="shared" si="476"/>
        <v>NO APLICA</v>
      </c>
      <c r="AY193" s="3"/>
      <c r="AZ193" s="4"/>
      <c r="BA193" s="4"/>
      <c r="BB193" s="8"/>
      <c r="BC193" s="5" t="str">
        <f t="shared" si="478"/>
        <v>NO APLICA</v>
      </c>
      <c r="BD193" s="2"/>
      <c r="BE193" s="4"/>
      <c r="BF193" s="4"/>
      <c r="BG193" s="8"/>
      <c r="BH193" s="5" t="str">
        <f t="shared" si="480"/>
        <v>NO APLICA</v>
      </c>
      <c r="BI193" s="3"/>
      <c r="BJ193" s="4"/>
      <c r="BK193" s="4"/>
      <c r="BL193" s="8"/>
      <c r="BM193" s="5" t="str">
        <f t="shared" si="482"/>
        <v>NO APLICA</v>
      </c>
      <c r="BN193" s="3"/>
      <c r="BO193" s="4"/>
      <c r="BP193" s="4"/>
      <c r="BQ193" s="8"/>
      <c r="BR193" s="5" t="str">
        <f t="shared" si="484"/>
        <v>NO APLICA</v>
      </c>
      <c r="BS193" s="2"/>
      <c r="BT193" s="4"/>
      <c r="BU193" s="4"/>
      <c r="BV193" s="8"/>
      <c r="BW193" s="5" t="str">
        <f t="shared" si="486"/>
        <v>NO APLICA</v>
      </c>
      <c r="BX193" s="2"/>
      <c r="BY193" s="4"/>
      <c r="BZ193" s="4"/>
      <c r="CA193" s="8"/>
      <c r="CB193" s="5" t="str">
        <f t="shared" si="488"/>
        <v>NO APLICA</v>
      </c>
      <c r="CC193" s="6"/>
      <c r="CD193" s="4"/>
      <c r="CE193" s="4"/>
      <c r="CF193" s="8"/>
      <c r="CG193" s="5" t="str">
        <f t="shared" si="591"/>
        <v>NO APLICA</v>
      </c>
      <c r="CH193" s="6"/>
      <c r="CI193" s="4"/>
      <c r="CJ193" s="4"/>
      <c r="CK193" s="8"/>
      <c r="CL193" s="5" t="str">
        <f t="shared" si="490"/>
        <v>NO APLICA</v>
      </c>
      <c r="CM193" s="2"/>
      <c r="CN193" s="4"/>
      <c r="CO193" s="4"/>
      <c r="CP193" s="8"/>
      <c r="CQ193" s="5" t="str">
        <f t="shared" si="492"/>
        <v>NO APLICA</v>
      </c>
      <c r="CR193" s="2"/>
      <c r="CS193" s="4"/>
      <c r="CT193" s="4"/>
      <c r="CU193" s="8"/>
      <c r="CV193" s="5" t="str">
        <f t="shared" si="494"/>
        <v>NO APLICA</v>
      </c>
      <c r="CW193" s="3"/>
      <c r="CX193" s="4"/>
      <c r="CY193" s="4"/>
      <c r="CZ193" s="8"/>
      <c r="DA193" s="5" t="str">
        <f t="shared" si="496"/>
        <v>NO APLICA</v>
      </c>
      <c r="DB193" s="3"/>
      <c r="DC193" s="4"/>
      <c r="DD193" s="4"/>
      <c r="DE193" s="8"/>
      <c r="DF193" s="5" t="str">
        <f t="shared" si="498"/>
        <v>NO APLICA</v>
      </c>
      <c r="DG193" s="2"/>
      <c r="DH193" s="4"/>
      <c r="DI193" s="4"/>
      <c r="DJ193" s="8"/>
      <c r="DK193" s="5" t="str">
        <f t="shared" si="500"/>
        <v>NO APLICA</v>
      </c>
      <c r="DL193" s="3"/>
      <c r="DM193" s="4"/>
      <c r="DN193" s="4"/>
      <c r="DO193" s="8"/>
      <c r="DP193" s="5" t="str">
        <f t="shared" si="502"/>
        <v>NO APLICA</v>
      </c>
      <c r="DQ193" s="2"/>
      <c r="DR193" s="4"/>
      <c r="DS193" s="4"/>
      <c r="DT193" s="8"/>
      <c r="DU193" s="5" t="str">
        <f t="shared" si="504"/>
        <v>NO APLICA</v>
      </c>
      <c r="DV193" s="3"/>
      <c r="DW193" s="4"/>
      <c r="DX193" s="4"/>
      <c r="DY193" s="8"/>
      <c r="DZ193" s="5" t="str">
        <f t="shared" si="506"/>
        <v>NO APLICA</v>
      </c>
      <c r="EA193" s="3"/>
      <c r="EB193" s="4"/>
      <c r="EC193" s="4"/>
      <c r="ED193" s="8"/>
      <c r="EE193" s="5" t="str">
        <f t="shared" si="508"/>
        <v>NO APLICA</v>
      </c>
      <c r="EF193" s="2"/>
      <c r="EG193" s="4"/>
      <c r="EH193" s="4"/>
      <c r="EI193" s="8"/>
      <c r="EJ193" s="5" t="str">
        <f t="shared" si="510"/>
        <v>NO APLICA</v>
      </c>
      <c r="EK193" s="3"/>
      <c r="EL193" s="4"/>
      <c r="EM193" s="4"/>
      <c r="EN193" s="8"/>
      <c r="EO193" s="5" t="str">
        <f t="shared" si="512"/>
        <v>NO APLICA</v>
      </c>
      <c r="EP193" s="2"/>
      <c r="EQ193" s="4"/>
      <c r="ER193" s="4"/>
      <c r="ES193" s="8"/>
      <c r="ET193" s="5" t="str">
        <f t="shared" si="514"/>
        <v>NO APLICA</v>
      </c>
      <c r="EU193" s="2"/>
      <c r="EV193" s="4"/>
      <c r="EW193" s="4"/>
      <c r="EX193" s="8"/>
      <c r="EY193" s="5" t="str">
        <f t="shared" si="516"/>
        <v>NO APLICA</v>
      </c>
      <c r="EZ193" s="2"/>
      <c r="FA193" s="4"/>
      <c r="FB193" s="4"/>
      <c r="FC193" s="8"/>
      <c r="FD193" s="5" t="str">
        <f t="shared" si="518"/>
        <v>NO APLICA</v>
      </c>
      <c r="FE193" s="2"/>
      <c r="FF193" s="4"/>
      <c r="FG193" s="4"/>
      <c r="FH193" s="8"/>
      <c r="FI193" s="5" t="str">
        <f t="shared" si="520"/>
        <v>NO APLICA</v>
      </c>
      <c r="FJ193" s="3"/>
      <c r="FK193" s="4"/>
      <c r="FL193" s="4"/>
      <c r="FM193" s="8"/>
      <c r="FN193" s="5" t="str">
        <f t="shared" si="522"/>
        <v>NO APLICA</v>
      </c>
      <c r="FO193" s="3"/>
      <c r="FP193" s="4"/>
      <c r="FQ193" s="4"/>
      <c r="FR193" s="8"/>
      <c r="FS193" s="5" t="str">
        <f t="shared" si="524"/>
        <v>NO APLICA</v>
      </c>
      <c r="FT193" s="3"/>
      <c r="FU193" s="4"/>
      <c r="FV193" s="4"/>
      <c r="FW193" s="8"/>
      <c r="FX193" s="5" t="str">
        <f t="shared" si="526"/>
        <v>NO APLICA</v>
      </c>
      <c r="FY193" s="3"/>
      <c r="FZ193" s="4"/>
      <c r="GA193" s="4"/>
      <c r="GB193" s="8"/>
      <c r="GC193" s="5" t="str">
        <f t="shared" si="528"/>
        <v>NO APLICA</v>
      </c>
      <c r="GD193" s="3"/>
      <c r="GE193" s="4"/>
      <c r="GF193" s="4"/>
      <c r="GG193" s="8"/>
      <c r="GH193" s="5" t="str">
        <f t="shared" si="530"/>
        <v>NO APLICA</v>
      </c>
      <c r="GI193" s="3"/>
      <c r="GJ193" s="4"/>
      <c r="GK193" s="4"/>
      <c r="GL193" s="8"/>
      <c r="GM193" s="5" t="str">
        <f t="shared" si="532"/>
        <v>NO APLICA</v>
      </c>
      <c r="GN193" s="4"/>
      <c r="GO193" s="4"/>
      <c r="GP193" s="4"/>
      <c r="GQ193" s="8"/>
      <c r="GR193" s="5" t="str">
        <f t="shared" si="630"/>
        <v>NO APLICA</v>
      </c>
      <c r="GS193" s="3"/>
      <c r="GT193" s="4"/>
      <c r="GU193" s="4"/>
      <c r="GV193" s="8"/>
      <c r="GW193" s="5" t="str">
        <f t="shared" si="631"/>
        <v>NO APLICA</v>
      </c>
      <c r="GX193" s="2"/>
      <c r="GY193" s="4"/>
      <c r="GZ193" s="4"/>
      <c r="HA193" s="8"/>
      <c r="HB193" s="5" t="str">
        <f t="shared" si="632"/>
        <v>NO APLICA</v>
      </c>
      <c r="HC193" s="6"/>
      <c r="HD193" s="6"/>
      <c r="HE193" s="4"/>
      <c r="HF193" s="8"/>
      <c r="HG193" s="5" t="str">
        <f t="shared" si="718"/>
        <v>NO APLICA</v>
      </c>
      <c r="HH193" s="2"/>
      <c r="HI193" s="6"/>
      <c r="HJ193" s="4"/>
      <c r="HK193" s="8"/>
      <c r="HL193" s="5" t="str">
        <f t="shared" si="714"/>
        <v>NO APLICA</v>
      </c>
      <c r="HM193" s="2"/>
      <c r="HN193" s="2"/>
      <c r="HO193" s="4"/>
      <c r="HP193" s="2"/>
      <c r="HQ193" s="5" t="str">
        <f t="shared" si="538"/>
        <v>NO APLICA</v>
      </c>
      <c r="HR193" s="2"/>
      <c r="HS193" s="6"/>
      <c r="HT193" s="4"/>
      <c r="HU193" s="8"/>
      <c r="HV193" s="5" t="str">
        <f t="shared" si="539"/>
        <v>NO APLICA</v>
      </c>
      <c r="HW193" s="2"/>
      <c r="HX193" s="6"/>
      <c r="HY193" s="4"/>
      <c r="HZ193" s="8"/>
      <c r="IA193" s="5" t="str">
        <f t="shared" si="540"/>
        <v>NO APLICA</v>
      </c>
      <c r="IB193" s="2"/>
      <c r="IC193" s="6"/>
      <c r="ID193" s="4"/>
      <c r="IE193" s="8"/>
      <c r="IF193" s="5" t="str">
        <f t="shared" si="541"/>
        <v>NO APLICA</v>
      </c>
      <c r="IG193" s="6"/>
      <c r="IH193" s="6"/>
      <c r="II193" s="4"/>
      <c r="IJ193" s="8"/>
      <c r="IK193" s="5" t="str">
        <f t="shared" si="542"/>
        <v>NO APLICA</v>
      </c>
      <c r="IL193" s="2"/>
      <c r="IM193" s="6"/>
      <c r="IN193" s="4"/>
      <c r="IO193" s="8"/>
      <c r="IP193" s="5" t="str">
        <f t="shared" si="543"/>
        <v>NO APLICA</v>
      </c>
      <c r="IQ193" s="2"/>
      <c r="IR193" s="6"/>
      <c r="IS193" s="4"/>
      <c r="IT193" s="8"/>
      <c r="IU193" s="5" t="str">
        <f t="shared" si="544"/>
        <v>NO APLICA</v>
      </c>
      <c r="IV193" s="2"/>
      <c r="IW193" s="6"/>
      <c r="IX193" s="4"/>
      <c r="IY193" s="8"/>
      <c r="IZ193" s="5" t="str">
        <f t="shared" si="545"/>
        <v>NO APLICA</v>
      </c>
      <c r="JA193" s="3"/>
      <c r="JB193" s="3"/>
      <c r="JC193" s="4"/>
      <c r="JD193" s="8"/>
      <c r="JE193" s="5" t="str">
        <f t="shared" si="546"/>
        <v>NO APLICA</v>
      </c>
      <c r="JF193" s="6"/>
      <c r="JG193" s="6"/>
      <c r="JH193" s="6"/>
      <c r="JI193" s="6"/>
      <c r="JJ193" s="5" t="str">
        <f t="shared" si="547"/>
        <v>NO APLICA</v>
      </c>
      <c r="JK193" s="6"/>
      <c r="JL193" s="6"/>
      <c r="JM193" s="6"/>
      <c r="JN193" s="6"/>
      <c r="JO193" s="5" t="str">
        <f t="shared" si="548"/>
        <v>NO APLICA</v>
      </c>
      <c r="JP193" s="6"/>
      <c r="JQ193" s="6"/>
      <c r="JR193" s="6"/>
      <c r="JS193" s="6"/>
      <c r="JT193" s="5" t="str">
        <f t="shared" si="549"/>
        <v>NO APLICA</v>
      </c>
      <c r="JU193" s="5"/>
      <c r="JV193" s="5"/>
      <c r="JW193" s="5"/>
      <c r="JX193" s="5"/>
      <c r="JY193" s="5" t="str">
        <f t="shared" si="550"/>
        <v>NO APLICA</v>
      </c>
      <c r="JZ193" s="5"/>
      <c r="KA193" s="2"/>
      <c r="KB193" s="4"/>
      <c r="KC193" s="8"/>
      <c r="KD193" s="5" t="str">
        <f t="shared" si="551"/>
        <v>NO APLICA</v>
      </c>
      <c r="KE193" s="5"/>
      <c r="KF193" s="2"/>
      <c r="KG193" s="4"/>
      <c r="KH193" s="8"/>
      <c r="KI193" s="5" t="str">
        <f t="shared" si="576"/>
        <v>NO APLICA</v>
      </c>
      <c r="KJ193" s="5"/>
      <c r="KK193" s="2"/>
      <c r="KL193" s="4"/>
      <c r="KM193" s="8"/>
      <c r="KN193" s="5" t="str">
        <f t="shared" si="552"/>
        <v>NO APLICA</v>
      </c>
      <c r="KO193" s="5"/>
      <c r="KP193" s="2"/>
      <c r="KQ193" s="4"/>
      <c r="KR193" s="8"/>
      <c r="KS193" s="5" t="str">
        <f t="shared" si="577"/>
        <v>NO APLICA</v>
      </c>
      <c r="KT193" s="2"/>
      <c r="KU193" s="6"/>
      <c r="KV193" s="4"/>
      <c r="KW193" s="8"/>
      <c r="KX193" s="5" t="str">
        <f t="shared" si="583"/>
        <v>NO APLICA</v>
      </c>
      <c r="KY193" s="5"/>
      <c r="KZ193" s="6"/>
      <c r="LA193" s="4"/>
      <c r="LB193" s="8"/>
      <c r="LC193" s="5" t="str">
        <f t="shared" si="578"/>
        <v>NO APLICA</v>
      </c>
      <c r="LD193" s="6"/>
      <c r="LE193" s="6"/>
      <c r="LF193" s="4"/>
      <c r="LG193" s="8"/>
      <c r="LH193" s="5" t="str">
        <f t="shared" si="619"/>
        <v>NO APLICA</v>
      </c>
      <c r="LI193" s="5"/>
      <c r="LJ193" s="5"/>
      <c r="LK193" s="4"/>
      <c r="LL193" s="8"/>
      <c r="LM193" s="5" t="str">
        <f t="shared" si="584"/>
        <v>NO APLICA</v>
      </c>
      <c r="LN193" s="2"/>
      <c r="LO193" s="6"/>
      <c r="LP193" s="4"/>
      <c r="LQ193" s="8"/>
      <c r="LR193" s="5" t="str">
        <f t="shared" si="579"/>
        <v>NO APLICA</v>
      </c>
      <c r="LS193" s="6"/>
      <c r="LT193" s="6"/>
      <c r="LU193" s="4"/>
      <c r="LV193" s="8"/>
      <c r="LW193" s="5" t="str">
        <f t="shared" si="580"/>
        <v>NO APLICA</v>
      </c>
      <c r="LX193" s="6"/>
      <c r="LY193" s="6"/>
      <c r="LZ193" s="4"/>
      <c r="MA193" s="8"/>
      <c r="MB193" s="5" t="str">
        <f t="shared" si="581"/>
        <v>NO APLICA</v>
      </c>
      <c r="MC193" s="2"/>
      <c r="MD193" s="2"/>
      <c r="ME193" s="4"/>
      <c r="MF193" s="8"/>
      <c r="MG193" s="5" t="str">
        <f t="shared" si="554"/>
        <v>NO APLICA</v>
      </c>
      <c r="MH193" s="2"/>
      <c r="MI193" s="2"/>
      <c r="MJ193" s="4"/>
      <c r="MK193" s="8"/>
      <c r="ML193" s="5" t="str">
        <f t="shared" si="555"/>
        <v>NO APLICA</v>
      </c>
      <c r="MM193" s="5"/>
      <c r="MN193" s="2"/>
      <c r="MO193" s="4"/>
      <c r="MP193" s="8"/>
      <c r="MQ193" s="5" t="str">
        <f t="shared" si="556"/>
        <v>NO APLICA</v>
      </c>
      <c r="MR193" s="5"/>
      <c r="MS193" s="2"/>
      <c r="MT193" s="4"/>
      <c r="MU193" s="2"/>
      <c r="MV193" s="5" t="str">
        <f t="shared" si="557"/>
        <v>NO APLICA</v>
      </c>
      <c r="MW193" s="2"/>
      <c r="MX193" s="6"/>
      <c r="MY193" s="4"/>
      <c r="MZ193" s="8"/>
      <c r="NA193" s="5" t="str">
        <f t="shared" si="558"/>
        <v>NO APLICA</v>
      </c>
      <c r="NB193" s="2"/>
      <c r="NC193" s="6"/>
      <c r="ND193" s="4"/>
      <c r="NE193" s="8"/>
      <c r="NF193" s="5" t="str">
        <f t="shared" si="559"/>
        <v>NO APLICA</v>
      </c>
      <c r="NG193" s="2"/>
      <c r="NH193" s="6"/>
      <c r="NI193" s="4"/>
      <c r="NJ193" s="8"/>
      <c r="NK193" s="5" t="str">
        <f t="shared" si="560"/>
        <v>NO APLICA</v>
      </c>
      <c r="NL193" s="2"/>
      <c r="NM193" s="2"/>
      <c r="NN193" s="4"/>
      <c r="NO193" s="8"/>
      <c r="NP193" s="5" t="str">
        <f t="shared" si="561"/>
        <v>NO APLICA</v>
      </c>
      <c r="NQ193" s="2"/>
      <c r="NR193" s="2"/>
      <c r="NS193" s="4"/>
      <c r="NT193" s="2"/>
      <c r="NU193" s="5" t="str">
        <f t="shared" si="562"/>
        <v>NO APLICA</v>
      </c>
      <c r="NV193" s="6"/>
      <c r="NW193" s="6"/>
      <c r="NX193" s="4"/>
      <c r="NY193" s="8"/>
      <c r="NZ193" s="5" t="str">
        <f t="shared" si="563"/>
        <v>NO APLICA</v>
      </c>
      <c r="OA193" s="6"/>
      <c r="OB193" s="6"/>
      <c r="OC193" s="6"/>
      <c r="OD193" s="6"/>
      <c r="OE193" s="5" t="str">
        <f t="shared" si="564"/>
        <v>NO APLICA</v>
      </c>
      <c r="OF193" s="6"/>
      <c r="OG193" s="6"/>
      <c r="OH193" s="4"/>
      <c r="OI193" s="8"/>
      <c r="OJ193" s="5" t="str">
        <f t="shared" si="565"/>
        <v>NO APLICA</v>
      </c>
      <c r="OK193" s="6"/>
      <c r="OL193" s="6"/>
      <c r="OM193" s="6"/>
      <c r="ON193" s="6"/>
      <c r="OO193" s="5" t="str">
        <f t="shared" si="566"/>
        <v>NO APLICA</v>
      </c>
      <c r="OP193" s="6"/>
      <c r="OQ193" s="6"/>
      <c r="OR193" s="6"/>
      <c r="OS193" s="6"/>
      <c r="OT193" s="5" t="str">
        <f t="shared" si="567"/>
        <v>NO APLICA</v>
      </c>
      <c r="OU193" s="6"/>
      <c r="OV193" s="6"/>
      <c r="OW193" s="6"/>
      <c r="OX193" s="6"/>
      <c r="OY193" s="5" t="str">
        <f t="shared" si="568"/>
        <v>NO APLICA</v>
      </c>
      <c r="OZ193" s="6"/>
      <c r="PA193" s="6"/>
      <c r="PB193" s="6"/>
      <c r="PC193" s="6"/>
      <c r="PD193" s="5" t="str">
        <f t="shared" si="569"/>
        <v>NO APLICA</v>
      </c>
      <c r="PE193" s="6"/>
      <c r="PF193" s="6"/>
      <c r="PG193" s="6"/>
      <c r="PH193" s="6"/>
      <c r="PI193" s="5" t="str">
        <f t="shared" si="570"/>
        <v>NO APLICA</v>
      </c>
      <c r="PJ193" s="5"/>
      <c r="PK193" s="6"/>
      <c r="PL193" s="4"/>
      <c r="PM193" s="8"/>
      <c r="PN193" s="5" t="str">
        <f t="shared" si="571"/>
        <v>NO APLICA</v>
      </c>
      <c r="PO193" s="6"/>
      <c r="PP193" s="6"/>
      <c r="PQ193" s="6"/>
      <c r="PR193" s="6"/>
      <c r="PS193" s="5" t="str">
        <f t="shared" si="572"/>
        <v>NO APLICA</v>
      </c>
      <c r="PT193" s="5"/>
      <c r="PU193" s="4">
        <v>46126</v>
      </c>
      <c r="PV193" s="4">
        <f>DATE(YEAR(PU193)+1,MONTH(PU193),DAY(PU193))</f>
        <v>46491</v>
      </c>
      <c r="PW193" s="8">
        <f ca="1">PV193-TODAY()</f>
        <v>357</v>
      </c>
      <c r="PX193" s="5" t="str">
        <f t="shared" ca="1" si="573"/>
        <v>VIGENTE</v>
      </c>
    </row>
    <row r="194" spans="1:440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2"/>
      <c r="V194" s="4"/>
      <c r="W194" s="4"/>
      <c r="X194" s="8"/>
      <c r="Y194" s="5" t="str">
        <f t="shared" si="624"/>
        <v>NO APLICA</v>
      </c>
      <c r="Z194" s="2"/>
      <c r="AA194" s="6"/>
      <c r="AB194" s="4"/>
      <c r="AC194" s="8"/>
      <c r="AD194" s="5" t="str">
        <f t="shared" si="627"/>
        <v>NO APLICA</v>
      </c>
      <c r="AE194" s="2"/>
      <c r="AF194" s="4"/>
      <c r="AG194" s="4"/>
      <c r="AH194" s="8"/>
      <c r="AI194" s="5" t="str">
        <f t="shared" si="621"/>
        <v>NO APLICA</v>
      </c>
      <c r="AJ194" s="2"/>
      <c r="AK194" s="4"/>
      <c r="AL194" s="4"/>
      <c r="AM194" s="8"/>
      <c r="AN194" s="5" t="str">
        <f t="shared" si="472"/>
        <v>NO APLICA</v>
      </c>
      <c r="AO194" s="2"/>
      <c r="AP194" s="4"/>
      <c r="AQ194" s="4"/>
      <c r="AR194" s="8"/>
      <c r="AS194" s="5" t="str">
        <f t="shared" si="474"/>
        <v>NO APLICA</v>
      </c>
      <c r="AT194" s="2"/>
      <c r="AU194" s="4"/>
      <c r="AV194" s="4"/>
      <c r="AW194" s="8"/>
      <c r="AX194" s="5" t="str">
        <f t="shared" si="476"/>
        <v>NO APLICA</v>
      </c>
      <c r="AY194" s="3"/>
      <c r="AZ194" s="4"/>
      <c r="BA194" s="4"/>
      <c r="BB194" s="8"/>
      <c r="BC194" s="5" t="str">
        <f t="shared" si="478"/>
        <v>NO APLICA</v>
      </c>
      <c r="BD194" s="2"/>
      <c r="BE194" s="4"/>
      <c r="BF194" s="4"/>
      <c r="BG194" s="8"/>
      <c r="BH194" s="5" t="str">
        <f t="shared" si="480"/>
        <v>NO APLICA</v>
      </c>
      <c r="BI194" s="3"/>
      <c r="BJ194" s="4"/>
      <c r="BK194" s="4"/>
      <c r="BL194" s="8"/>
      <c r="BM194" s="5" t="str">
        <f t="shared" si="482"/>
        <v>NO APLICA</v>
      </c>
      <c r="BN194" s="3"/>
      <c r="BO194" s="4"/>
      <c r="BP194" s="4"/>
      <c r="BQ194" s="8"/>
      <c r="BR194" s="5" t="str">
        <f t="shared" si="484"/>
        <v>NO APLICA</v>
      </c>
      <c r="BS194" s="2"/>
      <c r="BT194" s="4"/>
      <c r="BU194" s="4"/>
      <c r="BV194" s="8"/>
      <c r="BW194" s="5" t="str">
        <f t="shared" si="486"/>
        <v>NO APLICA</v>
      </c>
      <c r="BX194" s="2"/>
      <c r="BY194" s="4"/>
      <c r="BZ194" s="4"/>
      <c r="CA194" s="8"/>
      <c r="CB194" s="5" t="str">
        <f t="shared" si="488"/>
        <v>NO APLICA</v>
      </c>
      <c r="CC194" s="6"/>
      <c r="CD194" s="4"/>
      <c r="CE194" s="4"/>
      <c r="CF194" s="8"/>
      <c r="CG194" s="5" t="str">
        <f t="shared" si="591"/>
        <v>NO APLICA</v>
      </c>
      <c r="CH194" s="6"/>
      <c r="CI194" s="4"/>
      <c r="CJ194" s="4"/>
      <c r="CK194" s="8"/>
      <c r="CL194" s="5" t="str">
        <f t="shared" si="490"/>
        <v>NO APLICA</v>
      </c>
      <c r="CM194" s="2"/>
      <c r="CN194" s="4"/>
      <c r="CO194" s="4"/>
      <c r="CP194" s="8"/>
      <c r="CQ194" s="5" t="str">
        <f t="shared" si="492"/>
        <v>NO APLICA</v>
      </c>
      <c r="CR194" s="2"/>
      <c r="CS194" s="4"/>
      <c r="CT194" s="4"/>
      <c r="CU194" s="8"/>
      <c r="CV194" s="5" t="str">
        <f t="shared" si="494"/>
        <v>NO APLICA</v>
      </c>
      <c r="CW194" s="3"/>
      <c r="CX194" s="4"/>
      <c r="CY194" s="4"/>
      <c r="CZ194" s="8"/>
      <c r="DA194" s="5" t="str">
        <f t="shared" si="496"/>
        <v>NO APLICA</v>
      </c>
      <c r="DB194" s="3"/>
      <c r="DC194" s="4"/>
      <c r="DD194" s="4"/>
      <c r="DE194" s="8"/>
      <c r="DF194" s="5" t="str">
        <f t="shared" si="498"/>
        <v>NO APLICA</v>
      </c>
      <c r="DG194" s="2"/>
      <c r="DH194" s="4"/>
      <c r="DI194" s="4"/>
      <c r="DJ194" s="8"/>
      <c r="DK194" s="5" t="str">
        <f t="shared" si="500"/>
        <v>NO APLICA</v>
      </c>
      <c r="DL194" s="3"/>
      <c r="DM194" s="4"/>
      <c r="DN194" s="4"/>
      <c r="DO194" s="8"/>
      <c r="DP194" s="5" t="str">
        <f t="shared" si="502"/>
        <v>NO APLICA</v>
      </c>
      <c r="DQ194" s="2"/>
      <c r="DR194" s="4"/>
      <c r="DS194" s="4"/>
      <c r="DT194" s="8"/>
      <c r="DU194" s="5" t="str">
        <f t="shared" si="504"/>
        <v>NO APLICA</v>
      </c>
      <c r="DV194" s="3"/>
      <c r="DW194" s="4"/>
      <c r="DX194" s="4"/>
      <c r="DY194" s="8"/>
      <c r="DZ194" s="5" t="str">
        <f t="shared" si="506"/>
        <v>NO APLICA</v>
      </c>
      <c r="EA194" s="3"/>
      <c r="EB194" s="4"/>
      <c r="EC194" s="4"/>
      <c r="ED194" s="8"/>
      <c r="EE194" s="5" t="str">
        <f t="shared" si="508"/>
        <v>NO APLICA</v>
      </c>
      <c r="EF194" s="2"/>
      <c r="EG194" s="4"/>
      <c r="EH194" s="4"/>
      <c r="EI194" s="8"/>
      <c r="EJ194" s="5" t="str">
        <f t="shared" si="510"/>
        <v>NO APLICA</v>
      </c>
      <c r="EK194" s="3"/>
      <c r="EL194" s="4"/>
      <c r="EM194" s="4"/>
      <c r="EN194" s="8"/>
      <c r="EO194" s="5" t="str">
        <f t="shared" si="512"/>
        <v>NO APLICA</v>
      </c>
      <c r="EP194" s="2"/>
      <c r="EQ194" s="4"/>
      <c r="ER194" s="4"/>
      <c r="ES194" s="8"/>
      <c r="ET194" s="5" t="str">
        <f t="shared" si="514"/>
        <v>NO APLICA</v>
      </c>
      <c r="EU194" s="2"/>
      <c r="EV194" s="4"/>
      <c r="EW194" s="4"/>
      <c r="EX194" s="8"/>
      <c r="EY194" s="5" t="str">
        <f t="shared" si="516"/>
        <v>NO APLICA</v>
      </c>
      <c r="EZ194" s="2"/>
      <c r="FA194" s="4"/>
      <c r="FB194" s="4"/>
      <c r="FC194" s="8"/>
      <c r="FD194" s="5" t="str">
        <f t="shared" si="518"/>
        <v>NO APLICA</v>
      </c>
      <c r="FE194" s="2"/>
      <c r="FF194" s="4"/>
      <c r="FG194" s="4"/>
      <c r="FH194" s="8"/>
      <c r="FI194" s="5" t="str">
        <f t="shared" si="520"/>
        <v>NO APLICA</v>
      </c>
      <c r="FJ194" s="3"/>
      <c r="FK194" s="4"/>
      <c r="FL194" s="4"/>
      <c r="FM194" s="8"/>
      <c r="FN194" s="5" t="str">
        <f t="shared" si="522"/>
        <v>NO APLICA</v>
      </c>
      <c r="FO194" s="3"/>
      <c r="FP194" s="4"/>
      <c r="FQ194" s="4"/>
      <c r="FR194" s="8"/>
      <c r="FS194" s="5" t="str">
        <f t="shared" si="524"/>
        <v>NO APLICA</v>
      </c>
      <c r="FT194" s="3"/>
      <c r="FU194" s="4"/>
      <c r="FV194" s="4"/>
      <c r="FW194" s="8"/>
      <c r="FX194" s="5" t="str">
        <f t="shared" si="526"/>
        <v>NO APLICA</v>
      </c>
      <c r="FY194" s="3"/>
      <c r="FZ194" s="4"/>
      <c r="GA194" s="4"/>
      <c r="GB194" s="8"/>
      <c r="GC194" s="5" t="str">
        <f t="shared" si="528"/>
        <v>NO APLICA</v>
      </c>
      <c r="GD194" s="3"/>
      <c r="GE194" s="4"/>
      <c r="GF194" s="4"/>
      <c r="GG194" s="8"/>
      <c r="GH194" s="5" t="str">
        <f t="shared" si="530"/>
        <v>NO APLICA</v>
      </c>
      <c r="GI194" s="3"/>
      <c r="GJ194" s="4"/>
      <c r="GK194" s="4"/>
      <c r="GL194" s="8"/>
      <c r="GM194" s="5" t="str">
        <f t="shared" si="532"/>
        <v>NO APLICA</v>
      </c>
      <c r="GN194" s="4"/>
      <c r="GO194" s="4"/>
      <c r="GP194" s="4"/>
      <c r="GQ194" s="8"/>
      <c r="GR194" s="5" t="str">
        <f t="shared" si="630"/>
        <v>NO APLICA</v>
      </c>
      <c r="GS194" s="3"/>
      <c r="GT194" s="4"/>
      <c r="GU194" s="4"/>
      <c r="GV194" s="8"/>
      <c r="GW194" s="5" t="str">
        <f t="shared" si="631"/>
        <v>NO APLICA</v>
      </c>
      <c r="GX194" s="2"/>
      <c r="GY194" s="4"/>
      <c r="GZ194" s="4"/>
      <c r="HA194" s="8"/>
      <c r="HB194" s="5" t="str">
        <f t="shared" si="632"/>
        <v>NO APLICA</v>
      </c>
      <c r="HC194" s="6"/>
      <c r="HD194" s="6"/>
      <c r="HE194" s="4"/>
      <c r="HF194" s="8"/>
      <c r="HG194" s="5" t="str">
        <f t="shared" si="718"/>
        <v>NO APLICA</v>
      </c>
      <c r="HH194" s="2"/>
      <c r="HI194" s="6"/>
      <c r="HJ194" s="4"/>
      <c r="HK194" s="8"/>
      <c r="HL194" s="5" t="str">
        <f t="shared" si="714"/>
        <v>NO APLICA</v>
      </c>
      <c r="HM194" s="2"/>
      <c r="HN194" s="2"/>
      <c r="HO194" s="4"/>
      <c r="HP194" s="2"/>
      <c r="HQ194" s="5" t="str">
        <f t="shared" si="538"/>
        <v>NO APLICA</v>
      </c>
      <c r="HR194" s="2"/>
      <c r="HS194" s="6"/>
      <c r="HT194" s="4"/>
      <c r="HU194" s="8"/>
      <c r="HV194" s="5" t="str">
        <f t="shared" si="539"/>
        <v>NO APLICA</v>
      </c>
      <c r="HW194" s="2"/>
      <c r="HX194" s="6"/>
      <c r="HY194" s="4"/>
      <c r="HZ194" s="8"/>
      <c r="IA194" s="5" t="str">
        <f t="shared" si="540"/>
        <v>NO APLICA</v>
      </c>
      <c r="IB194" s="2"/>
      <c r="IC194" s="6"/>
      <c r="ID194" s="4"/>
      <c r="IE194" s="8"/>
      <c r="IF194" s="5" t="str">
        <f t="shared" si="541"/>
        <v>NO APLICA</v>
      </c>
      <c r="IG194" s="6"/>
      <c r="IH194" s="6"/>
      <c r="II194" s="4"/>
      <c r="IJ194" s="8"/>
      <c r="IK194" s="5" t="str">
        <f t="shared" si="542"/>
        <v>NO APLICA</v>
      </c>
      <c r="IL194" s="2"/>
      <c r="IM194" s="6"/>
      <c r="IN194" s="4"/>
      <c r="IO194" s="8"/>
      <c r="IP194" s="5" t="str">
        <f t="shared" si="543"/>
        <v>NO APLICA</v>
      </c>
      <c r="IQ194" s="2"/>
      <c r="IR194" s="6"/>
      <c r="IS194" s="4"/>
      <c r="IT194" s="8"/>
      <c r="IU194" s="5" t="str">
        <f t="shared" si="544"/>
        <v>NO APLICA</v>
      </c>
      <c r="IV194" s="2"/>
      <c r="IW194" s="6"/>
      <c r="IX194" s="4"/>
      <c r="IY194" s="8"/>
      <c r="IZ194" s="5" t="str">
        <f t="shared" si="545"/>
        <v>NO APLICA</v>
      </c>
      <c r="JA194" s="3"/>
      <c r="JB194" s="3"/>
      <c r="JC194" s="4"/>
      <c r="JD194" s="8"/>
      <c r="JE194" s="5" t="str">
        <f t="shared" si="546"/>
        <v>NO APLICA</v>
      </c>
      <c r="JF194" s="6"/>
      <c r="JG194" s="6"/>
      <c r="JH194" s="6"/>
      <c r="JI194" s="6"/>
      <c r="JJ194" s="5" t="str">
        <f t="shared" si="547"/>
        <v>NO APLICA</v>
      </c>
      <c r="JK194" s="6"/>
      <c r="JL194" s="6"/>
      <c r="JM194" s="6"/>
      <c r="JN194" s="6"/>
      <c r="JO194" s="5" t="str">
        <f t="shared" si="548"/>
        <v>NO APLICA</v>
      </c>
      <c r="JP194" s="6"/>
      <c r="JQ194" s="6"/>
      <c r="JR194" s="6"/>
      <c r="JS194" s="6"/>
      <c r="JT194" s="5" t="str">
        <f t="shared" si="549"/>
        <v>NO APLICA</v>
      </c>
      <c r="JU194" s="5"/>
      <c r="JV194" s="5"/>
      <c r="JW194" s="5"/>
      <c r="JX194" s="5"/>
      <c r="JY194" s="5" t="str">
        <f t="shared" si="550"/>
        <v>NO APLICA</v>
      </c>
      <c r="JZ194" s="5"/>
      <c r="KA194" s="2"/>
      <c r="KB194" s="4"/>
      <c r="KC194" s="8"/>
      <c r="KD194" s="5" t="str">
        <f t="shared" si="551"/>
        <v>NO APLICA</v>
      </c>
      <c r="KE194" s="5"/>
      <c r="KF194" s="2"/>
      <c r="KG194" s="4"/>
      <c r="KH194" s="8"/>
      <c r="KI194" s="5" t="str">
        <f t="shared" si="576"/>
        <v>NO APLICA</v>
      </c>
      <c r="KJ194" s="5"/>
      <c r="KK194" s="2"/>
      <c r="KL194" s="4"/>
      <c r="KM194" s="8"/>
      <c r="KN194" s="5" t="str">
        <f t="shared" si="552"/>
        <v>NO APLICA</v>
      </c>
      <c r="KO194" s="5"/>
      <c r="KP194" s="2"/>
      <c r="KQ194" s="4"/>
      <c r="KR194" s="8"/>
      <c r="KS194" s="5" t="str">
        <f t="shared" si="577"/>
        <v>NO APLICA</v>
      </c>
      <c r="KT194" s="2"/>
      <c r="KU194" s="6"/>
      <c r="KV194" s="4"/>
      <c r="KW194" s="8"/>
      <c r="KX194" s="5" t="str">
        <f t="shared" si="583"/>
        <v>NO APLICA</v>
      </c>
      <c r="KY194" s="5"/>
      <c r="KZ194" s="6"/>
      <c r="LA194" s="4"/>
      <c r="LB194" s="8"/>
      <c r="LC194" s="5" t="str">
        <f t="shared" si="578"/>
        <v>NO APLICA</v>
      </c>
      <c r="LD194" s="6"/>
      <c r="LE194" s="6"/>
      <c r="LF194" s="4"/>
      <c r="LG194" s="8"/>
      <c r="LH194" s="5" t="str">
        <f t="shared" si="619"/>
        <v>NO APLICA</v>
      </c>
      <c r="LI194" s="5"/>
      <c r="LJ194" s="5"/>
      <c r="LK194" s="4"/>
      <c r="LL194" s="8"/>
      <c r="LM194" s="5" t="str">
        <f t="shared" si="584"/>
        <v>NO APLICA</v>
      </c>
      <c r="LN194" s="2"/>
      <c r="LO194" s="6"/>
      <c r="LP194" s="4"/>
      <c r="LQ194" s="8"/>
      <c r="LR194" s="5" t="str">
        <f t="shared" si="579"/>
        <v>NO APLICA</v>
      </c>
      <c r="LS194" s="6"/>
      <c r="LT194" s="6"/>
      <c r="LU194" s="4"/>
      <c r="LV194" s="8"/>
      <c r="LW194" s="5" t="str">
        <f t="shared" si="580"/>
        <v>NO APLICA</v>
      </c>
      <c r="LX194" s="6"/>
      <c r="LY194" s="6"/>
      <c r="LZ194" s="4"/>
      <c r="MA194" s="8"/>
      <c r="MB194" s="5" t="str">
        <f t="shared" si="581"/>
        <v>NO APLICA</v>
      </c>
      <c r="MC194" s="2"/>
      <c r="MD194" s="2"/>
      <c r="ME194" s="4"/>
      <c r="MF194" s="8"/>
      <c r="MG194" s="5" t="str">
        <f t="shared" si="554"/>
        <v>NO APLICA</v>
      </c>
      <c r="MH194" s="2"/>
      <c r="MI194" s="2"/>
      <c r="MJ194" s="4"/>
      <c r="MK194" s="8"/>
      <c r="ML194" s="5" t="str">
        <f t="shared" si="555"/>
        <v>NO APLICA</v>
      </c>
      <c r="MM194" s="5"/>
      <c r="MN194" s="2"/>
      <c r="MO194" s="4"/>
      <c r="MP194" s="8"/>
      <c r="MQ194" s="5" t="str">
        <f t="shared" si="556"/>
        <v>NO APLICA</v>
      </c>
      <c r="MR194" s="5"/>
      <c r="MS194" s="2"/>
      <c r="MT194" s="4"/>
      <c r="MU194" s="2"/>
      <c r="MV194" s="5" t="str">
        <f t="shared" si="557"/>
        <v>NO APLICA</v>
      </c>
      <c r="MW194" s="2"/>
      <c r="MX194" s="6"/>
      <c r="MY194" s="4"/>
      <c r="MZ194" s="8"/>
      <c r="NA194" s="5" t="str">
        <f t="shared" si="558"/>
        <v>NO APLICA</v>
      </c>
      <c r="NB194" s="2"/>
      <c r="NC194" s="6"/>
      <c r="ND194" s="4"/>
      <c r="NE194" s="8"/>
      <c r="NF194" s="5" t="str">
        <f t="shared" si="559"/>
        <v>NO APLICA</v>
      </c>
      <c r="NG194" s="2"/>
      <c r="NH194" s="6"/>
      <c r="NI194" s="4"/>
      <c r="NJ194" s="8"/>
      <c r="NK194" s="5" t="str">
        <f t="shared" si="560"/>
        <v>NO APLICA</v>
      </c>
      <c r="NL194" s="2"/>
      <c r="NM194" s="2"/>
      <c r="NN194" s="4"/>
      <c r="NO194" s="8"/>
      <c r="NP194" s="5" t="str">
        <f t="shared" si="561"/>
        <v>NO APLICA</v>
      </c>
      <c r="NQ194" s="2"/>
      <c r="NR194" s="2"/>
      <c r="NS194" s="4"/>
      <c r="NT194" s="2"/>
      <c r="NU194" s="5" t="str">
        <f t="shared" si="562"/>
        <v>NO APLICA</v>
      </c>
      <c r="NV194" s="6"/>
      <c r="NW194" s="6"/>
      <c r="NX194" s="4"/>
      <c r="NY194" s="8"/>
      <c r="NZ194" s="5" t="str">
        <f t="shared" si="563"/>
        <v>NO APLICA</v>
      </c>
      <c r="OA194" s="6"/>
      <c r="OB194" s="6"/>
      <c r="OC194" s="6"/>
      <c r="OD194" s="6"/>
      <c r="OE194" s="5" t="str">
        <f t="shared" si="564"/>
        <v>NO APLICA</v>
      </c>
      <c r="OF194" s="6"/>
      <c r="OG194" s="6"/>
      <c r="OH194" s="4"/>
      <c r="OI194" s="8"/>
      <c r="OJ194" s="5" t="str">
        <f t="shared" si="565"/>
        <v>NO APLICA</v>
      </c>
      <c r="OK194" s="6"/>
      <c r="OL194" s="6"/>
      <c r="OM194" s="6"/>
      <c r="ON194" s="6"/>
      <c r="OO194" s="5" t="str">
        <f t="shared" si="566"/>
        <v>NO APLICA</v>
      </c>
      <c r="OP194" s="6"/>
      <c r="OQ194" s="6"/>
      <c r="OR194" s="6"/>
      <c r="OS194" s="6"/>
      <c r="OT194" s="5" t="str">
        <f t="shared" si="567"/>
        <v>NO APLICA</v>
      </c>
      <c r="OU194" s="6"/>
      <c r="OV194" s="6"/>
      <c r="OW194" s="6"/>
      <c r="OX194" s="6"/>
      <c r="OY194" s="5" t="str">
        <f t="shared" si="568"/>
        <v>NO APLICA</v>
      </c>
      <c r="OZ194" s="6"/>
      <c r="PA194" s="6"/>
      <c r="PB194" s="6"/>
      <c r="PC194" s="6"/>
      <c r="PD194" s="5" t="str">
        <f t="shared" si="569"/>
        <v>NO APLICA</v>
      </c>
      <c r="PE194" s="6"/>
      <c r="PF194" s="6"/>
      <c r="PG194" s="6"/>
      <c r="PH194" s="6"/>
      <c r="PI194" s="5" t="str">
        <f t="shared" si="570"/>
        <v>NO APLICA</v>
      </c>
      <c r="PJ194" s="5"/>
      <c r="PK194" s="6"/>
      <c r="PL194" s="4"/>
      <c r="PM194" s="8"/>
      <c r="PN194" s="5" t="str">
        <f t="shared" si="571"/>
        <v>NO APLICA</v>
      </c>
      <c r="PO194" s="6"/>
      <c r="PP194" s="6"/>
      <c r="PQ194" s="6"/>
      <c r="PR194" s="6"/>
      <c r="PS194" s="5" t="str">
        <f t="shared" si="572"/>
        <v>NO APLICA</v>
      </c>
      <c r="PT194" s="5"/>
      <c r="PU194" s="4">
        <v>46126</v>
      </c>
      <c r="PV194" s="4">
        <f>DATE(YEAR(PU194)+1,MONTH(PU194),DAY(PU194))</f>
        <v>46491</v>
      </c>
      <c r="PW194" s="8">
        <f ca="1">PV194-TODAY()</f>
        <v>357</v>
      </c>
      <c r="PX194" s="5" t="str">
        <f t="shared" ca="1" si="573"/>
        <v>VIGENTE</v>
      </c>
    </row>
    <row r="195" spans="1:440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6"/>
      <c r="V195" s="4"/>
      <c r="W195" s="4"/>
      <c r="X195" s="8"/>
      <c r="Y195" s="5" t="str">
        <f t="shared" si="624"/>
        <v>NO APLICA</v>
      </c>
      <c r="Z195" s="6"/>
      <c r="AA195" s="6"/>
      <c r="AB195" s="6"/>
      <c r="AC195" s="6"/>
      <c r="AD195" s="5" t="str">
        <f t="shared" si="627"/>
        <v>NO APLICA</v>
      </c>
      <c r="AE195" s="4"/>
      <c r="AF195" s="4"/>
      <c r="AG195" s="4"/>
      <c r="AH195" s="6"/>
      <c r="AI195" s="5" t="str">
        <f t="shared" si="621"/>
        <v>NO APLICA</v>
      </c>
      <c r="AJ195" s="4"/>
      <c r="AK195" s="4"/>
      <c r="AL195" s="4"/>
      <c r="AM195" s="6"/>
      <c r="AN195" s="5" t="str">
        <f t="shared" si="472"/>
        <v>NO APLICA</v>
      </c>
      <c r="AO195" s="4"/>
      <c r="AP195" s="4"/>
      <c r="AQ195" s="4"/>
      <c r="AR195" s="6"/>
      <c r="AS195" s="5" t="str">
        <f t="shared" si="474"/>
        <v>NO APLICA</v>
      </c>
      <c r="AT195" s="4"/>
      <c r="AU195" s="4"/>
      <c r="AV195" s="4"/>
      <c r="AW195" s="6"/>
      <c r="AX195" s="5" t="str">
        <f t="shared" si="476"/>
        <v>NO APLICA</v>
      </c>
      <c r="AY195" s="4"/>
      <c r="AZ195" s="4"/>
      <c r="BA195" s="4"/>
      <c r="BB195" s="6"/>
      <c r="BC195" s="5" t="str">
        <f t="shared" si="478"/>
        <v>NO APLICA</v>
      </c>
      <c r="BD195" s="4"/>
      <c r="BE195" s="4"/>
      <c r="BF195" s="4"/>
      <c r="BG195" s="6"/>
      <c r="BH195" s="5" t="str">
        <f t="shared" si="480"/>
        <v>NO APLICA</v>
      </c>
      <c r="BI195" s="4"/>
      <c r="BJ195" s="4"/>
      <c r="BK195" s="4"/>
      <c r="BL195" s="6"/>
      <c r="BM195" s="5" t="str">
        <f t="shared" si="482"/>
        <v>NO APLICA</v>
      </c>
      <c r="BN195" s="4"/>
      <c r="BO195" s="4"/>
      <c r="BP195" s="4"/>
      <c r="BQ195" s="6"/>
      <c r="BR195" s="5" t="str">
        <f t="shared" si="484"/>
        <v>NO APLICA</v>
      </c>
      <c r="BS195" s="4"/>
      <c r="BT195" s="4"/>
      <c r="BU195" s="4"/>
      <c r="BV195" s="6"/>
      <c r="BW195" s="5" t="str">
        <f t="shared" si="486"/>
        <v>NO APLICA</v>
      </c>
      <c r="BX195" s="4"/>
      <c r="BY195" s="4"/>
      <c r="BZ195" s="4"/>
      <c r="CA195" s="6"/>
      <c r="CB195" s="5" t="str">
        <f t="shared" si="488"/>
        <v>NO APLICA</v>
      </c>
      <c r="CC195" s="6"/>
      <c r="CD195" s="6"/>
      <c r="CE195" s="6"/>
      <c r="CF195" s="6"/>
      <c r="CG195" s="5" t="str">
        <f t="shared" si="591"/>
        <v>NO APLICA</v>
      </c>
      <c r="CH195" s="4"/>
      <c r="CI195" s="4"/>
      <c r="CJ195" s="4"/>
      <c r="CK195" s="6"/>
      <c r="CL195" s="5" t="str">
        <f t="shared" si="490"/>
        <v>NO APLICA</v>
      </c>
      <c r="CM195" s="4"/>
      <c r="CN195" s="4"/>
      <c r="CO195" s="4"/>
      <c r="CP195" s="6"/>
      <c r="CQ195" s="5" t="str">
        <f t="shared" si="492"/>
        <v>NO APLICA</v>
      </c>
      <c r="CR195" s="4"/>
      <c r="CS195" s="4"/>
      <c r="CT195" s="4"/>
      <c r="CU195" s="6"/>
      <c r="CV195" s="5" t="str">
        <f t="shared" si="494"/>
        <v>NO APLICA</v>
      </c>
      <c r="CW195" s="4"/>
      <c r="CX195" s="4"/>
      <c r="CY195" s="4"/>
      <c r="CZ195" s="6"/>
      <c r="DA195" s="5" t="str">
        <f t="shared" si="496"/>
        <v>NO APLICA</v>
      </c>
      <c r="DB195" s="4"/>
      <c r="DC195" s="4"/>
      <c r="DD195" s="4"/>
      <c r="DE195" s="6"/>
      <c r="DF195" s="5" t="str">
        <f t="shared" si="498"/>
        <v>NO APLICA</v>
      </c>
      <c r="DG195" s="4"/>
      <c r="DH195" s="4"/>
      <c r="DI195" s="4"/>
      <c r="DJ195" s="6"/>
      <c r="DK195" s="5" t="str">
        <f t="shared" si="500"/>
        <v>NO APLICA</v>
      </c>
      <c r="DL195" s="4"/>
      <c r="DM195" s="4"/>
      <c r="DN195" s="4"/>
      <c r="DO195" s="6"/>
      <c r="DP195" s="5" t="str">
        <f t="shared" si="502"/>
        <v>NO APLICA</v>
      </c>
      <c r="DQ195" s="4"/>
      <c r="DR195" s="4"/>
      <c r="DS195" s="4"/>
      <c r="DT195" s="6"/>
      <c r="DU195" s="5" t="str">
        <f t="shared" si="504"/>
        <v>NO APLICA</v>
      </c>
      <c r="DV195" s="4"/>
      <c r="DW195" s="4"/>
      <c r="DX195" s="4"/>
      <c r="DY195" s="6"/>
      <c r="DZ195" s="5" t="str">
        <f t="shared" si="506"/>
        <v>NO APLICA</v>
      </c>
      <c r="EA195" s="4"/>
      <c r="EB195" s="4"/>
      <c r="EC195" s="4"/>
      <c r="ED195" s="6"/>
      <c r="EE195" s="5" t="str">
        <f t="shared" si="508"/>
        <v>NO APLICA</v>
      </c>
      <c r="EF195" s="4"/>
      <c r="EG195" s="4"/>
      <c r="EH195" s="4"/>
      <c r="EI195" s="8"/>
      <c r="EJ195" s="5" t="str">
        <f t="shared" si="510"/>
        <v>NO APLICA</v>
      </c>
      <c r="EK195" s="4"/>
      <c r="EL195" s="4"/>
      <c r="EM195" s="4"/>
      <c r="EN195" s="8"/>
      <c r="EO195" s="5" t="str">
        <f t="shared" si="512"/>
        <v>NO APLICA</v>
      </c>
      <c r="EP195" s="4"/>
      <c r="EQ195" s="4"/>
      <c r="ER195" s="4"/>
      <c r="ES195" s="8"/>
      <c r="ET195" s="5" t="str">
        <f t="shared" si="514"/>
        <v>NO APLICA</v>
      </c>
      <c r="EU195" s="4"/>
      <c r="EV195" s="4"/>
      <c r="EW195" s="4"/>
      <c r="EX195" s="6"/>
      <c r="EY195" s="5" t="str">
        <f t="shared" si="516"/>
        <v>NO APLICA</v>
      </c>
      <c r="EZ195" s="4"/>
      <c r="FA195" s="4"/>
      <c r="FB195" s="4"/>
      <c r="FC195" s="6"/>
      <c r="FD195" s="5" t="str">
        <f t="shared" si="518"/>
        <v>NO APLICA</v>
      </c>
      <c r="FE195" s="4"/>
      <c r="FF195" s="4"/>
      <c r="FG195" s="4"/>
      <c r="FH195" s="6"/>
      <c r="FI195" s="5" t="str">
        <f t="shared" si="520"/>
        <v>NO APLICA</v>
      </c>
      <c r="FJ195" s="4"/>
      <c r="FK195" s="4"/>
      <c r="FL195" s="4"/>
      <c r="FM195" s="6"/>
      <c r="FN195" s="5" t="str">
        <f t="shared" si="522"/>
        <v>NO APLICA</v>
      </c>
      <c r="FO195" s="4"/>
      <c r="FP195" s="4"/>
      <c r="FQ195" s="4"/>
      <c r="FR195" s="6"/>
      <c r="FS195" s="5" t="str">
        <f t="shared" si="524"/>
        <v>NO APLICA</v>
      </c>
      <c r="FT195" s="4"/>
      <c r="FU195" s="4"/>
      <c r="FV195" s="4"/>
      <c r="FW195" s="6"/>
      <c r="FX195" s="5" t="str">
        <f t="shared" si="526"/>
        <v>NO APLICA</v>
      </c>
      <c r="FY195" s="4"/>
      <c r="FZ195" s="4"/>
      <c r="GA195" s="4"/>
      <c r="GB195" s="6"/>
      <c r="GC195" s="5" t="str">
        <f t="shared" si="528"/>
        <v>NO APLICA</v>
      </c>
      <c r="GD195" s="4"/>
      <c r="GE195" s="4"/>
      <c r="GF195" s="4"/>
      <c r="GG195" s="8"/>
      <c r="GH195" s="5" t="str">
        <f t="shared" si="530"/>
        <v>NO APLICA</v>
      </c>
      <c r="GI195" s="4"/>
      <c r="GJ195" s="6"/>
      <c r="GK195" s="6"/>
      <c r="GL195" s="6"/>
      <c r="GM195" s="5" t="str">
        <f t="shared" si="532"/>
        <v>NO APLICA</v>
      </c>
      <c r="GN195" s="4"/>
      <c r="GO195" s="6"/>
      <c r="GP195" s="6"/>
      <c r="GQ195" s="6"/>
      <c r="GR195" s="5" t="str">
        <f t="shared" si="630"/>
        <v>NO APLICA</v>
      </c>
      <c r="GS195" s="4"/>
      <c r="GT195" s="6"/>
      <c r="GU195" s="6"/>
      <c r="GV195" s="6"/>
      <c r="GW195" s="5" t="str">
        <f t="shared" si="631"/>
        <v>NO APLICA</v>
      </c>
      <c r="GX195" s="6"/>
      <c r="GY195" s="6"/>
      <c r="GZ195" s="6"/>
      <c r="HA195" s="6"/>
      <c r="HB195" s="5" t="str">
        <f t="shared" si="632"/>
        <v>NO APLICA</v>
      </c>
      <c r="HC195" s="6"/>
      <c r="HD195" s="6"/>
      <c r="HE195" s="4"/>
      <c r="HF195" s="8"/>
      <c r="HG195" s="5" t="str">
        <f t="shared" si="718"/>
        <v>NO APLICA</v>
      </c>
      <c r="HH195" s="6"/>
      <c r="HI195" s="6"/>
      <c r="HJ195" s="6"/>
      <c r="HK195" s="6"/>
      <c r="HL195" s="5" t="str">
        <f t="shared" si="714"/>
        <v>NO APLICA</v>
      </c>
      <c r="HM195" s="6"/>
      <c r="HN195" s="6"/>
      <c r="HO195" s="6"/>
      <c r="HP195" s="6"/>
      <c r="HQ195" s="5" t="str">
        <f t="shared" si="538"/>
        <v>NO APLICA</v>
      </c>
      <c r="HR195" s="6"/>
      <c r="HS195" s="6"/>
      <c r="HT195" s="6"/>
      <c r="HU195" s="6"/>
      <c r="HV195" s="5" t="str">
        <f t="shared" si="539"/>
        <v>NO APLICA</v>
      </c>
      <c r="HW195" s="6"/>
      <c r="HX195" s="6"/>
      <c r="HY195" s="6"/>
      <c r="HZ195" s="6"/>
      <c r="IA195" s="5" t="str">
        <f t="shared" si="540"/>
        <v>NO APLICA</v>
      </c>
      <c r="IB195" s="6"/>
      <c r="IC195" s="6"/>
      <c r="ID195" s="6"/>
      <c r="IE195" s="6"/>
      <c r="IF195" s="5" t="str">
        <f t="shared" si="541"/>
        <v>NO APLICA</v>
      </c>
      <c r="IG195" s="6"/>
      <c r="IH195" s="6"/>
      <c r="II195" s="6"/>
      <c r="IJ195" s="6"/>
      <c r="IK195" s="5" t="str">
        <f t="shared" si="542"/>
        <v>NO APLICA</v>
      </c>
      <c r="IL195" s="6"/>
      <c r="IM195" s="6"/>
      <c r="IN195" s="6"/>
      <c r="IO195" s="6"/>
      <c r="IP195" s="5" t="str">
        <f t="shared" si="543"/>
        <v>NO APLICA</v>
      </c>
      <c r="IQ195" s="6"/>
      <c r="IR195" s="6"/>
      <c r="IS195" s="6"/>
      <c r="IT195" s="6"/>
      <c r="IU195" s="5" t="str">
        <f t="shared" si="544"/>
        <v>NO APLICA</v>
      </c>
      <c r="IV195" s="6"/>
      <c r="IW195" s="6"/>
      <c r="IX195" s="6"/>
      <c r="IY195" s="6"/>
      <c r="IZ195" s="5" t="str">
        <f t="shared" si="545"/>
        <v>NO APLICA</v>
      </c>
      <c r="JA195" s="6"/>
      <c r="JB195" s="6"/>
      <c r="JC195" s="6"/>
      <c r="JD195" s="6"/>
      <c r="JE195" s="5" t="str">
        <f t="shared" si="546"/>
        <v>NO APLICA</v>
      </c>
      <c r="JF195" s="6"/>
      <c r="JG195" s="6"/>
      <c r="JH195" s="6"/>
      <c r="JI195" s="6"/>
      <c r="JJ195" s="5" t="str">
        <f t="shared" si="547"/>
        <v>NO APLICA</v>
      </c>
      <c r="JK195" s="6"/>
      <c r="JL195" s="6"/>
      <c r="JM195" s="6"/>
      <c r="JN195" s="6"/>
      <c r="JO195" s="5" t="str">
        <f t="shared" si="548"/>
        <v>NO APLICA</v>
      </c>
      <c r="JP195" s="6"/>
      <c r="JQ195" s="6"/>
      <c r="JR195" s="6"/>
      <c r="JS195" s="6"/>
      <c r="JT195" s="5" t="str">
        <f t="shared" si="549"/>
        <v>NO APLICA</v>
      </c>
      <c r="JU195" s="5"/>
      <c r="JV195" s="5"/>
      <c r="JW195" s="5"/>
      <c r="JX195" s="5"/>
      <c r="JY195" s="5" t="str">
        <f t="shared" si="550"/>
        <v>NO APLICA</v>
      </c>
      <c r="JZ195" s="5"/>
      <c r="KA195" s="6"/>
      <c r="KB195" s="6"/>
      <c r="KC195" s="6"/>
      <c r="KD195" s="5" t="str">
        <f t="shared" si="551"/>
        <v>NO APLICA</v>
      </c>
      <c r="KE195" s="5"/>
      <c r="KF195" s="6"/>
      <c r="KG195" s="6"/>
      <c r="KH195" s="6"/>
      <c r="KI195" s="5" t="str">
        <f t="shared" si="576"/>
        <v>NO APLICA</v>
      </c>
      <c r="KJ195" s="5"/>
      <c r="KK195" s="6"/>
      <c r="KL195" s="6"/>
      <c r="KM195" s="6"/>
      <c r="KN195" s="5" t="str">
        <f t="shared" si="552"/>
        <v>NO APLICA</v>
      </c>
      <c r="KO195" s="5"/>
      <c r="KP195" s="6"/>
      <c r="KQ195" s="6"/>
      <c r="KR195" s="6"/>
      <c r="KS195" s="5" t="str">
        <f t="shared" si="577"/>
        <v>NO APLICA</v>
      </c>
      <c r="KT195" s="6"/>
      <c r="KU195" s="6"/>
      <c r="KV195" s="6"/>
      <c r="KW195" s="6"/>
      <c r="KX195" s="5" t="str">
        <f t="shared" si="583"/>
        <v>NO APLICA</v>
      </c>
      <c r="KY195" s="5"/>
      <c r="KZ195" s="6"/>
      <c r="LA195" s="6"/>
      <c r="LB195" s="6"/>
      <c r="LC195" s="5" t="str">
        <f t="shared" si="578"/>
        <v>NO APLICA</v>
      </c>
      <c r="LD195" s="6"/>
      <c r="LE195" s="6"/>
      <c r="LF195" s="6"/>
      <c r="LG195" s="6"/>
      <c r="LH195" s="5" t="str">
        <f t="shared" si="619"/>
        <v>NO APLICA</v>
      </c>
      <c r="LI195" s="5"/>
      <c r="LJ195" s="5"/>
      <c r="LK195" s="4"/>
      <c r="LL195" s="8"/>
      <c r="LM195" s="5" t="str">
        <f t="shared" si="584"/>
        <v>NO APLICA</v>
      </c>
      <c r="LN195" s="6"/>
      <c r="LO195" s="6"/>
      <c r="LP195" s="6"/>
      <c r="LQ195" s="6"/>
      <c r="LR195" s="5" t="str">
        <f t="shared" si="579"/>
        <v>NO APLICA</v>
      </c>
      <c r="LS195" s="6"/>
      <c r="LT195" s="6"/>
      <c r="LU195" s="6"/>
      <c r="LV195" s="6"/>
      <c r="LW195" s="5" t="str">
        <f t="shared" si="580"/>
        <v>NO APLICA</v>
      </c>
      <c r="LX195" s="6"/>
      <c r="LY195" s="6"/>
      <c r="LZ195" s="6"/>
      <c r="MA195" s="6"/>
      <c r="MB195" s="5" t="str">
        <f t="shared" si="581"/>
        <v>NO APLICA</v>
      </c>
      <c r="MC195" s="6"/>
      <c r="MD195" s="6"/>
      <c r="ME195" s="6"/>
      <c r="MF195" s="6"/>
      <c r="MG195" s="5" t="str">
        <f t="shared" si="554"/>
        <v>NO APLICA</v>
      </c>
      <c r="MH195" s="6"/>
      <c r="MI195" s="6"/>
      <c r="MJ195" s="6"/>
      <c r="MK195" s="6"/>
      <c r="ML195" s="5" t="str">
        <f t="shared" si="555"/>
        <v>NO APLICA</v>
      </c>
      <c r="MM195" s="5"/>
      <c r="MN195" s="6"/>
      <c r="MO195" s="6"/>
      <c r="MP195" s="6"/>
      <c r="MQ195" s="5" t="str">
        <f t="shared" si="556"/>
        <v>NO APLICA</v>
      </c>
      <c r="MR195" s="5"/>
      <c r="MS195" s="6"/>
      <c r="MT195" s="6"/>
      <c r="MU195" s="6"/>
      <c r="MV195" s="5" t="str">
        <f t="shared" si="557"/>
        <v>NO APLICA</v>
      </c>
      <c r="MW195" s="6"/>
      <c r="MX195" s="6"/>
      <c r="MY195" s="6"/>
      <c r="MZ195" s="6"/>
      <c r="NA195" s="5" t="str">
        <f t="shared" si="558"/>
        <v>NO APLICA</v>
      </c>
      <c r="NB195" s="6"/>
      <c r="NC195" s="6"/>
      <c r="ND195" s="6"/>
      <c r="NE195" s="6"/>
      <c r="NF195" s="5" t="str">
        <f t="shared" si="559"/>
        <v>NO APLICA</v>
      </c>
      <c r="NG195" s="6"/>
      <c r="NH195" s="6"/>
      <c r="NI195" s="6"/>
      <c r="NJ195" s="6"/>
      <c r="NK195" s="5" t="str">
        <f t="shared" si="560"/>
        <v>NO APLICA</v>
      </c>
      <c r="NL195" s="6"/>
      <c r="NM195" s="6"/>
      <c r="NN195" s="6"/>
      <c r="NO195" s="6"/>
      <c r="NP195" s="5" t="str">
        <f t="shared" si="561"/>
        <v>NO APLICA</v>
      </c>
      <c r="NQ195" s="6"/>
      <c r="NR195" s="6"/>
      <c r="NS195" s="6"/>
      <c r="NT195" s="6"/>
      <c r="NU195" s="5" t="str">
        <f t="shared" si="562"/>
        <v>NO APLICA</v>
      </c>
      <c r="NV195" s="6"/>
      <c r="NW195" s="6"/>
      <c r="NX195" s="6"/>
      <c r="NY195" s="6"/>
      <c r="NZ195" s="5" t="str">
        <f t="shared" si="563"/>
        <v>NO APLICA</v>
      </c>
      <c r="OA195" s="6"/>
      <c r="OB195" s="6"/>
      <c r="OC195" s="6"/>
      <c r="OD195" s="6"/>
      <c r="OE195" s="5" t="str">
        <f t="shared" si="564"/>
        <v>NO APLICA</v>
      </c>
      <c r="OF195" s="6"/>
      <c r="OG195" s="6"/>
      <c r="OH195" s="6"/>
      <c r="OI195" s="6"/>
      <c r="OJ195" s="5" t="str">
        <f t="shared" si="565"/>
        <v>NO APLICA</v>
      </c>
      <c r="OK195" s="6"/>
      <c r="OL195" s="6"/>
      <c r="OM195" s="6"/>
      <c r="ON195" s="6"/>
      <c r="OO195" s="5" t="str">
        <f t="shared" si="566"/>
        <v>NO APLICA</v>
      </c>
      <c r="OP195" s="6"/>
      <c r="OQ195" s="6"/>
      <c r="OR195" s="6"/>
      <c r="OS195" s="6"/>
      <c r="OT195" s="5" t="str">
        <f t="shared" si="567"/>
        <v>NO APLICA</v>
      </c>
      <c r="OU195" s="6"/>
      <c r="OV195" s="6"/>
      <c r="OW195" s="6"/>
      <c r="OX195" s="6"/>
      <c r="OY195" s="5" t="str">
        <f t="shared" si="568"/>
        <v>NO APLICA</v>
      </c>
      <c r="OZ195" s="6"/>
      <c r="PA195" s="6"/>
      <c r="PB195" s="6"/>
      <c r="PC195" s="6"/>
      <c r="PD195" s="5" t="str">
        <f t="shared" si="569"/>
        <v>NO APLICA</v>
      </c>
      <c r="PE195" s="6"/>
      <c r="PF195" s="6"/>
      <c r="PG195" s="6"/>
      <c r="PH195" s="6"/>
      <c r="PI195" s="5" t="str">
        <f t="shared" si="570"/>
        <v>NO APLICA</v>
      </c>
      <c r="PJ195" s="5"/>
      <c r="PK195" s="6"/>
      <c r="PL195" s="6"/>
      <c r="PM195" s="6"/>
      <c r="PN195" s="5" t="str">
        <f t="shared" si="571"/>
        <v>NO APLICA</v>
      </c>
      <c r="PO195" s="6"/>
      <c r="PP195" s="6"/>
      <c r="PQ195" s="6"/>
      <c r="PR195" s="6"/>
      <c r="PS195" s="5" t="str">
        <f t="shared" si="572"/>
        <v>NO APLICA</v>
      </c>
      <c r="PT195" s="5"/>
      <c r="PU195" s="6"/>
      <c r="PV195" s="6"/>
      <c r="PW195" s="6"/>
      <c r="PX195" s="5" t="str">
        <f t="shared" si="573"/>
        <v>NO APLICA</v>
      </c>
    </row>
    <row r="196" spans="1:440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616</v>
      </c>
      <c r="E196" s="31" t="s">
        <v>617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6" t="s">
        <v>618</v>
      </c>
      <c r="V196" s="4">
        <v>46069</v>
      </c>
      <c r="W196" s="4">
        <f>DATE(YEAR(V196)+5,MONTH(V196),DAY(V196))</f>
        <v>47895</v>
      </c>
      <c r="X196" s="8">
        <f ca="1">W196-TODAY()</f>
        <v>1761</v>
      </c>
      <c r="Y196" s="5" t="str">
        <f ca="1">IF(X196&gt;=90,"VIGENTE",IF(X196&gt;=1,"POR VENCER",IF(X196&lt;=-1,"VENCIDA",IF(V196=0,"NO APLICA"))))</f>
        <v>VIGENTE</v>
      </c>
      <c r="Z196" s="6"/>
      <c r="AA196" s="6"/>
      <c r="AB196" s="6"/>
      <c r="AC196" s="6"/>
      <c r="AD196" s="5" t="str">
        <f t="shared" si="627"/>
        <v>NO APLICA</v>
      </c>
      <c r="AE196" s="4"/>
      <c r="AF196" s="4">
        <v>46085</v>
      </c>
      <c r="AG196" s="4">
        <f>DATE(YEAR(AF196)+2,MONTH(AF196),DAY(AF196))</f>
        <v>46816</v>
      </c>
      <c r="AH196" s="8">
        <f ca="1">AG196-TODAY()</f>
        <v>682</v>
      </c>
      <c r="AI196" s="5" t="str">
        <f ca="1">IF(AH196&gt;=91,"VIGENTE",IF(AH196&gt;=1,"POR VENCER",IF(AH196&lt;=-1,"VENCIDA",IF(AF196=0,"NO APLICA"))))</f>
        <v>VIGENTE</v>
      </c>
      <c r="AJ196" s="4"/>
      <c r="AK196" s="4"/>
      <c r="AL196" s="4"/>
      <c r="AM196" s="6"/>
      <c r="AN196" s="5" t="str">
        <f t="shared" ref="AN196:AN239" si="720">IF(AM196&gt;=91,"VIGENTE",IF(AM196&gt;=1,"POR VENCER",IF(AM196&lt;=-1,"VENCIDA",IF(AK196=0,"NO APLICA"))))</f>
        <v>NO APLICA</v>
      </c>
      <c r="AO196" s="4"/>
      <c r="AP196" s="4"/>
      <c r="AQ196" s="4"/>
      <c r="AR196" s="6"/>
      <c r="AS196" s="5" t="str">
        <f t="shared" ref="AS196:AS237" si="721">IF(AR196&gt;=91,"VIGENTE",IF(AR196&gt;=1,"POR VENCER",IF(AR196&lt;=-1,"VENCIDA",IF(AP196=0,"NO APLICA"))))</f>
        <v>NO APLICA</v>
      </c>
      <c r="AT196" s="4"/>
      <c r="AU196" s="4"/>
      <c r="AV196" s="4"/>
      <c r="AW196" s="6"/>
      <c r="AX196" s="5" t="str">
        <f t="shared" ref="AX196:AX237" si="722">IF(AW196&gt;=91,"VIGENTE",IF(AW196&gt;=1,"POR VENCER",IF(AW196&lt;=-1,"VENCIDA",IF(AU196=0,"NO APLICA"))))</f>
        <v>NO APLICA</v>
      </c>
      <c r="AY196" s="4"/>
      <c r="AZ196" s="4"/>
      <c r="BA196" s="4"/>
      <c r="BB196" s="6"/>
      <c r="BC196" s="5" t="str">
        <f t="shared" ref="BC196:BC237" si="723">IF(BB196&gt;=91,"VIGENTE",IF(BB196&gt;=1,"POR VENCER",IF(BB196&lt;=-1,"VENCIDA",IF(AZ196=0,"NO APLICA"))))</f>
        <v>NO APLICA</v>
      </c>
      <c r="BD196" s="4"/>
      <c r="BE196" s="4"/>
      <c r="BF196" s="4"/>
      <c r="BG196" s="6"/>
      <c r="BH196" s="5" t="str">
        <f t="shared" ref="BH196:BH237" si="724">IF(BG196&gt;=91,"VIGENTE",IF(BG196&gt;=1,"POR VENCER",IF(BG196&lt;=-1,"VENCIDA",IF(BE196=0,"NO APLICA"))))</f>
        <v>NO APLICA</v>
      </c>
      <c r="BI196" s="4"/>
      <c r="BJ196" s="4"/>
      <c r="BK196" s="4"/>
      <c r="BL196" s="6"/>
      <c r="BM196" s="5" t="str">
        <f t="shared" ref="BM196:BM237" si="725">IF(BL196&gt;=91,"VIGENTE",IF(BL196&gt;=1,"POR VENCER",IF(BL196&lt;=-1,"VENCIDA",IF(BJ196=0,"NO APLICA"))))</f>
        <v>NO APLICA</v>
      </c>
      <c r="BN196" s="4"/>
      <c r="BO196" s="4"/>
      <c r="BP196" s="4"/>
      <c r="BQ196" s="6"/>
      <c r="BR196" s="5" t="str">
        <f t="shared" ref="BR196:BR237" si="726">IF(BQ196&gt;=91,"VIGENTE",IF(BQ196&gt;=1,"POR VENCER",IF(BQ196&lt;=-1,"VENCIDA",IF(BO196=0,"NO APLICA"))))</f>
        <v>NO APLICA</v>
      </c>
      <c r="BS196" s="4"/>
      <c r="BT196" s="4"/>
      <c r="BU196" s="4"/>
      <c r="BV196" s="6"/>
      <c r="BW196" s="5" t="str">
        <f t="shared" ref="BW196:BW237" si="727">IF(BV196&gt;=91,"VIGENTE",IF(BV196&gt;=1,"POR VENCER",IF(BV196&lt;=-1,"VENCIDA",IF(BT196=0,"NO APLICA"))))</f>
        <v>NO APLICA</v>
      </c>
      <c r="BX196" s="4"/>
      <c r="BY196" s="4"/>
      <c r="BZ196" s="4"/>
      <c r="CA196" s="6"/>
      <c r="CB196" s="5" t="str">
        <f t="shared" ref="CB196:CB237" si="728">IF(CA196&gt;=91,"VIGENTE",IF(CA196&gt;=1,"POR VENCER",IF(CA196&lt;=-1,"VENCIDA",IF(BY196=0,"NO APLICA"))))</f>
        <v>NO APLICA</v>
      </c>
      <c r="CC196" s="6"/>
      <c r="CD196" s="6"/>
      <c r="CE196" s="6"/>
      <c r="CF196" s="6"/>
      <c r="CG196" s="5" t="str">
        <f t="shared" si="591"/>
        <v>NO APLICA</v>
      </c>
      <c r="CH196" s="4"/>
      <c r="CI196" s="4"/>
      <c r="CJ196" s="4"/>
      <c r="CK196" s="6"/>
      <c r="CL196" s="5" t="str">
        <f t="shared" ref="CL196:CL237" si="729">IF(CK196&gt;=91,"VIGENTE",IF(CK196&gt;=1,"POR VENCER",IF(CK196&lt;=-1,"VENCIDA",IF(CI196=0,"NO APLICA"))))</f>
        <v>NO APLICA</v>
      </c>
      <c r="CM196" s="4"/>
      <c r="CN196" s="4"/>
      <c r="CO196" s="4"/>
      <c r="CP196" s="6"/>
      <c r="CQ196" s="5" t="str">
        <f t="shared" ref="CQ196:CQ237" si="730">IF(CP196&gt;=91,"VIGENTE",IF(CP196&gt;=1,"POR VENCER",IF(CP196&lt;=-1,"VENCIDA",IF(CN196=0,"NO APLICA"))))</f>
        <v>NO APLICA</v>
      </c>
      <c r="CR196" s="4"/>
      <c r="CS196" s="4"/>
      <c r="CT196" s="4"/>
      <c r="CU196" s="6"/>
      <c r="CV196" s="5" t="str">
        <f t="shared" ref="CV196:CV237" si="731">IF(CU196&gt;=91,"VIGENTE",IF(CU196&gt;=1,"POR VENCER",IF(CU196&lt;=-1,"VENCIDA",IF(CS196=0,"NO APLICA"))))</f>
        <v>NO APLICA</v>
      </c>
      <c r="CW196" s="4"/>
      <c r="CX196" s="4"/>
      <c r="CY196" s="4"/>
      <c r="CZ196" s="6"/>
      <c r="DA196" s="5" t="str">
        <f t="shared" ref="DA196:DA237" si="732">IF(CZ196&gt;=91,"VIGENTE",IF(CZ196&gt;=1,"POR VENCER",IF(CZ196&lt;=-1,"VENCIDA",IF(CX196=0,"NO APLICA"))))</f>
        <v>NO APLICA</v>
      </c>
      <c r="DB196" s="4"/>
      <c r="DC196" s="4"/>
      <c r="DD196" s="4"/>
      <c r="DE196" s="6"/>
      <c r="DF196" s="5" t="str">
        <f t="shared" ref="DF196:DF237" si="733">IF(DE196&gt;=91,"VIGENTE",IF(DE196&gt;=1,"POR VENCER",IF(DE196&lt;=-1,"VENCIDA",IF(DC196=0,"NO APLICA"))))</f>
        <v>NO APLICA</v>
      </c>
      <c r="DG196" s="4"/>
      <c r="DH196" s="4"/>
      <c r="DI196" s="4"/>
      <c r="DJ196" s="6"/>
      <c r="DK196" s="5" t="str">
        <f t="shared" ref="DK196:DK237" si="734">IF(DJ196&gt;=91,"VIGENTE",IF(DJ196&gt;=1,"POR VENCER",IF(DJ196&lt;=-1,"VENCIDA",IF(DH196=0,"NO APLICA"))))</f>
        <v>NO APLICA</v>
      </c>
      <c r="DL196" s="4"/>
      <c r="DM196" s="4"/>
      <c r="DN196" s="4"/>
      <c r="DO196" s="6"/>
      <c r="DP196" s="5" t="str">
        <f t="shared" ref="DP196:DP237" si="735">IF(DO196&gt;=91,"VIGENTE",IF(DO196&gt;=1,"POR VENCER",IF(DO196&lt;=-1,"VENCIDA",IF(DM196=0,"NO APLICA"))))</f>
        <v>NO APLICA</v>
      </c>
      <c r="DQ196" s="4"/>
      <c r="DR196" s="4"/>
      <c r="DS196" s="4"/>
      <c r="DT196" s="6"/>
      <c r="DU196" s="5" t="str">
        <f t="shared" ref="DU196:DU237" si="736">IF(DT196&gt;=91,"VIGENTE",IF(DT196&gt;=1,"POR VENCER",IF(DT196&lt;=-1,"VENCIDA",IF(DR196=0,"NO APLICA"))))</f>
        <v>NO APLICA</v>
      </c>
      <c r="DV196" s="4"/>
      <c r="DW196" s="4"/>
      <c r="DX196" s="4"/>
      <c r="DY196" s="6"/>
      <c r="DZ196" s="5" t="str">
        <f t="shared" ref="DZ196:DZ237" si="737">IF(DY196&gt;=91,"VIGENTE",IF(DY196&gt;=1,"POR VENCER",IF(DY196&lt;=-1,"VENCIDA",IF(DW196=0,"NO APLICA"))))</f>
        <v>NO APLICA</v>
      </c>
      <c r="EA196" s="4"/>
      <c r="EB196" s="4"/>
      <c r="EC196" s="4"/>
      <c r="ED196" s="6"/>
      <c r="EE196" s="5" t="str">
        <f t="shared" ref="EE196:EE237" si="738">IF(ED196&gt;=91,"VIGENTE",IF(ED196&gt;=1,"POR VENCER",IF(ED196&lt;=-1,"VENCIDA",IF(EB196=0,"NO APLICA"))))</f>
        <v>NO APLICA</v>
      </c>
      <c r="EF196" s="4"/>
      <c r="EG196" s="4"/>
      <c r="EH196" s="4"/>
      <c r="EI196" s="8"/>
      <c r="EJ196" s="5" t="str">
        <f t="shared" ref="EJ196:EJ237" si="739">IF(EI196&gt;=91,"VIGENTE",IF(EI196&gt;=1,"POR VENCER",IF(EI196&lt;=-1,"VENCIDA",IF(EG196=0,"NO APLICA"))))</f>
        <v>NO APLICA</v>
      </c>
      <c r="EK196" s="4"/>
      <c r="EL196" s="4"/>
      <c r="EM196" s="4"/>
      <c r="EN196" s="8"/>
      <c r="EO196" s="5" t="str">
        <f t="shared" ref="EO196:EO237" si="740">IF(EN196&gt;=91,"VIGENTE",IF(EN196&gt;=1,"POR VENCER",IF(EN196&lt;=-1,"VENCIDA",IF(EL196=0,"NO APLICA"))))</f>
        <v>NO APLICA</v>
      </c>
      <c r="EP196" s="4"/>
      <c r="EQ196" s="4"/>
      <c r="ER196" s="4"/>
      <c r="ES196" s="8"/>
      <c r="ET196" s="5" t="str">
        <f t="shared" ref="ET196:ET237" si="741">IF(ES196&gt;=91,"VIGENTE",IF(ES196&gt;=1,"POR VENCER",IF(ES196&lt;=-1,"VENCIDA",IF(EQ196=0,"NO APLICA"))))</f>
        <v>NO APLICA</v>
      </c>
      <c r="EU196" s="4"/>
      <c r="EV196" s="4"/>
      <c r="EW196" s="4"/>
      <c r="EX196" s="6"/>
      <c r="EY196" s="5" t="str">
        <f t="shared" ref="EY196:EY237" si="742">IF(EX196&gt;=91,"VIGENTE",IF(EX196&gt;=1,"POR VENCER",IF(EX196&lt;=-1,"VENCIDA",IF(EV196=0,"NO APLICA"))))</f>
        <v>NO APLICA</v>
      </c>
      <c r="EZ196" s="4"/>
      <c r="FA196" s="4"/>
      <c r="FB196" s="4"/>
      <c r="FC196" s="6"/>
      <c r="FD196" s="5" t="str">
        <f t="shared" ref="FD196:FD237" si="743">IF(FC196&gt;=91,"VIGENTE",IF(FC196&gt;=1,"POR VENCER",IF(FC196&lt;=-1,"VENCIDA",IF(FA196=0,"NO APLICA"))))</f>
        <v>NO APLICA</v>
      </c>
      <c r="FE196" s="4"/>
      <c r="FF196" s="4"/>
      <c r="FG196" s="4"/>
      <c r="FH196" s="6"/>
      <c r="FI196" s="5" t="str">
        <f t="shared" ref="FI196:FI237" si="744">IF(FH196&gt;=91,"VIGENTE",IF(FH196&gt;=1,"POR VENCER",IF(FH196&lt;=-1,"VENCIDA",IF(FF196=0,"NO APLICA"))))</f>
        <v>NO APLICA</v>
      </c>
      <c r="FJ196" s="4"/>
      <c r="FK196" s="4"/>
      <c r="FL196" s="4"/>
      <c r="FM196" s="6"/>
      <c r="FN196" s="5" t="str">
        <f t="shared" ref="FN196:FN237" si="745">IF(FM196&gt;=91,"VIGENTE",IF(FM196&gt;=1,"POR VENCER",IF(FM196&lt;=-1,"VENCIDA",IF(FK196=0,"NO APLICA"))))</f>
        <v>NO APLICA</v>
      </c>
      <c r="FO196" s="4"/>
      <c r="FP196" s="4"/>
      <c r="FQ196" s="4"/>
      <c r="FR196" s="6"/>
      <c r="FS196" s="5" t="str">
        <f t="shared" ref="FS196:FS237" si="746">IF(FR196&gt;=91,"VIGENTE",IF(FR196&gt;=1,"POR VENCER",IF(FR196&lt;=-1,"VENCIDA",IF(FP196=0,"NO APLICA"))))</f>
        <v>NO APLICA</v>
      </c>
      <c r="FT196" s="4"/>
      <c r="FU196" s="4"/>
      <c r="FV196" s="4"/>
      <c r="FW196" s="6"/>
      <c r="FX196" s="5" t="str">
        <f t="shared" ref="FX196:FX237" si="747">IF(FW196&gt;=91,"VIGENTE",IF(FW196&gt;=1,"POR VENCER",IF(FW196&lt;=-1,"VENCIDA",IF(FU196=0,"NO APLICA"))))</f>
        <v>NO APLICA</v>
      </c>
      <c r="FY196" s="4"/>
      <c r="FZ196" s="4"/>
      <c r="GA196" s="4"/>
      <c r="GB196" s="6"/>
      <c r="GC196" s="5" t="str">
        <f t="shared" ref="GC196:GC237" si="748">IF(GB196&gt;=91,"VIGENTE",IF(GB196&gt;=1,"POR VENCER",IF(GB196&lt;=-1,"VENCIDA",IF(FZ196=0,"NO APLICA"))))</f>
        <v>NO APLICA</v>
      </c>
      <c r="GD196" s="4"/>
      <c r="GE196" s="4"/>
      <c r="GF196" s="4"/>
      <c r="GG196" s="8"/>
      <c r="GH196" s="5" t="str">
        <f t="shared" ref="GH196:GH237" si="749">IF(GG196&gt;=91,"VIGENTE",IF(GG196&gt;=1,"POR VENCER",IF(GG196&lt;=-1,"VENCIDA",IF(GE196=0,"NO APLICA"))))</f>
        <v>NO APLICA</v>
      </c>
      <c r="GI196" s="4"/>
      <c r="GJ196" s="6"/>
      <c r="GK196" s="6"/>
      <c r="GL196" s="6"/>
      <c r="GM196" s="5" t="str">
        <f t="shared" ref="GM196:GM237" si="750">IF(GL196&gt;=61,"VIGENTE",IF(GL196&gt;=1,"POR VENCER",IF(GL196&lt;=-1,"VENCIDA",IF(GJ196=0,"NO APLICA"))))</f>
        <v>NO APLICA</v>
      </c>
      <c r="GN196" s="4"/>
      <c r="GO196" s="6"/>
      <c r="GP196" s="6"/>
      <c r="GQ196" s="6"/>
      <c r="GR196" s="5" t="str">
        <f t="shared" si="630"/>
        <v>NO APLICA</v>
      </c>
      <c r="GS196" s="4"/>
      <c r="GT196" s="6"/>
      <c r="GU196" s="6"/>
      <c r="GV196" s="6"/>
      <c r="GW196" s="5" t="str">
        <f t="shared" si="631"/>
        <v>NO APLICA</v>
      </c>
      <c r="GX196" s="6"/>
      <c r="GY196" s="6"/>
      <c r="GZ196" s="6"/>
      <c r="HA196" s="6"/>
      <c r="HB196" s="5" t="str">
        <f t="shared" si="632"/>
        <v>NO APLICA</v>
      </c>
      <c r="HC196" s="6"/>
      <c r="HD196" s="6"/>
      <c r="HE196" s="4"/>
      <c r="HF196" s="8"/>
      <c r="HG196" s="5" t="str">
        <f t="shared" si="718"/>
        <v>NO APLICA</v>
      </c>
      <c r="HH196" s="6"/>
      <c r="HI196" s="6"/>
      <c r="HJ196" s="6"/>
      <c r="HK196" s="6"/>
      <c r="HL196" s="5" t="str">
        <f t="shared" si="714"/>
        <v>NO APLICA</v>
      </c>
      <c r="HM196" s="6"/>
      <c r="HN196" s="6"/>
      <c r="HO196" s="6"/>
      <c r="HP196" s="6"/>
      <c r="HQ196" s="5" t="str">
        <f t="shared" ref="HQ196:HQ240" si="751">IF(HP196&gt;=61,"VIGENTE",IF(HP196&gt;=1,"POR VENCER",IF(HP196&lt;=-1,"VENCIDA",IF(HN196=0,"NO APLICA"))))</f>
        <v>NO APLICA</v>
      </c>
      <c r="HR196" s="6"/>
      <c r="HS196" s="6"/>
      <c r="HT196" s="6"/>
      <c r="HU196" s="6"/>
      <c r="HV196" s="5" t="str">
        <f t="shared" ref="HV196:HV240" si="752">IF(HU196&gt;=61,"VIGENTE",IF(HU196&gt;=1,"POR VENCER",IF(HU196&lt;=-1,"VENCIDA",IF(HS196=0,"NO APLICA"))))</f>
        <v>NO APLICA</v>
      </c>
      <c r="HW196" s="6"/>
      <c r="HX196" s="6"/>
      <c r="HY196" s="6"/>
      <c r="HZ196" s="6"/>
      <c r="IA196" s="5" t="str">
        <f t="shared" ref="IA196:IA240" si="753">IF(HZ196&gt;=61,"VIGENTE",IF(HZ196&gt;=1,"POR VENCER",IF(HZ196&lt;=-1,"VENCIDA",IF(HX196=0,"NO APLICA"))))</f>
        <v>NO APLICA</v>
      </c>
      <c r="IB196" s="6"/>
      <c r="IC196" s="6"/>
      <c r="ID196" s="6"/>
      <c r="IE196" s="6"/>
      <c r="IF196" s="5" t="str">
        <f t="shared" ref="IF196:IF240" si="754">IF(IE196&gt;=61,"VIGENTE",IF(IE196&gt;=1,"POR VENCER",IF(IE196&lt;=-1,"VENCIDA",IF(IC196=0,"NO APLICA"))))</f>
        <v>NO APLICA</v>
      </c>
      <c r="IG196" s="6"/>
      <c r="IH196" s="6"/>
      <c r="II196" s="6"/>
      <c r="IJ196" s="6"/>
      <c r="IK196" s="5" t="str">
        <f t="shared" ref="IK196:IK240" si="755">IF(IJ196&gt;=61,"VIGENTE",IF(IJ196&gt;=1,"POR VENCER",IF(IJ196&lt;=-1,"VENCIDA",IF(IH196=0,"NO APLICA"))))</f>
        <v>NO APLICA</v>
      </c>
      <c r="IL196" s="6"/>
      <c r="IM196" s="6"/>
      <c r="IN196" s="6"/>
      <c r="IO196" s="6"/>
      <c r="IP196" s="5" t="str">
        <f t="shared" ref="IP196:IP240" si="756">IF(IO196&gt;=61,"VIGENTE",IF(IO196&gt;=1,"POR VENCER",IF(IO196&lt;=-1,"VENCIDA",IF(IM196=0,"NO APLICA"))))</f>
        <v>NO APLICA</v>
      </c>
      <c r="IQ196" s="6"/>
      <c r="IR196" s="6"/>
      <c r="IS196" s="6"/>
      <c r="IT196" s="6"/>
      <c r="IU196" s="5" t="str">
        <f t="shared" ref="IU196:IU240" si="757">IF(IT196&gt;=61,"VIGENTE",IF(IT196&gt;=1,"POR VENCER",IF(IT196&lt;=-1,"VENCIDA",IF(IR196=0,"NO APLICA"))))</f>
        <v>NO APLICA</v>
      </c>
      <c r="IV196" s="6"/>
      <c r="IW196" s="6"/>
      <c r="IX196" s="6"/>
      <c r="IY196" s="6"/>
      <c r="IZ196" s="5" t="str">
        <f t="shared" ref="IZ196:IZ240" si="758">IF(IY196&gt;=61,"VIGENTE",IF(IY196&gt;=1,"POR VENCER",IF(IY196&lt;=-1,"VENCIDA",IF(IW196=0,"NO APLICA"))))</f>
        <v>NO APLICA</v>
      </c>
      <c r="JA196" s="6"/>
      <c r="JB196" s="6"/>
      <c r="JC196" s="6"/>
      <c r="JD196" s="6"/>
      <c r="JE196" s="5" t="str">
        <f t="shared" ref="JE196:JE239" si="759">IF(JD196&gt;=61,"VIGENTE",IF(JD196&gt;=1,"POR VENCER",IF(JD196&lt;=-1,"VENCIDA",IF(JB196=0,"NO APLICA"))))</f>
        <v>NO APLICA</v>
      </c>
      <c r="JF196" s="6"/>
      <c r="JG196" s="6"/>
      <c r="JH196" s="6"/>
      <c r="JI196" s="6"/>
      <c r="JJ196" s="5" t="str">
        <f t="shared" ref="JJ196:JJ240" si="760">IF(JI196&gt;=61,"VIGENTE",IF(JI196&gt;=1,"POR VENCER",IF(JI196&lt;=-1,"VENCIDA",IF(JF196=0,"NO APLICA"))))</f>
        <v>NO APLICA</v>
      </c>
      <c r="JK196" s="6"/>
      <c r="JL196" s="6"/>
      <c r="JM196" s="6"/>
      <c r="JN196" s="6"/>
      <c r="JO196" s="5" t="str">
        <f t="shared" ref="JO196:JO240" si="761">IF(JN196&gt;=61,"VIGENTE",IF(JN196&gt;=1,"POR VENCER",IF(JN196&lt;=-1,"VENCIDA",IF(JK196=0,"NO APLICA"))))</f>
        <v>NO APLICA</v>
      </c>
      <c r="JP196" s="6"/>
      <c r="JQ196" s="6"/>
      <c r="JR196" s="6"/>
      <c r="JS196" s="6"/>
      <c r="JT196" s="5" t="str">
        <f t="shared" ref="JT196:JT240" si="762">IF(JS196&gt;=61,"VIGENTE",IF(JS196&gt;=1,"POR VENCER",IF(JS196&lt;=-1,"VENCIDA",IF(JQ196=0,"NO APLICA"))))</f>
        <v>NO APLICA</v>
      </c>
      <c r="JU196" s="5"/>
      <c r="JV196" s="5"/>
      <c r="JW196" s="5"/>
      <c r="JX196" s="5"/>
      <c r="JY196" s="5" t="str">
        <f t="shared" ref="JY196:JY236" si="763">IF(JX196&gt;=61,"VIGENTE",IF(JX196&gt;=1,"POR VENCER",IF(JX196&lt;=-1,"VENCIDA",IF(JV196=0,"NO APLICA"))))</f>
        <v>NO APLICA</v>
      </c>
      <c r="JZ196" s="5"/>
      <c r="KA196" s="6"/>
      <c r="KB196" s="6"/>
      <c r="KC196" s="6"/>
      <c r="KD196" s="5" t="str">
        <f t="shared" ref="KD196:KD240" si="764">IF(KC196&gt;=61,"VIGENTE",IF(KC196&gt;=1,"POR VENCER",IF(KC196&lt;=-1,"VENCIDA",IF(KA196=0,"NO APLICA"))))</f>
        <v>NO APLICA</v>
      </c>
      <c r="KE196" s="5"/>
      <c r="KF196" s="6"/>
      <c r="KG196" s="6"/>
      <c r="KH196" s="6"/>
      <c r="KI196" s="5" t="str">
        <f t="shared" si="576"/>
        <v>NO APLICA</v>
      </c>
      <c r="KJ196" s="5"/>
      <c r="KK196" s="6"/>
      <c r="KL196" s="6"/>
      <c r="KM196" s="6"/>
      <c r="KN196" s="5" t="str">
        <f t="shared" ref="KN196:KN240" si="765">IF(KM196&gt;=61,"VIGENTE",IF(KM196&gt;=1,"POR VENCER",IF(KM196&lt;=-1,"VENCIDA",IF(KK196=0,"NO APLICA"))))</f>
        <v>NO APLICA</v>
      </c>
      <c r="KO196" s="5"/>
      <c r="KP196" s="6"/>
      <c r="KQ196" s="6"/>
      <c r="KR196" s="6"/>
      <c r="KS196" s="5" t="str">
        <f t="shared" si="577"/>
        <v>NO APLICA</v>
      </c>
      <c r="KT196" s="6"/>
      <c r="KU196" s="6"/>
      <c r="KV196" s="6"/>
      <c r="KW196" s="6"/>
      <c r="KX196" s="5" t="str">
        <f t="shared" si="583"/>
        <v>NO APLICA</v>
      </c>
      <c r="KY196" s="5"/>
      <c r="KZ196" s="6"/>
      <c r="LA196" s="6"/>
      <c r="LB196" s="6"/>
      <c r="LC196" s="5" t="str">
        <f t="shared" si="578"/>
        <v>NO APLICA</v>
      </c>
      <c r="LD196" s="6"/>
      <c r="LE196" s="6"/>
      <c r="LF196" s="6"/>
      <c r="LG196" s="8"/>
      <c r="LH196" s="5" t="str">
        <f t="shared" si="619"/>
        <v>NO APLICA</v>
      </c>
      <c r="LI196" s="5"/>
      <c r="LJ196" s="5"/>
      <c r="LK196" s="4"/>
      <c r="LL196" s="8"/>
      <c r="LM196" s="5" t="str">
        <f t="shared" si="584"/>
        <v>NO APLICA</v>
      </c>
      <c r="LN196" s="6"/>
      <c r="LO196" s="6"/>
      <c r="LP196" s="6"/>
      <c r="LQ196" s="6"/>
      <c r="LR196" s="5" t="str">
        <f t="shared" si="579"/>
        <v>NO APLICA</v>
      </c>
      <c r="LS196" s="6"/>
      <c r="LT196" s="6"/>
      <c r="LU196" s="6"/>
      <c r="LV196" s="6"/>
      <c r="LW196" s="5" t="str">
        <f t="shared" si="580"/>
        <v>NO APLICA</v>
      </c>
      <c r="LX196" s="6"/>
      <c r="LY196" s="6"/>
      <c r="LZ196" s="6"/>
      <c r="MA196" s="6"/>
      <c r="MB196" s="5" t="str">
        <f t="shared" si="581"/>
        <v>NO APLICA</v>
      </c>
      <c r="MC196" s="6"/>
      <c r="MD196" s="6"/>
      <c r="ME196" s="6"/>
      <c r="MF196" s="6"/>
      <c r="MG196" s="5" t="str">
        <f t="shared" ref="MG196:MG240" si="766">IF(MF196&gt;=61,"VIGENTE",IF(MF196&gt;=1,"POR VENCER",IF(MF196&lt;=-1,"VENCIDA",IF(MD196=0,"NO APLICA"))))</f>
        <v>NO APLICA</v>
      </c>
      <c r="MH196" s="6"/>
      <c r="MI196" s="6"/>
      <c r="MJ196" s="6"/>
      <c r="MK196" s="6"/>
      <c r="ML196" s="5" t="str">
        <f t="shared" ref="ML196:ML240" si="767">IF(MK196&gt;=61,"VIGENTE",IF(MK196&gt;=1,"POR VENCER",IF(MK196&lt;=-1,"VENCIDA",IF(MI196=0,"NO APLICA"))))</f>
        <v>NO APLICA</v>
      </c>
      <c r="MM196" s="5"/>
      <c r="MN196" s="6"/>
      <c r="MO196" s="6"/>
      <c r="MP196" s="6"/>
      <c r="MQ196" s="5" t="str">
        <f t="shared" ref="MQ196:MQ240" si="768">IF(MP196&gt;=61,"VIGENTE",IF(MP196&gt;=1,"POR VENCER",IF(MP196&lt;=-1,"VENCIDA",IF(MN196=0,"NO APLICA"))))</f>
        <v>NO APLICA</v>
      </c>
      <c r="MR196" s="5"/>
      <c r="MS196" s="6"/>
      <c r="MT196" s="6"/>
      <c r="MU196" s="6"/>
      <c r="MV196" s="5" t="str">
        <f t="shared" ref="MV196:MV240" si="769">IF(MU196&gt;=61,"VIGENTE",IF(MU196&gt;=1,"POR VENCER",IF(MU196&lt;=-1,"VENCIDA",IF(MS196=0,"NO APLICA"))))</f>
        <v>NO APLICA</v>
      </c>
      <c r="MW196" s="6"/>
      <c r="MX196" s="6"/>
      <c r="MY196" s="6"/>
      <c r="MZ196" s="6"/>
      <c r="NA196" s="5" t="str">
        <f t="shared" ref="NA196:NA240" si="770">IF(MZ196&gt;=61,"VIGENTE",IF(MZ196&gt;=1,"POR VENCER",IF(MZ196&lt;=-1,"VENCIDA",IF(MX196=0,"NO APLICA"))))</f>
        <v>NO APLICA</v>
      </c>
      <c r="NB196" s="6"/>
      <c r="NC196" s="6"/>
      <c r="ND196" s="6"/>
      <c r="NE196" s="6"/>
      <c r="NF196" s="5" t="str">
        <f t="shared" ref="NF196:NF240" si="771">IF(NE196&gt;=61,"VIGENTE",IF(NE196&gt;=1,"POR VENCER",IF(NE196&lt;=-1,"VENCIDA",IF(NC196=0,"NO APLICA"))))</f>
        <v>NO APLICA</v>
      </c>
      <c r="NG196" s="6"/>
      <c r="NH196" s="6"/>
      <c r="NI196" s="6"/>
      <c r="NJ196" s="6"/>
      <c r="NK196" s="5" t="str">
        <f t="shared" ref="NK196:NK240" si="772">IF(NJ196&gt;=61,"VIGENTE",IF(NJ196&gt;=1,"POR VENCER",IF(NJ196&lt;=-1,"VENCIDA",IF(NH196=0,"NO APLICA"))))</f>
        <v>NO APLICA</v>
      </c>
      <c r="NL196" s="6"/>
      <c r="NM196" s="6"/>
      <c r="NN196" s="6"/>
      <c r="NO196" s="6"/>
      <c r="NP196" s="5" t="str">
        <f t="shared" ref="NP196:NP240" si="773">IF(NO196&gt;=61,"VIGENTE",IF(NO196&gt;=1,"POR VENCER",IF(NO196&lt;=-1,"VENCIDA",IF(NM196=0,"NO APLICA"))))</f>
        <v>NO APLICA</v>
      </c>
      <c r="NQ196" s="6"/>
      <c r="NR196" s="6"/>
      <c r="NS196" s="6"/>
      <c r="NT196" s="6"/>
      <c r="NU196" s="5" t="str">
        <f t="shared" ref="NU196:NU240" si="774">IF(NT196&gt;=61,"VIGENTE",IF(NT196&gt;=1,"POR VENCER",IF(NT196&lt;=-1,"VENCIDA",IF(NR196=0,"NO APLICA"))))</f>
        <v>NO APLICA</v>
      </c>
      <c r="NV196" s="6"/>
      <c r="NW196" s="6"/>
      <c r="NX196" s="6"/>
      <c r="NY196" s="6"/>
      <c r="NZ196" s="5" t="str">
        <f t="shared" ref="NZ196:NZ240" si="775">IF(NY196&gt;=61,"VIGENTE",IF(NY196&gt;=1,"POR VENCER",IF(NY196&lt;=-1,"VENCIDA",IF(NW196=0,"NO APLICA"))))</f>
        <v>NO APLICA</v>
      </c>
      <c r="OA196" s="6"/>
      <c r="OB196" s="6"/>
      <c r="OC196" s="6"/>
      <c r="OD196" s="6"/>
      <c r="OE196" s="5" t="str">
        <f t="shared" ref="OE196:OE240" si="776">IF(OD196&gt;=61,"VIGENTE",IF(OD196&gt;=1,"POR VENCER",IF(OD196&lt;=-1,"VENCIDA",IF(OB196=0,"NO APLICA"))))</f>
        <v>NO APLICA</v>
      </c>
      <c r="OF196" s="6"/>
      <c r="OG196" s="6"/>
      <c r="OH196" s="6"/>
      <c r="OI196" s="6"/>
      <c r="OJ196" s="5" t="str">
        <f t="shared" ref="OJ196:OJ240" si="777">IF(OI196&gt;=61,"VIGENTE",IF(OI196&gt;=1,"POR VENCER",IF(OI196&lt;=-1,"VENCIDA",IF(OG196=0,"NO APLICA"))))</f>
        <v>NO APLICA</v>
      </c>
      <c r="OK196" s="6"/>
      <c r="OL196" s="6"/>
      <c r="OM196" s="6"/>
      <c r="ON196" s="6"/>
      <c r="OO196" s="5" t="str">
        <f t="shared" ref="OO196:OO240" si="778">IF(ON196&gt;=61,"VIGENTE",IF(ON196&gt;=1,"POR VENCER",IF(ON196&lt;=-1,"VENCIDA",IF(OL196=0,"NO APLICA"))))</f>
        <v>NO APLICA</v>
      </c>
      <c r="OP196" s="6"/>
      <c r="OQ196" s="6"/>
      <c r="OR196" s="6"/>
      <c r="OS196" s="6"/>
      <c r="OT196" s="5" t="str">
        <f t="shared" ref="OT196:OT240" si="779">IF(OS196&gt;=61,"VIGENTE",IF(OS196&gt;=1,"POR VENCER",IF(OS196&lt;=-1,"VENCIDA",IF(OQ196=0,"NO APLICA"))))</f>
        <v>NO APLICA</v>
      </c>
      <c r="OU196" s="4"/>
      <c r="OV196" s="4">
        <v>44770</v>
      </c>
      <c r="OW196" s="4">
        <f>DATE(YEAR(OV196)+5,MONTH(OV196),DAY(OV196))</f>
        <v>46596</v>
      </c>
      <c r="OX196" s="8">
        <f ca="1">OW196-TODAY()</f>
        <v>462</v>
      </c>
      <c r="OY196" s="5" t="str">
        <f ca="1">IF(OX196&gt;=61,"VIGENTE",IF(OX196&gt;=1,"POR VENCER",IF(OX196&lt;=-1,"VENCIDA",IF(OV196=0,"NO APLICA"))))</f>
        <v>VIGENTE</v>
      </c>
      <c r="OZ196" s="6"/>
      <c r="PA196" s="6"/>
      <c r="PB196" s="6"/>
      <c r="PC196" s="6"/>
      <c r="PD196" s="5" t="str">
        <f t="shared" ref="PD196:PD240" si="780">IF(PC196&gt;=61,"VIGENTE",IF(PC196&gt;=1,"POR VENCER",IF(PC196&lt;=-1,"VENCIDA",IF(PA196=0,"NO APLICA"))))</f>
        <v>NO APLICA</v>
      </c>
      <c r="PE196" s="6"/>
      <c r="PF196" s="6"/>
      <c r="PG196" s="6"/>
      <c r="PH196" s="6"/>
      <c r="PI196" s="5" t="str">
        <f t="shared" ref="PI196:PI240" si="781">IF(PH196&gt;=61,"VIGENTE",IF(PH196&gt;=1,"POR VENCER",IF(PH196&lt;=-1,"VENCIDA",IF(PF196=0,"NO APLICA"))))</f>
        <v>NO APLICA</v>
      </c>
      <c r="PJ196" s="5"/>
      <c r="PK196" s="4">
        <v>44627</v>
      </c>
      <c r="PL196" s="4">
        <f>DATE(YEAR(PK196)+5,MONTH(PK196),DAY(PK196))</f>
        <v>46453</v>
      </c>
      <c r="PM196" s="8">
        <f ca="1">PL196-TODAY()</f>
        <v>319</v>
      </c>
      <c r="PN196" s="5" t="str">
        <f ca="1">IF(PM196&gt;=61,"VIGENTE",IF(PM196&gt;=1,"POR VENCER",IF(PM196&lt;=-1,"VENCIDA",IF(PK196=0,"NO APLICA"))))</f>
        <v>VIGENTE</v>
      </c>
      <c r="PO196" s="6"/>
      <c r="PP196" s="6"/>
      <c r="PQ196" s="6"/>
      <c r="PR196" s="6"/>
      <c r="PS196" s="5" t="str">
        <f t="shared" ref="PS196:PS240" si="782">IF(PR196&gt;=61,"VIGENTE",IF(PR196&gt;=1,"POR VENCER",IF(PR196&lt;=-1,"VENCIDA",IF(PP196=0,"NO APLICA"))))</f>
        <v>NO APLICA</v>
      </c>
      <c r="PT196" s="5"/>
      <c r="PU196" s="6"/>
      <c r="PV196" s="6"/>
      <c r="PW196" s="6"/>
      <c r="PX196" s="5" t="str">
        <f t="shared" ref="PX196:PX240" si="783">IF(PW196&gt;=61,"VIGENTE",IF(PW196&gt;=1,"POR VENCER",IF(PW196&lt;=-1,"VENCIDA",IF(PU196=0,"NO APLICA"))))</f>
        <v>NO APLICA</v>
      </c>
    </row>
    <row r="197" spans="1:440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6" t="s">
        <v>620</v>
      </c>
      <c r="V197" s="4">
        <v>45849</v>
      </c>
      <c r="W197" s="4">
        <f>DATE(YEAR(V197)+5,MONTH(V197),DAY(V197))</f>
        <v>47675</v>
      </c>
      <c r="X197" s="8">
        <f ca="1">W197-TODAY()</f>
        <v>1541</v>
      </c>
      <c r="Y197" s="5" t="str">
        <f ca="1">IF(X197&gt;=90,"VIGENTE",IF(X197&gt;=1,"POR VENCER",IF(X197&lt;=-1,"VENCIDA",IF(V197=0,"NO APLICA"))))</f>
        <v>VIGENTE</v>
      </c>
      <c r="Z197" s="6"/>
      <c r="AA197" s="6"/>
      <c r="AB197" s="6"/>
      <c r="AC197" s="6"/>
      <c r="AD197" s="5" t="str">
        <f t="shared" si="627"/>
        <v>NO APLICA</v>
      </c>
      <c r="AE197" s="4"/>
      <c r="AF197" s="4"/>
      <c r="AG197" s="4"/>
      <c r="AH197" s="6"/>
      <c r="AI197" s="5" t="str">
        <f t="shared" si="621"/>
        <v>NO APLICA</v>
      </c>
      <c r="AJ197" s="4"/>
      <c r="AK197" s="4"/>
      <c r="AL197" s="4"/>
      <c r="AM197" s="6"/>
      <c r="AN197" s="5" t="str">
        <f t="shared" si="720"/>
        <v>NO APLICA</v>
      </c>
      <c r="AO197" s="4"/>
      <c r="AP197" s="4"/>
      <c r="AQ197" s="4"/>
      <c r="AR197" s="6"/>
      <c r="AS197" s="5" t="str">
        <f t="shared" si="721"/>
        <v>NO APLICA</v>
      </c>
      <c r="AT197" s="4"/>
      <c r="AU197" s="4"/>
      <c r="AV197" s="4"/>
      <c r="AW197" s="6"/>
      <c r="AX197" s="5" t="str">
        <f t="shared" si="722"/>
        <v>NO APLICA</v>
      </c>
      <c r="AY197" s="4"/>
      <c r="AZ197" s="4"/>
      <c r="BA197" s="4"/>
      <c r="BB197" s="6"/>
      <c r="BC197" s="5" t="str">
        <f t="shared" si="723"/>
        <v>NO APLICA</v>
      </c>
      <c r="BD197" s="4"/>
      <c r="BE197" s="4"/>
      <c r="BF197" s="4"/>
      <c r="BG197" s="6"/>
      <c r="BH197" s="5" t="str">
        <f t="shared" si="724"/>
        <v>NO APLICA</v>
      </c>
      <c r="BI197" s="4"/>
      <c r="BJ197" s="4"/>
      <c r="BK197" s="4"/>
      <c r="BL197" s="6"/>
      <c r="BM197" s="5" t="str">
        <f t="shared" si="725"/>
        <v>NO APLICA</v>
      </c>
      <c r="BN197" s="4"/>
      <c r="BO197" s="4"/>
      <c r="BP197" s="4"/>
      <c r="BQ197" s="6"/>
      <c r="BR197" s="5" t="str">
        <f t="shared" si="726"/>
        <v>NO APLICA</v>
      </c>
      <c r="BS197" s="4"/>
      <c r="BT197" s="4"/>
      <c r="BU197" s="4"/>
      <c r="BV197" s="6"/>
      <c r="BW197" s="5" t="str">
        <f t="shared" si="727"/>
        <v>NO APLICA</v>
      </c>
      <c r="BX197" s="4"/>
      <c r="BY197" s="4"/>
      <c r="BZ197" s="4"/>
      <c r="CA197" s="6"/>
      <c r="CB197" s="5" t="str">
        <f t="shared" si="728"/>
        <v>NO APLICA</v>
      </c>
      <c r="CC197" s="6"/>
      <c r="CD197" s="6"/>
      <c r="CE197" s="6"/>
      <c r="CF197" s="6"/>
      <c r="CG197" s="5" t="str">
        <f t="shared" si="591"/>
        <v>NO APLICA</v>
      </c>
      <c r="CH197" s="4"/>
      <c r="CI197" s="4"/>
      <c r="CJ197" s="4"/>
      <c r="CK197" s="6"/>
      <c r="CL197" s="5" t="str">
        <f t="shared" si="729"/>
        <v>NO APLICA</v>
      </c>
      <c r="CM197" s="4"/>
      <c r="CN197" s="4"/>
      <c r="CO197" s="4"/>
      <c r="CP197" s="6"/>
      <c r="CQ197" s="5" t="str">
        <f t="shared" si="730"/>
        <v>NO APLICA</v>
      </c>
      <c r="CR197" s="4"/>
      <c r="CS197" s="4"/>
      <c r="CT197" s="4"/>
      <c r="CU197" s="6"/>
      <c r="CV197" s="5" t="str">
        <f t="shared" si="731"/>
        <v>NO APLICA</v>
      </c>
      <c r="CW197" s="4"/>
      <c r="CX197" s="4"/>
      <c r="CY197" s="4"/>
      <c r="CZ197" s="6"/>
      <c r="DA197" s="5" t="str">
        <f t="shared" si="732"/>
        <v>NO APLICA</v>
      </c>
      <c r="DB197" s="4"/>
      <c r="DC197" s="4"/>
      <c r="DD197" s="4"/>
      <c r="DE197" s="6"/>
      <c r="DF197" s="5" t="str">
        <f t="shared" si="733"/>
        <v>NO APLICA</v>
      </c>
      <c r="DG197" s="4"/>
      <c r="DH197" s="4"/>
      <c r="DI197" s="4"/>
      <c r="DJ197" s="6"/>
      <c r="DK197" s="5" t="str">
        <f t="shared" si="734"/>
        <v>NO APLICA</v>
      </c>
      <c r="DL197" s="4"/>
      <c r="DM197" s="4"/>
      <c r="DN197" s="4"/>
      <c r="DO197" s="6"/>
      <c r="DP197" s="5" t="str">
        <f t="shared" si="735"/>
        <v>NO APLICA</v>
      </c>
      <c r="DQ197" s="4"/>
      <c r="DR197" s="4"/>
      <c r="DS197" s="4"/>
      <c r="DT197" s="6"/>
      <c r="DU197" s="5" t="str">
        <f t="shared" si="736"/>
        <v>NO APLICA</v>
      </c>
      <c r="DV197" s="4"/>
      <c r="DW197" s="4"/>
      <c r="DX197" s="4"/>
      <c r="DY197" s="6"/>
      <c r="DZ197" s="5" t="str">
        <f t="shared" si="737"/>
        <v>NO APLICA</v>
      </c>
      <c r="EA197" s="4"/>
      <c r="EB197" s="4"/>
      <c r="EC197" s="4"/>
      <c r="ED197" s="6"/>
      <c r="EE197" s="5" t="str">
        <f t="shared" si="738"/>
        <v>NO APLICA</v>
      </c>
      <c r="EF197" s="4"/>
      <c r="EG197" s="4"/>
      <c r="EH197" s="4"/>
      <c r="EI197" s="8"/>
      <c r="EJ197" s="5" t="str">
        <f t="shared" si="739"/>
        <v>NO APLICA</v>
      </c>
      <c r="EK197" s="4"/>
      <c r="EL197" s="4"/>
      <c r="EM197" s="4"/>
      <c r="EN197" s="8"/>
      <c r="EO197" s="5" t="str">
        <f t="shared" si="740"/>
        <v>NO APLICA</v>
      </c>
      <c r="EP197" s="4"/>
      <c r="EQ197" s="4"/>
      <c r="ER197" s="4"/>
      <c r="ES197" s="8"/>
      <c r="ET197" s="5" t="str">
        <f t="shared" si="741"/>
        <v>NO APLICA</v>
      </c>
      <c r="EU197" s="4"/>
      <c r="EV197" s="4"/>
      <c r="EW197" s="4"/>
      <c r="EX197" s="6"/>
      <c r="EY197" s="5" t="str">
        <f t="shared" si="742"/>
        <v>NO APLICA</v>
      </c>
      <c r="EZ197" s="4"/>
      <c r="FA197" s="4"/>
      <c r="FB197" s="4"/>
      <c r="FC197" s="6"/>
      <c r="FD197" s="5" t="str">
        <f t="shared" si="743"/>
        <v>NO APLICA</v>
      </c>
      <c r="FE197" s="4"/>
      <c r="FF197" s="4"/>
      <c r="FG197" s="4"/>
      <c r="FH197" s="6"/>
      <c r="FI197" s="5" t="str">
        <f t="shared" si="744"/>
        <v>NO APLICA</v>
      </c>
      <c r="FJ197" s="4"/>
      <c r="FK197" s="4"/>
      <c r="FL197" s="4"/>
      <c r="FM197" s="6"/>
      <c r="FN197" s="5" t="str">
        <f t="shared" si="745"/>
        <v>NO APLICA</v>
      </c>
      <c r="FO197" s="4"/>
      <c r="FP197" s="4"/>
      <c r="FQ197" s="4"/>
      <c r="FR197" s="6"/>
      <c r="FS197" s="5" t="str">
        <f t="shared" si="746"/>
        <v>NO APLICA</v>
      </c>
      <c r="FT197" s="4"/>
      <c r="FU197" s="4"/>
      <c r="FV197" s="4"/>
      <c r="FW197" s="6"/>
      <c r="FX197" s="5" t="str">
        <f t="shared" si="747"/>
        <v>NO APLICA</v>
      </c>
      <c r="FY197" s="4"/>
      <c r="FZ197" s="4"/>
      <c r="GA197" s="4"/>
      <c r="GB197" s="6"/>
      <c r="GC197" s="5" t="str">
        <f t="shared" si="748"/>
        <v>NO APLICA</v>
      </c>
      <c r="GD197" s="4"/>
      <c r="GE197" s="4"/>
      <c r="GF197" s="4"/>
      <c r="GG197" s="8"/>
      <c r="GH197" s="5" t="str">
        <f t="shared" si="749"/>
        <v>NO APLICA</v>
      </c>
      <c r="GI197" s="4"/>
      <c r="GJ197" s="6"/>
      <c r="GK197" s="6"/>
      <c r="GL197" s="6"/>
      <c r="GM197" s="5" t="str">
        <f t="shared" si="750"/>
        <v>NO APLICA</v>
      </c>
      <c r="GN197" s="4"/>
      <c r="GO197" s="6"/>
      <c r="GP197" s="6"/>
      <c r="GQ197" s="6"/>
      <c r="GR197" s="5" t="str">
        <f t="shared" si="630"/>
        <v>NO APLICA</v>
      </c>
      <c r="GS197" s="4"/>
      <c r="GT197" s="6"/>
      <c r="GU197" s="6"/>
      <c r="GV197" s="6"/>
      <c r="GW197" s="5" t="str">
        <f t="shared" si="631"/>
        <v>NO APLICA</v>
      </c>
      <c r="GX197" s="6"/>
      <c r="GY197" s="6"/>
      <c r="GZ197" s="6"/>
      <c r="HA197" s="6"/>
      <c r="HB197" s="5" t="str">
        <f t="shared" si="632"/>
        <v>NO APLICA</v>
      </c>
      <c r="HC197" s="6"/>
      <c r="HD197" s="6"/>
      <c r="HE197" s="4"/>
      <c r="HF197" s="8"/>
      <c r="HG197" s="5" t="str">
        <f t="shared" si="718"/>
        <v>NO APLICA</v>
      </c>
      <c r="HH197" s="6"/>
      <c r="HI197" s="6"/>
      <c r="HJ197" s="6"/>
      <c r="HK197" s="6"/>
      <c r="HL197" s="5" t="str">
        <f t="shared" si="714"/>
        <v>NO APLICA</v>
      </c>
      <c r="HM197" s="6"/>
      <c r="HN197" s="6"/>
      <c r="HO197" s="6"/>
      <c r="HP197" s="6"/>
      <c r="HQ197" s="5" t="str">
        <f t="shared" si="751"/>
        <v>NO APLICA</v>
      </c>
      <c r="HR197" s="6"/>
      <c r="HS197" s="6"/>
      <c r="HT197" s="6"/>
      <c r="HU197" s="6"/>
      <c r="HV197" s="5" t="str">
        <f t="shared" si="752"/>
        <v>NO APLICA</v>
      </c>
      <c r="HW197" s="6"/>
      <c r="HX197" s="6"/>
      <c r="HY197" s="6"/>
      <c r="HZ197" s="6"/>
      <c r="IA197" s="5" t="str">
        <f t="shared" si="753"/>
        <v>NO APLICA</v>
      </c>
      <c r="IB197" s="6"/>
      <c r="IC197" s="6"/>
      <c r="ID197" s="6"/>
      <c r="IE197" s="6"/>
      <c r="IF197" s="5" t="str">
        <f t="shared" si="754"/>
        <v>NO APLICA</v>
      </c>
      <c r="IG197" s="6"/>
      <c r="IH197" s="6"/>
      <c r="II197" s="6"/>
      <c r="IJ197" s="6"/>
      <c r="IK197" s="5" t="str">
        <f t="shared" si="755"/>
        <v>NO APLICA</v>
      </c>
      <c r="IL197" s="6"/>
      <c r="IM197" s="6"/>
      <c r="IN197" s="6"/>
      <c r="IO197" s="6"/>
      <c r="IP197" s="5" t="str">
        <f t="shared" si="756"/>
        <v>NO APLICA</v>
      </c>
      <c r="IQ197" s="6"/>
      <c r="IR197" s="6"/>
      <c r="IS197" s="6"/>
      <c r="IT197" s="6"/>
      <c r="IU197" s="5" t="str">
        <f t="shared" si="757"/>
        <v>NO APLICA</v>
      </c>
      <c r="IV197" s="6"/>
      <c r="IW197" s="6"/>
      <c r="IX197" s="6"/>
      <c r="IY197" s="6"/>
      <c r="IZ197" s="5" t="str">
        <f t="shared" si="758"/>
        <v>NO APLICA</v>
      </c>
      <c r="JA197" s="6"/>
      <c r="JB197" s="6"/>
      <c r="JC197" s="6"/>
      <c r="JD197" s="6"/>
      <c r="JE197" s="5" t="str">
        <f t="shared" si="759"/>
        <v>NO APLICA</v>
      </c>
      <c r="JF197" s="6"/>
      <c r="JG197" s="6"/>
      <c r="JH197" s="6"/>
      <c r="JI197" s="6"/>
      <c r="JJ197" s="5" t="str">
        <f t="shared" si="760"/>
        <v>NO APLICA</v>
      </c>
      <c r="JK197" s="6"/>
      <c r="JL197" s="6"/>
      <c r="JM197" s="6"/>
      <c r="JN197" s="6"/>
      <c r="JO197" s="5" t="str">
        <f t="shared" si="761"/>
        <v>NO APLICA</v>
      </c>
      <c r="JP197" s="6"/>
      <c r="JQ197" s="6"/>
      <c r="JR197" s="6"/>
      <c r="JS197" s="6"/>
      <c r="JT197" s="5" t="str">
        <f t="shared" si="762"/>
        <v>NO APLICA</v>
      </c>
      <c r="JU197" s="5"/>
      <c r="JV197" s="5"/>
      <c r="JW197" s="5"/>
      <c r="JX197" s="5"/>
      <c r="JY197" s="5" t="str">
        <f t="shared" si="763"/>
        <v>NO APLICA</v>
      </c>
      <c r="JZ197" s="5"/>
      <c r="KA197" s="6"/>
      <c r="KB197" s="6"/>
      <c r="KC197" s="6"/>
      <c r="KD197" s="5" t="str">
        <f t="shared" si="764"/>
        <v>NO APLICA</v>
      </c>
      <c r="KE197" s="5"/>
      <c r="KF197" s="6"/>
      <c r="KG197" s="6"/>
      <c r="KH197" s="6"/>
      <c r="KI197" s="5" t="str">
        <f t="shared" ref="KI197:KI240" si="784">IF(KH197&gt;=61,"VIGENTE",IF(KH197&gt;=1,"POR VENCER",IF(KH197&lt;=-1,"VENCIDA",IF(KF197=0,"NO APLICA"))))</f>
        <v>NO APLICA</v>
      </c>
      <c r="KJ197" s="5"/>
      <c r="KK197" s="6"/>
      <c r="KL197" s="6"/>
      <c r="KM197" s="6"/>
      <c r="KN197" s="5" t="str">
        <f t="shared" si="765"/>
        <v>NO APLICA</v>
      </c>
      <c r="KO197" s="5"/>
      <c r="KP197" s="6"/>
      <c r="KQ197" s="6"/>
      <c r="KR197" s="6"/>
      <c r="KS197" s="5" t="str">
        <f t="shared" ref="KS197:KS240" si="785">IF(KR197&gt;=61,"VIGENTE",IF(KR197&gt;=1,"POR VENCER",IF(KR197&lt;=-1,"VENCIDA",IF(KP197=0,"NO APLICA"))))</f>
        <v>NO APLICA</v>
      </c>
      <c r="KT197" s="6"/>
      <c r="KU197" s="6"/>
      <c r="KV197" s="6"/>
      <c r="KW197" s="6"/>
      <c r="KX197" s="5" t="str">
        <f t="shared" si="583"/>
        <v>NO APLICA</v>
      </c>
      <c r="KY197" s="5"/>
      <c r="KZ197" s="6"/>
      <c r="LA197" s="6"/>
      <c r="LB197" s="6"/>
      <c r="LC197" s="5" t="str">
        <f t="shared" ref="LC197:LC240" si="786">IF(LB197&gt;=61,"VIGENTE",IF(LB197&gt;=1,"POR VENCER",IF(LB197&lt;=-1,"VENCIDA",IF(KZ197=0,"NO APLICA"))))</f>
        <v>NO APLICA</v>
      </c>
      <c r="LD197" s="6"/>
      <c r="LE197" s="6"/>
      <c r="LF197" s="6"/>
      <c r="LG197" s="6"/>
      <c r="LH197" s="5" t="str">
        <f t="shared" si="619"/>
        <v>NO APLICA</v>
      </c>
      <c r="LI197" s="5"/>
      <c r="LJ197" s="3">
        <v>44218</v>
      </c>
      <c r="LK197" s="4">
        <f>DATE(YEAR(LJ197)+5,MONTH(LJ197),DAY(LJ197))</f>
        <v>46044</v>
      </c>
      <c r="LL197" s="8">
        <f ca="1">LK197-TODAY()</f>
        <v>-90</v>
      </c>
      <c r="LM197" s="5" t="str">
        <f ca="1">IF(LL197&gt;=61,"VIGENTE",IF(LL197&gt;=1,"POR VENCER",IF(LL197&lt;=-1,"VENCIDA",IF(LJ197=0,"NO APLICA"))))</f>
        <v>VENCIDA</v>
      </c>
      <c r="LN197" s="6"/>
      <c r="LO197" s="6"/>
      <c r="LP197" s="6"/>
      <c r="LQ197" s="6"/>
      <c r="LR197" s="5" t="str">
        <f t="shared" ref="LR197:LR240" si="787">IF(LQ197&gt;=61,"VIGENTE",IF(LQ197&gt;=1,"POR VENCER",IF(LQ197&lt;=-1,"VENCIDA",IF(LO197=0,"NO APLICA"))))</f>
        <v>NO APLICA</v>
      </c>
      <c r="LS197" s="6"/>
      <c r="LT197" s="6"/>
      <c r="LU197" s="6"/>
      <c r="LV197" s="6"/>
      <c r="LW197" s="5" t="str">
        <f t="shared" ref="LW197:LW240" si="788">IF(LV197&gt;=61,"VIGENTE",IF(LV197&gt;=1,"POR VENCER",IF(LV197&lt;=-1,"VENCIDA",IF(LT197=0,"NO APLICA"))))</f>
        <v>NO APLICA</v>
      </c>
      <c r="LX197" s="6"/>
      <c r="LY197" s="6"/>
      <c r="LZ197" s="6"/>
      <c r="MA197" s="6"/>
      <c r="MB197" s="5" t="str">
        <f t="shared" ref="MB197:MB240" si="789">IF(MA197&gt;=61,"VIGENTE",IF(MA197&gt;=1,"POR VENCER",IF(MA197&lt;=-1,"VENCIDA",IF(LY197=0,"NO APLICA"))))</f>
        <v>NO APLICA</v>
      </c>
      <c r="MC197" s="6"/>
      <c r="MD197" s="6"/>
      <c r="ME197" s="6"/>
      <c r="MF197" s="6"/>
      <c r="MG197" s="5" t="str">
        <f t="shared" si="766"/>
        <v>NO APLICA</v>
      </c>
      <c r="MH197" s="6"/>
      <c r="MI197" s="6"/>
      <c r="MJ197" s="6"/>
      <c r="MK197" s="6"/>
      <c r="ML197" s="5" t="str">
        <f t="shared" si="767"/>
        <v>NO APLICA</v>
      </c>
      <c r="MM197" s="5"/>
      <c r="MN197" s="6"/>
      <c r="MO197" s="6"/>
      <c r="MP197" s="6"/>
      <c r="MQ197" s="5" t="str">
        <f t="shared" si="768"/>
        <v>NO APLICA</v>
      </c>
      <c r="MR197" s="5"/>
      <c r="MS197" s="6"/>
      <c r="MT197" s="6"/>
      <c r="MU197" s="6"/>
      <c r="MV197" s="5" t="str">
        <f t="shared" si="769"/>
        <v>NO APLICA</v>
      </c>
      <c r="MW197" s="6"/>
      <c r="MX197" s="6"/>
      <c r="MY197" s="6"/>
      <c r="MZ197" s="6"/>
      <c r="NA197" s="5" t="str">
        <f t="shared" si="770"/>
        <v>NO APLICA</v>
      </c>
      <c r="NB197" s="6"/>
      <c r="NC197" s="6"/>
      <c r="ND197" s="6"/>
      <c r="NE197" s="6"/>
      <c r="NF197" s="5" t="str">
        <f t="shared" si="771"/>
        <v>NO APLICA</v>
      </c>
      <c r="NG197" s="6"/>
      <c r="NH197" s="4">
        <v>44751</v>
      </c>
      <c r="NI197" s="4">
        <f>DATE(YEAR(NH197)+5,MONTH(NH197),DAY(NH197))</f>
        <v>46577</v>
      </c>
      <c r="NJ197" s="8">
        <f ca="1">NI197-TODAY()</f>
        <v>443</v>
      </c>
      <c r="NK197" s="5" t="str">
        <f ca="1">IF(NJ197&gt;=61,"VIGENTE",IF(NJ197&gt;=1,"POR VENCER",IF(NJ197&lt;=-1,"VENCIDA",IF(NH197=0,"NO APLICA"))))</f>
        <v>VIGENTE</v>
      </c>
      <c r="NL197" s="4"/>
      <c r="NM197" s="4">
        <v>45002</v>
      </c>
      <c r="NN197" s="4">
        <f>DATE(YEAR(NM197)+5,MONTH(NM197),DAY(NM197))</f>
        <v>46829</v>
      </c>
      <c r="NO197" s="8">
        <f ca="1">NN197-TODAY()</f>
        <v>695</v>
      </c>
      <c r="NP197" s="5" t="str">
        <f ca="1">IF(NO197&gt;=61,"VIGENTE",IF(NO197&gt;=1,"POR VENCER",IF(NO197&lt;=-1,"VENCIDA",IF(NM197=0,"NO APLICA"))))</f>
        <v>VIGENTE</v>
      </c>
      <c r="NQ197" s="6"/>
      <c r="NR197" s="6"/>
      <c r="NS197" s="6"/>
      <c r="NT197" s="6"/>
      <c r="NU197" s="5" t="str">
        <f t="shared" si="774"/>
        <v>NO APLICA</v>
      </c>
      <c r="NV197" s="6"/>
      <c r="NW197" s="6"/>
      <c r="NX197" s="6"/>
      <c r="NY197" s="6"/>
      <c r="NZ197" s="5" t="str">
        <f t="shared" si="775"/>
        <v>NO APLICA</v>
      </c>
      <c r="OA197" s="6"/>
      <c r="OB197" s="6"/>
      <c r="OC197" s="6"/>
      <c r="OD197" s="6"/>
      <c r="OE197" s="5" t="str">
        <f t="shared" si="776"/>
        <v>NO APLICA</v>
      </c>
      <c r="OF197" s="6"/>
      <c r="OG197" s="6"/>
      <c r="OH197" s="6"/>
      <c r="OI197" s="6"/>
      <c r="OJ197" s="5" t="str">
        <f t="shared" si="777"/>
        <v>NO APLICA</v>
      </c>
      <c r="OK197" s="6"/>
      <c r="OL197" s="6"/>
      <c r="OM197" s="6"/>
      <c r="ON197" s="6"/>
      <c r="OO197" s="5" t="str">
        <f t="shared" si="778"/>
        <v>NO APLICA</v>
      </c>
      <c r="OP197" s="4"/>
      <c r="OQ197" s="4"/>
      <c r="OR197" s="4"/>
      <c r="OS197" s="8"/>
      <c r="OT197" s="5" t="str">
        <f t="shared" si="779"/>
        <v>NO APLICA</v>
      </c>
      <c r="OU197" s="4"/>
      <c r="OV197" s="4">
        <v>44770</v>
      </c>
      <c r="OW197" s="4">
        <f>DATE(YEAR(OV197)+5,MONTH(OV197),DAY(OV197))</f>
        <v>46596</v>
      </c>
      <c r="OX197" s="8">
        <f ca="1">OW197-TODAY()</f>
        <v>462</v>
      </c>
      <c r="OY197" s="5" t="str">
        <f ca="1">IF(OX197&gt;=61,"VIGENTE",IF(OX197&gt;=1,"POR VENCER",IF(OX197&lt;=-1,"VENCIDA",IF(OV197=0,"NO APLICA"))))</f>
        <v>VIGENTE</v>
      </c>
      <c r="OZ197" s="6"/>
      <c r="PA197" s="6"/>
      <c r="PB197" s="6"/>
      <c r="PC197" s="6"/>
      <c r="PD197" s="5" t="str">
        <f t="shared" si="780"/>
        <v>NO APLICA</v>
      </c>
      <c r="PE197" s="6"/>
      <c r="PF197" s="6"/>
      <c r="PG197" s="6"/>
      <c r="PH197" s="6"/>
      <c r="PI197" s="5" t="str">
        <f t="shared" si="781"/>
        <v>NO APLICA</v>
      </c>
      <c r="PJ197" s="5"/>
      <c r="PK197" s="6"/>
      <c r="PL197" s="6"/>
      <c r="PM197" s="6"/>
      <c r="PN197" s="5" t="str">
        <f t="shared" ref="PN197:PN240" si="790">IF(PM197&gt;=61,"VIGENTE",IF(PM197&gt;=1,"POR VENCER",IF(PM197&lt;=-1,"VENCIDA",IF(PK197=0,"NO APLICA"))))</f>
        <v>NO APLICA</v>
      </c>
      <c r="PO197" s="6"/>
      <c r="PP197" s="6"/>
      <c r="PQ197" s="6"/>
      <c r="PR197" s="6"/>
      <c r="PS197" s="5" t="str">
        <f t="shared" si="782"/>
        <v>NO APLICA</v>
      </c>
      <c r="PT197" s="5"/>
      <c r="PU197" s="6"/>
      <c r="PV197" s="6"/>
      <c r="PW197" s="6"/>
      <c r="PX197" s="5" t="str">
        <f t="shared" si="783"/>
        <v>NO APLICA</v>
      </c>
    </row>
    <row r="198" spans="1:440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6"/>
      <c r="V198" s="4"/>
      <c r="W198" s="4"/>
      <c r="X198" s="8"/>
      <c r="Y198" s="5" t="str">
        <f t="shared" si="624"/>
        <v>NO APLICA</v>
      </c>
      <c r="Z198" s="6"/>
      <c r="AA198" s="6"/>
      <c r="AB198" s="6"/>
      <c r="AC198" s="6"/>
      <c r="AD198" s="5" t="str">
        <f t="shared" si="627"/>
        <v>NO APLICA</v>
      </c>
      <c r="AE198" s="4"/>
      <c r="AF198" s="4"/>
      <c r="AG198" s="4"/>
      <c r="AH198" s="6"/>
      <c r="AI198" s="5" t="str">
        <f t="shared" si="621"/>
        <v>NO APLICA</v>
      </c>
      <c r="AJ198" s="4"/>
      <c r="AK198" s="4"/>
      <c r="AL198" s="4"/>
      <c r="AM198" s="6"/>
      <c r="AN198" s="5" t="str">
        <f t="shared" si="720"/>
        <v>NO APLICA</v>
      </c>
      <c r="AO198" s="4"/>
      <c r="AP198" s="4"/>
      <c r="AQ198" s="4"/>
      <c r="AR198" s="6"/>
      <c r="AS198" s="5" t="str">
        <f t="shared" si="721"/>
        <v>NO APLICA</v>
      </c>
      <c r="AT198" s="4"/>
      <c r="AU198" s="4"/>
      <c r="AV198" s="4"/>
      <c r="AW198" s="6"/>
      <c r="AX198" s="5" t="str">
        <f t="shared" si="722"/>
        <v>NO APLICA</v>
      </c>
      <c r="AY198" s="4"/>
      <c r="AZ198" s="4"/>
      <c r="BA198" s="4"/>
      <c r="BB198" s="6"/>
      <c r="BC198" s="5" t="str">
        <f t="shared" si="723"/>
        <v>NO APLICA</v>
      </c>
      <c r="BD198" s="4"/>
      <c r="BE198" s="4"/>
      <c r="BF198" s="4"/>
      <c r="BG198" s="6"/>
      <c r="BH198" s="5" t="str">
        <f t="shared" si="724"/>
        <v>NO APLICA</v>
      </c>
      <c r="BI198" s="4"/>
      <c r="BJ198" s="4"/>
      <c r="BK198" s="4"/>
      <c r="BL198" s="6"/>
      <c r="BM198" s="5" t="str">
        <f t="shared" si="725"/>
        <v>NO APLICA</v>
      </c>
      <c r="BN198" s="4"/>
      <c r="BO198" s="4"/>
      <c r="BP198" s="4"/>
      <c r="BQ198" s="6"/>
      <c r="BR198" s="5" t="str">
        <f t="shared" si="726"/>
        <v>NO APLICA</v>
      </c>
      <c r="BS198" s="4"/>
      <c r="BT198" s="4"/>
      <c r="BU198" s="4"/>
      <c r="BV198" s="6"/>
      <c r="BW198" s="5" t="str">
        <f t="shared" si="727"/>
        <v>NO APLICA</v>
      </c>
      <c r="BX198" s="4"/>
      <c r="BY198" s="4"/>
      <c r="BZ198" s="4"/>
      <c r="CA198" s="6"/>
      <c r="CB198" s="5" t="str">
        <f t="shared" si="728"/>
        <v>NO APLICA</v>
      </c>
      <c r="CC198" s="6"/>
      <c r="CD198" s="6"/>
      <c r="CE198" s="6"/>
      <c r="CF198" s="6"/>
      <c r="CG198" s="5" t="str">
        <f t="shared" si="591"/>
        <v>NO APLICA</v>
      </c>
      <c r="CH198" s="4"/>
      <c r="CI198" s="4"/>
      <c r="CJ198" s="4"/>
      <c r="CK198" s="6"/>
      <c r="CL198" s="5" t="str">
        <f t="shared" si="729"/>
        <v>NO APLICA</v>
      </c>
      <c r="CM198" s="4"/>
      <c r="CN198" s="4"/>
      <c r="CO198" s="4"/>
      <c r="CP198" s="6"/>
      <c r="CQ198" s="5" t="str">
        <f t="shared" si="730"/>
        <v>NO APLICA</v>
      </c>
      <c r="CR198" s="4"/>
      <c r="CS198" s="4"/>
      <c r="CT198" s="4"/>
      <c r="CU198" s="6"/>
      <c r="CV198" s="5" t="str">
        <f t="shared" si="731"/>
        <v>NO APLICA</v>
      </c>
      <c r="CW198" s="4"/>
      <c r="CX198" s="4"/>
      <c r="CY198" s="4"/>
      <c r="CZ198" s="6"/>
      <c r="DA198" s="5" t="str">
        <f t="shared" si="732"/>
        <v>NO APLICA</v>
      </c>
      <c r="DB198" s="4"/>
      <c r="DC198" s="4"/>
      <c r="DD198" s="4"/>
      <c r="DE198" s="6"/>
      <c r="DF198" s="5" t="str">
        <f t="shared" si="733"/>
        <v>NO APLICA</v>
      </c>
      <c r="DG198" s="4"/>
      <c r="DH198" s="4"/>
      <c r="DI198" s="4"/>
      <c r="DJ198" s="6"/>
      <c r="DK198" s="5" t="str">
        <f t="shared" si="734"/>
        <v>NO APLICA</v>
      </c>
      <c r="DL198" s="4"/>
      <c r="DM198" s="4"/>
      <c r="DN198" s="4"/>
      <c r="DO198" s="6"/>
      <c r="DP198" s="5" t="str">
        <f t="shared" si="735"/>
        <v>NO APLICA</v>
      </c>
      <c r="DQ198" s="4"/>
      <c r="DR198" s="4"/>
      <c r="DS198" s="4"/>
      <c r="DT198" s="6"/>
      <c r="DU198" s="5" t="str">
        <f t="shared" si="736"/>
        <v>NO APLICA</v>
      </c>
      <c r="DV198" s="4"/>
      <c r="DW198" s="4"/>
      <c r="DX198" s="4"/>
      <c r="DY198" s="6"/>
      <c r="DZ198" s="5" t="str">
        <f t="shared" si="737"/>
        <v>NO APLICA</v>
      </c>
      <c r="EA198" s="4"/>
      <c r="EB198" s="4"/>
      <c r="EC198" s="4"/>
      <c r="ED198" s="6"/>
      <c r="EE198" s="5" t="str">
        <f t="shared" si="738"/>
        <v>NO APLICA</v>
      </c>
      <c r="EF198" s="4"/>
      <c r="EG198" s="4"/>
      <c r="EH198" s="4"/>
      <c r="EI198" s="8"/>
      <c r="EJ198" s="5" t="str">
        <f t="shared" si="739"/>
        <v>NO APLICA</v>
      </c>
      <c r="EK198" s="4"/>
      <c r="EL198" s="4"/>
      <c r="EM198" s="4"/>
      <c r="EN198" s="8"/>
      <c r="EO198" s="5" t="str">
        <f t="shared" si="740"/>
        <v>NO APLICA</v>
      </c>
      <c r="EP198" s="4"/>
      <c r="EQ198" s="4"/>
      <c r="ER198" s="4"/>
      <c r="ES198" s="8"/>
      <c r="ET198" s="5" t="str">
        <f t="shared" si="741"/>
        <v>NO APLICA</v>
      </c>
      <c r="EU198" s="4"/>
      <c r="EV198" s="4"/>
      <c r="EW198" s="4"/>
      <c r="EX198" s="6"/>
      <c r="EY198" s="5" t="str">
        <f t="shared" si="742"/>
        <v>NO APLICA</v>
      </c>
      <c r="EZ198" s="4"/>
      <c r="FA198" s="4"/>
      <c r="FB198" s="4"/>
      <c r="FC198" s="6"/>
      <c r="FD198" s="5" t="str">
        <f t="shared" si="743"/>
        <v>NO APLICA</v>
      </c>
      <c r="FE198" s="4"/>
      <c r="FF198" s="4"/>
      <c r="FG198" s="4"/>
      <c r="FH198" s="6"/>
      <c r="FI198" s="5" t="str">
        <f t="shared" si="744"/>
        <v>NO APLICA</v>
      </c>
      <c r="FJ198" s="4"/>
      <c r="FK198" s="4"/>
      <c r="FL198" s="4"/>
      <c r="FM198" s="6"/>
      <c r="FN198" s="5" t="str">
        <f t="shared" si="745"/>
        <v>NO APLICA</v>
      </c>
      <c r="FO198" s="4"/>
      <c r="FP198" s="4"/>
      <c r="FQ198" s="4"/>
      <c r="FR198" s="6"/>
      <c r="FS198" s="5" t="str">
        <f t="shared" si="746"/>
        <v>NO APLICA</v>
      </c>
      <c r="FT198" s="4"/>
      <c r="FU198" s="4"/>
      <c r="FV198" s="4"/>
      <c r="FW198" s="6"/>
      <c r="FX198" s="5" t="str">
        <f t="shared" si="747"/>
        <v>NO APLICA</v>
      </c>
      <c r="FY198" s="4"/>
      <c r="FZ198" s="4"/>
      <c r="GA198" s="4"/>
      <c r="GB198" s="6"/>
      <c r="GC198" s="5" t="str">
        <f t="shared" si="748"/>
        <v>NO APLICA</v>
      </c>
      <c r="GD198" s="4"/>
      <c r="GE198" s="4"/>
      <c r="GF198" s="4"/>
      <c r="GG198" s="8"/>
      <c r="GH198" s="5" t="str">
        <f t="shared" si="749"/>
        <v>NO APLICA</v>
      </c>
      <c r="GI198" s="4"/>
      <c r="GJ198" s="6"/>
      <c r="GK198" s="6"/>
      <c r="GL198" s="6"/>
      <c r="GM198" s="5" t="str">
        <f t="shared" si="750"/>
        <v>NO APLICA</v>
      </c>
      <c r="GN198" s="4"/>
      <c r="GO198" s="6"/>
      <c r="GP198" s="6"/>
      <c r="GQ198" s="6"/>
      <c r="GR198" s="5" t="str">
        <f t="shared" si="630"/>
        <v>NO APLICA</v>
      </c>
      <c r="GS198" s="4"/>
      <c r="GT198" s="6"/>
      <c r="GU198" s="6"/>
      <c r="GV198" s="6"/>
      <c r="GW198" s="5" t="str">
        <f t="shared" si="631"/>
        <v>NO APLICA</v>
      </c>
      <c r="GX198" s="6"/>
      <c r="GY198" s="6"/>
      <c r="GZ198" s="6"/>
      <c r="HA198" s="6"/>
      <c r="HB198" s="5" t="str">
        <f t="shared" si="632"/>
        <v>NO APLICA</v>
      </c>
      <c r="HC198" s="6"/>
      <c r="HD198" s="6"/>
      <c r="HE198" s="4"/>
      <c r="HF198" s="8"/>
      <c r="HG198" s="5" t="str">
        <f t="shared" si="718"/>
        <v>NO APLICA</v>
      </c>
      <c r="HH198" s="6"/>
      <c r="HI198" s="6"/>
      <c r="HJ198" s="6"/>
      <c r="HK198" s="6"/>
      <c r="HL198" s="5" t="str">
        <f t="shared" si="714"/>
        <v>NO APLICA</v>
      </c>
      <c r="HM198" s="6"/>
      <c r="HN198" s="6"/>
      <c r="HO198" s="6"/>
      <c r="HP198" s="6"/>
      <c r="HQ198" s="5" t="str">
        <f t="shared" si="751"/>
        <v>NO APLICA</v>
      </c>
      <c r="HR198" s="6"/>
      <c r="HS198" s="6"/>
      <c r="HT198" s="6"/>
      <c r="HU198" s="6"/>
      <c r="HV198" s="5" t="str">
        <f t="shared" si="752"/>
        <v>NO APLICA</v>
      </c>
      <c r="HW198" s="6"/>
      <c r="HX198" s="6"/>
      <c r="HY198" s="6"/>
      <c r="HZ198" s="6"/>
      <c r="IA198" s="5" t="str">
        <f t="shared" si="753"/>
        <v>NO APLICA</v>
      </c>
      <c r="IB198" s="6"/>
      <c r="IC198" s="6"/>
      <c r="ID198" s="6"/>
      <c r="IE198" s="6"/>
      <c r="IF198" s="5" t="str">
        <f t="shared" si="754"/>
        <v>NO APLICA</v>
      </c>
      <c r="IG198" s="6"/>
      <c r="IH198" s="6"/>
      <c r="II198" s="6"/>
      <c r="IJ198" s="6"/>
      <c r="IK198" s="5" t="str">
        <f t="shared" si="755"/>
        <v>NO APLICA</v>
      </c>
      <c r="IL198" s="6"/>
      <c r="IM198" s="6"/>
      <c r="IN198" s="6"/>
      <c r="IO198" s="6"/>
      <c r="IP198" s="5" t="str">
        <f t="shared" si="756"/>
        <v>NO APLICA</v>
      </c>
      <c r="IQ198" s="6"/>
      <c r="IR198" s="6"/>
      <c r="IS198" s="6"/>
      <c r="IT198" s="6"/>
      <c r="IU198" s="5" t="str">
        <f t="shared" si="757"/>
        <v>NO APLICA</v>
      </c>
      <c r="IV198" s="6"/>
      <c r="IW198" s="6"/>
      <c r="IX198" s="6"/>
      <c r="IY198" s="6"/>
      <c r="IZ198" s="5" t="str">
        <f t="shared" si="758"/>
        <v>NO APLICA</v>
      </c>
      <c r="JA198" s="6"/>
      <c r="JB198" s="6"/>
      <c r="JC198" s="6"/>
      <c r="JD198" s="6"/>
      <c r="JE198" s="5" t="str">
        <f t="shared" si="759"/>
        <v>NO APLICA</v>
      </c>
      <c r="JF198" s="6"/>
      <c r="JG198" s="6"/>
      <c r="JH198" s="6"/>
      <c r="JI198" s="6"/>
      <c r="JJ198" s="5" t="str">
        <f t="shared" si="760"/>
        <v>NO APLICA</v>
      </c>
      <c r="JK198" s="6"/>
      <c r="JL198" s="6"/>
      <c r="JM198" s="6"/>
      <c r="JN198" s="6"/>
      <c r="JO198" s="5" t="str">
        <f t="shared" si="761"/>
        <v>NO APLICA</v>
      </c>
      <c r="JP198" s="6"/>
      <c r="JQ198" s="6"/>
      <c r="JR198" s="6"/>
      <c r="JS198" s="6"/>
      <c r="JT198" s="5" t="str">
        <f t="shared" si="762"/>
        <v>NO APLICA</v>
      </c>
      <c r="JU198" s="5"/>
      <c r="JV198" s="5"/>
      <c r="JW198" s="5"/>
      <c r="JX198" s="5"/>
      <c r="JY198" s="5" t="str">
        <f t="shared" si="763"/>
        <v>NO APLICA</v>
      </c>
      <c r="JZ198" s="5"/>
      <c r="KA198" s="6"/>
      <c r="KB198" s="6"/>
      <c r="KC198" s="6"/>
      <c r="KD198" s="5" t="str">
        <f t="shared" si="764"/>
        <v>NO APLICA</v>
      </c>
      <c r="KE198" s="5"/>
      <c r="KF198" s="6"/>
      <c r="KG198" s="6"/>
      <c r="KH198" s="6"/>
      <c r="KI198" s="5" t="str">
        <f t="shared" si="784"/>
        <v>NO APLICA</v>
      </c>
      <c r="KJ198" s="5"/>
      <c r="KK198" s="6"/>
      <c r="KL198" s="6"/>
      <c r="KM198" s="6"/>
      <c r="KN198" s="5" t="str">
        <f t="shared" si="765"/>
        <v>NO APLICA</v>
      </c>
      <c r="KO198" s="5"/>
      <c r="KP198" s="4">
        <v>45346</v>
      </c>
      <c r="KQ198" s="4">
        <f>DATE(YEAR(KP198)+5,MONTH(KP198),DAY(KP198))</f>
        <v>47173</v>
      </c>
      <c r="KR198" s="8">
        <f ca="1">KQ198-TODAY()</f>
        <v>1039</v>
      </c>
      <c r="KS198" s="5" t="str">
        <f ca="1">IF(KR198&gt;=61,"VIGENTE",IF(KR198&gt;=1,"POR VENCER",IF(KR198&lt;=-1,"VENCIDA",IF(KP198=0,"NO APLICA"))))</f>
        <v>VIGENTE</v>
      </c>
      <c r="KT198" s="6"/>
      <c r="KU198" s="6"/>
      <c r="KV198" s="6"/>
      <c r="KW198" s="6"/>
      <c r="KX198" s="5" t="str">
        <f t="shared" ref="KX198:KX240" si="791">IF(KW198&gt;=61,"VIGENTE",IF(KW198&gt;=1,"POR VENCER",IF(KW198&lt;=-1,"VENCIDA",IF(KU198=0,"NO APLICA"))))</f>
        <v>NO APLICA</v>
      </c>
      <c r="KY198" s="5"/>
      <c r="KZ198" s="6"/>
      <c r="LA198" s="6"/>
      <c r="LB198" s="6"/>
      <c r="LC198" s="5" t="str">
        <f t="shared" si="786"/>
        <v>NO APLICA</v>
      </c>
      <c r="LD198" s="6"/>
      <c r="LE198" s="6"/>
      <c r="LF198" s="6"/>
      <c r="LG198" s="6"/>
      <c r="LH198" s="5" t="str">
        <f t="shared" si="619"/>
        <v>NO APLICA</v>
      </c>
      <c r="LI198" s="5"/>
      <c r="LJ198" s="5"/>
      <c r="LK198" s="4"/>
      <c r="LL198" s="8"/>
      <c r="LM198" s="5" t="str">
        <f t="shared" ref="LM198:LM240" si="792">IF(LL198&gt;=61,"VIGENTE",IF(LL198&gt;=1,"POR VENCER",IF(LL198&lt;=-1,"VENCIDA",IF(LJ198=0,"NO APLICA"))))</f>
        <v>NO APLICA</v>
      </c>
      <c r="LN198" s="6"/>
      <c r="LO198" s="6"/>
      <c r="LP198" s="6"/>
      <c r="LQ198" s="6"/>
      <c r="LR198" s="5" t="str">
        <f t="shared" si="787"/>
        <v>NO APLICA</v>
      </c>
      <c r="LS198" s="6"/>
      <c r="LT198" s="6"/>
      <c r="LU198" s="6"/>
      <c r="LV198" s="6"/>
      <c r="LW198" s="5" t="str">
        <f t="shared" si="788"/>
        <v>NO APLICA</v>
      </c>
      <c r="LX198" s="6"/>
      <c r="LY198" s="6"/>
      <c r="LZ198" s="6"/>
      <c r="MA198" s="6"/>
      <c r="MB198" s="5" t="str">
        <f t="shared" si="789"/>
        <v>NO APLICA</v>
      </c>
      <c r="MC198" s="6"/>
      <c r="MD198" s="6"/>
      <c r="ME198" s="6"/>
      <c r="MF198" s="6"/>
      <c r="MG198" s="5" t="str">
        <f t="shared" si="766"/>
        <v>NO APLICA</v>
      </c>
      <c r="MH198" s="6"/>
      <c r="MI198" s="6"/>
      <c r="MJ198" s="6"/>
      <c r="MK198" s="6"/>
      <c r="ML198" s="5" t="str">
        <f t="shared" si="767"/>
        <v>NO APLICA</v>
      </c>
      <c r="MM198" s="5"/>
      <c r="MN198" s="6"/>
      <c r="MO198" s="6"/>
      <c r="MP198" s="6"/>
      <c r="MQ198" s="5" t="str">
        <f t="shared" si="768"/>
        <v>NO APLICA</v>
      </c>
      <c r="MR198" s="5"/>
      <c r="MS198" s="6"/>
      <c r="MT198" s="6"/>
      <c r="MU198" s="6"/>
      <c r="MV198" s="5" t="str">
        <f t="shared" si="769"/>
        <v>NO APLICA</v>
      </c>
      <c r="MW198" s="6"/>
      <c r="MX198" s="6"/>
      <c r="MY198" s="6"/>
      <c r="MZ198" s="6"/>
      <c r="NA198" s="5" t="str">
        <f t="shared" si="770"/>
        <v>NO APLICA</v>
      </c>
      <c r="NB198" s="6"/>
      <c r="NC198" s="6"/>
      <c r="ND198" s="6"/>
      <c r="NE198" s="6"/>
      <c r="NF198" s="5" t="str">
        <f t="shared" si="771"/>
        <v>NO APLICA</v>
      </c>
      <c r="NG198" s="6"/>
      <c r="NH198" s="6"/>
      <c r="NI198" s="6"/>
      <c r="NJ198" s="6"/>
      <c r="NK198" s="5" t="str">
        <f t="shared" si="772"/>
        <v>NO APLICA</v>
      </c>
      <c r="NL198" s="6"/>
      <c r="NM198" s="6"/>
      <c r="NN198" s="6"/>
      <c r="NO198" s="6"/>
      <c r="NP198" s="5" t="str">
        <f t="shared" si="773"/>
        <v>NO APLICA</v>
      </c>
      <c r="NQ198" s="6"/>
      <c r="NR198" s="6"/>
      <c r="NS198" s="6"/>
      <c r="NT198" s="6"/>
      <c r="NU198" s="5" t="str">
        <f t="shared" si="774"/>
        <v>NO APLICA</v>
      </c>
      <c r="NV198" s="6"/>
      <c r="NW198" s="6"/>
      <c r="NX198" s="6"/>
      <c r="NY198" s="6"/>
      <c r="NZ198" s="5" t="str">
        <f t="shared" si="775"/>
        <v>NO APLICA</v>
      </c>
      <c r="OA198" s="6"/>
      <c r="OB198" s="6"/>
      <c r="OC198" s="6"/>
      <c r="OD198" s="6"/>
      <c r="OE198" s="5" t="str">
        <f t="shared" si="776"/>
        <v>NO APLICA</v>
      </c>
      <c r="OF198" s="6"/>
      <c r="OG198" s="6"/>
      <c r="OH198" s="6"/>
      <c r="OI198" s="6"/>
      <c r="OJ198" s="5" t="str">
        <f t="shared" si="777"/>
        <v>NO APLICA</v>
      </c>
      <c r="OK198" s="6"/>
      <c r="OL198" s="6"/>
      <c r="OM198" s="6"/>
      <c r="ON198" s="6"/>
      <c r="OO198" s="5" t="str">
        <f t="shared" si="778"/>
        <v>NO APLICA</v>
      </c>
      <c r="OP198" s="6"/>
      <c r="OQ198" s="6"/>
      <c r="OR198" s="6"/>
      <c r="OS198" s="6"/>
      <c r="OT198" s="5" t="str">
        <f t="shared" si="779"/>
        <v>NO APLICA</v>
      </c>
      <c r="OU198" s="6"/>
      <c r="OV198" s="6"/>
      <c r="OW198" s="6"/>
      <c r="OX198" s="6"/>
      <c r="OY198" s="5" t="str">
        <f t="shared" ref="OY198:OY240" si="793">IF(OX198&gt;=61,"VIGENTE",IF(OX198&gt;=1,"POR VENCER",IF(OX198&lt;=-1,"VENCIDA",IF(OV198=0,"NO APLICA"))))</f>
        <v>NO APLICA</v>
      </c>
      <c r="OZ198" s="6"/>
      <c r="PA198" s="6"/>
      <c r="PB198" s="6"/>
      <c r="PC198" s="6"/>
      <c r="PD198" s="5" t="str">
        <f t="shared" si="780"/>
        <v>NO APLICA</v>
      </c>
      <c r="PE198" s="6"/>
      <c r="PF198" s="6"/>
      <c r="PG198" s="6"/>
      <c r="PH198" s="6"/>
      <c r="PI198" s="5" t="str">
        <f t="shared" si="781"/>
        <v>NO APLICA</v>
      </c>
      <c r="PJ198" s="5"/>
      <c r="PK198" s="6"/>
      <c r="PL198" s="6"/>
      <c r="PM198" s="6"/>
      <c r="PN198" s="5" t="str">
        <f t="shared" si="790"/>
        <v>NO APLICA</v>
      </c>
      <c r="PO198" s="6"/>
      <c r="PP198" s="6"/>
      <c r="PQ198" s="6"/>
      <c r="PR198" s="6"/>
      <c r="PS198" s="5" t="str">
        <f t="shared" si="782"/>
        <v>NO APLICA</v>
      </c>
      <c r="PT198" s="5"/>
      <c r="PU198" s="6"/>
      <c r="PV198" s="6"/>
      <c r="PW198" s="6"/>
      <c r="PX198" s="5" t="str">
        <f t="shared" si="783"/>
        <v>NO APLICA</v>
      </c>
    </row>
    <row r="199" spans="1:440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6"/>
      <c r="V199" s="4"/>
      <c r="W199" s="4"/>
      <c r="X199" s="8"/>
      <c r="Y199" s="5" t="str">
        <f t="shared" si="624"/>
        <v>NO APLICA</v>
      </c>
      <c r="Z199" s="6"/>
      <c r="AA199" s="6"/>
      <c r="AB199" s="6"/>
      <c r="AC199" s="6"/>
      <c r="AD199" s="5" t="str">
        <f t="shared" si="627"/>
        <v>NO APLICA</v>
      </c>
      <c r="AE199" s="4"/>
      <c r="AF199" s="4"/>
      <c r="AG199" s="4"/>
      <c r="AH199" s="6"/>
      <c r="AI199" s="5" t="str">
        <f t="shared" si="621"/>
        <v>NO APLICA</v>
      </c>
      <c r="AJ199" s="4"/>
      <c r="AK199" s="4"/>
      <c r="AL199" s="4"/>
      <c r="AM199" s="6"/>
      <c r="AN199" s="5" t="str">
        <f t="shared" si="720"/>
        <v>NO APLICA</v>
      </c>
      <c r="AO199" s="4"/>
      <c r="AP199" s="4"/>
      <c r="AQ199" s="4"/>
      <c r="AR199" s="6"/>
      <c r="AS199" s="5" t="str">
        <f t="shared" si="721"/>
        <v>NO APLICA</v>
      </c>
      <c r="AT199" s="4"/>
      <c r="AU199" s="4"/>
      <c r="AV199" s="4"/>
      <c r="AW199" s="6"/>
      <c r="AX199" s="5" t="str">
        <f t="shared" si="722"/>
        <v>NO APLICA</v>
      </c>
      <c r="AY199" s="4"/>
      <c r="AZ199" s="4"/>
      <c r="BA199" s="4"/>
      <c r="BB199" s="6"/>
      <c r="BC199" s="5" t="str">
        <f t="shared" si="723"/>
        <v>NO APLICA</v>
      </c>
      <c r="BD199" s="4"/>
      <c r="BE199" s="4"/>
      <c r="BF199" s="4"/>
      <c r="BG199" s="6"/>
      <c r="BH199" s="5" t="str">
        <f t="shared" si="724"/>
        <v>NO APLICA</v>
      </c>
      <c r="BI199" s="4"/>
      <c r="BJ199" s="4"/>
      <c r="BK199" s="4"/>
      <c r="BL199" s="6"/>
      <c r="BM199" s="5" t="str">
        <f t="shared" si="725"/>
        <v>NO APLICA</v>
      </c>
      <c r="BN199" s="4"/>
      <c r="BO199" s="4"/>
      <c r="BP199" s="4"/>
      <c r="BQ199" s="6"/>
      <c r="BR199" s="5" t="str">
        <f t="shared" si="726"/>
        <v>NO APLICA</v>
      </c>
      <c r="BS199" s="4"/>
      <c r="BT199" s="4"/>
      <c r="BU199" s="4"/>
      <c r="BV199" s="6"/>
      <c r="BW199" s="5" t="str">
        <f t="shared" si="727"/>
        <v>NO APLICA</v>
      </c>
      <c r="BX199" s="4"/>
      <c r="BY199" s="4"/>
      <c r="BZ199" s="4"/>
      <c r="CA199" s="6"/>
      <c r="CB199" s="5" t="str">
        <f t="shared" si="728"/>
        <v>NO APLICA</v>
      </c>
      <c r="CC199" s="6"/>
      <c r="CD199" s="6"/>
      <c r="CE199" s="6"/>
      <c r="CF199" s="6"/>
      <c r="CG199" s="5" t="str">
        <f t="shared" si="591"/>
        <v>NO APLICA</v>
      </c>
      <c r="CH199" s="4"/>
      <c r="CI199" s="4"/>
      <c r="CJ199" s="4"/>
      <c r="CK199" s="6"/>
      <c r="CL199" s="5" t="str">
        <f t="shared" si="729"/>
        <v>NO APLICA</v>
      </c>
      <c r="CM199" s="4"/>
      <c r="CN199" s="4"/>
      <c r="CO199" s="4"/>
      <c r="CP199" s="6"/>
      <c r="CQ199" s="5" t="str">
        <f t="shared" si="730"/>
        <v>NO APLICA</v>
      </c>
      <c r="CR199" s="4"/>
      <c r="CS199" s="4"/>
      <c r="CT199" s="4"/>
      <c r="CU199" s="6"/>
      <c r="CV199" s="5" t="str">
        <f t="shared" si="731"/>
        <v>NO APLICA</v>
      </c>
      <c r="CW199" s="4"/>
      <c r="CX199" s="4"/>
      <c r="CY199" s="4"/>
      <c r="CZ199" s="6"/>
      <c r="DA199" s="5" t="str">
        <f t="shared" si="732"/>
        <v>NO APLICA</v>
      </c>
      <c r="DB199" s="4"/>
      <c r="DC199" s="4"/>
      <c r="DD199" s="4"/>
      <c r="DE199" s="6"/>
      <c r="DF199" s="5" t="str">
        <f t="shared" si="733"/>
        <v>NO APLICA</v>
      </c>
      <c r="DG199" s="4"/>
      <c r="DH199" s="4"/>
      <c r="DI199" s="4"/>
      <c r="DJ199" s="6"/>
      <c r="DK199" s="5" t="str">
        <f t="shared" si="734"/>
        <v>NO APLICA</v>
      </c>
      <c r="DL199" s="4"/>
      <c r="DM199" s="4"/>
      <c r="DN199" s="4"/>
      <c r="DO199" s="6"/>
      <c r="DP199" s="5" t="str">
        <f t="shared" si="735"/>
        <v>NO APLICA</v>
      </c>
      <c r="DQ199" s="4"/>
      <c r="DR199" s="4"/>
      <c r="DS199" s="4"/>
      <c r="DT199" s="6"/>
      <c r="DU199" s="5" t="str">
        <f t="shared" si="736"/>
        <v>NO APLICA</v>
      </c>
      <c r="DV199" s="4"/>
      <c r="DW199" s="4"/>
      <c r="DX199" s="4"/>
      <c r="DY199" s="6"/>
      <c r="DZ199" s="5" t="str">
        <f t="shared" si="737"/>
        <v>NO APLICA</v>
      </c>
      <c r="EA199" s="4"/>
      <c r="EB199" s="4"/>
      <c r="EC199" s="4"/>
      <c r="ED199" s="6"/>
      <c r="EE199" s="5" t="str">
        <f t="shared" si="738"/>
        <v>NO APLICA</v>
      </c>
      <c r="EF199" s="4"/>
      <c r="EG199" s="4"/>
      <c r="EH199" s="4"/>
      <c r="EI199" s="8"/>
      <c r="EJ199" s="5" t="str">
        <f t="shared" si="739"/>
        <v>NO APLICA</v>
      </c>
      <c r="EK199" s="4"/>
      <c r="EL199" s="4"/>
      <c r="EM199" s="4"/>
      <c r="EN199" s="8"/>
      <c r="EO199" s="5" t="str">
        <f t="shared" si="740"/>
        <v>NO APLICA</v>
      </c>
      <c r="EP199" s="4"/>
      <c r="EQ199" s="4"/>
      <c r="ER199" s="4"/>
      <c r="ES199" s="8"/>
      <c r="ET199" s="5" t="str">
        <f t="shared" si="741"/>
        <v>NO APLICA</v>
      </c>
      <c r="EU199" s="4"/>
      <c r="EV199" s="4"/>
      <c r="EW199" s="4"/>
      <c r="EX199" s="6"/>
      <c r="EY199" s="5" t="str">
        <f t="shared" si="742"/>
        <v>NO APLICA</v>
      </c>
      <c r="EZ199" s="4"/>
      <c r="FA199" s="4"/>
      <c r="FB199" s="4"/>
      <c r="FC199" s="6"/>
      <c r="FD199" s="5" t="str">
        <f t="shared" si="743"/>
        <v>NO APLICA</v>
      </c>
      <c r="FE199" s="4"/>
      <c r="FF199" s="4"/>
      <c r="FG199" s="4"/>
      <c r="FH199" s="6"/>
      <c r="FI199" s="5" t="str">
        <f t="shared" si="744"/>
        <v>NO APLICA</v>
      </c>
      <c r="FJ199" s="4"/>
      <c r="FK199" s="4"/>
      <c r="FL199" s="4"/>
      <c r="FM199" s="6"/>
      <c r="FN199" s="5" t="str">
        <f t="shared" si="745"/>
        <v>NO APLICA</v>
      </c>
      <c r="FO199" s="4"/>
      <c r="FP199" s="4"/>
      <c r="FQ199" s="4"/>
      <c r="FR199" s="6"/>
      <c r="FS199" s="5" t="str">
        <f t="shared" si="746"/>
        <v>NO APLICA</v>
      </c>
      <c r="FT199" s="4"/>
      <c r="FU199" s="4"/>
      <c r="FV199" s="4"/>
      <c r="FW199" s="6"/>
      <c r="FX199" s="5" t="str">
        <f t="shared" si="747"/>
        <v>NO APLICA</v>
      </c>
      <c r="FY199" s="4"/>
      <c r="FZ199" s="4"/>
      <c r="GA199" s="4"/>
      <c r="GB199" s="6"/>
      <c r="GC199" s="5" t="str">
        <f t="shared" si="748"/>
        <v>NO APLICA</v>
      </c>
      <c r="GD199" s="4"/>
      <c r="GE199" s="4"/>
      <c r="GF199" s="4"/>
      <c r="GG199" s="8"/>
      <c r="GH199" s="5" t="str">
        <f t="shared" si="749"/>
        <v>NO APLICA</v>
      </c>
      <c r="GI199" s="4"/>
      <c r="GJ199" s="6"/>
      <c r="GK199" s="6"/>
      <c r="GL199" s="6"/>
      <c r="GM199" s="5" t="str">
        <f t="shared" si="750"/>
        <v>NO APLICA</v>
      </c>
      <c r="GN199" s="4"/>
      <c r="GO199" s="6"/>
      <c r="GP199" s="6"/>
      <c r="GQ199" s="6"/>
      <c r="GR199" s="5" t="str">
        <f t="shared" si="630"/>
        <v>NO APLICA</v>
      </c>
      <c r="GS199" s="4"/>
      <c r="GT199" s="6"/>
      <c r="GU199" s="6"/>
      <c r="GV199" s="6"/>
      <c r="GW199" s="5" t="str">
        <f t="shared" si="631"/>
        <v>NO APLICA</v>
      </c>
      <c r="GX199" s="6"/>
      <c r="GY199" s="6"/>
      <c r="GZ199" s="6"/>
      <c r="HA199" s="6"/>
      <c r="HB199" s="5" t="str">
        <f t="shared" si="632"/>
        <v>NO APLICA</v>
      </c>
      <c r="HC199" s="6"/>
      <c r="HD199" s="6"/>
      <c r="HE199" s="4"/>
      <c r="HF199" s="8"/>
      <c r="HG199" s="5" t="str">
        <f t="shared" si="718"/>
        <v>NO APLICA</v>
      </c>
      <c r="HH199" s="6"/>
      <c r="HI199" s="6"/>
      <c r="HJ199" s="6"/>
      <c r="HK199" s="6"/>
      <c r="HL199" s="5" t="str">
        <f t="shared" si="714"/>
        <v>NO APLICA</v>
      </c>
      <c r="HM199" s="6"/>
      <c r="HN199" s="6"/>
      <c r="HO199" s="6"/>
      <c r="HP199" s="6"/>
      <c r="HQ199" s="5" t="str">
        <f t="shared" si="751"/>
        <v>NO APLICA</v>
      </c>
      <c r="HR199" s="6"/>
      <c r="HS199" s="6"/>
      <c r="HT199" s="6"/>
      <c r="HU199" s="6"/>
      <c r="HV199" s="5" t="str">
        <f t="shared" si="752"/>
        <v>NO APLICA</v>
      </c>
      <c r="HW199" s="6"/>
      <c r="HX199" s="6"/>
      <c r="HY199" s="6"/>
      <c r="HZ199" s="6"/>
      <c r="IA199" s="5" t="str">
        <f t="shared" si="753"/>
        <v>NO APLICA</v>
      </c>
      <c r="IB199" s="6"/>
      <c r="IC199" s="6"/>
      <c r="ID199" s="6"/>
      <c r="IE199" s="6"/>
      <c r="IF199" s="5" t="str">
        <f t="shared" si="754"/>
        <v>NO APLICA</v>
      </c>
      <c r="IG199" s="6"/>
      <c r="IH199" s="6"/>
      <c r="II199" s="6"/>
      <c r="IJ199" s="6"/>
      <c r="IK199" s="5" t="str">
        <f t="shared" si="755"/>
        <v>NO APLICA</v>
      </c>
      <c r="IL199" s="6"/>
      <c r="IM199" s="6"/>
      <c r="IN199" s="6"/>
      <c r="IO199" s="6"/>
      <c r="IP199" s="5" t="str">
        <f t="shared" si="756"/>
        <v>NO APLICA</v>
      </c>
      <c r="IQ199" s="6"/>
      <c r="IR199" s="6"/>
      <c r="IS199" s="6"/>
      <c r="IT199" s="6"/>
      <c r="IU199" s="5" t="str">
        <f t="shared" si="757"/>
        <v>NO APLICA</v>
      </c>
      <c r="IV199" s="6"/>
      <c r="IW199" s="6"/>
      <c r="IX199" s="6"/>
      <c r="IY199" s="6"/>
      <c r="IZ199" s="5" t="str">
        <f t="shared" si="758"/>
        <v>NO APLICA</v>
      </c>
      <c r="JA199" s="6"/>
      <c r="JB199" s="6"/>
      <c r="JC199" s="6"/>
      <c r="JD199" s="6"/>
      <c r="JE199" s="5" t="str">
        <f t="shared" si="759"/>
        <v>NO APLICA</v>
      </c>
      <c r="JF199" s="6"/>
      <c r="JG199" s="6"/>
      <c r="JH199" s="6"/>
      <c r="JI199" s="6"/>
      <c r="JJ199" s="5" t="str">
        <f t="shared" si="760"/>
        <v>NO APLICA</v>
      </c>
      <c r="JK199" s="6"/>
      <c r="JL199" s="6"/>
      <c r="JM199" s="6"/>
      <c r="JN199" s="6"/>
      <c r="JO199" s="5" t="str">
        <f t="shared" si="761"/>
        <v>NO APLICA</v>
      </c>
      <c r="JP199" s="6"/>
      <c r="JQ199" s="6"/>
      <c r="JR199" s="6"/>
      <c r="JS199" s="6"/>
      <c r="JT199" s="5" t="str">
        <f t="shared" si="762"/>
        <v>NO APLICA</v>
      </c>
      <c r="JU199" s="5"/>
      <c r="JV199" s="5"/>
      <c r="JW199" s="5"/>
      <c r="JX199" s="5"/>
      <c r="JY199" s="5" t="str">
        <f t="shared" si="763"/>
        <v>NO APLICA</v>
      </c>
      <c r="JZ199" s="5"/>
      <c r="KA199" s="6"/>
      <c r="KB199" s="6"/>
      <c r="KC199" s="6"/>
      <c r="KD199" s="5" t="str">
        <f t="shared" si="764"/>
        <v>NO APLICA</v>
      </c>
      <c r="KE199" s="5"/>
      <c r="KF199" s="6"/>
      <c r="KG199" s="6"/>
      <c r="KH199" s="6"/>
      <c r="KI199" s="5" t="str">
        <f t="shared" si="784"/>
        <v>NO APLICA</v>
      </c>
      <c r="KJ199" s="5"/>
      <c r="KK199" s="6"/>
      <c r="KL199" s="6"/>
      <c r="KM199" s="6"/>
      <c r="KN199" s="5" t="str">
        <f t="shared" si="765"/>
        <v>NO APLICA</v>
      </c>
      <c r="KO199" s="5"/>
      <c r="KP199" s="6"/>
      <c r="KQ199" s="6"/>
      <c r="KR199" s="6"/>
      <c r="KS199" s="5" t="str">
        <f t="shared" si="785"/>
        <v>NO APLICA</v>
      </c>
      <c r="KT199" s="6"/>
      <c r="KU199" s="6"/>
      <c r="KV199" s="6"/>
      <c r="KW199" s="6"/>
      <c r="KX199" s="5" t="str">
        <f t="shared" si="791"/>
        <v>NO APLICA</v>
      </c>
      <c r="KY199" s="5"/>
      <c r="KZ199" s="6"/>
      <c r="LA199" s="6"/>
      <c r="LB199" s="6"/>
      <c r="LC199" s="5" t="str">
        <f t="shared" si="786"/>
        <v>NO APLICA</v>
      </c>
      <c r="LD199" s="6"/>
      <c r="LE199" s="6"/>
      <c r="LF199" s="6"/>
      <c r="LG199" s="6"/>
      <c r="LH199" s="5" t="str">
        <f t="shared" si="619"/>
        <v>NO APLICA</v>
      </c>
      <c r="LI199" s="5"/>
      <c r="LJ199" s="5"/>
      <c r="LK199" s="4"/>
      <c r="LL199" s="8"/>
      <c r="LM199" s="5" t="str">
        <f t="shared" si="792"/>
        <v>NO APLICA</v>
      </c>
      <c r="LN199" s="6"/>
      <c r="LO199" s="6"/>
      <c r="LP199" s="6"/>
      <c r="LQ199" s="6"/>
      <c r="LR199" s="5" t="str">
        <f t="shared" si="787"/>
        <v>NO APLICA</v>
      </c>
      <c r="LS199" s="6"/>
      <c r="LT199" s="6"/>
      <c r="LU199" s="6"/>
      <c r="LV199" s="6"/>
      <c r="LW199" s="5" t="str">
        <f t="shared" si="788"/>
        <v>NO APLICA</v>
      </c>
      <c r="LX199" s="6"/>
      <c r="LY199" s="6"/>
      <c r="LZ199" s="6"/>
      <c r="MA199" s="6"/>
      <c r="MB199" s="5" t="str">
        <f t="shared" si="789"/>
        <v>NO APLICA</v>
      </c>
      <c r="MC199" s="6"/>
      <c r="MD199" s="6"/>
      <c r="ME199" s="6"/>
      <c r="MF199" s="6"/>
      <c r="MG199" s="5" t="str">
        <f t="shared" si="766"/>
        <v>NO APLICA</v>
      </c>
      <c r="MH199" s="6"/>
      <c r="MI199" s="6"/>
      <c r="MJ199" s="6"/>
      <c r="MK199" s="6"/>
      <c r="ML199" s="5" t="str">
        <f t="shared" si="767"/>
        <v>NO APLICA</v>
      </c>
      <c r="MM199" s="5"/>
      <c r="MN199" s="6"/>
      <c r="MO199" s="6"/>
      <c r="MP199" s="6"/>
      <c r="MQ199" s="5" t="str">
        <f t="shared" si="768"/>
        <v>NO APLICA</v>
      </c>
      <c r="MR199" s="5"/>
      <c r="MS199" s="6"/>
      <c r="MT199" s="6"/>
      <c r="MU199" s="6"/>
      <c r="MV199" s="5" t="str">
        <f t="shared" si="769"/>
        <v>NO APLICA</v>
      </c>
      <c r="MW199" s="6"/>
      <c r="MX199" s="6"/>
      <c r="MY199" s="6"/>
      <c r="MZ199" s="6"/>
      <c r="NA199" s="5" t="str">
        <f t="shared" si="770"/>
        <v>NO APLICA</v>
      </c>
      <c r="NB199" s="6"/>
      <c r="NC199" s="6"/>
      <c r="ND199" s="6"/>
      <c r="NE199" s="6"/>
      <c r="NF199" s="5" t="str">
        <f t="shared" si="771"/>
        <v>NO APLICA</v>
      </c>
      <c r="NG199" s="6"/>
      <c r="NH199" s="6"/>
      <c r="NI199" s="6"/>
      <c r="NJ199" s="6"/>
      <c r="NK199" s="5" t="str">
        <f t="shared" si="772"/>
        <v>NO APLICA</v>
      </c>
      <c r="NL199" s="6"/>
      <c r="NM199" s="6"/>
      <c r="NN199" s="6"/>
      <c r="NO199" s="6"/>
      <c r="NP199" s="5" t="str">
        <f t="shared" si="773"/>
        <v>NO APLICA</v>
      </c>
      <c r="NQ199" s="6"/>
      <c r="NR199" s="6"/>
      <c r="NS199" s="6"/>
      <c r="NT199" s="6"/>
      <c r="NU199" s="5" t="str">
        <f t="shared" si="774"/>
        <v>NO APLICA</v>
      </c>
      <c r="NV199" s="6"/>
      <c r="NW199" s="6"/>
      <c r="NX199" s="6"/>
      <c r="NY199" s="6"/>
      <c r="NZ199" s="5" t="str">
        <f t="shared" si="775"/>
        <v>NO APLICA</v>
      </c>
      <c r="OA199" s="6"/>
      <c r="OB199" s="6"/>
      <c r="OC199" s="6"/>
      <c r="OD199" s="6"/>
      <c r="OE199" s="5" t="str">
        <f t="shared" si="776"/>
        <v>NO APLICA</v>
      </c>
      <c r="OF199" s="6"/>
      <c r="OG199" s="6"/>
      <c r="OH199" s="6"/>
      <c r="OI199" s="6"/>
      <c r="OJ199" s="5" t="str">
        <f t="shared" si="777"/>
        <v>NO APLICA</v>
      </c>
      <c r="OK199" s="6"/>
      <c r="OL199" s="6"/>
      <c r="OM199" s="6"/>
      <c r="ON199" s="6"/>
      <c r="OO199" s="5" t="str">
        <f t="shared" si="778"/>
        <v>NO APLICA</v>
      </c>
      <c r="OP199" s="6"/>
      <c r="OQ199" s="6"/>
      <c r="OR199" s="6"/>
      <c r="OS199" s="6"/>
      <c r="OT199" s="5" t="str">
        <f t="shared" si="779"/>
        <v>NO APLICA</v>
      </c>
      <c r="OU199" s="6"/>
      <c r="OV199" s="6"/>
      <c r="OW199" s="6"/>
      <c r="OX199" s="6"/>
      <c r="OY199" s="5" t="str">
        <f t="shared" si="793"/>
        <v>NO APLICA</v>
      </c>
      <c r="OZ199" s="6"/>
      <c r="PA199" s="6"/>
      <c r="PB199" s="6"/>
      <c r="PC199" s="6"/>
      <c r="PD199" s="5" t="str">
        <f t="shared" si="780"/>
        <v>NO APLICA</v>
      </c>
      <c r="PE199" s="6"/>
      <c r="PF199" s="6"/>
      <c r="PG199" s="6"/>
      <c r="PH199" s="6"/>
      <c r="PI199" s="5" t="str">
        <f t="shared" si="781"/>
        <v>NO APLICA</v>
      </c>
      <c r="PJ199" s="5"/>
      <c r="PK199" s="6"/>
      <c r="PL199" s="6"/>
      <c r="PM199" s="6"/>
      <c r="PN199" s="5" t="str">
        <f t="shared" si="790"/>
        <v>NO APLICA</v>
      </c>
      <c r="PO199" s="6"/>
      <c r="PP199" s="6"/>
      <c r="PQ199" s="6"/>
      <c r="PR199" s="6"/>
      <c r="PS199" s="5" t="str">
        <f t="shared" si="782"/>
        <v>NO APLICA</v>
      </c>
      <c r="PT199" s="5"/>
      <c r="PU199" s="6"/>
      <c r="PV199" s="6"/>
      <c r="PW199" s="6"/>
      <c r="PX199" s="5" t="str">
        <f t="shared" si="783"/>
        <v>NO APLICA</v>
      </c>
    </row>
    <row r="200" spans="1:440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417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8"/>
      <c r="Y200" s="5" t="str">
        <f t="shared" si="624"/>
        <v>NO APLICA</v>
      </c>
      <c r="Z200" s="6"/>
      <c r="AA200" s="6"/>
      <c r="AB200" s="6"/>
      <c r="AC200" s="6"/>
      <c r="AD200" s="5" t="str">
        <f t="shared" si="627"/>
        <v>NO APLICA</v>
      </c>
      <c r="AE200" s="4"/>
      <c r="AF200" s="4"/>
      <c r="AG200" s="4"/>
      <c r="AH200" s="6"/>
      <c r="AI200" s="5" t="str">
        <f t="shared" si="621"/>
        <v>NO APLICA</v>
      </c>
      <c r="AJ200" s="4"/>
      <c r="AK200" s="4"/>
      <c r="AL200" s="4"/>
      <c r="AM200" s="6"/>
      <c r="AN200" s="5" t="str">
        <f t="shared" si="720"/>
        <v>NO APLICA</v>
      </c>
      <c r="AO200" s="4"/>
      <c r="AP200" s="4"/>
      <c r="AQ200" s="4"/>
      <c r="AR200" s="6"/>
      <c r="AS200" s="5" t="str">
        <f t="shared" si="721"/>
        <v>NO APLICA</v>
      </c>
      <c r="AT200" s="4"/>
      <c r="AU200" s="4"/>
      <c r="AV200" s="4"/>
      <c r="AW200" s="6"/>
      <c r="AX200" s="5" t="str">
        <f t="shared" si="722"/>
        <v>NO APLICA</v>
      </c>
      <c r="AY200" s="4"/>
      <c r="AZ200" s="4"/>
      <c r="BA200" s="4"/>
      <c r="BB200" s="6"/>
      <c r="BC200" s="5" t="str">
        <f t="shared" si="723"/>
        <v>NO APLICA</v>
      </c>
      <c r="BD200" s="4"/>
      <c r="BE200" s="4"/>
      <c r="BF200" s="4"/>
      <c r="BG200" s="6"/>
      <c r="BH200" s="5" t="str">
        <f t="shared" si="724"/>
        <v>NO APLICA</v>
      </c>
      <c r="BI200" s="4"/>
      <c r="BJ200" s="4"/>
      <c r="BK200" s="4"/>
      <c r="BL200" s="6"/>
      <c r="BM200" s="5" t="str">
        <f t="shared" si="725"/>
        <v>NO APLICA</v>
      </c>
      <c r="BN200" s="4"/>
      <c r="BO200" s="4"/>
      <c r="BP200" s="4"/>
      <c r="BQ200" s="6"/>
      <c r="BR200" s="5" t="str">
        <f t="shared" si="726"/>
        <v>NO APLICA</v>
      </c>
      <c r="BS200" s="4"/>
      <c r="BT200" s="4"/>
      <c r="BU200" s="4"/>
      <c r="BV200" s="6"/>
      <c r="BW200" s="5" t="str">
        <f t="shared" si="727"/>
        <v>NO APLICA</v>
      </c>
      <c r="BX200" s="4"/>
      <c r="BY200" s="4"/>
      <c r="BZ200" s="4"/>
      <c r="CA200" s="6"/>
      <c r="CB200" s="5" t="str">
        <f t="shared" si="728"/>
        <v>NO APLICA</v>
      </c>
      <c r="CC200" s="6"/>
      <c r="CD200" s="6"/>
      <c r="CE200" s="6"/>
      <c r="CF200" s="6"/>
      <c r="CG200" s="5" t="str">
        <f t="shared" si="591"/>
        <v>NO APLICA</v>
      </c>
      <c r="CH200" s="4"/>
      <c r="CI200" s="4"/>
      <c r="CJ200" s="4"/>
      <c r="CK200" s="6"/>
      <c r="CL200" s="5" t="str">
        <f t="shared" si="729"/>
        <v>NO APLICA</v>
      </c>
      <c r="CM200" s="4"/>
      <c r="CN200" s="4"/>
      <c r="CO200" s="4"/>
      <c r="CP200" s="6"/>
      <c r="CQ200" s="5" t="str">
        <f t="shared" si="730"/>
        <v>NO APLICA</v>
      </c>
      <c r="CR200" s="4"/>
      <c r="CS200" s="4"/>
      <c r="CT200" s="4"/>
      <c r="CU200" s="6"/>
      <c r="CV200" s="5" t="str">
        <f t="shared" si="731"/>
        <v>NO APLICA</v>
      </c>
      <c r="CW200" s="4"/>
      <c r="CX200" s="4"/>
      <c r="CY200" s="4"/>
      <c r="CZ200" s="6"/>
      <c r="DA200" s="5" t="str">
        <f t="shared" si="732"/>
        <v>NO APLICA</v>
      </c>
      <c r="DB200" s="4"/>
      <c r="DC200" s="4"/>
      <c r="DD200" s="4"/>
      <c r="DE200" s="6"/>
      <c r="DF200" s="5" t="str">
        <f t="shared" si="733"/>
        <v>NO APLICA</v>
      </c>
      <c r="DG200" s="4"/>
      <c r="DH200" s="4"/>
      <c r="DI200" s="4"/>
      <c r="DJ200" s="6"/>
      <c r="DK200" s="5" t="str">
        <f t="shared" si="734"/>
        <v>NO APLICA</v>
      </c>
      <c r="DL200" s="4"/>
      <c r="DM200" s="4"/>
      <c r="DN200" s="4"/>
      <c r="DO200" s="6"/>
      <c r="DP200" s="5" t="str">
        <f t="shared" si="735"/>
        <v>NO APLICA</v>
      </c>
      <c r="DQ200" s="4"/>
      <c r="DR200" s="4"/>
      <c r="DS200" s="4"/>
      <c r="DT200" s="6"/>
      <c r="DU200" s="5" t="str">
        <f t="shared" si="736"/>
        <v>NO APLICA</v>
      </c>
      <c r="DV200" s="4"/>
      <c r="DW200" s="4"/>
      <c r="DX200" s="4"/>
      <c r="DY200" s="6"/>
      <c r="DZ200" s="5" t="str">
        <f t="shared" si="737"/>
        <v>NO APLICA</v>
      </c>
      <c r="EA200" s="4"/>
      <c r="EB200" s="4"/>
      <c r="EC200" s="4"/>
      <c r="ED200" s="6"/>
      <c r="EE200" s="5" t="str">
        <f t="shared" si="738"/>
        <v>NO APLICA</v>
      </c>
      <c r="EF200" s="4"/>
      <c r="EG200" s="4"/>
      <c r="EH200" s="4"/>
      <c r="EI200" s="8"/>
      <c r="EJ200" s="5" t="str">
        <f t="shared" si="739"/>
        <v>NO APLICA</v>
      </c>
      <c r="EK200" s="4"/>
      <c r="EL200" s="4"/>
      <c r="EM200" s="4"/>
      <c r="EN200" s="8"/>
      <c r="EO200" s="5" t="str">
        <f t="shared" si="740"/>
        <v>NO APLICA</v>
      </c>
      <c r="EP200" s="4"/>
      <c r="EQ200" s="4"/>
      <c r="ER200" s="4"/>
      <c r="ES200" s="8"/>
      <c r="ET200" s="5" t="str">
        <f t="shared" si="741"/>
        <v>NO APLICA</v>
      </c>
      <c r="EU200" s="4"/>
      <c r="EV200" s="4"/>
      <c r="EW200" s="4"/>
      <c r="EX200" s="6"/>
      <c r="EY200" s="5" t="str">
        <f t="shared" si="742"/>
        <v>NO APLICA</v>
      </c>
      <c r="EZ200" s="4"/>
      <c r="FA200" s="4"/>
      <c r="FB200" s="4"/>
      <c r="FC200" s="6"/>
      <c r="FD200" s="5" t="str">
        <f t="shared" si="743"/>
        <v>NO APLICA</v>
      </c>
      <c r="FE200" s="4"/>
      <c r="FF200" s="4"/>
      <c r="FG200" s="4"/>
      <c r="FH200" s="6"/>
      <c r="FI200" s="5" t="str">
        <f t="shared" si="744"/>
        <v>NO APLICA</v>
      </c>
      <c r="FJ200" s="4"/>
      <c r="FK200" s="4"/>
      <c r="FL200" s="4"/>
      <c r="FM200" s="6"/>
      <c r="FN200" s="5" t="str">
        <f t="shared" si="745"/>
        <v>NO APLICA</v>
      </c>
      <c r="FO200" s="4"/>
      <c r="FP200" s="4"/>
      <c r="FQ200" s="4"/>
      <c r="FR200" s="6"/>
      <c r="FS200" s="5" t="str">
        <f t="shared" si="746"/>
        <v>NO APLICA</v>
      </c>
      <c r="FT200" s="4"/>
      <c r="FU200" s="4"/>
      <c r="FV200" s="4"/>
      <c r="FW200" s="6"/>
      <c r="FX200" s="5" t="str">
        <f t="shared" si="747"/>
        <v>NO APLICA</v>
      </c>
      <c r="FY200" s="4"/>
      <c r="FZ200" s="4"/>
      <c r="GA200" s="4"/>
      <c r="GB200" s="6"/>
      <c r="GC200" s="5" t="str">
        <f t="shared" si="748"/>
        <v>NO APLICA</v>
      </c>
      <c r="GD200" s="4"/>
      <c r="GE200" s="4"/>
      <c r="GF200" s="4"/>
      <c r="GG200" s="8"/>
      <c r="GH200" s="5" t="str">
        <f t="shared" si="749"/>
        <v>NO APLICA</v>
      </c>
      <c r="GI200" s="4"/>
      <c r="GJ200" s="6"/>
      <c r="GK200" s="6"/>
      <c r="GL200" s="6"/>
      <c r="GM200" s="5" t="str">
        <f t="shared" si="750"/>
        <v>NO APLICA</v>
      </c>
      <c r="GN200" s="4"/>
      <c r="GO200" s="6"/>
      <c r="GP200" s="6"/>
      <c r="GQ200" s="6"/>
      <c r="GR200" s="5" t="str">
        <f t="shared" si="630"/>
        <v>NO APLICA</v>
      </c>
      <c r="GS200" s="4"/>
      <c r="GT200" s="6"/>
      <c r="GU200" s="6"/>
      <c r="GV200" s="6"/>
      <c r="GW200" s="5" t="str">
        <f t="shared" si="631"/>
        <v>NO APLICA</v>
      </c>
      <c r="GX200" s="6"/>
      <c r="GY200" s="6"/>
      <c r="GZ200" s="6"/>
      <c r="HA200" s="6"/>
      <c r="HB200" s="5" t="str">
        <f t="shared" si="632"/>
        <v>NO APLICA</v>
      </c>
      <c r="HC200" s="6"/>
      <c r="HD200" s="6"/>
      <c r="HE200" s="4"/>
      <c r="HF200" s="8"/>
      <c r="HG200" s="5" t="str">
        <f t="shared" si="718"/>
        <v>NO APLICA</v>
      </c>
      <c r="HH200" s="6"/>
      <c r="HI200" s="6"/>
      <c r="HJ200" s="6"/>
      <c r="HK200" s="6"/>
      <c r="HL200" s="5" t="str">
        <f t="shared" si="714"/>
        <v>NO APLICA</v>
      </c>
      <c r="HM200" s="6"/>
      <c r="HN200" s="6"/>
      <c r="HO200" s="6"/>
      <c r="HP200" s="6"/>
      <c r="HQ200" s="5" t="str">
        <f t="shared" si="751"/>
        <v>NO APLICA</v>
      </c>
      <c r="HR200" s="6"/>
      <c r="HS200" s="6"/>
      <c r="HT200" s="6"/>
      <c r="HU200" s="6"/>
      <c r="HV200" s="5" t="str">
        <f t="shared" si="752"/>
        <v>NO APLICA</v>
      </c>
      <c r="HW200" s="6"/>
      <c r="HX200" s="6"/>
      <c r="HY200" s="6"/>
      <c r="HZ200" s="6"/>
      <c r="IA200" s="5" t="str">
        <f t="shared" si="753"/>
        <v>NO APLICA</v>
      </c>
      <c r="IB200" s="6"/>
      <c r="IC200" s="6"/>
      <c r="ID200" s="6"/>
      <c r="IE200" s="6"/>
      <c r="IF200" s="5" t="str">
        <f t="shared" si="754"/>
        <v>NO APLICA</v>
      </c>
      <c r="IG200" s="6"/>
      <c r="IH200" s="6"/>
      <c r="II200" s="6"/>
      <c r="IJ200" s="6"/>
      <c r="IK200" s="5" t="str">
        <f t="shared" si="755"/>
        <v>NO APLICA</v>
      </c>
      <c r="IL200" s="6"/>
      <c r="IM200" s="6"/>
      <c r="IN200" s="6"/>
      <c r="IO200" s="6"/>
      <c r="IP200" s="5" t="str">
        <f t="shared" si="756"/>
        <v>NO APLICA</v>
      </c>
      <c r="IQ200" s="6"/>
      <c r="IR200" s="6"/>
      <c r="IS200" s="6"/>
      <c r="IT200" s="6"/>
      <c r="IU200" s="5" t="str">
        <f t="shared" si="757"/>
        <v>NO APLICA</v>
      </c>
      <c r="IV200" s="6"/>
      <c r="IW200" s="6"/>
      <c r="IX200" s="6"/>
      <c r="IY200" s="6"/>
      <c r="IZ200" s="5" t="str">
        <f t="shared" si="758"/>
        <v>NO APLICA</v>
      </c>
      <c r="JA200" s="6"/>
      <c r="JB200" s="6"/>
      <c r="JC200" s="6"/>
      <c r="JD200" s="6"/>
      <c r="JE200" s="5" t="str">
        <f t="shared" si="759"/>
        <v>NO APLICA</v>
      </c>
      <c r="JF200" s="6"/>
      <c r="JG200" s="6"/>
      <c r="JH200" s="6"/>
      <c r="JI200" s="6"/>
      <c r="JJ200" s="5" t="str">
        <f t="shared" si="760"/>
        <v>NO APLICA</v>
      </c>
      <c r="JK200" s="6"/>
      <c r="JL200" s="6"/>
      <c r="JM200" s="6"/>
      <c r="JN200" s="6"/>
      <c r="JO200" s="5" t="str">
        <f t="shared" si="761"/>
        <v>NO APLICA</v>
      </c>
      <c r="JP200" s="6"/>
      <c r="JQ200" s="6"/>
      <c r="JR200" s="6"/>
      <c r="JS200" s="6"/>
      <c r="JT200" s="5" t="str">
        <f t="shared" si="762"/>
        <v>NO APLICA</v>
      </c>
      <c r="JU200" s="5"/>
      <c r="JV200" s="5"/>
      <c r="JW200" s="5"/>
      <c r="JX200" s="5"/>
      <c r="JY200" s="5" t="str">
        <f t="shared" si="763"/>
        <v>NO APLICA</v>
      </c>
      <c r="JZ200" s="5"/>
      <c r="KA200" s="6"/>
      <c r="KB200" s="6"/>
      <c r="KC200" s="6"/>
      <c r="KD200" s="5" t="str">
        <f t="shared" si="764"/>
        <v>NO APLICA</v>
      </c>
      <c r="KE200" s="5"/>
      <c r="KF200" s="6"/>
      <c r="KG200" s="6"/>
      <c r="KH200" s="6"/>
      <c r="KI200" s="5" t="str">
        <f t="shared" si="784"/>
        <v>NO APLICA</v>
      </c>
      <c r="KJ200" s="5"/>
      <c r="KK200" s="4">
        <v>45364</v>
      </c>
      <c r="KL200" s="4">
        <f>DATE(YEAR(KK200)+5,MONTH(KK200),DAY(KK200))</f>
        <v>47190</v>
      </c>
      <c r="KM200" s="8">
        <f ca="1">KL200-TODAY()</f>
        <v>1056</v>
      </c>
      <c r="KN200" s="5" t="str">
        <f ca="1">IF(KM200&gt;=61,"VIGENTE",IF(KM200&gt;=1,"POR VENCER",IF(KM200&lt;=-1,"VENCIDA",IF(KK200=0,"NO APLICA"))))</f>
        <v>VIGENTE</v>
      </c>
      <c r="KO200" s="5"/>
      <c r="KP200" s="4">
        <v>45346</v>
      </c>
      <c r="KQ200" s="4">
        <f>DATE(YEAR(KP200)+5,MONTH(KP200),DAY(KP200))</f>
        <v>47173</v>
      </c>
      <c r="KR200" s="8">
        <f ca="1">KQ200-TODAY()</f>
        <v>1039</v>
      </c>
      <c r="KS200" s="5" t="str">
        <f ca="1">IF(KR200&gt;=61,"VIGENTE",IF(KR200&gt;=1,"POR VENCER",IF(KR200&lt;=-1,"VENCIDA",IF(KP200=0,"NO APLICA"))))</f>
        <v>VIGENTE</v>
      </c>
      <c r="KT200" s="6"/>
      <c r="KU200" s="6"/>
      <c r="KV200" s="6"/>
      <c r="KW200" s="6"/>
      <c r="KX200" s="5" t="str">
        <f t="shared" si="791"/>
        <v>NO APLICA</v>
      </c>
      <c r="KY200" s="5"/>
      <c r="KZ200" s="6"/>
      <c r="LA200" s="6"/>
      <c r="LB200" s="6"/>
      <c r="LC200" s="5" t="str">
        <f t="shared" si="786"/>
        <v>NO APLICA</v>
      </c>
      <c r="LD200" s="6"/>
      <c r="LE200" s="6"/>
      <c r="LF200" s="6"/>
      <c r="LG200" s="6"/>
      <c r="LH200" s="5" t="str">
        <f t="shared" si="619"/>
        <v>NO APLICA</v>
      </c>
      <c r="LI200" s="5"/>
      <c r="LJ200" s="5"/>
      <c r="LK200" s="4"/>
      <c r="LL200" s="8"/>
      <c r="LM200" s="5" t="str">
        <f t="shared" si="792"/>
        <v>NO APLICA</v>
      </c>
      <c r="LN200" s="6"/>
      <c r="LO200" s="6"/>
      <c r="LP200" s="6"/>
      <c r="LQ200" s="6"/>
      <c r="LR200" s="5" t="str">
        <f t="shared" si="787"/>
        <v>NO APLICA</v>
      </c>
      <c r="LS200" s="6"/>
      <c r="LT200" s="6"/>
      <c r="LU200" s="6"/>
      <c r="LV200" s="6"/>
      <c r="LW200" s="5" t="str">
        <f t="shared" si="788"/>
        <v>NO APLICA</v>
      </c>
      <c r="LX200" s="6"/>
      <c r="LY200" s="6"/>
      <c r="LZ200" s="6"/>
      <c r="MA200" s="6"/>
      <c r="MB200" s="5" t="str">
        <f t="shared" si="789"/>
        <v>NO APLICA</v>
      </c>
      <c r="MC200" s="6"/>
      <c r="MD200" s="6"/>
      <c r="ME200" s="6"/>
      <c r="MF200" s="6"/>
      <c r="MG200" s="5" t="str">
        <f t="shared" si="766"/>
        <v>NO APLICA</v>
      </c>
      <c r="MH200" s="6"/>
      <c r="MI200" s="6"/>
      <c r="MJ200" s="6"/>
      <c r="MK200" s="6"/>
      <c r="ML200" s="5" t="str">
        <f t="shared" si="767"/>
        <v>NO APLICA</v>
      </c>
      <c r="MM200" s="5"/>
      <c r="MN200" s="6"/>
      <c r="MO200" s="6"/>
      <c r="MP200" s="6"/>
      <c r="MQ200" s="5" t="str">
        <f t="shared" si="768"/>
        <v>NO APLICA</v>
      </c>
      <c r="MR200" s="5"/>
      <c r="MS200" s="6"/>
      <c r="MT200" s="6"/>
      <c r="MU200" s="6"/>
      <c r="MV200" s="5" t="str">
        <f t="shared" si="769"/>
        <v>NO APLICA</v>
      </c>
      <c r="MW200" s="6"/>
      <c r="MX200" s="6"/>
      <c r="MY200" s="6"/>
      <c r="MZ200" s="6"/>
      <c r="NA200" s="5" t="str">
        <f t="shared" si="770"/>
        <v>NO APLICA</v>
      </c>
      <c r="NB200" s="6"/>
      <c r="NC200" s="6"/>
      <c r="ND200" s="6"/>
      <c r="NE200" s="6"/>
      <c r="NF200" s="5" t="str">
        <f t="shared" si="771"/>
        <v>NO APLICA</v>
      </c>
      <c r="NG200" s="6"/>
      <c r="NH200" s="6"/>
      <c r="NI200" s="6"/>
      <c r="NJ200" s="6"/>
      <c r="NK200" s="5" t="str">
        <f t="shared" si="772"/>
        <v>NO APLICA</v>
      </c>
      <c r="NL200" s="6"/>
      <c r="NM200" s="6"/>
      <c r="NN200" s="6"/>
      <c r="NO200" s="6"/>
      <c r="NP200" s="5" t="str">
        <f t="shared" si="773"/>
        <v>NO APLICA</v>
      </c>
      <c r="NQ200" s="6"/>
      <c r="NR200" s="6"/>
      <c r="NS200" s="6"/>
      <c r="NT200" s="6"/>
      <c r="NU200" s="5" t="str">
        <f t="shared" si="774"/>
        <v>NO APLICA</v>
      </c>
      <c r="NV200" s="6"/>
      <c r="NW200" s="6"/>
      <c r="NX200" s="6"/>
      <c r="NY200" s="6"/>
      <c r="NZ200" s="5" t="str">
        <f t="shared" si="775"/>
        <v>NO APLICA</v>
      </c>
      <c r="OA200" s="6"/>
      <c r="OB200" s="6"/>
      <c r="OC200" s="6"/>
      <c r="OD200" s="6"/>
      <c r="OE200" s="5" t="str">
        <f t="shared" si="776"/>
        <v>NO APLICA</v>
      </c>
      <c r="OF200" s="6"/>
      <c r="OG200" s="6"/>
      <c r="OH200" s="6"/>
      <c r="OI200" s="6"/>
      <c r="OJ200" s="5" t="str">
        <f t="shared" si="777"/>
        <v>NO APLICA</v>
      </c>
      <c r="OK200" s="6"/>
      <c r="OL200" s="6"/>
      <c r="OM200" s="6"/>
      <c r="ON200" s="6"/>
      <c r="OO200" s="5" t="str">
        <f t="shared" si="778"/>
        <v>NO APLICA</v>
      </c>
      <c r="OP200" s="6"/>
      <c r="OQ200" s="6"/>
      <c r="OR200" s="6"/>
      <c r="OS200" s="6"/>
      <c r="OT200" s="5" t="str">
        <f t="shared" si="779"/>
        <v>NO APLICA</v>
      </c>
      <c r="OU200" s="6"/>
      <c r="OV200" s="6"/>
      <c r="OW200" s="6"/>
      <c r="OX200" s="6"/>
      <c r="OY200" s="5" t="str">
        <f t="shared" si="793"/>
        <v>NO APLICA</v>
      </c>
      <c r="OZ200" s="6"/>
      <c r="PA200" s="6"/>
      <c r="PB200" s="6"/>
      <c r="PC200" s="6"/>
      <c r="PD200" s="5" t="str">
        <f t="shared" si="780"/>
        <v>NO APLICA</v>
      </c>
      <c r="PE200" s="6"/>
      <c r="PF200" s="6"/>
      <c r="PG200" s="6"/>
      <c r="PH200" s="6"/>
      <c r="PI200" s="5" t="str">
        <f t="shared" si="781"/>
        <v>NO APLICA</v>
      </c>
      <c r="PJ200" s="5"/>
      <c r="PK200" s="6"/>
      <c r="PL200" s="6"/>
      <c r="PM200" s="6"/>
      <c r="PN200" s="5" t="str">
        <f t="shared" si="790"/>
        <v>NO APLICA</v>
      </c>
      <c r="PO200" s="6"/>
      <c r="PP200" s="6"/>
      <c r="PQ200" s="6"/>
      <c r="PR200" s="6"/>
      <c r="PS200" s="5" t="str">
        <f t="shared" si="782"/>
        <v>NO APLICA</v>
      </c>
      <c r="PT200" s="5"/>
      <c r="PU200" s="6"/>
      <c r="PV200" s="6"/>
      <c r="PW200" s="6"/>
      <c r="PX200" s="5" t="str">
        <f t="shared" si="783"/>
        <v>NO APLICA</v>
      </c>
    </row>
    <row r="201" spans="1:440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2"/>
      <c r="V201" s="4"/>
      <c r="W201" s="4"/>
      <c r="X201" s="8"/>
      <c r="Y201" s="5" t="str">
        <f t="shared" si="624"/>
        <v>NO APLICA</v>
      </c>
      <c r="Z201" s="2"/>
      <c r="AA201" s="6"/>
      <c r="AB201" s="4"/>
      <c r="AC201" s="8"/>
      <c r="AD201" s="5" t="str">
        <f t="shared" si="627"/>
        <v>NO APLICA</v>
      </c>
      <c r="AE201" s="2"/>
      <c r="AF201" s="4"/>
      <c r="AG201" s="4"/>
      <c r="AH201" s="8"/>
      <c r="AI201" s="5" t="str">
        <f t="shared" si="621"/>
        <v>NO APLICA</v>
      </c>
      <c r="AJ201" s="2"/>
      <c r="AK201" s="4"/>
      <c r="AL201" s="4"/>
      <c r="AM201" s="8"/>
      <c r="AN201" s="5" t="str">
        <f t="shared" si="720"/>
        <v>NO APLICA</v>
      </c>
      <c r="AO201" s="2"/>
      <c r="AP201" s="4"/>
      <c r="AQ201" s="4"/>
      <c r="AR201" s="8"/>
      <c r="AS201" s="5" t="str">
        <f t="shared" si="721"/>
        <v>NO APLICA</v>
      </c>
      <c r="AT201" s="2"/>
      <c r="AU201" s="4"/>
      <c r="AV201" s="4"/>
      <c r="AW201" s="8"/>
      <c r="AX201" s="5" t="str">
        <f t="shared" si="722"/>
        <v>NO APLICA</v>
      </c>
      <c r="AY201" s="3"/>
      <c r="AZ201" s="4"/>
      <c r="BA201" s="4"/>
      <c r="BB201" s="8"/>
      <c r="BC201" s="5" t="str">
        <f t="shared" si="723"/>
        <v>NO APLICA</v>
      </c>
      <c r="BD201" s="2"/>
      <c r="BE201" s="4"/>
      <c r="BF201" s="4"/>
      <c r="BG201" s="8"/>
      <c r="BH201" s="5" t="str">
        <f t="shared" si="724"/>
        <v>NO APLICA</v>
      </c>
      <c r="BI201" s="3"/>
      <c r="BJ201" s="4"/>
      <c r="BK201" s="4"/>
      <c r="BL201" s="8"/>
      <c r="BM201" s="5" t="str">
        <f t="shared" si="725"/>
        <v>NO APLICA</v>
      </c>
      <c r="BN201" s="3"/>
      <c r="BO201" s="4"/>
      <c r="BP201" s="4"/>
      <c r="BQ201" s="8"/>
      <c r="BR201" s="5" t="str">
        <f t="shared" si="726"/>
        <v>NO APLICA</v>
      </c>
      <c r="BS201" s="2"/>
      <c r="BT201" s="4"/>
      <c r="BU201" s="4"/>
      <c r="BV201" s="8"/>
      <c r="BW201" s="5" t="str">
        <f t="shared" si="727"/>
        <v>NO APLICA</v>
      </c>
      <c r="BX201" s="2"/>
      <c r="BY201" s="4"/>
      <c r="BZ201" s="4"/>
      <c r="CA201" s="8"/>
      <c r="CB201" s="5" t="str">
        <f t="shared" si="728"/>
        <v>NO APLICA</v>
      </c>
      <c r="CC201" s="6"/>
      <c r="CD201" s="4"/>
      <c r="CE201" s="4"/>
      <c r="CF201" s="8"/>
      <c r="CG201" s="5" t="str">
        <f t="shared" si="591"/>
        <v>NO APLICA</v>
      </c>
      <c r="CH201" s="6"/>
      <c r="CI201" s="4"/>
      <c r="CJ201" s="4"/>
      <c r="CK201" s="8"/>
      <c r="CL201" s="5" t="str">
        <f t="shared" si="729"/>
        <v>NO APLICA</v>
      </c>
      <c r="CM201" s="2"/>
      <c r="CN201" s="4"/>
      <c r="CO201" s="4"/>
      <c r="CP201" s="8"/>
      <c r="CQ201" s="5" t="str">
        <f t="shared" si="730"/>
        <v>NO APLICA</v>
      </c>
      <c r="CR201" s="2"/>
      <c r="CS201" s="4"/>
      <c r="CT201" s="4"/>
      <c r="CU201" s="8"/>
      <c r="CV201" s="5" t="str">
        <f t="shared" si="731"/>
        <v>NO APLICA</v>
      </c>
      <c r="CW201" s="3"/>
      <c r="CX201" s="4"/>
      <c r="CY201" s="4"/>
      <c r="CZ201" s="8"/>
      <c r="DA201" s="5" t="str">
        <f t="shared" si="732"/>
        <v>NO APLICA</v>
      </c>
      <c r="DB201" s="3"/>
      <c r="DC201" s="4"/>
      <c r="DD201" s="4"/>
      <c r="DE201" s="8"/>
      <c r="DF201" s="5" t="str">
        <f t="shared" si="733"/>
        <v>NO APLICA</v>
      </c>
      <c r="DG201" s="2"/>
      <c r="DH201" s="4"/>
      <c r="DI201" s="4"/>
      <c r="DJ201" s="8"/>
      <c r="DK201" s="5" t="str">
        <f t="shared" si="734"/>
        <v>NO APLICA</v>
      </c>
      <c r="DL201" s="3"/>
      <c r="DM201" s="4"/>
      <c r="DN201" s="4"/>
      <c r="DO201" s="8"/>
      <c r="DP201" s="5" t="str">
        <f t="shared" si="735"/>
        <v>NO APLICA</v>
      </c>
      <c r="DQ201" s="2"/>
      <c r="DR201" s="4"/>
      <c r="DS201" s="4"/>
      <c r="DT201" s="8"/>
      <c r="DU201" s="5" t="str">
        <f t="shared" si="736"/>
        <v>NO APLICA</v>
      </c>
      <c r="DV201" s="3"/>
      <c r="DW201" s="4"/>
      <c r="DX201" s="4"/>
      <c r="DY201" s="8"/>
      <c r="DZ201" s="5" t="str">
        <f t="shared" si="737"/>
        <v>NO APLICA</v>
      </c>
      <c r="EA201" s="3"/>
      <c r="EB201" s="4"/>
      <c r="EC201" s="4"/>
      <c r="ED201" s="8"/>
      <c r="EE201" s="5" t="str">
        <f t="shared" si="738"/>
        <v>NO APLICA</v>
      </c>
      <c r="EF201" s="2"/>
      <c r="EG201" s="4"/>
      <c r="EH201" s="4"/>
      <c r="EI201" s="8"/>
      <c r="EJ201" s="5" t="str">
        <f t="shared" si="739"/>
        <v>NO APLICA</v>
      </c>
      <c r="EK201" s="3"/>
      <c r="EL201" s="4"/>
      <c r="EM201" s="4"/>
      <c r="EN201" s="8"/>
      <c r="EO201" s="5" t="str">
        <f t="shared" si="740"/>
        <v>NO APLICA</v>
      </c>
      <c r="EP201" s="2"/>
      <c r="EQ201" s="4"/>
      <c r="ER201" s="4"/>
      <c r="ES201" s="8"/>
      <c r="ET201" s="5" t="str">
        <f t="shared" si="741"/>
        <v>NO APLICA</v>
      </c>
      <c r="EU201" s="2"/>
      <c r="EV201" s="4"/>
      <c r="EW201" s="4"/>
      <c r="EX201" s="8"/>
      <c r="EY201" s="5" t="str">
        <f t="shared" si="742"/>
        <v>NO APLICA</v>
      </c>
      <c r="EZ201" s="2"/>
      <c r="FA201" s="4"/>
      <c r="FB201" s="4"/>
      <c r="FC201" s="8"/>
      <c r="FD201" s="5" t="str">
        <f t="shared" si="743"/>
        <v>NO APLICA</v>
      </c>
      <c r="FE201" s="2"/>
      <c r="FF201" s="4"/>
      <c r="FG201" s="4"/>
      <c r="FH201" s="8"/>
      <c r="FI201" s="5" t="str">
        <f t="shared" si="744"/>
        <v>NO APLICA</v>
      </c>
      <c r="FJ201" s="3"/>
      <c r="FK201" s="4"/>
      <c r="FL201" s="4"/>
      <c r="FM201" s="8"/>
      <c r="FN201" s="5" t="str">
        <f t="shared" si="745"/>
        <v>NO APLICA</v>
      </c>
      <c r="FO201" s="3"/>
      <c r="FP201" s="4"/>
      <c r="FQ201" s="4"/>
      <c r="FR201" s="8"/>
      <c r="FS201" s="5" t="str">
        <f t="shared" si="746"/>
        <v>NO APLICA</v>
      </c>
      <c r="FT201" s="3"/>
      <c r="FU201" s="4"/>
      <c r="FV201" s="4"/>
      <c r="FW201" s="8"/>
      <c r="FX201" s="5" t="str">
        <f t="shared" si="747"/>
        <v>NO APLICA</v>
      </c>
      <c r="FY201" s="3"/>
      <c r="FZ201" s="4"/>
      <c r="GA201" s="4"/>
      <c r="GB201" s="8"/>
      <c r="GC201" s="5" t="str">
        <f t="shared" si="748"/>
        <v>NO APLICA</v>
      </c>
      <c r="GD201" s="3"/>
      <c r="GE201" s="4"/>
      <c r="GF201" s="4"/>
      <c r="GG201" s="8"/>
      <c r="GH201" s="5" t="str">
        <f t="shared" si="749"/>
        <v>NO APLICA</v>
      </c>
      <c r="GI201" s="3"/>
      <c r="GJ201" s="4"/>
      <c r="GK201" s="4"/>
      <c r="GL201" s="8"/>
      <c r="GM201" s="5" t="str">
        <f t="shared" si="750"/>
        <v>NO APLICA</v>
      </c>
      <c r="GN201" s="4"/>
      <c r="GO201" s="4"/>
      <c r="GP201" s="4"/>
      <c r="GQ201" s="8"/>
      <c r="GR201" s="5" t="str">
        <f t="shared" si="630"/>
        <v>NO APLICA</v>
      </c>
      <c r="GS201" s="3"/>
      <c r="GT201" s="4"/>
      <c r="GU201" s="4"/>
      <c r="GV201" s="8"/>
      <c r="GW201" s="5" t="str">
        <f t="shared" si="631"/>
        <v>NO APLICA</v>
      </c>
      <c r="GX201" s="2"/>
      <c r="GY201" s="4"/>
      <c r="GZ201" s="4"/>
      <c r="HA201" s="8"/>
      <c r="HB201" s="5" t="str">
        <f t="shared" si="632"/>
        <v>NO APLICA</v>
      </c>
      <c r="HC201" s="6"/>
      <c r="HD201" s="6"/>
      <c r="HE201" s="4"/>
      <c r="HF201" s="8"/>
      <c r="HG201" s="5" t="str">
        <f t="shared" si="718"/>
        <v>NO APLICA</v>
      </c>
      <c r="HH201" s="2"/>
      <c r="HI201" s="6"/>
      <c r="HJ201" s="4"/>
      <c r="HK201" s="8"/>
      <c r="HL201" s="5" t="str">
        <f t="shared" si="714"/>
        <v>NO APLICA</v>
      </c>
      <c r="HM201" s="2"/>
      <c r="HN201" s="2"/>
      <c r="HO201" s="4"/>
      <c r="HP201" s="2"/>
      <c r="HQ201" s="5" t="str">
        <f t="shared" si="751"/>
        <v>NO APLICA</v>
      </c>
      <c r="HR201" s="2"/>
      <c r="HS201" s="6"/>
      <c r="HT201" s="4"/>
      <c r="HU201" s="8"/>
      <c r="HV201" s="5" t="str">
        <f t="shared" si="752"/>
        <v>NO APLICA</v>
      </c>
      <c r="HW201" s="2"/>
      <c r="HX201" s="6"/>
      <c r="HY201" s="4"/>
      <c r="HZ201" s="8"/>
      <c r="IA201" s="5" t="str">
        <f t="shared" si="753"/>
        <v>NO APLICA</v>
      </c>
      <c r="IB201" s="2"/>
      <c r="IC201" s="6"/>
      <c r="ID201" s="4"/>
      <c r="IE201" s="8"/>
      <c r="IF201" s="5" t="str">
        <f t="shared" si="754"/>
        <v>NO APLICA</v>
      </c>
      <c r="IG201" s="6"/>
      <c r="IH201" s="6"/>
      <c r="II201" s="4"/>
      <c r="IJ201" s="8"/>
      <c r="IK201" s="5" t="str">
        <f t="shared" si="755"/>
        <v>NO APLICA</v>
      </c>
      <c r="IL201" s="2"/>
      <c r="IM201" s="6"/>
      <c r="IN201" s="4"/>
      <c r="IO201" s="8"/>
      <c r="IP201" s="5" t="str">
        <f t="shared" si="756"/>
        <v>NO APLICA</v>
      </c>
      <c r="IQ201" s="2"/>
      <c r="IR201" s="6"/>
      <c r="IS201" s="4"/>
      <c r="IT201" s="8"/>
      <c r="IU201" s="5" t="str">
        <f t="shared" si="757"/>
        <v>NO APLICA</v>
      </c>
      <c r="IV201" s="2"/>
      <c r="IW201" s="6"/>
      <c r="IX201" s="4"/>
      <c r="IY201" s="8"/>
      <c r="IZ201" s="5" t="str">
        <f t="shared" si="758"/>
        <v>NO APLICA</v>
      </c>
      <c r="JA201" s="3"/>
      <c r="JB201" s="3"/>
      <c r="JC201" s="4"/>
      <c r="JD201" s="8"/>
      <c r="JE201" s="5" t="str">
        <f t="shared" si="759"/>
        <v>NO APLICA</v>
      </c>
      <c r="JF201" s="6"/>
      <c r="JG201" s="6"/>
      <c r="JH201" s="6"/>
      <c r="JI201" s="6"/>
      <c r="JJ201" s="5" t="str">
        <f t="shared" si="760"/>
        <v>NO APLICA</v>
      </c>
      <c r="JK201" s="6"/>
      <c r="JL201" s="6"/>
      <c r="JM201" s="6"/>
      <c r="JN201" s="6"/>
      <c r="JO201" s="5" t="str">
        <f t="shared" si="761"/>
        <v>NO APLICA</v>
      </c>
      <c r="JP201" s="6"/>
      <c r="JQ201" s="6"/>
      <c r="JR201" s="6"/>
      <c r="JS201" s="6"/>
      <c r="JT201" s="5" t="str">
        <f t="shared" si="762"/>
        <v>NO APLICA</v>
      </c>
      <c r="JU201" s="5"/>
      <c r="JV201" s="3"/>
      <c r="JW201" s="4"/>
      <c r="JX201" s="8"/>
      <c r="JY201" s="5" t="str">
        <f>IF(JX201&gt;=61,"VIGENTE",IF(JX201&gt;=1,"POR VENCER",IF(JX201&lt;=-1,"VENCIDA",IF(JV201=0,"NO APLICA"))))</f>
        <v>NO APLICA</v>
      </c>
      <c r="JZ201" s="5"/>
      <c r="KA201" s="2"/>
      <c r="KB201" s="4"/>
      <c r="KC201" s="8"/>
      <c r="KD201" s="5" t="str">
        <f t="shared" si="764"/>
        <v>NO APLICA</v>
      </c>
      <c r="KE201" s="5"/>
      <c r="KF201" s="2"/>
      <c r="KG201" s="4"/>
      <c r="KH201" s="8"/>
      <c r="KI201" s="5" t="str">
        <f t="shared" si="784"/>
        <v>NO APLICA</v>
      </c>
      <c r="KJ201" s="5"/>
      <c r="KK201" s="2"/>
      <c r="KL201" s="4"/>
      <c r="KM201" s="8"/>
      <c r="KN201" s="5" t="str">
        <f t="shared" si="765"/>
        <v>NO APLICA</v>
      </c>
      <c r="KO201" s="5"/>
      <c r="KP201" s="2"/>
      <c r="KQ201" s="4"/>
      <c r="KR201" s="8"/>
      <c r="KS201" s="5" t="str">
        <f t="shared" si="785"/>
        <v>NO APLICA</v>
      </c>
      <c r="KT201" s="2"/>
      <c r="KU201" s="6"/>
      <c r="KV201" s="4"/>
      <c r="KW201" s="8"/>
      <c r="KX201" s="5" t="str">
        <f t="shared" si="791"/>
        <v>NO APLICA</v>
      </c>
      <c r="KY201" s="5"/>
      <c r="KZ201" s="6"/>
      <c r="LA201" s="4"/>
      <c r="LB201" s="8"/>
      <c r="LC201" s="5" t="str">
        <f t="shared" si="786"/>
        <v>NO APLICA</v>
      </c>
      <c r="LD201" s="6"/>
      <c r="LE201" s="6"/>
      <c r="LF201" s="4"/>
      <c r="LG201" s="8"/>
      <c r="LH201" s="5" t="str">
        <f t="shared" si="619"/>
        <v>NO APLICA</v>
      </c>
      <c r="LI201" s="5"/>
      <c r="LJ201" s="5"/>
      <c r="LK201" s="4"/>
      <c r="LL201" s="8"/>
      <c r="LM201" s="5" t="str">
        <f t="shared" si="792"/>
        <v>NO APLICA</v>
      </c>
      <c r="LN201" s="2"/>
      <c r="LO201" s="6"/>
      <c r="LP201" s="4"/>
      <c r="LQ201" s="8"/>
      <c r="LR201" s="5" t="str">
        <f t="shared" si="787"/>
        <v>NO APLICA</v>
      </c>
      <c r="LS201" s="6"/>
      <c r="LT201" s="6"/>
      <c r="LU201" s="4"/>
      <c r="LV201" s="8"/>
      <c r="LW201" s="5" t="str">
        <f t="shared" si="788"/>
        <v>NO APLICA</v>
      </c>
      <c r="LX201" s="6"/>
      <c r="LY201" s="6"/>
      <c r="LZ201" s="4"/>
      <c r="MA201" s="8"/>
      <c r="MB201" s="5" t="str">
        <f t="shared" si="789"/>
        <v>NO APLICA</v>
      </c>
      <c r="MC201" s="2"/>
      <c r="MD201" s="2"/>
      <c r="ME201" s="4"/>
      <c r="MF201" s="8"/>
      <c r="MG201" s="5" t="str">
        <f t="shared" si="766"/>
        <v>NO APLICA</v>
      </c>
      <c r="MH201" s="2"/>
      <c r="MI201" s="2"/>
      <c r="MJ201" s="4"/>
      <c r="MK201" s="8"/>
      <c r="ML201" s="5" t="str">
        <f t="shared" si="767"/>
        <v>NO APLICA</v>
      </c>
      <c r="MM201" s="5"/>
      <c r="MN201" s="2"/>
      <c r="MO201" s="4"/>
      <c r="MP201" s="8"/>
      <c r="MQ201" s="5" t="str">
        <f t="shared" si="768"/>
        <v>NO APLICA</v>
      </c>
      <c r="MR201" s="5"/>
      <c r="MS201" s="2"/>
      <c r="MT201" s="4"/>
      <c r="MU201" s="2"/>
      <c r="MV201" s="5" t="str">
        <f t="shared" si="769"/>
        <v>NO APLICA</v>
      </c>
      <c r="MW201" s="2"/>
      <c r="MX201" s="6"/>
      <c r="MY201" s="4"/>
      <c r="MZ201" s="8"/>
      <c r="NA201" s="5" t="str">
        <f t="shared" si="770"/>
        <v>NO APLICA</v>
      </c>
      <c r="NB201" s="2"/>
      <c r="NC201" s="6"/>
      <c r="ND201" s="4"/>
      <c r="NE201" s="8"/>
      <c r="NF201" s="5" t="str">
        <f t="shared" si="771"/>
        <v>NO APLICA</v>
      </c>
      <c r="NG201" s="2"/>
      <c r="NH201" s="6"/>
      <c r="NI201" s="4"/>
      <c r="NJ201" s="8"/>
      <c r="NK201" s="5" t="str">
        <f t="shared" si="772"/>
        <v>NO APLICA</v>
      </c>
      <c r="NL201" s="2"/>
      <c r="NM201" s="2"/>
      <c r="NN201" s="4"/>
      <c r="NO201" s="8"/>
      <c r="NP201" s="5" t="str">
        <f t="shared" si="773"/>
        <v>NO APLICA</v>
      </c>
      <c r="NQ201" s="2"/>
      <c r="NR201" s="2"/>
      <c r="NS201" s="4"/>
      <c r="NT201" s="2"/>
      <c r="NU201" s="5" t="str">
        <f t="shared" si="774"/>
        <v>NO APLICA</v>
      </c>
      <c r="NV201" s="6"/>
      <c r="NW201" s="6"/>
      <c r="NX201" s="4"/>
      <c r="NY201" s="8"/>
      <c r="NZ201" s="5" t="str">
        <f t="shared" si="775"/>
        <v>NO APLICA</v>
      </c>
      <c r="OA201" s="6"/>
      <c r="OB201" s="6"/>
      <c r="OC201" s="6"/>
      <c r="OD201" s="6"/>
      <c r="OE201" s="5" t="str">
        <f t="shared" si="776"/>
        <v>NO APLICA</v>
      </c>
      <c r="OF201" s="6"/>
      <c r="OG201" s="6"/>
      <c r="OH201" s="4"/>
      <c r="OI201" s="8"/>
      <c r="OJ201" s="5" t="str">
        <f t="shared" si="777"/>
        <v>NO APLICA</v>
      </c>
      <c r="OK201" s="6"/>
      <c r="OL201" s="6"/>
      <c r="OM201" s="6"/>
      <c r="ON201" s="6"/>
      <c r="OO201" s="5" t="str">
        <f t="shared" si="778"/>
        <v>NO APLICA</v>
      </c>
      <c r="OP201" s="6"/>
      <c r="OQ201" s="6"/>
      <c r="OR201" s="6"/>
      <c r="OS201" s="6"/>
      <c r="OT201" s="5" t="str">
        <f t="shared" si="779"/>
        <v>NO APLICA</v>
      </c>
      <c r="OU201" s="6"/>
      <c r="OV201" s="6"/>
      <c r="OW201" s="6"/>
      <c r="OX201" s="6"/>
      <c r="OY201" s="5" t="str">
        <f t="shared" si="793"/>
        <v>NO APLICA</v>
      </c>
      <c r="OZ201" s="6"/>
      <c r="PA201" s="6"/>
      <c r="PB201" s="6"/>
      <c r="PC201" s="6"/>
      <c r="PD201" s="5" t="str">
        <f t="shared" si="780"/>
        <v>NO APLICA</v>
      </c>
      <c r="PE201" s="6"/>
      <c r="PF201" s="6"/>
      <c r="PG201" s="6"/>
      <c r="PH201" s="6"/>
      <c r="PI201" s="5" t="str">
        <f t="shared" si="781"/>
        <v>NO APLICA</v>
      </c>
      <c r="PJ201" s="5"/>
      <c r="PK201" s="6"/>
      <c r="PL201" s="4"/>
      <c r="PM201" s="8"/>
      <c r="PN201" s="5" t="str">
        <f t="shared" si="790"/>
        <v>NO APLICA</v>
      </c>
      <c r="PO201" s="6"/>
      <c r="PP201" s="6"/>
      <c r="PQ201" s="6"/>
      <c r="PR201" s="6"/>
      <c r="PS201" s="5" t="str">
        <f t="shared" si="782"/>
        <v>NO APLICA</v>
      </c>
      <c r="PT201" s="5"/>
      <c r="PU201" s="6"/>
      <c r="PV201" s="6"/>
      <c r="PW201" s="6"/>
      <c r="PX201" s="5" t="str">
        <f t="shared" si="783"/>
        <v>NO APLICA</v>
      </c>
    </row>
    <row r="202" spans="1:440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6" t="s">
        <v>632</v>
      </c>
      <c r="V202" s="4">
        <v>44884</v>
      </c>
      <c r="W202" s="4">
        <f>DATE(YEAR(V202)+5,MONTH(V202),DAY(V202))</f>
        <v>46710</v>
      </c>
      <c r="X202" s="8">
        <f ca="1">W202-TODAY()</f>
        <v>576</v>
      </c>
      <c r="Y202" s="5" t="str">
        <f ca="1">IF(X202&gt;=90,"VIGENTE",IF(X202&gt;=1,"POR VENCER",IF(X202&lt;=-1,"VENCIDA",IF(V202=0,"NO APLICA"))))</f>
        <v>VIGENTE</v>
      </c>
      <c r="Z202" s="6"/>
      <c r="AA202" s="6"/>
      <c r="AB202" s="6"/>
      <c r="AC202" s="6"/>
      <c r="AD202" s="5" t="str">
        <f t="shared" si="627"/>
        <v>NO APLICA</v>
      </c>
      <c r="AE202" s="4"/>
      <c r="AF202" s="4"/>
      <c r="AG202" s="4"/>
      <c r="AH202" s="6"/>
      <c r="AI202" s="5" t="str">
        <f t="shared" si="621"/>
        <v>NO APLICA</v>
      </c>
      <c r="AJ202" s="4"/>
      <c r="AK202" s="4"/>
      <c r="AL202" s="4"/>
      <c r="AM202" s="6"/>
      <c r="AN202" s="5" t="str">
        <f t="shared" si="720"/>
        <v>NO APLICA</v>
      </c>
      <c r="AO202" s="4"/>
      <c r="AP202" s="4"/>
      <c r="AQ202" s="4"/>
      <c r="AR202" s="6"/>
      <c r="AS202" s="5" t="str">
        <f t="shared" si="721"/>
        <v>NO APLICA</v>
      </c>
      <c r="AT202" s="4"/>
      <c r="AU202" s="4"/>
      <c r="AV202" s="4"/>
      <c r="AW202" s="6"/>
      <c r="AX202" s="5" t="str">
        <f t="shared" si="722"/>
        <v>NO APLICA</v>
      </c>
      <c r="AY202" s="4"/>
      <c r="AZ202" s="4"/>
      <c r="BA202" s="4"/>
      <c r="BB202" s="6"/>
      <c r="BC202" s="5" t="str">
        <f t="shared" si="723"/>
        <v>NO APLICA</v>
      </c>
      <c r="BD202" s="4"/>
      <c r="BE202" s="4"/>
      <c r="BF202" s="4"/>
      <c r="BG202" s="6"/>
      <c r="BH202" s="5" t="str">
        <f t="shared" si="724"/>
        <v>NO APLICA</v>
      </c>
      <c r="BI202" s="4"/>
      <c r="BJ202" s="4"/>
      <c r="BK202" s="4"/>
      <c r="BL202" s="6"/>
      <c r="BM202" s="5" t="str">
        <f t="shared" si="725"/>
        <v>NO APLICA</v>
      </c>
      <c r="BN202" s="4"/>
      <c r="BO202" s="4"/>
      <c r="BP202" s="4"/>
      <c r="BQ202" s="6"/>
      <c r="BR202" s="5" t="str">
        <f t="shared" si="726"/>
        <v>NO APLICA</v>
      </c>
      <c r="BS202" s="4"/>
      <c r="BT202" s="4"/>
      <c r="BU202" s="4"/>
      <c r="BV202" s="6"/>
      <c r="BW202" s="5" t="str">
        <f t="shared" si="727"/>
        <v>NO APLICA</v>
      </c>
      <c r="BX202" s="4"/>
      <c r="BY202" s="4"/>
      <c r="BZ202" s="4"/>
      <c r="CA202" s="6"/>
      <c r="CB202" s="5" t="str">
        <f t="shared" si="728"/>
        <v>NO APLICA</v>
      </c>
      <c r="CC202" s="6"/>
      <c r="CD202" s="6"/>
      <c r="CE202" s="6"/>
      <c r="CF202" s="6"/>
      <c r="CG202" s="5" t="str">
        <f t="shared" si="591"/>
        <v>NO APLICA</v>
      </c>
      <c r="CH202" s="4"/>
      <c r="CI202" s="4"/>
      <c r="CJ202" s="4"/>
      <c r="CK202" s="6"/>
      <c r="CL202" s="5" t="str">
        <f t="shared" si="729"/>
        <v>NO APLICA</v>
      </c>
      <c r="CM202" s="4"/>
      <c r="CN202" s="4"/>
      <c r="CO202" s="4"/>
      <c r="CP202" s="6"/>
      <c r="CQ202" s="5" t="str">
        <f t="shared" si="730"/>
        <v>NO APLICA</v>
      </c>
      <c r="CR202" s="4"/>
      <c r="CS202" s="4"/>
      <c r="CT202" s="4"/>
      <c r="CU202" s="6"/>
      <c r="CV202" s="5" t="str">
        <f t="shared" si="731"/>
        <v>NO APLICA</v>
      </c>
      <c r="CW202" s="4"/>
      <c r="CX202" s="4"/>
      <c r="CY202" s="4"/>
      <c r="CZ202" s="6"/>
      <c r="DA202" s="5" t="str">
        <f t="shared" si="732"/>
        <v>NO APLICA</v>
      </c>
      <c r="DB202" s="4"/>
      <c r="DC202" s="4"/>
      <c r="DD202" s="4"/>
      <c r="DE202" s="6"/>
      <c r="DF202" s="5" t="str">
        <f t="shared" si="733"/>
        <v>NO APLICA</v>
      </c>
      <c r="DG202" s="4"/>
      <c r="DH202" s="4"/>
      <c r="DI202" s="4"/>
      <c r="DJ202" s="6"/>
      <c r="DK202" s="5" t="str">
        <f t="shared" si="734"/>
        <v>NO APLICA</v>
      </c>
      <c r="DL202" s="4"/>
      <c r="DM202" s="4"/>
      <c r="DN202" s="4"/>
      <c r="DO202" s="6"/>
      <c r="DP202" s="5" t="str">
        <f t="shared" si="735"/>
        <v>NO APLICA</v>
      </c>
      <c r="DQ202" s="4"/>
      <c r="DR202" s="4"/>
      <c r="DS202" s="4"/>
      <c r="DT202" s="6"/>
      <c r="DU202" s="5" t="str">
        <f t="shared" si="736"/>
        <v>NO APLICA</v>
      </c>
      <c r="DV202" s="4"/>
      <c r="DW202" s="4"/>
      <c r="DX202" s="4"/>
      <c r="DY202" s="6"/>
      <c r="DZ202" s="5" t="str">
        <f t="shared" si="737"/>
        <v>NO APLICA</v>
      </c>
      <c r="EA202" s="4"/>
      <c r="EB202" s="4"/>
      <c r="EC202" s="4"/>
      <c r="ED202" s="6"/>
      <c r="EE202" s="5" t="str">
        <f t="shared" si="738"/>
        <v>NO APLICA</v>
      </c>
      <c r="EF202" s="4"/>
      <c r="EG202" s="4"/>
      <c r="EH202" s="4"/>
      <c r="EI202" s="8"/>
      <c r="EJ202" s="5" t="str">
        <f t="shared" si="739"/>
        <v>NO APLICA</v>
      </c>
      <c r="EK202" s="4"/>
      <c r="EL202" s="4"/>
      <c r="EM202" s="4"/>
      <c r="EN202" s="8"/>
      <c r="EO202" s="5" t="str">
        <f t="shared" si="740"/>
        <v>NO APLICA</v>
      </c>
      <c r="EP202" s="4"/>
      <c r="EQ202" s="4"/>
      <c r="ER202" s="4"/>
      <c r="ES202" s="8"/>
      <c r="ET202" s="5" t="str">
        <f t="shared" si="741"/>
        <v>NO APLICA</v>
      </c>
      <c r="EU202" s="4"/>
      <c r="EV202" s="4"/>
      <c r="EW202" s="4"/>
      <c r="EX202" s="6"/>
      <c r="EY202" s="5" t="str">
        <f t="shared" si="742"/>
        <v>NO APLICA</v>
      </c>
      <c r="EZ202" s="4"/>
      <c r="FA202" s="4"/>
      <c r="FB202" s="4"/>
      <c r="FC202" s="6"/>
      <c r="FD202" s="5" t="str">
        <f t="shared" si="743"/>
        <v>NO APLICA</v>
      </c>
      <c r="FE202" s="4"/>
      <c r="FF202" s="4"/>
      <c r="FG202" s="4"/>
      <c r="FH202" s="6"/>
      <c r="FI202" s="5" t="str">
        <f t="shared" si="744"/>
        <v>NO APLICA</v>
      </c>
      <c r="FJ202" s="4"/>
      <c r="FK202" s="4"/>
      <c r="FL202" s="4"/>
      <c r="FM202" s="6"/>
      <c r="FN202" s="5" t="str">
        <f t="shared" si="745"/>
        <v>NO APLICA</v>
      </c>
      <c r="FO202" s="4"/>
      <c r="FP202" s="4"/>
      <c r="FQ202" s="4"/>
      <c r="FR202" s="6"/>
      <c r="FS202" s="5" t="str">
        <f t="shared" si="746"/>
        <v>NO APLICA</v>
      </c>
      <c r="FT202" s="4"/>
      <c r="FU202" s="4"/>
      <c r="FV202" s="4"/>
      <c r="FW202" s="6"/>
      <c r="FX202" s="5" t="str">
        <f t="shared" si="747"/>
        <v>NO APLICA</v>
      </c>
      <c r="FY202" s="4"/>
      <c r="FZ202" s="4"/>
      <c r="GA202" s="4"/>
      <c r="GB202" s="6"/>
      <c r="GC202" s="5" t="str">
        <f t="shared" si="748"/>
        <v>NO APLICA</v>
      </c>
      <c r="GD202" s="4"/>
      <c r="GE202" s="4"/>
      <c r="GF202" s="4"/>
      <c r="GG202" s="8"/>
      <c r="GH202" s="5" t="str">
        <f t="shared" si="749"/>
        <v>NO APLICA</v>
      </c>
      <c r="GI202" s="4"/>
      <c r="GJ202" s="6"/>
      <c r="GK202" s="6"/>
      <c r="GL202" s="6"/>
      <c r="GM202" s="5" t="str">
        <f t="shared" si="750"/>
        <v>NO APLICA</v>
      </c>
      <c r="GN202" s="4"/>
      <c r="GO202" s="6"/>
      <c r="GP202" s="6"/>
      <c r="GQ202" s="6"/>
      <c r="GR202" s="5" t="str">
        <f t="shared" si="630"/>
        <v>NO APLICA</v>
      </c>
      <c r="GS202" s="4"/>
      <c r="GT202" s="6"/>
      <c r="GU202" s="6"/>
      <c r="GV202" s="6"/>
      <c r="GW202" s="5" t="str">
        <f t="shared" si="631"/>
        <v>NO APLICA</v>
      </c>
      <c r="GX202" s="6"/>
      <c r="GY202" s="6"/>
      <c r="GZ202" s="6"/>
      <c r="HA202" s="6"/>
      <c r="HB202" s="5" t="str">
        <f t="shared" si="632"/>
        <v>NO APLICA</v>
      </c>
      <c r="HC202" s="6"/>
      <c r="HD202" s="6"/>
      <c r="HE202" s="4"/>
      <c r="HF202" s="8"/>
      <c r="HG202" s="5" t="str">
        <f t="shared" si="718"/>
        <v>NO APLICA</v>
      </c>
      <c r="HH202" s="6"/>
      <c r="HI202" s="6"/>
      <c r="HJ202" s="6"/>
      <c r="HK202" s="6"/>
      <c r="HL202" s="5" t="str">
        <f t="shared" si="714"/>
        <v>NO APLICA</v>
      </c>
      <c r="HM202" s="6"/>
      <c r="HN202" s="6"/>
      <c r="HO202" s="6"/>
      <c r="HP202" s="6"/>
      <c r="HQ202" s="5" t="str">
        <f t="shared" si="751"/>
        <v>NO APLICA</v>
      </c>
      <c r="HR202" s="6"/>
      <c r="HS202" s="6"/>
      <c r="HT202" s="6"/>
      <c r="HU202" s="6"/>
      <c r="HV202" s="5" t="str">
        <f t="shared" si="752"/>
        <v>NO APLICA</v>
      </c>
      <c r="HW202" s="6"/>
      <c r="HX202" s="6"/>
      <c r="HY202" s="6"/>
      <c r="HZ202" s="6"/>
      <c r="IA202" s="5" t="str">
        <f t="shared" si="753"/>
        <v>NO APLICA</v>
      </c>
      <c r="IB202" s="6"/>
      <c r="IC202" s="6"/>
      <c r="ID202" s="6"/>
      <c r="IE202" s="6"/>
      <c r="IF202" s="5" t="str">
        <f t="shared" si="754"/>
        <v>NO APLICA</v>
      </c>
      <c r="IG202" s="6"/>
      <c r="IH202" s="6"/>
      <c r="II202" s="6"/>
      <c r="IJ202" s="6"/>
      <c r="IK202" s="5" t="str">
        <f t="shared" si="755"/>
        <v>NO APLICA</v>
      </c>
      <c r="IL202" s="6"/>
      <c r="IM202" s="6"/>
      <c r="IN202" s="6"/>
      <c r="IO202" s="6"/>
      <c r="IP202" s="5" t="str">
        <f t="shared" si="756"/>
        <v>NO APLICA</v>
      </c>
      <c r="IQ202" s="6"/>
      <c r="IR202" s="6"/>
      <c r="IS202" s="6"/>
      <c r="IT202" s="6"/>
      <c r="IU202" s="5" t="str">
        <f t="shared" si="757"/>
        <v>NO APLICA</v>
      </c>
      <c r="IV202" s="6"/>
      <c r="IW202" s="6"/>
      <c r="IX202" s="6"/>
      <c r="IY202" s="6"/>
      <c r="IZ202" s="5" t="str">
        <f t="shared" si="758"/>
        <v>NO APLICA</v>
      </c>
      <c r="JA202" s="6"/>
      <c r="JB202" s="6"/>
      <c r="JC202" s="6"/>
      <c r="JD202" s="6"/>
      <c r="JE202" s="5" t="str">
        <f t="shared" si="759"/>
        <v>NO APLICA</v>
      </c>
      <c r="JF202" s="6"/>
      <c r="JG202" s="6"/>
      <c r="JH202" s="6"/>
      <c r="JI202" s="6"/>
      <c r="JJ202" s="5" t="str">
        <f t="shared" si="760"/>
        <v>NO APLICA</v>
      </c>
      <c r="JK202" s="6"/>
      <c r="JL202" s="6"/>
      <c r="JM202" s="6"/>
      <c r="JN202" s="6"/>
      <c r="JO202" s="5" t="str">
        <f t="shared" si="761"/>
        <v>NO APLICA</v>
      </c>
      <c r="JP202" s="6"/>
      <c r="JQ202" s="6"/>
      <c r="JR202" s="6"/>
      <c r="JS202" s="6"/>
      <c r="JT202" s="5" t="str">
        <f t="shared" si="762"/>
        <v>NO APLICA</v>
      </c>
      <c r="JU202" s="5"/>
      <c r="JV202" s="5"/>
      <c r="JW202" s="5"/>
      <c r="JX202" s="5"/>
      <c r="JY202" s="5" t="str">
        <f t="shared" si="763"/>
        <v>NO APLICA</v>
      </c>
      <c r="JZ202" s="5"/>
      <c r="KA202" s="6"/>
      <c r="KB202" s="6"/>
      <c r="KC202" s="6"/>
      <c r="KD202" s="5" t="str">
        <f t="shared" si="764"/>
        <v>NO APLICA</v>
      </c>
      <c r="KE202" s="5"/>
      <c r="KF202" s="6"/>
      <c r="KG202" s="6"/>
      <c r="KH202" s="6"/>
      <c r="KI202" s="5" t="str">
        <f t="shared" si="784"/>
        <v>NO APLICA</v>
      </c>
      <c r="KJ202" s="5"/>
      <c r="KK202" s="6"/>
      <c r="KL202" s="6"/>
      <c r="KM202" s="6"/>
      <c r="KN202" s="5" t="str">
        <f t="shared" si="765"/>
        <v>NO APLICA</v>
      </c>
      <c r="KO202" s="5"/>
      <c r="KP202" s="6"/>
      <c r="KQ202" s="6"/>
      <c r="KR202" s="6"/>
      <c r="KS202" s="5" t="str">
        <f t="shared" si="785"/>
        <v>NO APLICA</v>
      </c>
      <c r="KT202" s="6"/>
      <c r="KU202" s="6"/>
      <c r="KV202" s="6"/>
      <c r="KW202" s="6"/>
      <c r="KX202" s="5" t="str">
        <f t="shared" si="791"/>
        <v>NO APLICA</v>
      </c>
      <c r="KY202" s="5"/>
      <c r="KZ202" s="6"/>
      <c r="LA202" s="6"/>
      <c r="LB202" s="6"/>
      <c r="LC202" s="5" t="str">
        <f t="shared" si="786"/>
        <v>NO APLICA</v>
      </c>
      <c r="LD202" s="6"/>
      <c r="LE202" s="6"/>
      <c r="LF202" s="6"/>
      <c r="LG202" s="6"/>
      <c r="LH202" s="5" t="str">
        <f t="shared" si="619"/>
        <v>NO APLICA</v>
      </c>
      <c r="LI202" s="5"/>
      <c r="LJ202" s="5"/>
      <c r="LK202" s="4"/>
      <c r="LL202" s="8"/>
      <c r="LM202" s="5" t="str">
        <f t="shared" si="792"/>
        <v>NO APLICA</v>
      </c>
      <c r="LN202" s="6"/>
      <c r="LO202" s="6"/>
      <c r="LP202" s="6"/>
      <c r="LQ202" s="6"/>
      <c r="LR202" s="5" t="str">
        <f t="shared" si="787"/>
        <v>NO APLICA</v>
      </c>
      <c r="LS202" s="6"/>
      <c r="LT202" s="6"/>
      <c r="LU202" s="6"/>
      <c r="LV202" s="6"/>
      <c r="LW202" s="5" t="str">
        <f t="shared" si="788"/>
        <v>NO APLICA</v>
      </c>
      <c r="LX202" s="6"/>
      <c r="LY202" s="6"/>
      <c r="LZ202" s="6"/>
      <c r="MA202" s="6"/>
      <c r="MB202" s="5" t="str">
        <f t="shared" si="789"/>
        <v>NO APLICA</v>
      </c>
      <c r="MC202" s="6"/>
      <c r="MD202" s="6"/>
      <c r="ME202" s="6"/>
      <c r="MF202" s="6"/>
      <c r="MG202" s="5" t="str">
        <f t="shared" si="766"/>
        <v>NO APLICA</v>
      </c>
      <c r="MH202" s="6"/>
      <c r="MI202" s="6"/>
      <c r="MJ202" s="6"/>
      <c r="MK202" s="6"/>
      <c r="ML202" s="5" t="str">
        <f t="shared" si="767"/>
        <v>NO APLICA</v>
      </c>
      <c r="MM202" s="5"/>
      <c r="MN202" s="6"/>
      <c r="MO202" s="6"/>
      <c r="MP202" s="6"/>
      <c r="MQ202" s="5" t="str">
        <f t="shared" si="768"/>
        <v>NO APLICA</v>
      </c>
      <c r="MR202" s="5"/>
      <c r="MS202" s="6"/>
      <c r="MT202" s="6"/>
      <c r="MU202" s="6"/>
      <c r="MV202" s="5" t="str">
        <f t="shared" si="769"/>
        <v>NO APLICA</v>
      </c>
      <c r="MW202" s="6"/>
      <c r="MX202" s="6"/>
      <c r="MY202" s="6"/>
      <c r="MZ202" s="6"/>
      <c r="NA202" s="5" t="str">
        <f t="shared" si="770"/>
        <v>NO APLICA</v>
      </c>
      <c r="NB202" s="6"/>
      <c r="NC202" s="6"/>
      <c r="ND202" s="6"/>
      <c r="NE202" s="6"/>
      <c r="NF202" s="5" t="str">
        <f t="shared" si="771"/>
        <v>NO APLICA</v>
      </c>
      <c r="NG202" s="6"/>
      <c r="NH202" s="6"/>
      <c r="NI202" s="6"/>
      <c r="NJ202" s="6"/>
      <c r="NK202" s="5" t="str">
        <f t="shared" si="772"/>
        <v>NO APLICA</v>
      </c>
      <c r="NL202" s="6"/>
      <c r="NM202" s="6"/>
      <c r="NN202" s="6"/>
      <c r="NO202" s="6"/>
      <c r="NP202" s="5" t="str">
        <f t="shared" si="773"/>
        <v>NO APLICA</v>
      </c>
      <c r="NQ202" s="6"/>
      <c r="NR202" s="6"/>
      <c r="NS202" s="6"/>
      <c r="NT202" s="6"/>
      <c r="NU202" s="5" t="str">
        <f t="shared" si="774"/>
        <v>NO APLICA</v>
      </c>
      <c r="NV202" s="6"/>
      <c r="NW202" s="6"/>
      <c r="NX202" s="6"/>
      <c r="NY202" s="6"/>
      <c r="NZ202" s="5" t="str">
        <f t="shared" si="775"/>
        <v>NO APLICA</v>
      </c>
      <c r="OA202" s="6"/>
      <c r="OB202" s="6"/>
      <c r="OC202" s="6"/>
      <c r="OD202" s="6"/>
      <c r="OE202" s="5" t="str">
        <f t="shared" si="776"/>
        <v>NO APLICA</v>
      </c>
      <c r="OF202" s="6"/>
      <c r="OG202" s="6"/>
      <c r="OH202" s="6"/>
      <c r="OI202" s="6"/>
      <c r="OJ202" s="5" t="str">
        <f t="shared" si="777"/>
        <v>NO APLICA</v>
      </c>
      <c r="OK202" s="6"/>
      <c r="OL202" s="6"/>
      <c r="OM202" s="6"/>
      <c r="ON202" s="6"/>
      <c r="OO202" s="5" t="str">
        <f t="shared" si="778"/>
        <v>NO APLICA</v>
      </c>
      <c r="OP202" s="6"/>
      <c r="OQ202" s="6"/>
      <c r="OR202" s="6"/>
      <c r="OS202" s="6"/>
      <c r="OT202" s="5" t="str">
        <f t="shared" si="779"/>
        <v>NO APLICA</v>
      </c>
      <c r="OU202" s="6"/>
      <c r="OV202" s="6"/>
      <c r="OW202" s="6"/>
      <c r="OX202" s="6"/>
      <c r="OY202" s="5" t="str">
        <f t="shared" si="793"/>
        <v>NO APLICA</v>
      </c>
      <c r="OZ202" s="6"/>
      <c r="PA202" s="6"/>
      <c r="PB202" s="6"/>
      <c r="PC202" s="6"/>
      <c r="PD202" s="5" t="str">
        <f t="shared" si="780"/>
        <v>NO APLICA</v>
      </c>
      <c r="PE202" s="6"/>
      <c r="PF202" s="6"/>
      <c r="PG202" s="6"/>
      <c r="PH202" s="6"/>
      <c r="PI202" s="5" t="str">
        <f t="shared" si="781"/>
        <v>NO APLICA</v>
      </c>
      <c r="PJ202" s="5"/>
      <c r="PK202" s="6"/>
      <c r="PL202" s="6"/>
      <c r="PM202" s="6"/>
      <c r="PN202" s="5" t="str">
        <f t="shared" si="790"/>
        <v>NO APLICA</v>
      </c>
      <c r="PO202" s="6"/>
      <c r="PP202" s="6"/>
      <c r="PQ202" s="6"/>
      <c r="PR202" s="6"/>
      <c r="PS202" s="5" t="str">
        <f t="shared" si="782"/>
        <v>NO APLICA</v>
      </c>
      <c r="PT202" s="5"/>
      <c r="PU202" s="6"/>
      <c r="PV202" s="6"/>
      <c r="PW202" s="6"/>
      <c r="PX202" s="5" t="str">
        <f t="shared" si="783"/>
        <v>NO APLICA</v>
      </c>
    </row>
    <row r="203" spans="1:440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2"/>
      <c r="V203" s="4"/>
      <c r="W203" s="4"/>
      <c r="X203" s="8"/>
      <c r="Y203" s="5" t="str">
        <f t="shared" si="624"/>
        <v>NO APLICA</v>
      </c>
      <c r="Z203" s="2"/>
      <c r="AA203" s="6"/>
      <c r="AB203" s="4"/>
      <c r="AC203" s="8"/>
      <c r="AD203" s="5" t="str">
        <f t="shared" si="627"/>
        <v>NO APLICA</v>
      </c>
      <c r="AE203" s="2"/>
      <c r="AF203" s="4"/>
      <c r="AG203" s="4"/>
      <c r="AH203" s="8"/>
      <c r="AI203" s="5" t="str">
        <f t="shared" si="621"/>
        <v>NO APLICA</v>
      </c>
      <c r="AJ203" s="2"/>
      <c r="AK203" s="4"/>
      <c r="AL203" s="4"/>
      <c r="AM203" s="8"/>
      <c r="AN203" s="5" t="str">
        <f t="shared" si="720"/>
        <v>NO APLICA</v>
      </c>
      <c r="AO203" s="2"/>
      <c r="AP203" s="4"/>
      <c r="AQ203" s="4"/>
      <c r="AR203" s="8"/>
      <c r="AS203" s="5" t="str">
        <f t="shared" si="721"/>
        <v>NO APLICA</v>
      </c>
      <c r="AT203" s="2"/>
      <c r="AU203" s="4"/>
      <c r="AV203" s="4"/>
      <c r="AW203" s="8"/>
      <c r="AX203" s="5" t="str">
        <f t="shared" si="722"/>
        <v>NO APLICA</v>
      </c>
      <c r="AY203" s="3"/>
      <c r="AZ203" s="4"/>
      <c r="BA203" s="4"/>
      <c r="BB203" s="8"/>
      <c r="BC203" s="5" t="str">
        <f t="shared" si="723"/>
        <v>NO APLICA</v>
      </c>
      <c r="BD203" s="2"/>
      <c r="BE203" s="4"/>
      <c r="BF203" s="4"/>
      <c r="BG203" s="8"/>
      <c r="BH203" s="5" t="str">
        <f t="shared" si="724"/>
        <v>NO APLICA</v>
      </c>
      <c r="BI203" s="3"/>
      <c r="BJ203" s="4"/>
      <c r="BK203" s="4"/>
      <c r="BL203" s="8"/>
      <c r="BM203" s="5" t="str">
        <f t="shared" si="725"/>
        <v>NO APLICA</v>
      </c>
      <c r="BN203" s="3"/>
      <c r="BO203" s="4"/>
      <c r="BP203" s="4"/>
      <c r="BQ203" s="8"/>
      <c r="BR203" s="5" t="str">
        <f t="shared" si="726"/>
        <v>NO APLICA</v>
      </c>
      <c r="BS203" s="2"/>
      <c r="BT203" s="4"/>
      <c r="BU203" s="4"/>
      <c r="BV203" s="8"/>
      <c r="BW203" s="5" t="str">
        <f t="shared" si="727"/>
        <v>NO APLICA</v>
      </c>
      <c r="BX203" s="2"/>
      <c r="BY203" s="4"/>
      <c r="BZ203" s="4"/>
      <c r="CA203" s="8"/>
      <c r="CB203" s="5" t="str">
        <f t="shared" si="728"/>
        <v>NO APLICA</v>
      </c>
      <c r="CC203" s="6"/>
      <c r="CD203" s="4"/>
      <c r="CE203" s="4"/>
      <c r="CF203" s="8"/>
      <c r="CG203" s="5" t="str">
        <f t="shared" si="591"/>
        <v>NO APLICA</v>
      </c>
      <c r="CH203" s="6"/>
      <c r="CI203" s="4"/>
      <c r="CJ203" s="4"/>
      <c r="CK203" s="8"/>
      <c r="CL203" s="5" t="str">
        <f t="shared" si="729"/>
        <v>NO APLICA</v>
      </c>
      <c r="CM203" s="2"/>
      <c r="CN203" s="4"/>
      <c r="CO203" s="4"/>
      <c r="CP203" s="8"/>
      <c r="CQ203" s="5" t="str">
        <f t="shared" si="730"/>
        <v>NO APLICA</v>
      </c>
      <c r="CR203" s="2"/>
      <c r="CS203" s="4"/>
      <c r="CT203" s="4"/>
      <c r="CU203" s="8"/>
      <c r="CV203" s="5" t="str">
        <f t="shared" si="731"/>
        <v>NO APLICA</v>
      </c>
      <c r="CW203" s="3"/>
      <c r="CX203" s="4"/>
      <c r="CY203" s="4"/>
      <c r="CZ203" s="8"/>
      <c r="DA203" s="5" t="str">
        <f t="shared" si="732"/>
        <v>NO APLICA</v>
      </c>
      <c r="DB203" s="3"/>
      <c r="DC203" s="4"/>
      <c r="DD203" s="4"/>
      <c r="DE203" s="8"/>
      <c r="DF203" s="5" t="str">
        <f t="shared" si="733"/>
        <v>NO APLICA</v>
      </c>
      <c r="DG203" s="2"/>
      <c r="DH203" s="4"/>
      <c r="DI203" s="4"/>
      <c r="DJ203" s="8"/>
      <c r="DK203" s="5" t="str">
        <f t="shared" si="734"/>
        <v>NO APLICA</v>
      </c>
      <c r="DL203" s="3"/>
      <c r="DM203" s="4"/>
      <c r="DN203" s="4"/>
      <c r="DO203" s="8"/>
      <c r="DP203" s="5" t="str">
        <f t="shared" si="735"/>
        <v>NO APLICA</v>
      </c>
      <c r="DQ203" s="2"/>
      <c r="DR203" s="4"/>
      <c r="DS203" s="4"/>
      <c r="DT203" s="8"/>
      <c r="DU203" s="5" t="str">
        <f t="shared" si="736"/>
        <v>NO APLICA</v>
      </c>
      <c r="DV203" s="3"/>
      <c r="DW203" s="4"/>
      <c r="DX203" s="4"/>
      <c r="DY203" s="8"/>
      <c r="DZ203" s="5" t="str">
        <f t="shared" si="737"/>
        <v>NO APLICA</v>
      </c>
      <c r="EA203" s="3"/>
      <c r="EB203" s="4"/>
      <c r="EC203" s="4"/>
      <c r="ED203" s="8"/>
      <c r="EE203" s="5" t="str">
        <f t="shared" si="738"/>
        <v>NO APLICA</v>
      </c>
      <c r="EF203" s="2"/>
      <c r="EG203" s="4"/>
      <c r="EH203" s="4"/>
      <c r="EI203" s="8"/>
      <c r="EJ203" s="5" t="str">
        <f t="shared" si="739"/>
        <v>NO APLICA</v>
      </c>
      <c r="EK203" s="3"/>
      <c r="EL203" s="4"/>
      <c r="EM203" s="4"/>
      <c r="EN203" s="8"/>
      <c r="EO203" s="5" t="str">
        <f t="shared" si="740"/>
        <v>NO APLICA</v>
      </c>
      <c r="EP203" s="2"/>
      <c r="EQ203" s="4"/>
      <c r="ER203" s="4"/>
      <c r="ES203" s="8"/>
      <c r="ET203" s="5" t="str">
        <f t="shared" si="741"/>
        <v>NO APLICA</v>
      </c>
      <c r="EU203" s="2"/>
      <c r="EV203" s="4"/>
      <c r="EW203" s="4"/>
      <c r="EX203" s="8"/>
      <c r="EY203" s="5" t="str">
        <f t="shared" si="742"/>
        <v>NO APLICA</v>
      </c>
      <c r="EZ203" s="2"/>
      <c r="FA203" s="4"/>
      <c r="FB203" s="4"/>
      <c r="FC203" s="8"/>
      <c r="FD203" s="5" t="str">
        <f t="shared" si="743"/>
        <v>NO APLICA</v>
      </c>
      <c r="FE203" s="2"/>
      <c r="FF203" s="4"/>
      <c r="FG203" s="4"/>
      <c r="FH203" s="8"/>
      <c r="FI203" s="5" t="str">
        <f t="shared" si="744"/>
        <v>NO APLICA</v>
      </c>
      <c r="FJ203" s="3"/>
      <c r="FK203" s="4"/>
      <c r="FL203" s="4"/>
      <c r="FM203" s="8"/>
      <c r="FN203" s="5" t="str">
        <f t="shared" si="745"/>
        <v>NO APLICA</v>
      </c>
      <c r="FO203" s="3"/>
      <c r="FP203" s="4"/>
      <c r="FQ203" s="4"/>
      <c r="FR203" s="8"/>
      <c r="FS203" s="5" t="str">
        <f t="shared" si="746"/>
        <v>NO APLICA</v>
      </c>
      <c r="FT203" s="3"/>
      <c r="FU203" s="4"/>
      <c r="FV203" s="4"/>
      <c r="FW203" s="8"/>
      <c r="FX203" s="5" t="str">
        <f t="shared" si="747"/>
        <v>NO APLICA</v>
      </c>
      <c r="FY203" s="3"/>
      <c r="FZ203" s="4"/>
      <c r="GA203" s="4"/>
      <c r="GB203" s="8"/>
      <c r="GC203" s="5" t="str">
        <f t="shared" si="748"/>
        <v>NO APLICA</v>
      </c>
      <c r="GD203" s="3"/>
      <c r="GE203" s="4"/>
      <c r="GF203" s="4"/>
      <c r="GG203" s="8"/>
      <c r="GH203" s="5" t="str">
        <f t="shared" si="749"/>
        <v>NO APLICA</v>
      </c>
      <c r="GI203" s="3"/>
      <c r="GJ203" s="4"/>
      <c r="GK203" s="4"/>
      <c r="GL203" s="8"/>
      <c r="GM203" s="5" t="str">
        <f t="shared" si="750"/>
        <v>NO APLICA</v>
      </c>
      <c r="GN203" s="4"/>
      <c r="GO203" s="4"/>
      <c r="GP203" s="4"/>
      <c r="GQ203" s="8"/>
      <c r="GR203" s="5" t="str">
        <f t="shared" si="630"/>
        <v>NO APLICA</v>
      </c>
      <c r="GS203" s="3"/>
      <c r="GT203" s="4"/>
      <c r="GU203" s="4"/>
      <c r="GV203" s="8"/>
      <c r="GW203" s="5" t="str">
        <f t="shared" si="631"/>
        <v>NO APLICA</v>
      </c>
      <c r="GX203" s="2"/>
      <c r="GY203" s="4"/>
      <c r="GZ203" s="4"/>
      <c r="HA203" s="8"/>
      <c r="HB203" s="5" t="str">
        <f t="shared" si="632"/>
        <v>NO APLICA</v>
      </c>
      <c r="HC203" s="6"/>
      <c r="HD203" s="6"/>
      <c r="HE203" s="4"/>
      <c r="HF203" s="8"/>
      <c r="HG203" s="5" t="str">
        <f t="shared" si="718"/>
        <v>NO APLICA</v>
      </c>
      <c r="HH203" s="2"/>
      <c r="HI203" s="6"/>
      <c r="HJ203" s="4"/>
      <c r="HK203" s="8"/>
      <c r="HL203" s="5" t="str">
        <f t="shared" si="714"/>
        <v>NO APLICA</v>
      </c>
      <c r="HM203" s="2"/>
      <c r="HN203" s="2"/>
      <c r="HO203" s="4"/>
      <c r="HP203" s="2"/>
      <c r="HQ203" s="5" t="str">
        <f t="shared" si="751"/>
        <v>NO APLICA</v>
      </c>
      <c r="HR203" s="2"/>
      <c r="HS203" s="6"/>
      <c r="HT203" s="4"/>
      <c r="HU203" s="8"/>
      <c r="HV203" s="5" t="str">
        <f t="shared" si="752"/>
        <v>NO APLICA</v>
      </c>
      <c r="HW203" s="2"/>
      <c r="HX203" s="6"/>
      <c r="HY203" s="4"/>
      <c r="HZ203" s="8"/>
      <c r="IA203" s="5" t="str">
        <f t="shared" si="753"/>
        <v>NO APLICA</v>
      </c>
      <c r="IB203" s="2"/>
      <c r="IC203" s="6"/>
      <c r="ID203" s="4"/>
      <c r="IE203" s="8"/>
      <c r="IF203" s="5" t="str">
        <f t="shared" si="754"/>
        <v>NO APLICA</v>
      </c>
      <c r="IG203" s="6"/>
      <c r="IH203" s="6"/>
      <c r="II203" s="4"/>
      <c r="IJ203" s="8"/>
      <c r="IK203" s="5" t="str">
        <f t="shared" si="755"/>
        <v>NO APLICA</v>
      </c>
      <c r="IL203" s="2"/>
      <c r="IM203" s="6"/>
      <c r="IN203" s="4"/>
      <c r="IO203" s="8"/>
      <c r="IP203" s="5" t="str">
        <f t="shared" si="756"/>
        <v>NO APLICA</v>
      </c>
      <c r="IQ203" s="2"/>
      <c r="IR203" s="6"/>
      <c r="IS203" s="4"/>
      <c r="IT203" s="8"/>
      <c r="IU203" s="5" t="str">
        <f t="shared" si="757"/>
        <v>NO APLICA</v>
      </c>
      <c r="IV203" s="2"/>
      <c r="IW203" s="6"/>
      <c r="IX203" s="4"/>
      <c r="IY203" s="8"/>
      <c r="IZ203" s="5" t="str">
        <f t="shared" si="758"/>
        <v>NO APLICA</v>
      </c>
      <c r="JA203" s="3"/>
      <c r="JB203" s="3"/>
      <c r="JC203" s="4"/>
      <c r="JD203" s="8"/>
      <c r="JE203" s="5" t="str">
        <f t="shared" si="759"/>
        <v>NO APLICA</v>
      </c>
      <c r="JF203" s="6"/>
      <c r="JG203" s="6"/>
      <c r="JH203" s="6"/>
      <c r="JI203" s="6"/>
      <c r="JJ203" s="5" t="str">
        <f t="shared" si="760"/>
        <v>NO APLICA</v>
      </c>
      <c r="JK203" s="6"/>
      <c r="JL203" s="6"/>
      <c r="JM203" s="6"/>
      <c r="JN203" s="6"/>
      <c r="JO203" s="5" t="str">
        <f t="shared" si="761"/>
        <v>NO APLICA</v>
      </c>
      <c r="JP203" s="6"/>
      <c r="JQ203" s="6"/>
      <c r="JR203" s="6"/>
      <c r="JS203" s="6"/>
      <c r="JT203" s="5" t="str">
        <f t="shared" si="762"/>
        <v>NO APLICA</v>
      </c>
      <c r="JU203" s="5"/>
      <c r="JV203" s="5"/>
      <c r="JW203" s="5"/>
      <c r="JX203" s="5"/>
      <c r="JY203" s="5" t="str">
        <f t="shared" si="763"/>
        <v>NO APLICA</v>
      </c>
      <c r="JZ203" s="5"/>
      <c r="KA203" s="2"/>
      <c r="KB203" s="4"/>
      <c r="KC203" s="8"/>
      <c r="KD203" s="5" t="str">
        <f t="shared" si="764"/>
        <v>NO APLICA</v>
      </c>
      <c r="KE203" s="5"/>
      <c r="KF203" s="2"/>
      <c r="KG203" s="4"/>
      <c r="KH203" s="8"/>
      <c r="KI203" s="5" t="str">
        <f t="shared" si="784"/>
        <v>NO APLICA</v>
      </c>
      <c r="KJ203" s="5"/>
      <c r="KK203" s="2"/>
      <c r="KL203" s="4"/>
      <c r="KM203" s="8"/>
      <c r="KN203" s="5" t="str">
        <f t="shared" si="765"/>
        <v>NO APLICA</v>
      </c>
      <c r="KO203" s="5"/>
      <c r="KP203" s="2"/>
      <c r="KQ203" s="4"/>
      <c r="KR203" s="8"/>
      <c r="KS203" s="5" t="str">
        <f t="shared" si="785"/>
        <v>NO APLICA</v>
      </c>
      <c r="KT203" s="2"/>
      <c r="KU203" s="6"/>
      <c r="KV203" s="4"/>
      <c r="KW203" s="8"/>
      <c r="KX203" s="5" t="str">
        <f t="shared" si="791"/>
        <v>NO APLICA</v>
      </c>
      <c r="KY203" s="5"/>
      <c r="KZ203" s="6"/>
      <c r="LA203" s="4"/>
      <c r="LB203" s="8"/>
      <c r="LC203" s="5" t="str">
        <f t="shared" si="786"/>
        <v>NO APLICA</v>
      </c>
      <c r="LD203" s="6"/>
      <c r="LE203" s="6"/>
      <c r="LF203" s="4"/>
      <c r="LG203" s="8"/>
      <c r="LH203" s="5" t="str">
        <f t="shared" si="619"/>
        <v>NO APLICA</v>
      </c>
      <c r="LI203" s="5"/>
      <c r="LJ203" s="5"/>
      <c r="LK203" s="4"/>
      <c r="LL203" s="8"/>
      <c r="LM203" s="5" t="str">
        <f t="shared" si="792"/>
        <v>NO APLICA</v>
      </c>
      <c r="LN203" s="2"/>
      <c r="LO203" s="6"/>
      <c r="LP203" s="4"/>
      <c r="LQ203" s="8"/>
      <c r="LR203" s="5" t="str">
        <f t="shared" si="787"/>
        <v>NO APLICA</v>
      </c>
      <c r="LS203" s="6"/>
      <c r="LT203" s="6"/>
      <c r="LU203" s="4"/>
      <c r="LV203" s="8"/>
      <c r="LW203" s="5" t="str">
        <f t="shared" si="788"/>
        <v>NO APLICA</v>
      </c>
      <c r="LX203" s="6"/>
      <c r="LY203" s="6"/>
      <c r="LZ203" s="4"/>
      <c r="MA203" s="8"/>
      <c r="MB203" s="5" t="str">
        <f t="shared" si="789"/>
        <v>NO APLICA</v>
      </c>
      <c r="MC203" s="2"/>
      <c r="MD203" s="2"/>
      <c r="ME203" s="4"/>
      <c r="MF203" s="8"/>
      <c r="MG203" s="5" t="str">
        <f t="shared" si="766"/>
        <v>NO APLICA</v>
      </c>
      <c r="MH203" s="2"/>
      <c r="MI203" s="2"/>
      <c r="MJ203" s="4"/>
      <c r="MK203" s="8"/>
      <c r="ML203" s="5" t="str">
        <f t="shared" si="767"/>
        <v>NO APLICA</v>
      </c>
      <c r="MM203" s="5"/>
      <c r="MN203" s="2"/>
      <c r="MO203" s="4"/>
      <c r="MP203" s="8"/>
      <c r="MQ203" s="5" t="str">
        <f t="shared" si="768"/>
        <v>NO APLICA</v>
      </c>
      <c r="MR203" s="5"/>
      <c r="MS203" s="2"/>
      <c r="MT203" s="4"/>
      <c r="MU203" s="2"/>
      <c r="MV203" s="5" t="str">
        <f t="shared" si="769"/>
        <v>NO APLICA</v>
      </c>
      <c r="MW203" s="2"/>
      <c r="MX203" s="6"/>
      <c r="MY203" s="4"/>
      <c r="MZ203" s="8"/>
      <c r="NA203" s="5" t="str">
        <f t="shared" si="770"/>
        <v>NO APLICA</v>
      </c>
      <c r="NB203" s="2"/>
      <c r="NC203" s="6"/>
      <c r="ND203" s="4"/>
      <c r="NE203" s="8"/>
      <c r="NF203" s="5" t="str">
        <f t="shared" si="771"/>
        <v>NO APLICA</v>
      </c>
      <c r="NG203" s="2"/>
      <c r="NH203" s="6"/>
      <c r="NI203" s="4"/>
      <c r="NJ203" s="8"/>
      <c r="NK203" s="5" t="str">
        <f t="shared" si="772"/>
        <v>NO APLICA</v>
      </c>
      <c r="NL203" s="2"/>
      <c r="NM203" s="2"/>
      <c r="NN203" s="4"/>
      <c r="NO203" s="8"/>
      <c r="NP203" s="5" t="str">
        <f t="shared" si="773"/>
        <v>NO APLICA</v>
      </c>
      <c r="NQ203" s="2"/>
      <c r="NR203" s="2"/>
      <c r="NS203" s="4"/>
      <c r="NT203" s="2"/>
      <c r="NU203" s="5" t="str">
        <f t="shared" si="774"/>
        <v>NO APLICA</v>
      </c>
      <c r="NV203" s="6"/>
      <c r="NW203" s="6"/>
      <c r="NX203" s="4"/>
      <c r="NY203" s="8"/>
      <c r="NZ203" s="5" t="str">
        <f t="shared" si="775"/>
        <v>NO APLICA</v>
      </c>
      <c r="OA203" s="6"/>
      <c r="OB203" s="6"/>
      <c r="OC203" s="6"/>
      <c r="OD203" s="6"/>
      <c r="OE203" s="5" t="str">
        <f t="shared" si="776"/>
        <v>NO APLICA</v>
      </c>
      <c r="OF203" s="6"/>
      <c r="OG203" s="6"/>
      <c r="OH203" s="4"/>
      <c r="OI203" s="8"/>
      <c r="OJ203" s="5" t="str">
        <f t="shared" si="777"/>
        <v>NO APLICA</v>
      </c>
      <c r="OK203" s="6"/>
      <c r="OL203" s="6"/>
      <c r="OM203" s="6"/>
      <c r="ON203" s="6"/>
      <c r="OO203" s="5" t="str">
        <f t="shared" si="778"/>
        <v>NO APLICA</v>
      </c>
      <c r="OP203" s="6"/>
      <c r="OQ203" s="6"/>
      <c r="OR203" s="6"/>
      <c r="OS203" s="6"/>
      <c r="OT203" s="5" t="str">
        <f t="shared" si="779"/>
        <v>NO APLICA</v>
      </c>
      <c r="OU203" s="6"/>
      <c r="OV203" s="6"/>
      <c r="OW203" s="6"/>
      <c r="OX203" s="6"/>
      <c r="OY203" s="5" t="str">
        <f t="shared" si="793"/>
        <v>NO APLICA</v>
      </c>
      <c r="OZ203" s="6"/>
      <c r="PA203" s="6"/>
      <c r="PB203" s="6"/>
      <c r="PC203" s="6"/>
      <c r="PD203" s="5" t="str">
        <f t="shared" si="780"/>
        <v>NO APLICA</v>
      </c>
      <c r="PE203" s="6"/>
      <c r="PF203" s="6"/>
      <c r="PG203" s="6"/>
      <c r="PH203" s="6"/>
      <c r="PI203" s="5" t="str">
        <f t="shared" si="781"/>
        <v>NO APLICA</v>
      </c>
      <c r="PJ203" s="5"/>
      <c r="PK203" s="6"/>
      <c r="PL203" s="4"/>
      <c r="PM203" s="8"/>
      <c r="PN203" s="5" t="str">
        <f t="shared" si="790"/>
        <v>NO APLICA</v>
      </c>
      <c r="PO203" s="6"/>
      <c r="PP203" s="6"/>
      <c r="PQ203" s="6"/>
      <c r="PR203" s="6"/>
      <c r="PS203" s="5" t="str">
        <f t="shared" si="782"/>
        <v>NO APLICA</v>
      </c>
      <c r="PT203" s="5"/>
      <c r="PU203" s="4">
        <v>46126</v>
      </c>
      <c r="PV203" s="4">
        <f>DATE(YEAR(PU203)+1,MONTH(PU203),DAY(PU203))</f>
        <v>46491</v>
      </c>
      <c r="PW203" s="8">
        <f ca="1">PV203-TODAY()</f>
        <v>357</v>
      </c>
      <c r="PX203" s="5" t="str">
        <f t="shared" ca="1" si="783"/>
        <v>VIGENTE</v>
      </c>
    </row>
    <row r="204" spans="1:440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2"/>
      <c r="V204" s="4"/>
      <c r="W204" s="4"/>
      <c r="X204" s="8"/>
      <c r="Y204" s="5" t="str">
        <f t="shared" si="624"/>
        <v>NO APLICA</v>
      </c>
      <c r="Z204" s="2"/>
      <c r="AA204" s="6"/>
      <c r="AB204" s="4"/>
      <c r="AC204" s="8"/>
      <c r="AD204" s="5" t="str">
        <f t="shared" si="627"/>
        <v>NO APLICA</v>
      </c>
      <c r="AE204" s="2"/>
      <c r="AF204" s="4"/>
      <c r="AG204" s="4"/>
      <c r="AH204" s="8"/>
      <c r="AI204" s="5" t="str">
        <f t="shared" si="621"/>
        <v>NO APLICA</v>
      </c>
      <c r="AJ204" s="2"/>
      <c r="AK204" s="4"/>
      <c r="AL204" s="4"/>
      <c r="AM204" s="8"/>
      <c r="AN204" s="5" t="str">
        <f t="shared" si="720"/>
        <v>NO APLICA</v>
      </c>
      <c r="AO204" s="2"/>
      <c r="AP204" s="4"/>
      <c r="AQ204" s="4"/>
      <c r="AR204" s="8"/>
      <c r="AS204" s="5" t="str">
        <f t="shared" si="721"/>
        <v>NO APLICA</v>
      </c>
      <c r="AT204" s="2"/>
      <c r="AU204" s="4"/>
      <c r="AV204" s="4"/>
      <c r="AW204" s="8"/>
      <c r="AX204" s="5" t="str">
        <f t="shared" si="722"/>
        <v>NO APLICA</v>
      </c>
      <c r="AY204" s="3"/>
      <c r="AZ204" s="4"/>
      <c r="BA204" s="4"/>
      <c r="BB204" s="8"/>
      <c r="BC204" s="5" t="str">
        <f t="shared" si="723"/>
        <v>NO APLICA</v>
      </c>
      <c r="BD204" s="2"/>
      <c r="BE204" s="4"/>
      <c r="BF204" s="4"/>
      <c r="BG204" s="8"/>
      <c r="BH204" s="5" t="str">
        <f t="shared" si="724"/>
        <v>NO APLICA</v>
      </c>
      <c r="BI204" s="3"/>
      <c r="BJ204" s="4"/>
      <c r="BK204" s="4"/>
      <c r="BL204" s="8"/>
      <c r="BM204" s="5" t="str">
        <f t="shared" si="725"/>
        <v>NO APLICA</v>
      </c>
      <c r="BN204" s="3"/>
      <c r="BO204" s="4"/>
      <c r="BP204" s="4"/>
      <c r="BQ204" s="8"/>
      <c r="BR204" s="5" t="str">
        <f t="shared" si="726"/>
        <v>NO APLICA</v>
      </c>
      <c r="BS204" s="2"/>
      <c r="BT204" s="4"/>
      <c r="BU204" s="4"/>
      <c r="BV204" s="8"/>
      <c r="BW204" s="5" t="str">
        <f t="shared" si="727"/>
        <v>NO APLICA</v>
      </c>
      <c r="BX204" s="2"/>
      <c r="BY204" s="4"/>
      <c r="BZ204" s="4"/>
      <c r="CA204" s="8"/>
      <c r="CB204" s="5" t="str">
        <f t="shared" si="728"/>
        <v>NO APLICA</v>
      </c>
      <c r="CC204" s="6"/>
      <c r="CD204" s="4"/>
      <c r="CE204" s="4"/>
      <c r="CF204" s="8"/>
      <c r="CG204" s="5" t="str">
        <f t="shared" si="591"/>
        <v>NO APLICA</v>
      </c>
      <c r="CH204" s="6"/>
      <c r="CI204" s="4"/>
      <c r="CJ204" s="4"/>
      <c r="CK204" s="8"/>
      <c r="CL204" s="5" t="str">
        <f t="shared" si="729"/>
        <v>NO APLICA</v>
      </c>
      <c r="CM204" s="2"/>
      <c r="CN204" s="4"/>
      <c r="CO204" s="4"/>
      <c r="CP204" s="8"/>
      <c r="CQ204" s="5" t="str">
        <f t="shared" si="730"/>
        <v>NO APLICA</v>
      </c>
      <c r="CR204" s="2"/>
      <c r="CS204" s="4"/>
      <c r="CT204" s="4"/>
      <c r="CU204" s="8"/>
      <c r="CV204" s="5" t="str">
        <f t="shared" si="731"/>
        <v>NO APLICA</v>
      </c>
      <c r="CW204" s="3"/>
      <c r="CX204" s="4"/>
      <c r="CY204" s="4"/>
      <c r="CZ204" s="8"/>
      <c r="DA204" s="5" t="str">
        <f t="shared" si="732"/>
        <v>NO APLICA</v>
      </c>
      <c r="DB204" s="3"/>
      <c r="DC204" s="4"/>
      <c r="DD204" s="4"/>
      <c r="DE204" s="8"/>
      <c r="DF204" s="5" t="str">
        <f t="shared" si="733"/>
        <v>NO APLICA</v>
      </c>
      <c r="DG204" s="2"/>
      <c r="DH204" s="4"/>
      <c r="DI204" s="4"/>
      <c r="DJ204" s="8"/>
      <c r="DK204" s="5" t="str">
        <f t="shared" si="734"/>
        <v>NO APLICA</v>
      </c>
      <c r="DL204" s="3"/>
      <c r="DM204" s="4"/>
      <c r="DN204" s="4"/>
      <c r="DO204" s="8"/>
      <c r="DP204" s="5" t="str">
        <f t="shared" si="735"/>
        <v>NO APLICA</v>
      </c>
      <c r="DQ204" s="2"/>
      <c r="DR204" s="4"/>
      <c r="DS204" s="4"/>
      <c r="DT204" s="8"/>
      <c r="DU204" s="5" t="str">
        <f t="shared" si="736"/>
        <v>NO APLICA</v>
      </c>
      <c r="DV204" s="3"/>
      <c r="DW204" s="4"/>
      <c r="DX204" s="4"/>
      <c r="DY204" s="8"/>
      <c r="DZ204" s="5" t="str">
        <f t="shared" si="737"/>
        <v>NO APLICA</v>
      </c>
      <c r="EA204" s="3"/>
      <c r="EB204" s="4"/>
      <c r="EC204" s="4"/>
      <c r="ED204" s="8"/>
      <c r="EE204" s="5" t="str">
        <f t="shared" si="738"/>
        <v>NO APLICA</v>
      </c>
      <c r="EF204" s="2"/>
      <c r="EG204" s="4"/>
      <c r="EH204" s="4"/>
      <c r="EI204" s="8"/>
      <c r="EJ204" s="5" t="str">
        <f t="shared" si="739"/>
        <v>NO APLICA</v>
      </c>
      <c r="EK204" s="3"/>
      <c r="EL204" s="4"/>
      <c r="EM204" s="4"/>
      <c r="EN204" s="8"/>
      <c r="EO204" s="5" t="str">
        <f t="shared" si="740"/>
        <v>NO APLICA</v>
      </c>
      <c r="EP204" s="2"/>
      <c r="EQ204" s="4"/>
      <c r="ER204" s="4"/>
      <c r="ES204" s="8"/>
      <c r="ET204" s="5" t="str">
        <f t="shared" si="741"/>
        <v>NO APLICA</v>
      </c>
      <c r="EU204" s="2"/>
      <c r="EV204" s="4"/>
      <c r="EW204" s="4"/>
      <c r="EX204" s="8"/>
      <c r="EY204" s="5" t="str">
        <f t="shared" si="742"/>
        <v>NO APLICA</v>
      </c>
      <c r="EZ204" s="2"/>
      <c r="FA204" s="4"/>
      <c r="FB204" s="4"/>
      <c r="FC204" s="8"/>
      <c r="FD204" s="5" t="str">
        <f t="shared" si="743"/>
        <v>NO APLICA</v>
      </c>
      <c r="FE204" s="2"/>
      <c r="FF204" s="4"/>
      <c r="FG204" s="4"/>
      <c r="FH204" s="8"/>
      <c r="FI204" s="5" t="str">
        <f t="shared" si="744"/>
        <v>NO APLICA</v>
      </c>
      <c r="FJ204" s="3"/>
      <c r="FK204" s="4"/>
      <c r="FL204" s="4"/>
      <c r="FM204" s="8"/>
      <c r="FN204" s="5" t="str">
        <f t="shared" si="745"/>
        <v>NO APLICA</v>
      </c>
      <c r="FO204" s="3"/>
      <c r="FP204" s="4"/>
      <c r="FQ204" s="4"/>
      <c r="FR204" s="8"/>
      <c r="FS204" s="5" t="str">
        <f t="shared" si="746"/>
        <v>NO APLICA</v>
      </c>
      <c r="FT204" s="3"/>
      <c r="FU204" s="4"/>
      <c r="FV204" s="4"/>
      <c r="FW204" s="8"/>
      <c r="FX204" s="5" t="str">
        <f t="shared" si="747"/>
        <v>NO APLICA</v>
      </c>
      <c r="FY204" s="3"/>
      <c r="FZ204" s="4"/>
      <c r="GA204" s="4"/>
      <c r="GB204" s="8"/>
      <c r="GC204" s="5" t="str">
        <f t="shared" si="748"/>
        <v>NO APLICA</v>
      </c>
      <c r="GD204" s="3"/>
      <c r="GE204" s="4"/>
      <c r="GF204" s="4"/>
      <c r="GG204" s="8"/>
      <c r="GH204" s="5" t="str">
        <f t="shared" si="749"/>
        <v>NO APLICA</v>
      </c>
      <c r="GI204" s="3"/>
      <c r="GJ204" s="4"/>
      <c r="GK204" s="4"/>
      <c r="GL204" s="8"/>
      <c r="GM204" s="5" t="str">
        <f t="shared" si="750"/>
        <v>NO APLICA</v>
      </c>
      <c r="GN204" s="4"/>
      <c r="GO204" s="4"/>
      <c r="GP204" s="4"/>
      <c r="GQ204" s="8"/>
      <c r="GR204" s="5" t="str">
        <f t="shared" si="630"/>
        <v>NO APLICA</v>
      </c>
      <c r="GS204" s="3"/>
      <c r="GT204" s="4"/>
      <c r="GU204" s="4"/>
      <c r="GV204" s="8"/>
      <c r="GW204" s="5" t="str">
        <f t="shared" si="631"/>
        <v>NO APLICA</v>
      </c>
      <c r="GX204" s="2"/>
      <c r="GY204" s="4"/>
      <c r="GZ204" s="4"/>
      <c r="HA204" s="8"/>
      <c r="HB204" s="5" t="str">
        <f t="shared" si="632"/>
        <v>NO APLICA</v>
      </c>
      <c r="HC204" s="6"/>
      <c r="HD204" s="6"/>
      <c r="HE204" s="4"/>
      <c r="HF204" s="8"/>
      <c r="HG204" s="5" t="str">
        <f t="shared" si="718"/>
        <v>NO APLICA</v>
      </c>
      <c r="HH204" s="2"/>
      <c r="HI204" s="6"/>
      <c r="HJ204" s="4"/>
      <c r="HK204" s="8"/>
      <c r="HL204" s="5" t="str">
        <f t="shared" si="714"/>
        <v>NO APLICA</v>
      </c>
      <c r="HM204" s="2"/>
      <c r="HN204" s="2"/>
      <c r="HO204" s="4"/>
      <c r="HP204" s="2"/>
      <c r="HQ204" s="5" t="str">
        <f t="shared" si="751"/>
        <v>NO APLICA</v>
      </c>
      <c r="HR204" s="2"/>
      <c r="HS204" s="6"/>
      <c r="HT204" s="4"/>
      <c r="HU204" s="8"/>
      <c r="HV204" s="5" t="str">
        <f t="shared" si="752"/>
        <v>NO APLICA</v>
      </c>
      <c r="HW204" s="2"/>
      <c r="HX204" s="6"/>
      <c r="HY204" s="4"/>
      <c r="HZ204" s="8"/>
      <c r="IA204" s="5" t="str">
        <f t="shared" si="753"/>
        <v>NO APLICA</v>
      </c>
      <c r="IB204" s="2"/>
      <c r="IC204" s="6"/>
      <c r="ID204" s="4"/>
      <c r="IE204" s="8"/>
      <c r="IF204" s="5" t="str">
        <f t="shared" si="754"/>
        <v>NO APLICA</v>
      </c>
      <c r="IG204" s="6"/>
      <c r="IH204" s="6"/>
      <c r="II204" s="4"/>
      <c r="IJ204" s="8"/>
      <c r="IK204" s="5" t="str">
        <f t="shared" si="755"/>
        <v>NO APLICA</v>
      </c>
      <c r="IL204" s="2"/>
      <c r="IM204" s="6"/>
      <c r="IN204" s="4"/>
      <c r="IO204" s="8"/>
      <c r="IP204" s="5" t="str">
        <f t="shared" si="756"/>
        <v>NO APLICA</v>
      </c>
      <c r="IQ204" s="2"/>
      <c r="IR204" s="6"/>
      <c r="IS204" s="4"/>
      <c r="IT204" s="8"/>
      <c r="IU204" s="5" t="str">
        <f t="shared" si="757"/>
        <v>NO APLICA</v>
      </c>
      <c r="IV204" s="2"/>
      <c r="IW204" s="6"/>
      <c r="IX204" s="4"/>
      <c r="IY204" s="8"/>
      <c r="IZ204" s="5" t="str">
        <f t="shared" si="758"/>
        <v>NO APLICA</v>
      </c>
      <c r="JA204" s="3"/>
      <c r="JB204" s="3"/>
      <c r="JC204" s="4"/>
      <c r="JD204" s="8"/>
      <c r="JE204" s="5" t="str">
        <f t="shared" si="759"/>
        <v>NO APLICA</v>
      </c>
      <c r="JF204" s="6"/>
      <c r="JG204" s="6"/>
      <c r="JH204" s="6"/>
      <c r="JI204" s="6"/>
      <c r="JJ204" s="5" t="str">
        <f t="shared" si="760"/>
        <v>NO APLICA</v>
      </c>
      <c r="JK204" s="6"/>
      <c r="JL204" s="6"/>
      <c r="JM204" s="6"/>
      <c r="JN204" s="6"/>
      <c r="JO204" s="5" t="str">
        <f t="shared" si="761"/>
        <v>NO APLICA</v>
      </c>
      <c r="JP204" s="6"/>
      <c r="JQ204" s="6"/>
      <c r="JR204" s="6"/>
      <c r="JS204" s="6"/>
      <c r="JT204" s="5" t="str">
        <f t="shared" si="762"/>
        <v>NO APLICA</v>
      </c>
      <c r="JU204" s="5"/>
      <c r="JV204" s="5"/>
      <c r="JW204" s="5"/>
      <c r="JX204" s="5"/>
      <c r="JY204" s="5" t="str">
        <f t="shared" si="763"/>
        <v>NO APLICA</v>
      </c>
      <c r="JZ204" s="5"/>
      <c r="KA204" s="2"/>
      <c r="KB204" s="4"/>
      <c r="KC204" s="8"/>
      <c r="KD204" s="5" t="str">
        <f t="shared" si="764"/>
        <v>NO APLICA</v>
      </c>
      <c r="KE204" s="5"/>
      <c r="KF204" s="2"/>
      <c r="KG204" s="4"/>
      <c r="KH204" s="8"/>
      <c r="KI204" s="5" t="str">
        <f t="shared" si="784"/>
        <v>NO APLICA</v>
      </c>
      <c r="KJ204" s="5"/>
      <c r="KK204" s="2"/>
      <c r="KL204" s="4"/>
      <c r="KM204" s="8"/>
      <c r="KN204" s="5" t="str">
        <f t="shared" si="765"/>
        <v>NO APLICA</v>
      </c>
      <c r="KO204" s="5"/>
      <c r="KP204" s="2"/>
      <c r="KQ204" s="4"/>
      <c r="KR204" s="8"/>
      <c r="KS204" s="5" t="str">
        <f t="shared" si="785"/>
        <v>NO APLICA</v>
      </c>
      <c r="KT204" s="2"/>
      <c r="KU204" s="6"/>
      <c r="KV204" s="4"/>
      <c r="KW204" s="8"/>
      <c r="KX204" s="5" t="str">
        <f t="shared" si="791"/>
        <v>NO APLICA</v>
      </c>
      <c r="KY204" s="5"/>
      <c r="KZ204" s="6"/>
      <c r="LA204" s="4"/>
      <c r="LB204" s="8"/>
      <c r="LC204" s="5" t="str">
        <f t="shared" si="786"/>
        <v>NO APLICA</v>
      </c>
      <c r="LD204" s="6"/>
      <c r="LE204" s="6"/>
      <c r="LF204" s="4"/>
      <c r="LG204" s="8"/>
      <c r="LH204" s="5" t="str">
        <f t="shared" si="619"/>
        <v>NO APLICA</v>
      </c>
      <c r="LI204" s="5"/>
      <c r="LJ204" s="5"/>
      <c r="LK204" s="4"/>
      <c r="LL204" s="8"/>
      <c r="LM204" s="5" t="str">
        <f t="shared" si="792"/>
        <v>NO APLICA</v>
      </c>
      <c r="LN204" s="2"/>
      <c r="LO204" s="6"/>
      <c r="LP204" s="4"/>
      <c r="LQ204" s="8"/>
      <c r="LR204" s="5" t="str">
        <f t="shared" si="787"/>
        <v>NO APLICA</v>
      </c>
      <c r="LS204" s="6"/>
      <c r="LT204" s="6"/>
      <c r="LU204" s="4"/>
      <c r="LV204" s="8"/>
      <c r="LW204" s="5" t="str">
        <f t="shared" si="788"/>
        <v>NO APLICA</v>
      </c>
      <c r="LX204" s="6"/>
      <c r="LY204" s="6"/>
      <c r="LZ204" s="4"/>
      <c r="MA204" s="8"/>
      <c r="MB204" s="5" t="str">
        <f t="shared" si="789"/>
        <v>NO APLICA</v>
      </c>
      <c r="MC204" s="2"/>
      <c r="MD204" s="2"/>
      <c r="ME204" s="4"/>
      <c r="MF204" s="8"/>
      <c r="MG204" s="5" t="str">
        <f t="shared" si="766"/>
        <v>NO APLICA</v>
      </c>
      <c r="MH204" s="2"/>
      <c r="MI204" s="2"/>
      <c r="MJ204" s="4"/>
      <c r="MK204" s="8"/>
      <c r="ML204" s="5" t="str">
        <f t="shared" si="767"/>
        <v>NO APLICA</v>
      </c>
      <c r="MM204" s="5"/>
      <c r="MN204" s="2"/>
      <c r="MO204" s="4"/>
      <c r="MP204" s="8"/>
      <c r="MQ204" s="5" t="str">
        <f t="shared" si="768"/>
        <v>NO APLICA</v>
      </c>
      <c r="MR204" s="5"/>
      <c r="MS204" s="2"/>
      <c r="MT204" s="4"/>
      <c r="MU204" s="2"/>
      <c r="MV204" s="5" t="str">
        <f t="shared" si="769"/>
        <v>NO APLICA</v>
      </c>
      <c r="MW204" s="2"/>
      <c r="MX204" s="6"/>
      <c r="MY204" s="4"/>
      <c r="MZ204" s="8"/>
      <c r="NA204" s="5" t="str">
        <f t="shared" si="770"/>
        <v>NO APLICA</v>
      </c>
      <c r="NB204" s="2"/>
      <c r="NC204" s="6"/>
      <c r="ND204" s="4"/>
      <c r="NE204" s="8"/>
      <c r="NF204" s="5" t="str">
        <f t="shared" si="771"/>
        <v>NO APLICA</v>
      </c>
      <c r="NG204" s="2"/>
      <c r="NH204" s="6"/>
      <c r="NI204" s="4"/>
      <c r="NJ204" s="8"/>
      <c r="NK204" s="5" t="str">
        <f t="shared" si="772"/>
        <v>NO APLICA</v>
      </c>
      <c r="NL204" s="2"/>
      <c r="NM204" s="2"/>
      <c r="NN204" s="4"/>
      <c r="NO204" s="8"/>
      <c r="NP204" s="5" t="str">
        <f t="shared" si="773"/>
        <v>NO APLICA</v>
      </c>
      <c r="NQ204" s="2"/>
      <c r="NR204" s="2"/>
      <c r="NS204" s="4"/>
      <c r="NT204" s="2"/>
      <c r="NU204" s="5" t="str">
        <f t="shared" si="774"/>
        <v>NO APLICA</v>
      </c>
      <c r="NV204" s="6"/>
      <c r="NW204" s="6"/>
      <c r="NX204" s="4"/>
      <c r="NY204" s="8"/>
      <c r="NZ204" s="5" t="str">
        <f t="shared" si="775"/>
        <v>NO APLICA</v>
      </c>
      <c r="OA204" s="6"/>
      <c r="OB204" s="6"/>
      <c r="OC204" s="6"/>
      <c r="OD204" s="6"/>
      <c r="OE204" s="5" t="str">
        <f t="shared" si="776"/>
        <v>NO APLICA</v>
      </c>
      <c r="OF204" s="6"/>
      <c r="OG204" s="6"/>
      <c r="OH204" s="4"/>
      <c r="OI204" s="8"/>
      <c r="OJ204" s="5" t="str">
        <f t="shared" si="777"/>
        <v>NO APLICA</v>
      </c>
      <c r="OK204" s="6"/>
      <c r="OL204" s="6"/>
      <c r="OM204" s="6"/>
      <c r="ON204" s="6"/>
      <c r="OO204" s="5" t="str">
        <f t="shared" si="778"/>
        <v>NO APLICA</v>
      </c>
      <c r="OP204" s="6"/>
      <c r="OQ204" s="6"/>
      <c r="OR204" s="6"/>
      <c r="OS204" s="6"/>
      <c r="OT204" s="5" t="str">
        <f t="shared" si="779"/>
        <v>NO APLICA</v>
      </c>
      <c r="OU204" s="4"/>
      <c r="OV204" s="4">
        <v>44770</v>
      </c>
      <c r="OW204" s="4">
        <f>DATE(YEAR(OV204)+5,MONTH(OV204),DAY(OV204))</f>
        <v>46596</v>
      </c>
      <c r="OX204" s="8">
        <f ca="1">OW204-TODAY()</f>
        <v>462</v>
      </c>
      <c r="OY204" s="5" t="str">
        <f ca="1">IF(OX204&gt;=61,"VIGENTE",IF(OX204&gt;=1,"POR VENCER",IF(OX204&lt;=-1,"VENCIDA",IF(OV204=0,"NO APLICA"))))</f>
        <v>VIGENTE</v>
      </c>
      <c r="OZ204" s="6"/>
      <c r="PA204" s="6"/>
      <c r="PB204" s="6"/>
      <c r="PC204" s="6"/>
      <c r="PD204" s="5" t="str">
        <f t="shared" si="780"/>
        <v>NO APLICA</v>
      </c>
      <c r="PE204" s="6"/>
      <c r="PF204" s="6"/>
      <c r="PG204" s="6"/>
      <c r="PH204" s="6"/>
      <c r="PI204" s="5" t="str">
        <f t="shared" si="781"/>
        <v>NO APLICA</v>
      </c>
      <c r="PJ204" s="5"/>
      <c r="PK204" s="6"/>
      <c r="PL204" s="4"/>
      <c r="PM204" s="8"/>
      <c r="PN204" s="5" t="str">
        <f t="shared" si="790"/>
        <v>NO APLICA</v>
      </c>
      <c r="PO204" s="6"/>
      <c r="PP204" s="6"/>
      <c r="PQ204" s="6"/>
      <c r="PR204" s="6"/>
      <c r="PS204" s="5" t="str">
        <f t="shared" si="782"/>
        <v>NO APLICA</v>
      </c>
      <c r="PT204" s="5"/>
      <c r="PU204" s="6"/>
      <c r="PV204" s="6"/>
      <c r="PW204" s="6"/>
      <c r="PX204" s="5" t="str">
        <f t="shared" si="783"/>
        <v>NO APLICA</v>
      </c>
    </row>
    <row r="205" spans="1:440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2"/>
      <c r="V205" s="4"/>
      <c r="W205" s="4"/>
      <c r="X205" s="8"/>
      <c r="Y205" s="5" t="str">
        <f t="shared" si="624"/>
        <v>NO APLICA</v>
      </c>
      <c r="Z205" s="2"/>
      <c r="AA205" s="6"/>
      <c r="AB205" s="4"/>
      <c r="AC205" s="8"/>
      <c r="AD205" s="5" t="str">
        <f t="shared" si="627"/>
        <v>NO APLICA</v>
      </c>
      <c r="AE205" s="2"/>
      <c r="AF205" s="4"/>
      <c r="AG205" s="4"/>
      <c r="AH205" s="8"/>
      <c r="AI205" s="5" t="str">
        <f t="shared" si="621"/>
        <v>NO APLICA</v>
      </c>
      <c r="AJ205" s="2"/>
      <c r="AK205" s="4"/>
      <c r="AL205" s="4"/>
      <c r="AM205" s="8"/>
      <c r="AN205" s="5" t="str">
        <f t="shared" si="720"/>
        <v>NO APLICA</v>
      </c>
      <c r="AO205" s="2"/>
      <c r="AP205" s="4"/>
      <c r="AQ205" s="4"/>
      <c r="AR205" s="8"/>
      <c r="AS205" s="5" t="str">
        <f t="shared" si="721"/>
        <v>NO APLICA</v>
      </c>
      <c r="AT205" s="2"/>
      <c r="AU205" s="4"/>
      <c r="AV205" s="4"/>
      <c r="AW205" s="8"/>
      <c r="AX205" s="5" t="str">
        <f t="shared" si="722"/>
        <v>NO APLICA</v>
      </c>
      <c r="AY205" s="3"/>
      <c r="AZ205" s="4"/>
      <c r="BA205" s="4"/>
      <c r="BB205" s="8"/>
      <c r="BC205" s="5" t="str">
        <f t="shared" si="723"/>
        <v>NO APLICA</v>
      </c>
      <c r="BD205" s="2"/>
      <c r="BE205" s="4"/>
      <c r="BF205" s="4"/>
      <c r="BG205" s="8"/>
      <c r="BH205" s="5" t="str">
        <f t="shared" si="724"/>
        <v>NO APLICA</v>
      </c>
      <c r="BI205" s="3"/>
      <c r="BJ205" s="4"/>
      <c r="BK205" s="4"/>
      <c r="BL205" s="8"/>
      <c r="BM205" s="5" t="str">
        <f t="shared" si="725"/>
        <v>NO APLICA</v>
      </c>
      <c r="BN205" s="3"/>
      <c r="BO205" s="4"/>
      <c r="BP205" s="4"/>
      <c r="BQ205" s="8"/>
      <c r="BR205" s="5" t="str">
        <f t="shared" si="726"/>
        <v>NO APLICA</v>
      </c>
      <c r="BS205" s="2"/>
      <c r="BT205" s="4"/>
      <c r="BU205" s="4"/>
      <c r="BV205" s="8"/>
      <c r="BW205" s="5" t="str">
        <f t="shared" si="727"/>
        <v>NO APLICA</v>
      </c>
      <c r="BX205" s="2"/>
      <c r="BY205" s="4"/>
      <c r="BZ205" s="4"/>
      <c r="CA205" s="8"/>
      <c r="CB205" s="5" t="str">
        <f t="shared" si="728"/>
        <v>NO APLICA</v>
      </c>
      <c r="CC205" s="6"/>
      <c r="CD205" s="4"/>
      <c r="CE205" s="4"/>
      <c r="CF205" s="8"/>
      <c r="CG205" s="5" t="str">
        <f t="shared" si="591"/>
        <v>NO APLICA</v>
      </c>
      <c r="CH205" s="6"/>
      <c r="CI205" s="4"/>
      <c r="CJ205" s="4"/>
      <c r="CK205" s="8"/>
      <c r="CL205" s="5" t="str">
        <f t="shared" si="729"/>
        <v>NO APLICA</v>
      </c>
      <c r="CM205" s="2"/>
      <c r="CN205" s="4"/>
      <c r="CO205" s="4"/>
      <c r="CP205" s="8"/>
      <c r="CQ205" s="5" t="str">
        <f t="shared" si="730"/>
        <v>NO APLICA</v>
      </c>
      <c r="CR205" s="2"/>
      <c r="CS205" s="4"/>
      <c r="CT205" s="4"/>
      <c r="CU205" s="8"/>
      <c r="CV205" s="5" t="str">
        <f t="shared" si="731"/>
        <v>NO APLICA</v>
      </c>
      <c r="CW205" s="3"/>
      <c r="CX205" s="4"/>
      <c r="CY205" s="4"/>
      <c r="CZ205" s="8"/>
      <c r="DA205" s="5" t="str">
        <f t="shared" si="732"/>
        <v>NO APLICA</v>
      </c>
      <c r="DB205" s="3"/>
      <c r="DC205" s="4"/>
      <c r="DD205" s="4"/>
      <c r="DE205" s="8"/>
      <c r="DF205" s="5" t="str">
        <f t="shared" si="733"/>
        <v>NO APLICA</v>
      </c>
      <c r="DG205" s="2"/>
      <c r="DH205" s="4"/>
      <c r="DI205" s="4"/>
      <c r="DJ205" s="8"/>
      <c r="DK205" s="5" t="str">
        <f t="shared" si="734"/>
        <v>NO APLICA</v>
      </c>
      <c r="DL205" s="3"/>
      <c r="DM205" s="4"/>
      <c r="DN205" s="4"/>
      <c r="DO205" s="8"/>
      <c r="DP205" s="5" t="str">
        <f t="shared" si="735"/>
        <v>NO APLICA</v>
      </c>
      <c r="DQ205" s="2"/>
      <c r="DR205" s="4"/>
      <c r="DS205" s="4"/>
      <c r="DT205" s="8"/>
      <c r="DU205" s="5" t="str">
        <f t="shared" si="736"/>
        <v>NO APLICA</v>
      </c>
      <c r="DV205" s="3"/>
      <c r="DW205" s="4"/>
      <c r="DX205" s="4"/>
      <c r="DY205" s="8"/>
      <c r="DZ205" s="5" t="str">
        <f t="shared" si="737"/>
        <v>NO APLICA</v>
      </c>
      <c r="EA205" s="3"/>
      <c r="EB205" s="4"/>
      <c r="EC205" s="4"/>
      <c r="ED205" s="8"/>
      <c r="EE205" s="5" t="str">
        <f t="shared" si="738"/>
        <v>NO APLICA</v>
      </c>
      <c r="EF205" s="2"/>
      <c r="EG205" s="4"/>
      <c r="EH205" s="4"/>
      <c r="EI205" s="8"/>
      <c r="EJ205" s="5" t="str">
        <f t="shared" si="739"/>
        <v>NO APLICA</v>
      </c>
      <c r="EK205" s="3"/>
      <c r="EL205" s="4"/>
      <c r="EM205" s="4"/>
      <c r="EN205" s="8"/>
      <c r="EO205" s="5" t="str">
        <f t="shared" si="740"/>
        <v>NO APLICA</v>
      </c>
      <c r="EP205" s="2"/>
      <c r="EQ205" s="4"/>
      <c r="ER205" s="4"/>
      <c r="ES205" s="8"/>
      <c r="ET205" s="5" t="str">
        <f t="shared" si="741"/>
        <v>NO APLICA</v>
      </c>
      <c r="EU205" s="2"/>
      <c r="EV205" s="4"/>
      <c r="EW205" s="4"/>
      <c r="EX205" s="8"/>
      <c r="EY205" s="5" t="str">
        <f t="shared" si="742"/>
        <v>NO APLICA</v>
      </c>
      <c r="EZ205" s="2"/>
      <c r="FA205" s="4"/>
      <c r="FB205" s="4"/>
      <c r="FC205" s="8"/>
      <c r="FD205" s="5" t="str">
        <f t="shared" si="743"/>
        <v>NO APLICA</v>
      </c>
      <c r="FE205" s="2"/>
      <c r="FF205" s="4"/>
      <c r="FG205" s="4"/>
      <c r="FH205" s="8"/>
      <c r="FI205" s="5" t="str">
        <f t="shared" si="744"/>
        <v>NO APLICA</v>
      </c>
      <c r="FJ205" s="3"/>
      <c r="FK205" s="4"/>
      <c r="FL205" s="4"/>
      <c r="FM205" s="8"/>
      <c r="FN205" s="5" t="str">
        <f t="shared" si="745"/>
        <v>NO APLICA</v>
      </c>
      <c r="FO205" s="3"/>
      <c r="FP205" s="4"/>
      <c r="FQ205" s="4"/>
      <c r="FR205" s="8"/>
      <c r="FS205" s="5" t="str">
        <f t="shared" si="746"/>
        <v>NO APLICA</v>
      </c>
      <c r="FT205" s="3"/>
      <c r="FU205" s="4"/>
      <c r="FV205" s="4"/>
      <c r="FW205" s="8"/>
      <c r="FX205" s="5" t="str">
        <f t="shared" si="747"/>
        <v>NO APLICA</v>
      </c>
      <c r="FY205" s="3"/>
      <c r="FZ205" s="4"/>
      <c r="GA205" s="4"/>
      <c r="GB205" s="8"/>
      <c r="GC205" s="5" t="str">
        <f t="shared" si="748"/>
        <v>NO APLICA</v>
      </c>
      <c r="GD205" s="3"/>
      <c r="GE205" s="4"/>
      <c r="GF205" s="4"/>
      <c r="GG205" s="8"/>
      <c r="GH205" s="5" t="str">
        <f t="shared" si="749"/>
        <v>NO APLICA</v>
      </c>
      <c r="GI205" s="3"/>
      <c r="GJ205" s="4"/>
      <c r="GK205" s="4"/>
      <c r="GL205" s="8"/>
      <c r="GM205" s="5" t="str">
        <f t="shared" si="750"/>
        <v>NO APLICA</v>
      </c>
      <c r="GN205" s="4"/>
      <c r="GO205" s="4"/>
      <c r="GP205" s="4"/>
      <c r="GQ205" s="8"/>
      <c r="GR205" s="5" t="str">
        <f t="shared" si="630"/>
        <v>NO APLICA</v>
      </c>
      <c r="GS205" s="3"/>
      <c r="GT205" s="4"/>
      <c r="GU205" s="4"/>
      <c r="GV205" s="8"/>
      <c r="GW205" s="5" t="str">
        <f t="shared" si="631"/>
        <v>NO APLICA</v>
      </c>
      <c r="GX205" s="2"/>
      <c r="GY205" s="4"/>
      <c r="GZ205" s="4"/>
      <c r="HA205" s="8"/>
      <c r="HB205" s="5" t="str">
        <f t="shared" si="632"/>
        <v>NO APLICA</v>
      </c>
      <c r="HC205" s="6"/>
      <c r="HD205" s="6"/>
      <c r="HE205" s="4"/>
      <c r="HF205" s="8"/>
      <c r="HG205" s="5" t="str">
        <f t="shared" si="718"/>
        <v>NO APLICA</v>
      </c>
      <c r="HH205" s="2"/>
      <c r="HI205" s="6"/>
      <c r="HJ205" s="4"/>
      <c r="HK205" s="8"/>
      <c r="HL205" s="5" t="str">
        <f t="shared" si="714"/>
        <v>NO APLICA</v>
      </c>
      <c r="HM205" s="2"/>
      <c r="HN205" s="2"/>
      <c r="HO205" s="4"/>
      <c r="HP205" s="2"/>
      <c r="HQ205" s="5" t="str">
        <f t="shared" si="751"/>
        <v>NO APLICA</v>
      </c>
      <c r="HR205" s="2"/>
      <c r="HS205" s="6"/>
      <c r="HT205" s="4"/>
      <c r="HU205" s="8"/>
      <c r="HV205" s="5" t="str">
        <f t="shared" si="752"/>
        <v>NO APLICA</v>
      </c>
      <c r="HW205" s="2"/>
      <c r="HX205" s="6"/>
      <c r="HY205" s="4"/>
      <c r="HZ205" s="8"/>
      <c r="IA205" s="5" t="str">
        <f t="shared" si="753"/>
        <v>NO APLICA</v>
      </c>
      <c r="IB205" s="2"/>
      <c r="IC205" s="6"/>
      <c r="ID205" s="4"/>
      <c r="IE205" s="8"/>
      <c r="IF205" s="5" t="str">
        <f t="shared" si="754"/>
        <v>NO APLICA</v>
      </c>
      <c r="IG205" s="6"/>
      <c r="IH205" s="6"/>
      <c r="II205" s="4"/>
      <c r="IJ205" s="8"/>
      <c r="IK205" s="5" t="str">
        <f t="shared" si="755"/>
        <v>NO APLICA</v>
      </c>
      <c r="IL205" s="2"/>
      <c r="IM205" s="6"/>
      <c r="IN205" s="4"/>
      <c r="IO205" s="8"/>
      <c r="IP205" s="5" t="str">
        <f t="shared" si="756"/>
        <v>NO APLICA</v>
      </c>
      <c r="IQ205" s="2"/>
      <c r="IR205" s="6"/>
      <c r="IS205" s="4"/>
      <c r="IT205" s="8"/>
      <c r="IU205" s="5" t="str">
        <f t="shared" si="757"/>
        <v>NO APLICA</v>
      </c>
      <c r="IV205" s="2"/>
      <c r="IW205" s="6"/>
      <c r="IX205" s="4"/>
      <c r="IY205" s="8"/>
      <c r="IZ205" s="5" t="str">
        <f t="shared" si="758"/>
        <v>NO APLICA</v>
      </c>
      <c r="JA205" s="3"/>
      <c r="JB205" s="3"/>
      <c r="JC205" s="4"/>
      <c r="JD205" s="8"/>
      <c r="JE205" s="5" t="str">
        <f t="shared" si="759"/>
        <v>NO APLICA</v>
      </c>
      <c r="JF205" s="4"/>
      <c r="JG205" s="4"/>
      <c r="JH205" s="6"/>
      <c r="JI205" s="6"/>
      <c r="JJ205" s="5" t="str">
        <f t="shared" si="760"/>
        <v>NO APLICA</v>
      </c>
      <c r="JK205" s="6"/>
      <c r="JL205" s="6"/>
      <c r="JM205" s="6"/>
      <c r="JN205" s="6"/>
      <c r="JO205" s="5" t="str">
        <f t="shared" si="761"/>
        <v>NO APLICA</v>
      </c>
      <c r="JP205" s="4"/>
      <c r="JQ205" s="4"/>
      <c r="JR205" s="6"/>
      <c r="JS205" s="6"/>
      <c r="JT205" s="5" t="str">
        <f t="shared" si="762"/>
        <v>NO APLICA</v>
      </c>
      <c r="JU205" s="5"/>
      <c r="JV205" s="3"/>
      <c r="JW205" s="4"/>
      <c r="JX205" s="8"/>
      <c r="JY205" s="5" t="str">
        <f>IF(JX205&gt;=61,"VIGENTE",IF(JX205&gt;=1,"POR VENCER",IF(JX205&lt;=-1,"VENCIDA",IF(JV205=0,"NO APLICA"))))</f>
        <v>NO APLICA</v>
      </c>
      <c r="JZ205" s="5"/>
      <c r="KA205" s="2"/>
      <c r="KB205" s="4"/>
      <c r="KC205" s="8"/>
      <c r="KD205" s="5" t="str">
        <f t="shared" si="764"/>
        <v>NO APLICA</v>
      </c>
      <c r="KE205" s="5"/>
      <c r="KF205" s="2"/>
      <c r="KG205" s="4"/>
      <c r="KH205" s="8"/>
      <c r="KI205" s="5" t="str">
        <f t="shared" si="784"/>
        <v>NO APLICA</v>
      </c>
      <c r="KJ205" s="5"/>
      <c r="KK205" s="2"/>
      <c r="KL205" s="4"/>
      <c r="KM205" s="8"/>
      <c r="KN205" s="5" t="str">
        <f t="shared" si="765"/>
        <v>NO APLICA</v>
      </c>
      <c r="KO205" s="5"/>
      <c r="KP205" s="2"/>
      <c r="KQ205" s="4"/>
      <c r="KR205" s="8"/>
      <c r="KS205" s="5" t="str">
        <f t="shared" si="785"/>
        <v>NO APLICA</v>
      </c>
      <c r="KT205" s="2"/>
      <c r="KU205" s="6"/>
      <c r="KV205" s="4"/>
      <c r="KW205" s="8"/>
      <c r="KX205" s="5" t="str">
        <f t="shared" si="791"/>
        <v>NO APLICA</v>
      </c>
      <c r="KY205" s="5"/>
      <c r="KZ205" s="6"/>
      <c r="LA205" s="4"/>
      <c r="LB205" s="8"/>
      <c r="LC205" s="5" t="str">
        <f t="shared" si="786"/>
        <v>NO APLICA</v>
      </c>
      <c r="LD205" s="6"/>
      <c r="LE205" s="6"/>
      <c r="LF205" s="4"/>
      <c r="LG205" s="8"/>
      <c r="LH205" s="5" t="str">
        <f t="shared" si="619"/>
        <v>NO APLICA</v>
      </c>
      <c r="LI205" s="5"/>
      <c r="LJ205" s="5"/>
      <c r="LK205" s="4"/>
      <c r="LL205" s="8"/>
      <c r="LM205" s="5" t="str">
        <f t="shared" si="792"/>
        <v>NO APLICA</v>
      </c>
      <c r="LN205" s="2"/>
      <c r="LO205" s="6"/>
      <c r="LP205" s="4"/>
      <c r="LQ205" s="8"/>
      <c r="LR205" s="5" t="str">
        <f t="shared" si="787"/>
        <v>NO APLICA</v>
      </c>
      <c r="LS205" s="6"/>
      <c r="LT205" s="6"/>
      <c r="LU205" s="4"/>
      <c r="LV205" s="8"/>
      <c r="LW205" s="5" t="str">
        <f t="shared" si="788"/>
        <v>NO APLICA</v>
      </c>
      <c r="LX205" s="6"/>
      <c r="LY205" s="6"/>
      <c r="LZ205" s="4"/>
      <c r="MA205" s="8"/>
      <c r="MB205" s="5" t="str">
        <f t="shared" si="789"/>
        <v>NO APLICA</v>
      </c>
      <c r="MC205" s="2"/>
      <c r="MD205" s="2"/>
      <c r="ME205" s="4"/>
      <c r="MF205" s="8"/>
      <c r="MG205" s="5" t="str">
        <f t="shared" si="766"/>
        <v>NO APLICA</v>
      </c>
      <c r="MH205" s="2"/>
      <c r="MI205" s="2"/>
      <c r="MJ205" s="4"/>
      <c r="MK205" s="8"/>
      <c r="ML205" s="5" t="str">
        <f t="shared" si="767"/>
        <v>NO APLICA</v>
      </c>
      <c r="MM205" s="5"/>
      <c r="MN205" s="2"/>
      <c r="MO205" s="4"/>
      <c r="MP205" s="8"/>
      <c r="MQ205" s="5" t="str">
        <f t="shared" si="768"/>
        <v>NO APLICA</v>
      </c>
      <c r="MR205" s="5"/>
      <c r="MS205" s="2"/>
      <c r="MT205" s="4"/>
      <c r="MU205" s="2"/>
      <c r="MV205" s="5" t="str">
        <f t="shared" si="769"/>
        <v>NO APLICA</v>
      </c>
      <c r="MW205" s="2"/>
      <c r="MX205" s="6"/>
      <c r="MY205" s="4"/>
      <c r="MZ205" s="8"/>
      <c r="NA205" s="5" t="str">
        <f t="shared" si="770"/>
        <v>NO APLICA</v>
      </c>
      <c r="NB205" s="2"/>
      <c r="NC205" s="6"/>
      <c r="ND205" s="4"/>
      <c r="NE205" s="8"/>
      <c r="NF205" s="5" t="str">
        <f t="shared" si="771"/>
        <v>NO APLICA</v>
      </c>
      <c r="NG205" s="2"/>
      <c r="NH205" s="6"/>
      <c r="NI205" s="4"/>
      <c r="NJ205" s="8"/>
      <c r="NK205" s="5" t="str">
        <f t="shared" si="772"/>
        <v>NO APLICA</v>
      </c>
      <c r="NL205" s="2"/>
      <c r="NM205" s="2"/>
      <c r="NN205" s="4"/>
      <c r="NO205" s="8"/>
      <c r="NP205" s="5" t="str">
        <f t="shared" si="773"/>
        <v>NO APLICA</v>
      </c>
      <c r="NQ205" s="2"/>
      <c r="NR205" s="2"/>
      <c r="NS205" s="4"/>
      <c r="NT205" s="2"/>
      <c r="NU205" s="5" t="str">
        <f t="shared" si="774"/>
        <v>NO APLICA</v>
      </c>
      <c r="NV205" s="6"/>
      <c r="NW205" s="6"/>
      <c r="NX205" s="4"/>
      <c r="NY205" s="8"/>
      <c r="NZ205" s="5" t="str">
        <f t="shared" si="775"/>
        <v>NO APLICA</v>
      </c>
      <c r="OA205" s="6"/>
      <c r="OB205" s="6"/>
      <c r="OC205" s="6"/>
      <c r="OD205" s="6"/>
      <c r="OE205" s="5" t="str">
        <f t="shared" si="776"/>
        <v>NO APLICA</v>
      </c>
      <c r="OF205" s="6"/>
      <c r="OG205" s="6"/>
      <c r="OH205" s="4"/>
      <c r="OI205" s="8"/>
      <c r="OJ205" s="5" t="str">
        <f t="shared" si="777"/>
        <v>NO APLICA</v>
      </c>
      <c r="OK205" s="6"/>
      <c r="OL205" s="6"/>
      <c r="OM205" s="6"/>
      <c r="ON205" s="6"/>
      <c r="OO205" s="5" t="str">
        <f t="shared" si="778"/>
        <v>NO APLICA</v>
      </c>
      <c r="OP205" s="6"/>
      <c r="OQ205" s="6"/>
      <c r="OR205" s="6"/>
      <c r="OS205" s="6"/>
      <c r="OT205" s="5" t="str">
        <f t="shared" si="779"/>
        <v>NO APLICA</v>
      </c>
      <c r="OU205" s="6"/>
      <c r="OV205" s="6"/>
      <c r="OW205" s="6"/>
      <c r="OX205" s="6"/>
      <c r="OY205" s="5" t="str">
        <f t="shared" si="793"/>
        <v>NO APLICA</v>
      </c>
      <c r="OZ205" s="6"/>
      <c r="PA205" s="6"/>
      <c r="PB205" s="6"/>
      <c r="PC205" s="6"/>
      <c r="PD205" s="5" t="str">
        <f t="shared" si="780"/>
        <v>NO APLICA</v>
      </c>
      <c r="PE205" s="6"/>
      <c r="PF205" s="6"/>
      <c r="PG205" s="6"/>
      <c r="PH205" s="6"/>
      <c r="PI205" s="5" t="str">
        <f t="shared" si="781"/>
        <v>NO APLICA</v>
      </c>
      <c r="PJ205" s="5"/>
      <c r="PK205" s="6"/>
      <c r="PL205" s="4"/>
      <c r="PM205" s="8"/>
      <c r="PN205" s="5" t="str">
        <f t="shared" si="790"/>
        <v>NO APLICA</v>
      </c>
      <c r="PO205" s="6"/>
      <c r="PP205" s="6"/>
      <c r="PQ205" s="6"/>
      <c r="PR205" s="6"/>
      <c r="PS205" s="5" t="str">
        <f t="shared" si="782"/>
        <v>NO APLICA</v>
      </c>
      <c r="PT205" s="5"/>
      <c r="PU205" s="4">
        <v>46126</v>
      </c>
      <c r="PV205" s="4">
        <f>DATE(YEAR(PU205)+1,MONTH(PU205),DAY(PU205))</f>
        <v>46491</v>
      </c>
      <c r="PW205" s="8">
        <f ca="1">PV205-TODAY()</f>
        <v>357</v>
      </c>
      <c r="PX205" s="5" t="str">
        <f t="shared" ca="1" si="783"/>
        <v>VIGENTE</v>
      </c>
    </row>
    <row r="206" spans="1:440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6"/>
      <c r="V206" s="4"/>
      <c r="W206" s="4"/>
      <c r="X206" s="8"/>
      <c r="Y206" s="5" t="str">
        <f t="shared" si="624"/>
        <v>NO APLICA</v>
      </c>
      <c r="Z206" s="6"/>
      <c r="AA206" s="6"/>
      <c r="AB206" s="6"/>
      <c r="AC206" s="6"/>
      <c r="AD206" s="5" t="str">
        <f t="shared" si="627"/>
        <v>NO APLICA</v>
      </c>
      <c r="AE206" s="4"/>
      <c r="AF206" s="4"/>
      <c r="AG206" s="4"/>
      <c r="AH206" s="6"/>
      <c r="AI206" s="5" t="str">
        <f t="shared" si="621"/>
        <v>NO APLICA</v>
      </c>
      <c r="AJ206" s="4"/>
      <c r="AK206" s="4"/>
      <c r="AL206" s="4"/>
      <c r="AM206" s="6"/>
      <c r="AN206" s="5" t="str">
        <f t="shared" si="720"/>
        <v>NO APLICA</v>
      </c>
      <c r="AO206" s="4"/>
      <c r="AP206" s="4"/>
      <c r="AQ206" s="4"/>
      <c r="AR206" s="6"/>
      <c r="AS206" s="5" t="str">
        <f t="shared" si="721"/>
        <v>NO APLICA</v>
      </c>
      <c r="AT206" s="4"/>
      <c r="AU206" s="4"/>
      <c r="AV206" s="4"/>
      <c r="AW206" s="6"/>
      <c r="AX206" s="5" t="str">
        <f t="shared" si="722"/>
        <v>NO APLICA</v>
      </c>
      <c r="AY206" s="4"/>
      <c r="AZ206" s="4"/>
      <c r="BA206" s="4"/>
      <c r="BB206" s="6"/>
      <c r="BC206" s="5" t="str">
        <f t="shared" si="723"/>
        <v>NO APLICA</v>
      </c>
      <c r="BD206" s="4"/>
      <c r="BE206" s="4"/>
      <c r="BF206" s="4"/>
      <c r="BG206" s="6"/>
      <c r="BH206" s="5" t="str">
        <f t="shared" si="724"/>
        <v>NO APLICA</v>
      </c>
      <c r="BI206" s="4"/>
      <c r="BJ206" s="4"/>
      <c r="BK206" s="4"/>
      <c r="BL206" s="6"/>
      <c r="BM206" s="5" t="str">
        <f t="shared" si="725"/>
        <v>NO APLICA</v>
      </c>
      <c r="BN206" s="4"/>
      <c r="BO206" s="4"/>
      <c r="BP206" s="4"/>
      <c r="BQ206" s="6"/>
      <c r="BR206" s="5" t="str">
        <f t="shared" si="726"/>
        <v>NO APLICA</v>
      </c>
      <c r="BS206" s="4"/>
      <c r="BT206" s="4"/>
      <c r="BU206" s="4"/>
      <c r="BV206" s="6"/>
      <c r="BW206" s="5" t="str">
        <f t="shared" si="727"/>
        <v>NO APLICA</v>
      </c>
      <c r="BX206" s="4"/>
      <c r="BY206" s="4"/>
      <c r="BZ206" s="4"/>
      <c r="CA206" s="6"/>
      <c r="CB206" s="5" t="str">
        <f t="shared" si="728"/>
        <v>NO APLICA</v>
      </c>
      <c r="CC206" s="6" t="s">
        <v>146</v>
      </c>
      <c r="CD206" s="4">
        <v>44587</v>
      </c>
      <c r="CE206" s="4">
        <f>DATE(YEAR(CD206)+4,MONTH(CD206),DAY(CD206))</f>
        <v>46048</v>
      </c>
      <c r="CF206" s="8">
        <f ca="1">CE206-TODAY()</f>
        <v>-86</v>
      </c>
      <c r="CG206" s="5" t="str">
        <f ca="1">IF(CF206&gt;=90,"VIGENTE",IF(CF206&gt;=1,"POR VENCER",IF(CF206&lt;=-1,"VENCIDA",IF(CF206=0,"NO APLICA"))))</f>
        <v>VENCIDA</v>
      </c>
      <c r="CH206" s="4"/>
      <c r="CI206" s="4"/>
      <c r="CJ206" s="4"/>
      <c r="CK206" s="6"/>
      <c r="CL206" s="5" t="str">
        <f t="shared" si="729"/>
        <v>NO APLICA</v>
      </c>
      <c r="CM206" s="4"/>
      <c r="CN206" s="4"/>
      <c r="CO206" s="4"/>
      <c r="CP206" s="6"/>
      <c r="CQ206" s="5" t="str">
        <f t="shared" si="730"/>
        <v>NO APLICA</v>
      </c>
      <c r="CR206" s="4"/>
      <c r="CS206" s="4"/>
      <c r="CT206" s="4"/>
      <c r="CU206" s="6"/>
      <c r="CV206" s="5" t="str">
        <f t="shared" si="731"/>
        <v>NO APLICA</v>
      </c>
      <c r="CW206" s="4"/>
      <c r="CX206" s="4"/>
      <c r="CY206" s="4"/>
      <c r="CZ206" s="6"/>
      <c r="DA206" s="5" t="str">
        <f t="shared" si="732"/>
        <v>NO APLICA</v>
      </c>
      <c r="DB206" s="4"/>
      <c r="DC206" s="4"/>
      <c r="DD206" s="4"/>
      <c r="DE206" s="6"/>
      <c r="DF206" s="5" t="str">
        <f t="shared" si="733"/>
        <v>NO APLICA</v>
      </c>
      <c r="DG206" s="4"/>
      <c r="DH206" s="4"/>
      <c r="DI206" s="4"/>
      <c r="DJ206" s="6"/>
      <c r="DK206" s="5" t="str">
        <f t="shared" si="734"/>
        <v>NO APLICA</v>
      </c>
      <c r="DL206" s="4"/>
      <c r="DM206" s="4"/>
      <c r="DN206" s="4"/>
      <c r="DO206" s="6"/>
      <c r="DP206" s="5" t="str">
        <f t="shared" si="735"/>
        <v>NO APLICA</v>
      </c>
      <c r="DQ206" s="4"/>
      <c r="DR206" s="4"/>
      <c r="DS206" s="4"/>
      <c r="DT206" s="6"/>
      <c r="DU206" s="5" t="str">
        <f t="shared" si="736"/>
        <v>NO APLICA</v>
      </c>
      <c r="DV206" s="4"/>
      <c r="DW206" s="4"/>
      <c r="DX206" s="4"/>
      <c r="DY206" s="6"/>
      <c r="DZ206" s="5" t="str">
        <f t="shared" si="737"/>
        <v>NO APLICA</v>
      </c>
      <c r="EA206" s="4"/>
      <c r="EB206" s="4"/>
      <c r="EC206" s="4"/>
      <c r="ED206" s="6"/>
      <c r="EE206" s="5" t="str">
        <f t="shared" si="738"/>
        <v>NO APLICA</v>
      </c>
      <c r="EF206" s="4"/>
      <c r="EG206" s="4"/>
      <c r="EH206" s="4"/>
      <c r="EI206" s="8"/>
      <c r="EJ206" s="5" t="str">
        <f t="shared" si="739"/>
        <v>NO APLICA</v>
      </c>
      <c r="EK206" s="4"/>
      <c r="EL206" s="4"/>
      <c r="EM206" s="4"/>
      <c r="EN206" s="8"/>
      <c r="EO206" s="5" t="str">
        <f t="shared" si="740"/>
        <v>NO APLICA</v>
      </c>
      <c r="EP206" s="4"/>
      <c r="EQ206" s="4"/>
      <c r="ER206" s="4"/>
      <c r="ES206" s="8"/>
      <c r="ET206" s="5" t="str">
        <f t="shared" si="741"/>
        <v>NO APLICA</v>
      </c>
      <c r="EU206" s="4"/>
      <c r="EV206" s="4"/>
      <c r="EW206" s="4"/>
      <c r="EX206" s="6"/>
      <c r="EY206" s="5" t="str">
        <f t="shared" si="742"/>
        <v>NO APLICA</v>
      </c>
      <c r="EZ206" s="4"/>
      <c r="FA206" s="4"/>
      <c r="FB206" s="4"/>
      <c r="FC206" s="6"/>
      <c r="FD206" s="5" t="str">
        <f t="shared" si="743"/>
        <v>NO APLICA</v>
      </c>
      <c r="FE206" s="4"/>
      <c r="FF206" s="4"/>
      <c r="FG206" s="4"/>
      <c r="FH206" s="6"/>
      <c r="FI206" s="5" t="str">
        <f t="shared" si="744"/>
        <v>NO APLICA</v>
      </c>
      <c r="FJ206" s="4"/>
      <c r="FK206" s="4"/>
      <c r="FL206" s="4"/>
      <c r="FM206" s="6"/>
      <c r="FN206" s="5" t="str">
        <f t="shared" si="745"/>
        <v>NO APLICA</v>
      </c>
      <c r="FO206" s="4"/>
      <c r="FP206" s="4"/>
      <c r="FQ206" s="4"/>
      <c r="FR206" s="6"/>
      <c r="FS206" s="5" t="str">
        <f t="shared" si="746"/>
        <v>NO APLICA</v>
      </c>
      <c r="FT206" s="4"/>
      <c r="FU206" s="4"/>
      <c r="FV206" s="4"/>
      <c r="FW206" s="6"/>
      <c r="FX206" s="5" t="str">
        <f t="shared" si="747"/>
        <v>NO APLICA</v>
      </c>
      <c r="FY206" s="4"/>
      <c r="FZ206" s="4"/>
      <c r="GA206" s="4"/>
      <c r="GB206" s="6"/>
      <c r="GC206" s="5" t="str">
        <f t="shared" si="748"/>
        <v>NO APLICA</v>
      </c>
      <c r="GD206" s="4"/>
      <c r="GE206" s="4"/>
      <c r="GF206" s="4"/>
      <c r="GG206" s="8"/>
      <c r="GH206" s="5" t="str">
        <f t="shared" si="749"/>
        <v>NO APLICA</v>
      </c>
      <c r="GI206" s="4"/>
      <c r="GJ206" s="6"/>
      <c r="GK206" s="6"/>
      <c r="GL206" s="6"/>
      <c r="GM206" s="5" t="str">
        <f t="shared" si="750"/>
        <v>NO APLICA</v>
      </c>
      <c r="GN206" s="4"/>
      <c r="GO206" s="6"/>
      <c r="GP206" s="6"/>
      <c r="GQ206" s="6"/>
      <c r="GR206" s="5" t="str">
        <f t="shared" si="630"/>
        <v>NO APLICA</v>
      </c>
      <c r="GS206" s="4"/>
      <c r="GT206" s="6"/>
      <c r="GU206" s="6"/>
      <c r="GV206" s="6"/>
      <c r="GW206" s="5" t="str">
        <f t="shared" si="631"/>
        <v>NO APLICA</v>
      </c>
      <c r="GX206" s="6"/>
      <c r="GY206" s="6"/>
      <c r="GZ206" s="6"/>
      <c r="HA206" s="6"/>
      <c r="HB206" s="5" t="str">
        <f t="shared" si="632"/>
        <v>NO APLICA</v>
      </c>
      <c r="HC206" s="6"/>
      <c r="HD206" s="6"/>
      <c r="HE206" s="4"/>
      <c r="HF206" s="8"/>
      <c r="HG206" s="5" t="str">
        <f t="shared" si="718"/>
        <v>NO APLICA</v>
      </c>
      <c r="HH206" s="6"/>
      <c r="HI206" s="6"/>
      <c r="HJ206" s="6"/>
      <c r="HK206" s="6"/>
      <c r="HL206" s="5" t="str">
        <f t="shared" si="714"/>
        <v>NO APLICA</v>
      </c>
      <c r="HM206" s="6"/>
      <c r="HN206" s="6"/>
      <c r="HO206" s="6"/>
      <c r="HP206" s="6"/>
      <c r="HQ206" s="5" t="str">
        <f t="shared" si="751"/>
        <v>NO APLICA</v>
      </c>
      <c r="HR206" s="6"/>
      <c r="HS206" s="6"/>
      <c r="HT206" s="6"/>
      <c r="HU206" s="6"/>
      <c r="HV206" s="5" t="str">
        <f t="shared" si="752"/>
        <v>NO APLICA</v>
      </c>
      <c r="HW206" s="6"/>
      <c r="HX206" s="6"/>
      <c r="HY206" s="6"/>
      <c r="HZ206" s="6"/>
      <c r="IA206" s="5" t="str">
        <f t="shared" si="753"/>
        <v>NO APLICA</v>
      </c>
      <c r="IB206" s="6"/>
      <c r="IC206" s="6"/>
      <c r="ID206" s="6"/>
      <c r="IE206" s="6"/>
      <c r="IF206" s="5" t="str">
        <f t="shared" si="754"/>
        <v>NO APLICA</v>
      </c>
      <c r="IG206" s="6"/>
      <c r="IH206" s="6"/>
      <c r="II206" s="6"/>
      <c r="IJ206" s="6"/>
      <c r="IK206" s="5" t="str">
        <f t="shared" si="755"/>
        <v>NO APLICA</v>
      </c>
      <c r="IL206" s="6"/>
      <c r="IM206" s="6"/>
      <c r="IN206" s="6"/>
      <c r="IO206" s="6"/>
      <c r="IP206" s="5" t="str">
        <f t="shared" si="756"/>
        <v>NO APLICA</v>
      </c>
      <c r="IQ206" s="6"/>
      <c r="IR206" s="6"/>
      <c r="IS206" s="6"/>
      <c r="IT206" s="6"/>
      <c r="IU206" s="5" t="str">
        <f t="shared" si="757"/>
        <v>NO APLICA</v>
      </c>
      <c r="IV206" s="6"/>
      <c r="IW206" s="6"/>
      <c r="IX206" s="6"/>
      <c r="IY206" s="6"/>
      <c r="IZ206" s="5" t="str">
        <f t="shared" si="758"/>
        <v>NO APLICA</v>
      </c>
      <c r="JA206" s="6"/>
      <c r="JB206" s="6"/>
      <c r="JC206" s="6"/>
      <c r="JD206" s="6"/>
      <c r="JE206" s="5" t="str">
        <f t="shared" si="759"/>
        <v>NO APLICA</v>
      </c>
      <c r="JF206" s="6"/>
      <c r="JG206" s="6"/>
      <c r="JH206" s="6"/>
      <c r="JI206" s="6"/>
      <c r="JJ206" s="5" t="str">
        <f t="shared" si="760"/>
        <v>NO APLICA</v>
      </c>
      <c r="JK206" s="6"/>
      <c r="JL206" s="6"/>
      <c r="JM206" s="6"/>
      <c r="JN206" s="6"/>
      <c r="JO206" s="5" t="str">
        <f t="shared" si="761"/>
        <v>NO APLICA</v>
      </c>
      <c r="JP206" s="6"/>
      <c r="JQ206" s="6"/>
      <c r="JR206" s="6"/>
      <c r="JS206" s="6"/>
      <c r="JT206" s="5" t="str">
        <f t="shared" si="762"/>
        <v>NO APLICA</v>
      </c>
      <c r="JU206" s="5"/>
      <c r="JV206" s="3"/>
      <c r="JW206" s="4"/>
      <c r="JX206" s="8"/>
      <c r="JY206" s="5" t="str">
        <f>IF(JX206&gt;=61,"VIGENTE",IF(JX206&gt;=1,"POR VENCER",IF(JX206&lt;=-1,"VENCIDA",IF(JV206=0,"NO APLICA"))))</f>
        <v>NO APLICA</v>
      </c>
      <c r="JZ206" s="5"/>
      <c r="KA206" s="6"/>
      <c r="KB206" s="6"/>
      <c r="KC206" s="6"/>
      <c r="KD206" s="5" t="str">
        <f t="shared" si="764"/>
        <v>NO APLICA</v>
      </c>
      <c r="KE206" s="5"/>
      <c r="KF206" s="6"/>
      <c r="KG206" s="6"/>
      <c r="KH206" s="6"/>
      <c r="KI206" s="5" t="str">
        <f t="shared" si="784"/>
        <v>NO APLICA</v>
      </c>
      <c r="KJ206" s="5"/>
      <c r="KK206" s="6"/>
      <c r="KL206" s="6"/>
      <c r="KM206" s="6"/>
      <c r="KN206" s="5" t="str">
        <f t="shared" si="765"/>
        <v>NO APLICA</v>
      </c>
      <c r="KO206" s="5"/>
      <c r="KP206" s="6"/>
      <c r="KQ206" s="6"/>
      <c r="KR206" s="6"/>
      <c r="KS206" s="5" t="str">
        <f t="shared" si="785"/>
        <v>NO APLICA</v>
      </c>
      <c r="KT206" s="6"/>
      <c r="KU206" s="6"/>
      <c r="KV206" s="6"/>
      <c r="KW206" s="6"/>
      <c r="KX206" s="5" t="str">
        <f t="shared" si="791"/>
        <v>NO APLICA</v>
      </c>
      <c r="KY206" s="5"/>
      <c r="KZ206" s="6"/>
      <c r="LA206" s="6"/>
      <c r="LB206" s="6"/>
      <c r="LC206" s="5" t="str">
        <f t="shared" si="786"/>
        <v>NO APLICA</v>
      </c>
      <c r="LD206" s="6"/>
      <c r="LE206" s="6"/>
      <c r="LF206" s="6"/>
      <c r="LG206" s="6"/>
      <c r="LH206" s="5" t="str">
        <f t="shared" si="619"/>
        <v>NO APLICA</v>
      </c>
      <c r="LI206" s="5"/>
      <c r="LJ206" s="5"/>
      <c r="LK206" s="4"/>
      <c r="LL206" s="8"/>
      <c r="LM206" s="5" t="str">
        <f t="shared" si="792"/>
        <v>NO APLICA</v>
      </c>
      <c r="LN206" s="6"/>
      <c r="LO206" s="6"/>
      <c r="LP206" s="6"/>
      <c r="LQ206" s="6"/>
      <c r="LR206" s="5" t="str">
        <f t="shared" si="787"/>
        <v>NO APLICA</v>
      </c>
      <c r="LS206" s="6"/>
      <c r="LT206" s="6"/>
      <c r="LU206" s="6"/>
      <c r="LV206" s="6"/>
      <c r="LW206" s="5" t="str">
        <f t="shared" si="788"/>
        <v>NO APLICA</v>
      </c>
      <c r="LX206" s="6"/>
      <c r="LY206" s="6"/>
      <c r="LZ206" s="6"/>
      <c r="MA206" s="6"/>
      <c r="MB206" s="5" t="str">
        <f t="shared" si="789"/>
        <v>NO APLICA</v>
      </c>
      <c r="MC206" s="6"/>
      <c r="MD206" s="6"/>
      <c r="ME206" s="6"/>
      <c r="MF206" s="6"/>
      <c r="MG206" s="5" t="str">
        <f t="shared" si="766"/>
        <v>NO APLICA</v>
      </c>
      <c r="MH206" s="6"/>
      <c r="MI206" s="6"/>
      <c r="MJ206" s="6"/>
      <c r="MK206" s="6"/>
      <c r="ML206" s="5" t="str">
        <f t="shared" si="767"/>
        <v>NO APLICA</v>
      </c>
      <c r="MM206" s="5"/>
      <c r="MN206" s="6"/>
      <c r="MO206" s="6"/>
      <c r="MP206" s="6"/>
      <c r="MQ206" s="5" t="str">
        <f t="shared" si="768"/>
        <v>NO APLICA</v>
      </c>
      <c r="MR206" s="5"/>
      <c r="MS206" s="6"/>
      <c r="MT206" s="6"/>
      <c r="MU206" s="6"/>
      <c r="MV206" s="5" t="str">
        <f t="shared" si="769"/>
        <v>NO APLICA</v>
      </c>
      <c r="MW206" s="6"/>
      <c r="MX206" s="6"/>
      <c r="MY206" s="6"/>
      <c r="MZ206" s="6"/>
      <c r="NA206" s="5" t="str">
        <f t="shared" si="770"/>
        <v>NO APLICA</v>
      </c>
      <c r="NB206" s="6"/>
      <c r="NC206" s="6"/>
      <c r="ND206" s="6"/>
      <c r="NE206" s="6"/>
      <c r="NF206" s="5" t="str">
        <f t="shared" si="771"/>
        <v>NO APLICA</v>
      </c>
      <c r="NG206" s="6"/>
      <c r="NH206" s="4">
        <v>44751</v>
      </c>
      <c r="NI206" s="4">
        <f>DATE(YEAR(NH206)+5,MONTH(NH206),DAY(NH206))</f>
        <v>46577</v>
      </c>
      <c r="NJ206" s="8">
        <f ca="1">NI206-TODAY()</f>
        <v>443</v>
      </c>
      <c r="NK206" s="5" t="str">
        <f ca="1">IF(NJ206&gt;=61,"VIGENTE",IF(NJ206&gt;=1,"POR VENCER",IF(NJ206&lt;=-1,"VENCIDA",IF(NH206=0,"NO APLICA"))))</f>
        <v>VIGENTE</v>
      </c>
      <c r="NL206" s="6"/>
      <c r="NM206" s="6"/>
      <c r="NN206" s="6"/>
      <c r="NO206" s="6"/>
      <c r="NP206" s="5" t="str">
        <f t="shared" si="773"/>
        <v>NO APLICA</v>
      </c>
      <c r="NQ206" s="6"/>
      <c r="NR206" s="6"/>
      <c r="NS206" s="6"/>
      <c r="NT206" s="6"/>
      <c r="NU206" s="5" t="str">
        <f t="shared" si="774"/>
        <v>NO APLICA</v>
      </c>
      <c r="NV206" s="6"/>
      <c r="NW206" s="6"/>
      <c r="NX206" s="6"/>
      <c r="NY206" s="6"/>
      <c r="NZ206" s="5" t="str">
        <f t="shared" si="775"/>
        <v>NO APLICA</v>
      </c>
      <c r="OA206" s="6"/>
      <c r="OB206" s="6"/>
      <c r="OC206" s="6"/>
      <c r="OD206" s="6"/>
      <c r="OE206" s="5" t="str">
        <f t="shared" si="776"/>
        <v>NO APLICA</v>
      </c>
      <c r="OF206" s="6"/>
      <c r="OG206" s="6"/>
      <c r="OH206" s="6"/>
      <c r="OI206" s="6"/>
      <c r="OJ206" s="5" t="str">
        <f t="shared" si="777"/>
        <v>NO APLICA</v>
      </c>
      <c r="OK206" s="6"/>
      <c r="OL206" s="6"/>
      <c r="OM206" s="6"/>
      <c r="ON206" s="6"/>
      <c r="OO206" s="5" t="str">
        <f t="shared" si="778"/>
        <v>NO APLICA</v>
      </c>
      <c r="OP206" s="6"/>
      <c r="OQ206" s="6"/>
      <c r="OR206" s="6"/>
      <c r="OS206" s="6"/>
      <c r="OT206" s="5" t="str">
        <f t="shared" si="779"/>
        <v>NO APLICA</v>
      </c>
      <c r="OU206" s="6"/>
      <c r="OV206" s="6"/>
      <c r="OW206" s="6"/>
      <c r="OX206" s="6"/>
      <c r="OY206" s="5" t="str">
        <f t="shared" si="793"/>
        <v>NO APLICA</v>
      </c>
      <c r="OZ206" s="6"/>
      <c r="PA206" s="6"/>
      <c r="PB206" s="6"/>
      <c r="PC206" s="6"/>
      <c r="PD206" s="5" t="str">
        <f t="shared" si="780"/>
        <v>NO APLICA</v>
      </c>
      <c r="PE206" s="6"/>
      <c r="PF206" s="6"/>
      <c r="PG206" s="6"/>
      <c r="PH206" s="6"/>
      <c r="PI206" s="5" t="str">
        <f t="shared" si="781"/>
        <v>NO APLICA</v>
      </c>
      <c r="PJ206" s="5"/>
      <c r="PK206" s="6"/>
      <c r="PL206" s="6"/>
      <c r="PM206" s="6"/>
      <c r="PN206" s="5" t="str">
        <f t="shared" si="790"/>
        <v>NO APLICA</v>
      </c>
      <c r="PO206" s="6"/>
      <c r="PP206" s="6"/>
      <c r="PQ206" s="6"/>
      <c r="PR206" s="6"/>
      <c r="PS206" s="5" t="str">
        <f t="shared" si="782"/>
        <v>NO APLICA</v>
      </c>
      <c r="PT206" s="5"/>
      <c r="PU206" s="6"/>
      <c r="PV206" s="6"/>
      <c r="PW206" s="6"/>
      <c r="PX206" s="5" t="str">
        <f t="shared" si="783"/>
        <v>NO APLICA</v>
      </c>
    </row>
    <row r="207" spans="1:440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6"/>
      <c r="V207" s="4"/>
      <c r="W207" s="4"/>
      <c r="X207" s="8"/>
      <c r="Y207" s="5" t="str">
        <f t="shared" si="624"/>
        <v>NO APLICA</v>
      </c>
      <c r="Z207" s="6"/>
      <c r="AA207" s="6"/>
      <c r="AB207" s="6"/>
      <c r="AC207" s="6"/>
      <c r="AD207" s="5" t="str">
        <f t="shared" si="627"/>
        <v>NO APLICA</v>
      </c>
      <c r="AE207" s="4"/>
      <c r="AF207" s="4"/>
      <c r="AG207" s="4"/>
      <c r="AH207" s="6"/>
      <c r="AI207" s="5" t="str">
        <f t="shared" si="621"/>
        <v>NO APLICA</v>
      </c>
      <c r="AJ207" s="4"/>
      <c r="AK207" s="4"/>
      <c r="AL207" s="4"/>
      <c r="AM207" s="6"/>
      <c r="AN207" s="5" t="str">
        <f t="shared" si="720"/>
        <v>NO APLICA</v>
      </c>
      <c r="AO207" s="4"/>
      <c r="AP207" s="4"/>
      <c r="AQ207" s="4"/>
      <c r="AR207" s="6"/>
      <c r="AS207" s="5" t="str">
        <f t="shared" si="721"/>
        <v>NO APLICA</v>
      </c>
      <c r="AT207" s="4"/>
      <c r="AU207" s="4"/>
      <c r="AV207" s="4"/>
      <c r="AW207" s="6"/>
      <c r="AX207" s="5" t="str">
        <f t="shared" si="722"/>
        <v>NO APLICA</v>
      </c>
      <c r="AY207" s="4"/>
      <c r="AZ207" s="4"/>
      <c r="BA207" s="4"/>
      <c r="BB207" s="6"/>
      <c r="BC207" s="5" t="str">
        <f t="shared" si="723"/>
        <v>NO APLICA</v>
      </c>
      <c r="BD207" s="4"/>
      <c r="BE207" s="4"/>
      <c r="BF207" s="4"/>
      <c r="BG207" s="6"/>
      <c r="BH207" s="5" t="str">
        <f t="shared" si="724"/>
        <v>NO APLICA</v>
      </c>
      <c r="BI207" s="4"/>
      <c r="BJ207" s="4"/>
      <c r="BK207" s="4"/>
      <c r="BL207" s="6"/>
      <c r="BM207" s="5" t="str">
        <f t="shared" si="725"/>
        <v>NO APLICA</v>
      </c>
      <c r="BN207" s="4"/>
      <c r="BO207" s="4"/>
      <c r="BP207" s="4"/>
      <c r="BQ207" s="6"/>
      <c r="BR207" s="5" t="str">
        <f t="shared" si="726"/>
        <v>NO APLICA</v>
      </c>
      <c r="BS207" s="4"/>
      <c r="BT207" s="4"/>
      <c r="BU207" s="4"/>
      <c r="BV207" s="6"/>
      <c r="BW207" s="5" t="str">
        <f t="shared" si="727"/>
        <v>NO APLICA</v>
      </c>
      <c r="BX207" s="4"/>
      <c r="BY207" s="4"/>
      <c r="BZ207" s="4"/>
      <c r="CA207" s="6"/>
      <c r="CB207" s="5" t="str">
        <f t="shared" si="728"/>
        <v>NO APLICA</v>
      </c>
      <c r="CC207" s="6"/>
      <c r="CD207" s="6"/>
      <c r="CE207" s="6"/>
      <c r="CF207" s="6"/>
      <c r="CG207" s="5" t="str">
        <f t="shared" si="591"/>
        <v>NO APLICA</v>
      </c>
      <c r="CH207" s="4"/>
      <c r="CI207" s="4"/>
      <c r="CJ207" s="4"/>
      <c r="CK207" s="6"/>
      <c r="CL207" s="5" t="str">
        <f t="shared" si="729"/>
        <v>NO APLICA</v>
      </c>
      <c r="CM207" s="4"/>
      <c r="CN207" s="4"/>
      <c r="CO207" s="4"/>
      <c r="CP207" s="6"/>
      <c r="CQ207" s="5" t="str">
        <f t="shared" si="730"/>
        <v>NO APLICA</v>
      </c>
      <c r="CR207" s="4"/>
      <c r="CS207" s="4"/>
      <c r="CT207" s="4"/>
      <c r="CU207" s="6"/>
      <c r="CV207" s="5" t="str">
        <f t="shared" si="731"/>
        <v>NO APLICA</v>
      </c>
      <c r="CW207" s="4"/>
      <c r="CX207" s="4"/>
      <c r="CY207" s="4"/>
      <c r="CZ207" s="6"/>
      <c r="DA207" s="5" t="str">
        <f t="shared" si="732"/>
        <v>NO APLICA</v>
      </c>
      <c r="DB207" s="4"/>
      <c r="DC207" s="4"/>
      <c r="DD207" s="4"/>
      <c r="DE207" s="6"/>
      <c r="DF207" s="5" t="str">
        <f t="shared" si="733"/>
        <v>NO APLICA</v>
      </c>
      <c r="DG207" s="4"/>
      <c r="DH207" s="4"/>
      <c r="DI207" s="4"/>
      <c r="DJ207" s="6"/>
      <c r="DK207" s="5" t="str">
        <f t="shared" si="734"/>
        <v>NO APLICA</v>
      </c>
      <c r="DL207" s="4"/>
      <c r="DM207" s="4"/>
      <c r="DN207" s="4"/>
      <c r="DO207" s="6"/>
      <c r="DP207" s="5" t="str">
        <f t="shared" si="735"/>
        <v>NO APLICA</v>
      </c>
      <c r="DQ207" s="4"/>
      <c r="DR207" s="4"/>
      <c r="DS207" s="4"/>
      <c r="DT207" s="6"/>
      <c r="DU207" s="5" t="str">
        <f t="shared" si="736"/>
        <v>NO APLICA</v>
      </c>
      <c r="DV207" s="4"/>
      <c r="DW207" s="4"/>
      <c r="DX207" s="4"/>
      <c r="DY207" s="6"/>
      <c r="DZ207" s="5" t="str">
        <f t="shared" si="737"/>
        <v>NO APLICA</v>
      </c>
      <c r="EA207" s="4"/>
      <c r="EB207" s="4"/>
      <c r="EC207" s="4"/>
      <c r="ED207" s="6"/>
      <c r="EE207" s="5" t="str">
        <f t="shared" si="738"/>
        <v>NO APLICA</v>
      </c>
      <c r="EF207" s="4"/>
      <c r="EG207" s="4"/>
      <c r="EH207" s="4"/>
      <c r="EI207" s="8"/>
      <c r="EJ207" s="5" t="str">
        <f t="shared" si="739"/>
        <v>NO APLICA</v>
      </c>
      <c r="EK207" s="4"/>
      <c r="EL207" s="4"/>
      <c r="EM207" s="4"/>
      <c r="EN207" s="8"/>
      <c r="EO207" s="5" t="str">
        <f t="shared" si="740"/>
        <v>NO APLICA</v>
      </c>
      <c r="EP207" s="4"/>
      <c r="EQ207" s="4"/>
      <c r="ER207" s="4"/>
      <c r="ES207" s="8"/>
      <c r="ET207" s="5" t="str">
        <f t="shared" si="741"/>
        <v>NO APLICA</v>
      </c>
      <c r="EU207" s="4"/>
      <c r="EV207" s="4"/>
      <c r="EW207" s="4"/>
      <c r="EX207" s="6"/>
      <c r="EY207" s="5" t="str">
        <f t="shared" si="742"/>
        <v>NO APLICA</v>
      </c>
      <c r="EZ207" s="4"/>
      <c r="FA207" s="4"/>
      <c r="FB207" s="4"/>
      <c r="FC207" s="6"/>
      <c r="FD207" s="5" t="str">
        <f t="shared" si="743"/>
        <v>NO APLICA</v>
      </c>
      <c r="FE207" s="4"/>
      <c r="FF207" s="4"/>
      <c r="FG207" s="4"/>
      <c r="FH207" s="6"/>
      <c r="FI207" s="5" t="str">
        <f t="shared" si="744"/>
        <v>NO APLICA</v>
      </c>
      <c r="FJ207" s="4"/>
      <c r="FK207" s="4"/>
      <c r="FL207" s="4"/>
      <c r="FM207" s="6"/>
      <c r="FN207" s="5" t="str">
        <f t="shared" si="745"/>
        <v>NO APLICA</v>
      </c>
      <c r="FO207" s="4"/>
      <c r="FP207" s="4"/>
      <c r="FQ207" s="4"/>
      <c r="FR207" s="6"/>
      <c r="FS207" s="5" t="str">
        <f t="shared" si="746"/>
        <v>NO APLICA</v>
      </c>
      <c r="FT207" s="4"/>
      <c r="FU207" s="4"/>
      <c r="FV207" s="4"/>
      <c r="FW207" s="6"/>
      <c r="FX207" s="5" t="str">
        <f t="shared" si="747"/>
        <v>NO APLICA</v>
      </c>
      <c r="FY207" s="4"/>
      <c r="FZ207" s="4"/>
      <c r="GA207" s="4"/>
      <c r="GB207" s="6"/>
      <c r="GC207" s="5" t="str">
        <f t="shared" si="748"/>
        <v>NO APLICA</v>
      </c>
      <c r="GD207" s="4"/>
      <c r="GE207" s="4"/>
      <c r="GF207" s="4"/>
      <c r="GG207" s="8"/>
      <c r="GH207" s="5" t="str">
        <f t="shared" si="749"/>
        <v>NO APLICA</v>
      </c>
      <c r="GI207" s="4"/>
      <c r="GJ207" s="6"/>
      <c r="GK207" s="6"/>
      <c r="GL207" s="6"/>
      <c r="GM207" s="5" t="str">
        <f t="shared" si="750"/>
        <v>NO APLICA</v>
      </c>
      <c r="GN207" s="4"/>
      <c r="GO207" s="6"/>
      <c r="GP207" s="6"/>
      <c r="GQ207" s="6"/>
      <c r="GR207" s="5" t="str">
        <f t="shared" si="630"/>
        <v>NO APLICA</v>
      </c>
      <c r="GS207" s="4"/>
      <c r="GT207" s="6"/>
      <c r="GU207" s="6"/>
      <c r="GV207" s="6"/>
      <c r="GW207" s="5" t="str">
        <f t="shared" si="631"/>
        <v>NO APLICA</v>
      </c>
      <c r="GX207" s="6"/>
      <c r="GY207" s="6"/>
      <c r="GZ207" s="6"/>
      <c r="HA207" s="6"/>
      <c r="HB207" s="5" t="str">
        <f t="shared" si="632"/>
        <v>NO APLICA</v>
      </c>
      <c r="HC207" s="6"/>
      <c r="HD207" s="6"/>
      <c r="HE207" s="4"/>
      <c r="HF207" s="8"/>
      <c r="HG207" s="5" t="str">
        <f t="shared" si="718"/>
        <v>NO APLICA</v>
      </c>
      <c r="HH207" s="6"/>
      <c r="HI207" s="6"/>
      <c r="HJ207" s="6"/>
      <c r="HK207" s="6"/>
      <c r="HL207" s="5" t="str">
        <f t="shared" si="714"/>
        <v>NO APLICA</v>
      </c>
      <c r="HM207" s="6"/>
      <c r="HN207" s="6"/>
      <c r="HO207" s="6"/>
      <c r="HP207" s="6"/>
      <c r="HQ207" s="5" t="str">
        <f t="shared" si="751"/>
        <v>NO APLICA</v>
      </c>
      <c r="HR207" s="6"/>
      <c r="HS207" s="6"/>
      <c r="HT207" s="6"/>
      <c r="HU207" s="6"/>
      <c r="HV207" s="5" t="str">
        <f t="shared" si="752"/>
        <v>NO APLICA</v>
      </c>
      <c r="HW207" s="6"/>
      <c r="HX207" s="6"/>
      <c r="HY207" s="6"/>
      <c r="HZ207" s="6"/>
      <c r="IA207" s="5" t="str">
        <f t="shared" si="753"/>
        <v>NO APLICA</v>
      </c>
      <c r="IB207" s="6"/>
      <c r="IC207" s="6"/>
      <c r="ID207" s="6"/>
      <c r="IE207" s="6"/>
      <c r="IF207" s="5" t="str">
        <f t="shared" si="754"/>
        <v>NO APLICA</v>
      </c>
      <c r="IG207" s="6"/>
      <c r="IH207" s="6"/>
      <c r="II207" s="6"/>
      <c r="IJ207" s="6"/>
      <c r="IK207" s="5" t="str">
        <f t="shared" si="755"/>
        <v>NO APLICA</v>
      </c>
      <c r="IL207" s="6"/>
      <c r="IM207" s="6"/>
      <c r="IN207" s="6"/>
      <c r="IO207" s="6"/>
      <c r="IP207" s="5" t="str">
        <f t="shared" si="756"/>
        <v>NO APLICA</v>
      </c>
      <c r="IQ207" s="6"/>
      <c r="IR207" s="6"/>
      <c r="IS207" s="6"/>
      <c r="IT207" s="6"/>
      <c r="IU207" s="5" t="str">
        <f t="shared" si="757"/>
        <v>NO APLICA</v>
      </c>
      <c r="IV207" s="6"/>
      <c r="IW207" s="6"/>
      <c r="IX207" s="6"/>
      <c r="IY207" s="6"/>
      <c r="IZ207" s="5" t="str">
        <f t="shared" si="758"/>
        <v>NO APLICA</v>
      </c>
      <c r="JA207" s="6"/>
      <c r="JB207" s="6"/>
      <c r="JC207" s="6"/>
      <c r="JD207" s="6"/>
      <c r="JE207" s="5" t="str">
        <f t="shared" si="759"/>
        <v>NO APLICA</v>
      </c>
      <c r="JF207" s="6"/>
      <c r="JG207" s="6"/>
      <c r="JH207" s="6"/>
      <c r="JI207" s="6"/>
      <c r="JJ207" s="5" t="str">
        <f t="shared" si="760"/>
        <v>NO APLICA</v>
      </c>
      <c r="JK207" s="6"/>
      <c r="JL207" s="6"/>
      <c r="JM207" s="6"/>
      <c r="JN207" s="6"/>
      <c r="JO207" s="5" t="str">
        <f t="shared" si="761"/>
        <v>NO APLICA</v>
      </c>
      <c r="JP207" s="6"/>
      <c r="JQ207" s="6"/>
      <c r="JR207" s="6"/>
      <c r="JS207" s="6"/>
      <c r="JT207" s="5" t="str">
        <f t="shared" si="762"/>
        <v>NO APLICA</v>
      </c>
      <c r="JU207" s="5"/>
      <c r="JV207" s="5"/>
      <c r="JW207" s="5"/>
      <c r="JX207" s="5"/>
      <c r="JY207" s="5" t="str">
        <f t="shared" si="763"/>
        <v>NO APLICA</v>
      </c>
      <c r="JZ207" s="5"/>
      <c r="KA207" s="6"/>
      <c r="KB207" s="6"/>
      <c r="KC207" s="6"/>
      <c r="KD207" s="5" t="str">
        <f t="shared" si="764"/>
        <v>NO APLICA</v>
      </c>
      <c r="KE207" s="5"/>
      <c r="KF207" s="6"/>
      <c r="KG207" s="6"/>
      <c r="KH207" s="6"/>
      <c r="KI207" s="5" t="str">
        <f t="shared" si="784"/>
        <v>NO APLICA</v>
      </c>
      <c r="KJ207" s="5"/>
      <c r="KK207" s="6"/>
      <c r="KL207" s="6"/>
      <c r="KM207" s="6"/>
      <c r="KN207" s="5" t="str">
        <f t="shared" si="765"/>
        <v>NO APLICA</v>
      </c>
      <c r="KO207" s="5"/>
      <c r="KP207" s="6"/>
      <c r="KQ207" s="6"/>
      <c r="KR207" s="6"/>
      <c r="KS207" s="5" t="str">
        <f t="shared" si="785"/>
        <v>NO APLICA</v>
      </c>
      <c r="KT207" s="6"/>
      <c r="KU207" s="6"/>
      <c r="KV207" s="6"/>
      <c r="KW207" s="6"/>
      <c r="KX207" s="5" t="str">
        <f t="shared" si="791"/>
        <v>NO APLICA</v>
      </c>
      <c r="KY207" s="5"/>
      <c r="KZ207" s="6"/>
      <c r="LA207" s="6"/>
      <c r="LB207" s="6"/>
      <c r="LC207" s="5" t="str">
        <f t="shared" si="786"/>
        <v>NO APLICA</v>
      </c>
      <c r="LD207" s="6"/>
      <c r="LE207" s="6"/>
      <c r="LF207" s="6"/>
      <c r="LG207" s="6"/>
      <c r="LH207" s="5" t="str">
        <f t="shared" si="619"/>
        <v>NO APLICA</v>
      </c>
      <c r="LI207" s="5"/>
      <c r="LJ207" s="5"/>
      <c r="LK207" s="4"/>
      <c r="LL207" s="8"/>
      <c r="LM207" s="5" t="str">
        <f t="shared" si="792"/>
        <v>NO APLICA</v>
      </c>
      <c r="LN207" s="6"/>
      <c r="LO207" s="6"/>
      <c r="LP207" s="6"/>
      <c r="LQ207" s="6"/>
      <c r="LR207" s="5" t="str">
        <f t="shared" si="787"/>
        <v>NO APLICA</v>
      </c>
      <c r="LS207" s="6"/>
      <c r="LT207" s="6"/>
      <c r="LU207" s="6"/>
      <c r="LV207" s="6"/>
      <c r="LW207" s="5" t="str">
        <f t="shared" si="788"/>
        <v>NO APLICA</v>
      </c>
      <c r="LX207" s="6"/>
      <c r="LY207" s="6"/>
      <c r="LZ207" s="6"/>
      <c r="MA207" s="6"/>
      <c r="MB207" s="5" t="str">
        <f t="shared" si="789"/>
        <v>NO APLICA</v>
      </c>
      <c r="MC207" s="6"/>
      <c r="MD207" s="6"/>
      <c r="ME207" s="6"/>
      <c r="MF207" s="6"/>
      <c r="MG207" s="5" t="str">
        <f t="shared" si="766"/>
        <v>NO APLICA</v>
      </c>
      <c r="MH207" s="6"/>
      <c r="MI207" s="6"/>
      <c r="MJ207" s="6"/>
      <c r="MK207" s="6"/>
      <c r="ML207" s="5" t="str">
        <f t="shared" si="767"/>
        <v>NO APLICA</v>
      </c>
      <c r="MM207" s="5"/>
      <c r="MN207" s="6"/>
      <c r="MO207" s="6"/>
      <c r="MP207" s="6"/>
      <c r="MQ207" s="5" t="str">
        <f t="shared" si="768"/>
        <v>NO APLICA</v>
      </c>
      <c r="MR207" s="5"/>
      <c r="MS207" s="6"/>
      <c r="MT207" s="6"/>
      <c r="MU207" s="6"/>
      <c r="MV207" s="5" t="str">
        <f t="shared" si="769"/>
        <v>NO APLICA</v>
      </c>
      <c r="MW207" s="6"/>
      <c r="MX207" s="6"/>
      <c r="MY207" s="6"/>
      <c r="MZ207" s="6"/>
      <c r="NA207" s="5" t="str">
        <f t="shared" si="770"/>
        <v>NO APLICA</v>
      </c>
      <c r="NB207" s="6"/>
      <c r="NC207" s="6"/>
      <c r="ND207" s="6"/>
      <c r="NE207" s="6"/>
      <c r="NF207" s="5" t="str">
        <f t="shared" si="771"/>
        <v>NO APLICA</v>
      </c>
      <c r="NG207" s="6"/>
      <c r="NH207" s="6"/>
      <c r="NI207" s="6"/>
      <c r="NJ207" s="6"/>
      <c r="NK207" s="5" t="str">
        <f t="shared" si="772"/>
        <v>NO APLICA</v>
      </c>
      <c r="NL207" s="6"/>
      <c r="NM207" s="6"/>
      <c r="NN207" s="6"/>
      <c r="NO207" s="6"/>
      <c r="NP207" s="5" t="str">
        <f t="shared" si="773"/>
        <v>NO APLICA</v>
      </c>
      <c r="NQ207" s="6"/>
      <c r="NR207" s="6"/>
      <c r="NS207" s="6"/>
      <c r="NT207" s="6"/>
      <c r="NU207" s="5" t="str">
        <f t="shared" si="774"/>
        <v>NO APLICA</v>
      </c>
      <c r="NV207" s="6"/>
      <c r="NW207" s="6"/>
      <c r="NX207" s="6"/>
      <c r="NY207" s="6"/>
      <c r="NZ207" s="5" t="str">
        <f t="shared" si="775"/>
        <v>NO APLICA</v>
      </c>
      <c r="OA207" s="6"/>
      <c r="OB207" s="6"/>
      <c r="OC207" s="6"/>
      <c r="OD207" s="6"/>
      <c r="OE207" s="5" t="str">
        <f t="shared" si="776"/>
        <v>NO APLICA</v>
      </c>
      <c r="OF207" s="6"/>
      <c r="OG207" s="6"/>
      <c r="OH207" s="6"/>
      <c r="OI207" s="6"/>
      <c r="OJ207" s="5" t="str">
        <f t="shared" si="777"/>
        <v>NO APLICA</v>
      </c>
      <c r="OK207" s="6"/>
      <c r="OL207" s="6"/>
      <c r="OM207" s="6"/>
      <c r="ON207" s="6"/>
      <c r="OO207" s="5" t="str">
        <f t="shared" si="778"/>
        <v>NO APLICA</v>
      </c>
      <c r="OP207" s="6"/>
      <c r="OQ207" s="6"/>
      <c r="OR207" s="6"/>
      <c r="OS207" s="6"/>
      <c r="OT207" s="5" t="str">
        <f t="shared" si="779"/>
        <v>NO APLICA</v>
      </c>
      <c r="OU207" s="6"/>
      <c r="OV207" s="6"/>
      <c r="OW207" s="6"/>
      <c r="OX207" s="6"/>
      <c r="OY207" s="5" t="str">
        <f t="shared" si="793"/>
        <v>NO APLICA</v>
      </c>
      <c r="OZ207" s="6"/>
      <c r="PA207" s="6"/>
      <c r="PB207" s="6"/>
      <c r="PC207" s="6"/>
      <c r="PD207" s="5" t="str">
        <f t="shared" si="780"/>
        <v>NO APLICA</v>
      </c>
      <c r="PE207" s="6"/>
      <c r="PF207" s="6"/>
      <c r="PG207" s="6"/>
      <c r="PH207" s="6"/>
      <c r="PI207" s="5" t="str">
        <f t="shared" si="781"/>
        <v>NO APLICA</v>
      </c>
      <c r="PJ207" s="5"/>
      <c r="PK207" s="6"/>
      <c r="PL207" s="6"/>
      <c r="PM207" s="6"/>
      <c r="PN207" s="5" t="str">
        <f t="shared" si="790"/>
        <v>NO APLICA</v>
      </c>
      <c r="PO207" s="6"/>
      <c r="PP207" s="6"/>
      <c r="PQ207" s="6"/>
      <c r="PR207" s="6"/>
      <c r="PS207" s="5" t="str">
        <f t="shared" si="782"/>
        <v>NO APLICA</v>
      </c>
      <c r="PT207" s="5"/>
      <c r="PU207" s="6"/>
      <c r="PV207" s="6"/>
      <c r="PW207" s="6"/>
      <c r="PX207" s="5" t="str">
        <f t="shared" si="783"/>
        <v>NO APLICA</v>
      </c>
    </row>
    <row r="208" spans="1:440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6"/>
      <c r="V208" s="4"/>
      <c r="W208" s="4"/>
      <c r="X208" s="8"/>
      <c r="Y208" s="5" t="str">
        <f t="shared" si="624"/>
        <v>NO APLICA</v>
      </c>
      <c r="Z208" s="2"/>
      <c r="AA208" s="2"/>
      <c r="AB208" s="2"/>
      <c r="AC208" s="2"/>
      <c r="AD208" s="5" t="str">
        <f t="shared" si="627"/>
        <v>NO APLICA</v>
      </c>
      <c r="AE208" s="4"/>
      <c r="AF208" s="4"/>
      <c r="AG208" s="4"/>
      <c r="AH208" s="8"/>
      <c r="AI208" s="5" t="str">
        <f t="shared" si="621"/>
        <v>NO APLICA</v>
      </c>
      <c r="AJ208" s="4"/>
      <c r="AK208" s="4"/>
      <c r="AL208" s="4"/>
      <c r="AM208" s="8"/>
      <c r="AN208" s="5" t="str">
        <f t="shared" si="720"/>
        <v>NO APLICA</v>
      </c>
      <c r="AO208" s="4"/>
      <c r="AP208" s="4"/>
      <c r="AQ208" s="4"/>
      <c r="AR208" s="8"/>
      <c r="AS208" s="5" t="str">
        <f t="shared" si="721"/>
        <v>NO APLICA</v>
      </c>
      <c r="AT208" s="4"/>
      <c r="AU208" s="4"/>
      <c r="AV208" s="4"/>
      <c r="AW208" s="8"/>
      <c r="AX208" s="5" t="str">
        <f t="shared" si="722"/>
        <v>NO APLICA</v>
      </c>
      <c r="AY208" s="4"/>
      <c r="AZ208" s="4"/>
      <c r="BA208" s="4"/>
      <c r="BB208" s="8"/>
      <c r="BC208" s="5" t="str">
        <f t="shared" si="723"/>
        <v>NO APLICA</v>
      </c>
      <c r="BD208" s="4"/>
      <c r="BE208" s="4"/>
      <c r="BF208" s="4"/>
      <c r="BG208" s="8"/>
      <c r="BH208" s="5" t="str">
        <f t="shared" si="724"/>
        <v>NO APLICA</v>
      </c>
      <c r="BI208" s="4"/>
      <c r="BJ208" s="4"/>
      <c r="BK208" s="4"/>
      <c r="BL208" s="8"/>
      <c r="BM208" s="5" t="str">
        <f t="shared" si="725"/>
        <v>NO APLICA</v>
      </c>
      <c r="BN208" s="4"/>
      <c r="BO208" s="4"/>
      <c r="BP208" s="4"/>
      <c r="BQ208" s="8"/>
      <c r="BR208" s="5" t="str">
        <f t="shared" si="726"/>
        <v>NO APLICA</v>
      </c>
      <c r="BS208" s="4"/>
      <c r="BT208" s="4"/>
      <c r="BU208" s="4"/>
      <c r="BV208" s="8"/>
      <c r="BW208" s="5" t="str">
        <f t="shared" si="727"/>
        <v>NO APLICA</v>
      </c>
      <c r="BX208" s="4"/>
      <c r="BY208" s="4"/>
      <c r="BZ208" s="4"/>
      <c r="CA208" s="8"/>
      <c r="CB208" s="5" t="str">
        <f t="shared" si="728"/>
        <v>NO APLICA</v>
      </c>
      <c r="CC208" s="2"/>
      <c r="CD208" s="2"/>
      <c r="CE208" s="2"/>
      <c r="CF208" s="2"/>
      <c r="CG208" s="5" t="str">
        <f t="shared" ref="CG208:CG237" si="794">IF(CF208&gt;=90,"VIGENTE",IF(CF208&gt;=1,"POR VENCER",IF(CF208&lt;=-1,"VENCIDA",IF(CF208=0,"NO APLICA"))))</f>
        <v>NO APLICA</v>
      </c>
      <c r="CH208" s="4"/>
      <c r="CI208" s="4"/>
      <c r="CJ208" s="4"/>
      <c r="CK208" s="8"/>
      <c r="CL208" s="5" t="str">
        <f t="shared" si="729"/>
        <v>NO APLICA</v>
      </c>
      <c r="CM208" s="4"/>
      <c r="CN208" s="4"/>
      <c r="CO208" s="4"/>
      <c r="CP208" s="8"/>
      <c r="CQ208" s="5" t="str">
        <f t="shared" si="730"/>
        <v>NO APLICA</v>
      </c>
      <c r="CR208" s="4"/>
      <c r="CS208" s="4"/>
      <c r="CT208" s="4"/>
      <c r="CU208" s="8"/>
      <c r="CV208" s="5" t="str">
        <f t="shared" si="731"/>
        <v>NO APLICA</v>
      </c>
      <c r="CW208" s="4"/>
      <c r="CX208" s="4"/>
      <c r="CY208" s="4"/>
      <c r="CZ208" s="8"/>
      <c r="DA208" s="5" t="str">
        <f t="shared" si="732"/>
        <v>NO APLICA</v>
      </c>
      <c r="DB208" s="4"/>
      <c r="DC208" s="4"/>
      <c r="DD208" s="4"/>
      <c r="DE208" s="8"/>
      <c r="DF208" s="5" t="str">
        <f t="shared" si="733"/>
        <v>NO APLICA</v>
      </c>
      <c r="DG208" s="4"/>
      <c r="DH208" s="4"/>
      <c r="DI208" s="4"/>
      <c r="DJ208" s="8"/>
      <c r="DK208" s="5" t="str">
        <f t="shared" si="734"/>
        <v>NO APLICA</v>
      </c>
      <c r="DL208" s="4"/>
      <c r="DM208" s="4"/>
      <c r="DN208" s="4"/>
      <c r="DO208" s="8"/>
      <c r="DP208" s="5" t="str">
        <f t="shared" si="735"/>
        <v>NO APLICA</v>
      </c>
      <c r="DQ208" s="4"/>
      <c r="DR208" s="4"/>
      <c r="DS208" s="4"/>
      <c r="DT208" s="8"/>
      <c r="DU208" s="5" t="str">
        <f t="shared" si="736"/>
        <v>NO APLICA</v>
      </c>
      <c r="DV208" s="4"/>
      <c r="DW208" s="4"/>
      <c r="DX208" s="4"/>
      <c r="DY208" s="8"/>
      <c r="DZ208" s="5" t="str">
        <f t="shared" si="737"/>
        <v>NO APLICA</v>
      </c>
      <c r="EA208" s="4"/>
      <c r="EB208" s="4"/>
      <c r="EC208" s="4"/>
      <c r="ED208" s="8"/>
      <c r="EE208" s="5" t="str">
        <f t="shared" si="738"/>
        <v>NO APLICA</v>
      </c>
      <c r="EF208" s="4"/>
      <c r="EG208" s="4"/>
      <c r="EH208" s="4"/>
      <c r="EI208" s="8"/>
      <c r="EJ208" s="5" t="str">
        <f t="shared" si="739"/>
        <v>NO APLICA</v>
      </c>
      <c r="EK208" s="4"/>
      <c r="EL208" s="6"/>
      <c r="EM208" s="4"/>
      <c r="EN208" s="8"/>
      <c r="EO208" s="5" t="str">
        <f t="shared" si="740"/>
        <v>NO APLICA</v>
      </c>
      <c r="EP208" s="4"/>
      <c r="EQ208" s="4"/>
      <c r="ER208" s="4"/>
      <c r="ES208" s="8"/>
      <c r="ET208" s="5" t="str">
        <f t="shared" si="741"/>
        <v>NO APLICA</v>
      </c>
      <c r="EU208" s="4"/>
      <c r="EV208" s="4"/>
      <c r="EW208" s="4"/>
      <c r="EX208" s="8"/>
      <c r="EY208" s="5" t="str">
        <f t="shared" si="742"/>
        <v>NO APLICA</v>
      </c>
      <c r="EZ208" s="6"/>
      <c r="FA208" s="6"/>
      <c r="FB208" s="4"/>
      <c r="FC208" s="8"/>
      <c r="FD208" s="5" t="str">
        <f t="shared" si="743"/>
        <v>NO APLICA</v>
      </c>
      <c r="FE208" s="4"/>
      <c r="FF208" s="4"/>
      <c r="FG208" s="4"/>
      <c r="FH208" s="8"/>
      <c r="FI208" s="5" t="str">
        <f t="shared" si="744"/>
        <v>NO APLICA</v>
      </c>
      <c r="FJ208" s="4"/>
      <c r="FK208" s="6"/>
      <c r="FL208" s="4"/>
      <c r="FM208" s="8"/>
      <c r="FN208" s="5" t="str">
        <f t="shared" si="745"/>
        <v>NO APLICA</v>
      </c>
      <c r="FO208" s="4"/>
      <c r="FP208" s="4"/>
      <c r="FQ208" s="4"/>
      <c r="FR208" s="8"/>
      <c r="FS208" s="5" t="str">
        <f t="shared" si="746"/>
        <v>NO APLICA</v>
      </c>
      <c r="FT208" s="4"/>
      <c r="FU208" s="4"/>
      <c r="FV208" s="4"/>
      <c r="FW208" s="8"/>
      <c r="FX208" s="5" t="str">
        <f t="shared" si="747"/>
        <v>NO APLICA</v>
      </c>
      <c r="FY208" s="4"/>
      <c r="FZ208" s="4"/>
      <c r="GA208" s="4"/>
      <c r="GB208" s="8"/>
      <c r="GC208" s="5" t="str">
        <f t="shared" si="748"/>
        <v>NO APLICA</v>
      </c>
      <c r="GD208" s="4"/>
      <c r="GE208" s="4"/>
      <c r="GF208" s="4"/>
      <c r="GG208" s="8"/>
      <c r="GH208" s="5" t="str">
        <f t="shared" si="749"/>
        <v>NO APLICA</v>
      </c>
      <c r="GI208" s="4"/>
      <c r="GJ208" s="6"/>
      <c r="GK208" s="4"/>
      <c r="GL208" s="8"/>
      <c r="GM208" s="5" t="str">
        <f t="shared" si="750"/>
        <v>NO APLICA</v>
      </c>
      <c r="GN208" s="4"/>
      <c r="GO208" s="6"/>
      <c r="GP208" s="4"/>
      <c r="GQ208" s="8"/>
      <c r="GR208" s="5" t="str">
        <f t="shared" si="630"/>
        <v>NO APLICA</v>
      </c>
      <c r="GS208" s="4"/>
      <c r="GT208" s="6"/>
      <c r="GU208" s="4"/>
      <c r="GV208" s="8"/>
      <c r="GW208" s="5" t="str">
        <f t="shared" si="631"/>
        <v>NO APLICA</v>
      </c>
      <c r="GX208" s="6"/>
      <c r="GY208" s="6"/>
      <c r="GZ208" s="4"/>
      <c r="HA208" s="8"/>
      <c r="HB208" s="5" t="str">
        <f t="shared" si="632"/>
        <v>NO APLICA</v>
      </c>
      <c r="HC208" s="6"/>
      <c r="HD208" s="6"/>
      <c r="HE208" s="4"/>
      <c r="HF208" s="8"/>
      <c r="HG208" s="5" t="str">
        <f t="shared" si="718"/>
        <v>NO APLICA</v>
      </c>
      <c r="HH208" s="6"/>
      <c r="HI208" s="6"/>
      <c r="HJ208" s="6"/>
      <c r="HK208" s="6"/>
      <c r="HL208" s="5" t="str">
        <f t="shared" si="714"/>
        <v>NO APLICA</v>
      </c>
      <c r="HM208" s="6"/>
      <c r="HN208" s="6"/>
      <c r="HO208" s="6"/>
      <c r="HP208" s="6"/>
      <c r="HQ208" s="5" t="str">
        <f t="shared" si="751"/>
        <v>NO APLICA</v>
      </c>
      <c r="HR208" s="6"/>
      <c r="HS208" s="6"/>
      <c r="HT208" s="6"/>
      <c r="HU208" s="6"/>
      <c r="HV208" s="5" t="str">
        <f t="shared" si="752"/>
        <v>NO APLICA</v>
      </c>
      <c r="HW208" s="6"/>
      <c r="HX208" s="6"/>
      <c r="HY208" s="6"/>
      <c r="HZ208" s="6"/>
      <c r="IA208" s="5" t="str">
        <f t="shared" si="753"/>
        <v>NO APLICA</v>
      </c>
      <c r="IB208" s="6"/>
      <c r="IC208" s="6"/>
      <c r="ID208" s="6"/>
      <c r="IE208" s="6"/>
      <c r="IF208" s="5" t="str">
        <f t="shared" si="754"/>
        <v>NO APLICA</v>
      </c>
      <c r="IG208" s="6"/>
      <c r="IH208" s="6"/>
      <c r="II208" s="6"/>
      <c r="IJ208" s="6"/>
      <c r="IK208" s="5" t="str">
        <f t="shared" si="755"/>
        <v>NO APLICA</v>
      </c>
      <c r="IL208" s="6"/>
      <c r="IM208" s="6"/>
      <c r="IN208" s="6"/>
      <c r="IO208" s="6"/>
      <c r="IP208" s="5" t="str">
        <f t="shared" si="756"/>
        <v>NO APLICA</v>
      </c>
      <c r="IQ208" s="6"/>
      <c r="IR208" s="6"/>
      <c r="IS208" s="6"/>
      <c r="IT208" s="6"/>
      <c r="IU208" s="5" t="str">
        <f t="shared" si="757"/>
        <v>NO APLICA</v>
      </c>
      <c r="IV208" s="6"/>
      <c r="IW208" s="6"/>
      <c r="IX208" s="6"/>
      <c r="IY208" s="6"/>
      <c r="IZ208" s="5" t="str">
        <f t="shared" si="758"/>
        <v>NO APLICA</v>
      </c>
      <c r="JA208" s="3"/>
      <c r="JB208" s="3"/>
      <c r="JC208" s="4"/>
      <c r="JD208" s="8"/>
      <c r="JE208" s="5" t="str">
        <f t="shared" si="759"/>
        <v>NO APLICA</v>
      </c>
      <c r="JF208" s="4"/>
      <c r="JG208" s="4"/>
      <c r="JH208" s="6"/>
      <c r="JI208" s="6"/>
      <c r="JJ208" s="5" t="str">
        <f t="shared" si="760"/>
        <v>NO APLICA</v>
      </c>
      <c r="JK208" s="6"/>
      <c r="JL208" s="6"/>
      <c r="JM208" s="6"/>
      <c r="JN208" s="6"/>
      <c r="JO208" s="5" t="str">
        <f t="shared" si="761"/>
        <v>NO APLICA</v>
      </c>
      <c r="JP208" s="4"/>
      <c r="JQ208" s="4"/>
      <c r="JR208" s="6"/>
      <c r="JS208" s="6"/>
      <c r="JT208" s="5" t="str">
        <f t="shared" si="762"/>
        <v>NO APLICA</v>
      </c>
      <c r="JU208" s="21"/>
      <c r="JV208" s="3"/>
      <c r="JW208" s="4"/>
      <c r="JX208" s="8"/>
      <c r="JY208" s="5" t="str">
        <f>IF(JX208&gt;=61,"VIGENTE",IF(JX208&gt;=1,"POR VENCER",IF(JX208&lt;=-1,"VENCIDA",IF(JV208=0,"NO APLICA"))))</f>
        <v>NO APLICA</v>
      </c>
      <c r="JZ208" s="5"/>
      <c r="KA208" s="6"/>
      <c r="KB208" s="6"/>
      <c r="KC208" s="6"/>
      <c r="KD208" s="5" t="str">
        <f t="shared" si="764"/>
        <v>NO APLICA</v>
      </c>
      <c r="KE208" s="5"/>
      <c r="KF208" s="6"/>
      <c r="KG208" s="6"/>
      <c r="KH208" s="6"/>
      <c r="KI208" s="5" t="str">
        <f t="shared" si="784"/>
        <v>NO APLICA</v>
      </c>
      <c r="KJ208" s="5"/>
      <c r="KK208" s="6"/>
      <c r="KL208" s="6"/>
      <c r="KM208" s="6"/>
      <c r="KN208" s="5" t="str">
        <f t="shared" si="765"/>
        <v>NO APLICA</v>
      </c>
      <c r="KO208" s="5"/>
      <c r="KP208" s="3">
        <v>45346</v>
      </c>
      <c r="KQ208" s="4">
        <f>DATE(YEAR(KP208)+5,MONTH(KP208),DAY(KP208))</f>
        <v>47173</v>
      </c>
      <c r="KR208" s="8">
        <f ca="1">KQ208-TODAY()</f>
        <v>1039</v>
      </c>
      <c r="KS208" s="5" t="str">
        <f ca="1">IF(KR208&gt;=61,"VIGENTE",IF(KR208&gt;=1,"POR VENCER",IF(KR208&lt;=-1,"VENCIDA",IF(KP208=0,"NO APLICA"))))</f>
        <v>VIGENTE</v>
      </c>
      <c r="KT208" s="6"/>
      <c r="KU208" s="6"/>
      <c r="KV208" s="6"/>
      <c r="KW208" s="6"/>
      <c r="KX208" s="5" t="str">
        <f t="shared" si="791"/>
        <v>NO APLICA</v>
      </c>
      <c r="KY208" s="5"/>
      <c r="KZ208" s="6"/>
      <c r="LA208" s="6"/>
      <c r="LB208" s="6"/>
      <c r="LC208" s="5" t="str">
        <f t="shared" si="786"/>
        <v>NO APLICA</v>
      </c>
      <c r="LD208" s="6"/>
      <c r="LE208" s="6"/>
      <c r="LF208" s="6"/>
      <c r="LG208" s="6"/>
      <c r="LH208" s="5" t="str">
        <f t="shared" si="619"/>
        <v>NO APLICA</v>
      </c>
      <c r="LI208" s="5"/>
      <c r="LJ208" s="5"/>
      <c r="LK208" s="4"/>
      <c r="LL208" s="8"/>
      <c r="LM208" s="5" t="str">
        <f t="shared" si="792"/>
        <v>NO APLICA</v>
      </c>
      <c r="LN208" s="6"/>
      <c r="LO208" s="6"/>
      <c r="LP208" s="6"/>
      <c r="LQ208" s="6"/>
      <c r="LR208" s="5" t="str">
        <f t="shared" si="787"/>
        <v>NO APLICA</v>
      </c>
      <c r="LS208" s="6"/>
      <c r="LT208" s="6"/>
      <c r="LU208" s="6"/>
      <c r="LV208" s="6"/>
      <c r="LW208" s="5" t="str">
        <f t="shared" si="788"/>
        <v>NO APLICA</v>
      </c>
      <c r="LX208" s="6"/>
      <c r="LY208" s="6"/>
      <c r="LZ208" s="6"/>
      <c r="MA208" s="6"/>
      <c r="MB208" s="5" t="str">
        <f t="shared" si="789"/>
        <v>NO APLICA</v>
      </c>
      <c r="MC208" s="6"/>
      <c r="MD208" s="6"/>
      <c r="ME208" s="6"/>
      <c r="MF208" s="6"/>
      <c r="MG208" s="5" t="str">
        <f t="shared" si="766"/>
        <v>NO APLICA</v>
      </c>
      <c r="MH208" s="6"/>
      <c r="MI208" s="6"/>
      <c r="MJ208" s="6"/>
      <c r="MK208" s="6"/>
      <c r="ML208" s="5" t="str">
        <f t="shared" si="767"/>
        <v>NO APLICA</v>
      </c>
      <c r="MM208" s="5"/>
      <c r="MN208" s="6"/>
      <c r="MO208" s="6"/>
      <c r="MP208" s="6"/>
      <c r="MQ208" s="5" t="str">
        <f t="shared" si="768"/>
        <v>NO APLICA</v>
      </c>
      <c r="MR208" s="5"/>
      <c r="MS208" s="6"/>
      <c r="MT208" s="6"/>
      <c r="MU208" s="6"/>
      <c r="MV208" s="5" t="str">
        <f t="shared" si="769"/>
        <v>NO APLICA</v>
      </c>
      <c r="MW208" s="6"/>
      <c r="MX208" s="6"/>
      <c r="MY208" s="6"/>
      <c r="MZ208" s="6"/>
      <c r="NA208" s="5" t="str">
        <f t="shared" si="770"/>
        <v>NO APLICA</v>
      </c>
      <c r="NB208" s="6"/>
      <c r="NC208" s="6"/>
      <c r="ND208" s="6"/>
      <c r="NE208" s="6"/>
      <c r="NF208" s="5" t="str">
        <f t="shared" si="771"/>
        <v>NO APLICA</v>
      </c>
      <c r="NG208" s="6"/>
      <c r="NH208" s="6"/>
      <c r="NI208" s="6"/>
      <c r="NJ208" s="6"/>
      <c r="NK208" s="5" t="str">
        <f t="shared" si="772"/>
        <v>NO APLICA</v>
      </c>
      <c r="NL208" s="6"/>
      <c r="NM208" s="6"/>
      <c r="NN208" s="6"/>
      <c r="NO208" s="6"/>
      <c r="NP208" s="5" t="str">
        <f t="shared" si="773"/>
        <v>NO APLICA</v>
      </c>
      <c r="NQ208" s="6"/>
      <c r="NR208" s="6"/>
      <c r="NS208" s="6"/>
      <c r="NT208" s="6"/>
      <c r="NU208" s="5" t="str">
        <f t="shared" si="774"/>
        <v>NO APLICA</v>
      </c>
      <c r="NV208" s="6"/>
      <c r="NW208" s="6"/>
      <c r="NX208" s="6"/>
      <c r="NY208" s="6"/>
      <c r="NZ208" s="5" t="str">
        <f t="shared" si="775"/>
        <v>NO APLICA</v>
      </c>
      <c r="OA208" s="6"/>
      <c r="OB208" s="6"/>
      <c r="OC208" s="6"/>
      <c r="OD208" s="6"/>
      <c r="OE208" s="5" t="str">
        <f t="shared" si="776"/>
        <v>NO APLICA</v>
      </c>
      <c r="OF208" s="6"/>
      <c r="OG208" s="6"/>
      <c r="OH208" s="6"/>
      <c r="OI208" s="6"/>
      <c r="OJ208" s="5" t="str">
        <f t="shared" si="777"/>
        <v>NO APLICA</v>
      </c>
      <c r="OK208" s="6"/>
      <c r="OL208" s="6"/>
      <c r="OM208" s="6"/>
      <c r="ON208" s="6"/>
      <c r="OO208" s="5" t="str">
        <f t="shared" si="778"/>
        <v>NO APLICA</v>
      </c>
      <c r="OP208" s="6"/>
      <c r="OQ208" s="6"/>
      <c r="OR208" s="6"/>
      <c r="OS208" s="6"/>
      <c r="OT208" s="5" t="str">
        <f t="shared" si="779"/>
        <v>NO APLICA</v>
      </c>
      <c r="OU208" s="6"/>
      <c r="OV208" s="6"/>
      <c r="OW208" s="6"/>
      <c r="OX208" s="6"/>
      <c r="OY208" s="5" t="str">
        <f t="shared" si="793"/>
        <v>NO APLICA</v>
      </c>
      <c r="OZ208" s="6"/>
      <c r="PA208" s="6"/>
      <c r="PB208" s="6"/>
      <c r="PC208" s="6"/>
      <c r="PD208" s="5" t="str">
        <f t="shared" si="780"/>
        <v>NO APLICA</v>
      </c>
      <c r="PE208" s="6"/>
      <c r="PF208" s="6"/>
      <c r="PG208" s="6"/>
      <c r="PH208" s="6"/>
      <c r="PI208" s="5" t="str">
        <f t="shared" si="781"/>
        <v>NO APLICA</v>
      </c>
      <c r="PJ208" s="5"/>
      <c r="PK208" s="6"/>
      <c r="PL208" s="6"/>
      <c r="PM208" s="6"/>
      <c r="PN208" s="5" t="str">
        <f t="shared" si="790"/>
        <v>NO APLICA</v>
      </c>
      <c r="PO208" s="6"/>
      <c r="PP208" s="6"/>
      <c r="PQ208" s="6"/>
      <c r="PR208" s="6"/>
      <c r="PS208" s="5" t="str">
        <f t="shared" si="782"/>
        <v>NO APLICA</v>
      </c>
      <c r="PT208" s="5"/>
      <c r="PU208" s="4">
        <v>46126</v>
      </c>
      <c r="PV208" s="4">
        <f>DATE(YEAR(PU208)+1,MONTH(PU208),DAY(PU208))</f>
        <v>46491</v>
      </c>
      <c r="PW208" s="8">
        <f ca="1">PV208-TODAY()</f>
        <v>357</v>
      </c>
      <c r="PX208" s="5" t="str">
        <f t="shared" ca="1" si="783"/>
        <v>VIGENTE</v>
      </c>
    </row>
    <row r="209" spans="1:440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6"/>
      <c r="V209" s="4"/>
      <c r="W209" s="4"/>
      <c r="X209" s="8"/>
      <c r="Y209" s="5" t="str">
        <f t="shared" si="624"/>
        <v>NO APLICA</v>
      </c>
      <c r="Z209" s="6"/>
      <c r="AA209" s="6"/>
      <c r="AB209" s="6"/>
      <c r="AC209" s="6"/>
      <c r="AD209" s="5" t="str">
        <f t="shared" si="627"/>
        <v>NO APLICA</v>
      </c>
      <c r="AE209" s="4"/>
      <c r="AF209" s="4"/>
      <c r="AG209" s="4"/>
      <c r="AH209" s="6"/>
      <c r="AI209" s="5" t="str">
        <f t="shared" si="621"/>
        <v>NO APLICA</v>
      </c>
      <c r="AJ209" s="4"/>
      <c r="AK209" s="4"/>
      <c r="AL209" s="4"/>
      <c r="AM209" s="6"/>
      <c r="AN209" s="5" t="str">
        <f t="shared" si="720"/>
        <v>NO APLICA</v>
      </c>
      <c r="AO209" s="4"/>
      <c r="AP209" s="4"/>
      <c r="AQ209" s="4"/>
      <c r="AR209" s="6"/>
      <c r="AS209" s="5" t="str">
        <f t="shared" si="721"/>
        <v>NO APLICA</v>
      </c>
      <c r="AT209" s="4"/>
      <c r="AU209" s="4"/>
      <c r="AV209" s="4"/>
      <c r="AW209" s="6"/>
      <c r="AX209" s="5" t="str">
        <f t="shared" si="722"/>
        <v>NO APLICA</v>
      </c>
      <c r="AY209" s="4"/>
      <c r="AZ209" s="4"/>
      <c r="BA209" s="4"/>
      <c r="BB209" s="6"/>
      <c r="BC209" s="5" t="str">
        <f t="shared" si="723"/>
        <v>NO APLICA</v>
      </c>
      <c r="BD209" s="4"/>
      <c r="BE209" s="4"/>
      <c r="BF209" s="4"/>
      <c r="BG209" s="6"/>
      <c r="BH209" s="5" t="str">
        <f t="shared" si="724"/>
        <v>NO APLICA</v>
      </c>
      <c r="BI209" s="4"/>
      <c r="BJ209" s="4"/>
      <c r="BK209" s="4"/>
      <c r="BL209" s="6"/>
      <c r="BM209" s="5" t="str">
        <f t="shared" si="725"/>
        <v>NO APLICA</v>
      </c>
      <c r="BN209" s="4"/>
      <c r="BO209" s="4"/>
      <c r="BP209" s="4"/>
      <c r="BQ209" s="6"/>
      <c r="BR209" s="5" t="str">
        <f t="shared" si="726"/>
        <v>NO APLICA</v>
      </c>
      <c r="BS209" s="4"/>
      <c r="BT209" s="4"/>
      <c r="BU209" s="4"/>
      <c r="BV209" s="6"/>
      <c r="BW209" s="5" t="str">
        <f t="shared" si="727"/>
        <v>NO APLICA</v>
      </c>
      <c r="BX209" s="4"/>
      <c r="BY209" s="4"/>
      <c r="BZ209" s="4"/>
      <c r="CA209" s="6"/>
      <c r="CB209" s="5" t="str">
        <f t="shared" si="728"/>
        <v>NO APLICA</v>
      </c>
      <c r="CC209" s="6"/>
      <c r="CD209" s="6"/>
      <c r="CE209" s="6"/>
      <c r="CF209" s="6"/>
      <c r="CG209" s="5" t="str">
        <f t="shared" si="794"/>
        <v>NO APLICA</v>
      </c>
      <c r="CH209" s="4"/>
      <c r="CI209" s="4"/>
      <c r="CJ209" s="4"/>
      <c r="CK209" s="6"/>
      <c r="CL209" s="5" t="str">
        <f t="shared" si="729"/>
        <v>NO APLICA</v>
      </c>
      <c r="CM209" s="4"/>
      <c r="CN209" s="4"/>
      <c r="CO209" s="4"/>
      <c r="CP209" s="6"/>
      <c r="CQ209" s="5" t="str">
        <f t="shared" si="730"/>
        <v>NO APLICA</v>
      </c>
      <c r="CR209" s="4"/>
      <c r="CS209" s="4"/>
      <c r="CT209" s="4"/>
      <c r="CU209" s="6"/>
      <c r="CV209" s="5" t="str">
        <f t="shared" si="731"/>
        <v>NO APLICA</v>
      </c>
      <c r="CW209" s="4"/>
      <c r="CX209" s="4"/>
      <c r="CY209" s="4"/>
      <c r="CZ209" s="6"/>
      <c r="DA209" s="5" t="str">
        <f t="shared" si="732"/>
        <v>NO APLICA</v>
      </c>
      <c r="DB209" s="4"/>
      <c r="DC209" s="4"/>
      <c r="DD209" s="4"/>
      <c r="DE209" s="6"/>
      <c r="DF209" s="5" t="str">
        <f t="shared" si="733"/>
        <v>NO APLICA</v>
      </c>
      <c r="DG209" s="4"/>
      <c r="DH209" s="4"/>
      <c r="DI209" s="4"/>
      <c r="DJ209" s="6"/>
      <c r="DK209" s="5" t="str">
        <f t="shared" si="734"/>
        <v>NO APLICA</v>
      </c>
      <c r="DL209" s="4"/>
      <c r="DM209" s="4"/>
      <c r="DN209" s="4"/>
      <c r="DO209" s="6"/>
      <c r="DP209" s="5" t="str">
        <f t="shared" si="735"/>
        <v>NO APLICA</v>
      </c>
      <c r="DQ209" s="4"/>
      <c r="DR209" s="4"/>
      <c r="DS209" s="4"/>
      <c r="DT209" s="6"/>
      <c r="DU209" s="5" t="str">
        <f t="shared" si="736"/>
        <v>NO APLICA</v>
      </c>
      <c r="DV209" s="4"/>
      <c r="DW209" s="4"/>
      <c r="DX209" s="4"/>
      <c r="DY209" s="6"/>
      <c r="DZ209" s="5" t="str">
        <f t="shared" si="737"/>
        <v>NO APLICA</v>
      </c>
      <c r="EA209" s="4"/>
      <c r="EB209" s="4"/>
      <c r="EC209" s="4"/>
      <c r="ED209" s="6"/>
      <c r="EE209" s="5" t="str">
        <f t="shared" si="738"/>
        <v>NO APLICA</v>
      </c>
      <c r="EF209" s="4"/>
      <c r="EG209" s="4"/>
      <c r="EH209" s="4"/>
      <c r="EI209" s="8"/>
      <c r="EJ209" s="5" t="str">
        <f t="shared" si="739"/>
        <v>NO APLICA</v>
      </c>
      <c r="EK209" s="4"/>
      <c r="EL209" s="4"/>
      <c r="EM209" s="4"/>
      <c r="EN209" s="8"/>
      <c r="EO209" s="5" t="str">
        <f t="shared" si="740"/>
        <v>NO APLICA</v>
      </c>
      <c r="EP209" s="4"/>
      <c r="EQ209" s="4"/>
      <c r="ER209" s="4"/>
      <c r="ES209" s="8"/>
      <c r="ET209" s="5" t="str">
        <f t="shared" si="741"/>
        <v>NO APLICA</v>
      </c>
      <c r="EU209" s="4"/>
      <c r="EV209" s="4"/>
      <c r="EW209" s="4"/>
      <c r="EX209" s="6"/>
      <c r="EY209" s="5" t="str">
        <f t="shared" si="742"/>
        <v>NO APLICA</v>
      </c>
      <c r="EZ209" s="4"/>
      <c r="FA209" s="4"/>
      <c r="FB209" s="4"/>
      <c r="FC209" s="6"/>
      <c r="FD209" s="5" t="str">
        <f t="shared" si="743"/>
        <v>NO APLICA</v>
      </c>
      <c r="FE209" s="4"/>
      <c r="FF209" s="4"/>
      <c r="FG209" s="4"/>
      <c r="FH209" s="6"/>
      <c r="FI209" s="5" t="str">
        <f t="shared" si="744"/>
        <v>NO APLICA</v>
      </c>
      <c r="FJ209" s="4"/>
      <c r="FK209" s="4"/>
      <c r="FL209" s="4"/>
      <c r="FM209" s="6"/>
      <c r="FN209" s="5" t="str">
        <f t="shared" si="745"/>
        <v>NO APLICA</v>
      </c>
      <c r="FO209" s="4"/>
      <c r="FP209" s="4"/>
      <c r="FQ209" s="4"/>
      <c r="FR209" s="6"/>
      <c r="FS209" s="5" t="str">
        <f t="shared" si="746"/>
        <v>NO APLICA</v>
      </c>
      <c r="FT209" s="4"/>
      <c r="FU209" s="4"/>
      <c r="FV209" s="4"/>
      <c r="FW209" s="6"/>
      <c r="FX209" s="5" t="str">
        <f t="shared" si="747"/>
        <v>NO APLICA</v>
      </c>
      <c r="FY209" s="4"/>
      <c r="FZ209" s="4"/>
      <c r="GA209" s="4"/>
      <c r="GB209" s="6"/>
      <c r="GC209" s="5" t="str">
        <f t="shared" si="748"/>
        <v>NO APLICA</v>
      </c>
      <c r="GD209" s="4"/>
      <c r="GE209" s="4"/>
      <c r="GF209" s="4"/>
      <c r="GG209" s="8"/>
      <c r="GH209" s="5" t="str">
        <f t="shared" si="749"/>
        <v>NO APLICA</v>
      </c>
      <c r="GI209" s="4"/>
      <c r="GJ209" s="6"/>
      <c r="GK209" s="6"/>
      <c r="GL209" s="6"/>
      <c r="GM209" s="5" t="str">
        <f t="shared" si="750"/>
        <v>NO APLICA</v>
      </c>
      <c r="GN209" s="4"/>
      <c r="GO209" s="6"/>
      <c r="GP209" s="6"/>
      <c r="GQ209" s="6"/>
      <c r="GR209" s="5" t="str">
        <f t="shared" si="630"/>
        <v>NO APLICA</v>
      </c>
      <c r="GS209" s="4"/>
      <c r="GT209" s="6"/>
      <c r="GU209" s="6"/>
      <c r="GV209" s="6"/>
      <c r="GW209" s="5" t="str">
        <f t="shared" si="631"/>
        <v>NO APLICA</v>
      </c>
      <c r="GX209" s="6"/>
      <c r="GY209" s="6"/>
      <c r="GZ209" s="6"/>
      <c r="HA209" s="6"/>
      <c r="HB209" s="5" t="str">
        <f t="shared" si="632"/>
        <v>NO APLICA</v>
      </c>
      <c r="HC209" s="6"/>
      <c r="HD209" s="6"/>
      <c r="HE209" s="4"/>
      <c r="HF209" s="8"/>
      <c r="HG209" s="5" t="str">
        <f t="shared" si="718"/>
        <v>NO APLICA</v>
      </c>
      <c r="HH209" s="6"/>
      <c r="HI209" s="6"/>
      <c r="HJ209" s="6"/>
      <c r="HK209" s="6"/>
      <c r="HL209" s="5" t="str">
        <f t="shared" si="714"/>
        <v>NO APLICA</v>
      </c>
      <c r="HM209" s="6"/>
      <c r="HN209" s="6"/>
      <c r="HO209" s="6"/>
      <c r="HP209" s="6"/>
      <c r="HQ209" s="5" t="str">
        <f t="shared" si="751"/>
        <v>NO APLICA</v>
      </c>
      <c r="HR209" s="6"/>
      <c r="HS209" s="6"/>
      <c r="HT209" s="6"/>
      <c r="HU209" s="6"/>
      <c r="HV209" s="5" t="str">
        <f t="shared" si="752"/>
        <v>NO APLICA</v>
      </c>
      <c r="HW209" s="6"/>
      <c r="HX209" s="6"/>
      <c r="HY209" s="6"/>
      <c r="HZ209" s="6"/>
      <c r="IA209" s="5" t="str">
        <f t="shared" si="753"/>
        <v>NO APLICA</v>
      </c>
      <c r="IB209" s="6"/>
      <c r="IC209" s="6"/>
      <c r="ID209" s="6"/>
      <c r="IE209" s="6"/>
      <c r="IF209" s="5" t="str">
        <f t="shared" si="754"/>
        <v>NO APLICA</v>
      </c>
      <c r="IG209" s="6"/>
      <c r="IH209" s="6"/>
      <c r="II209" s="6"/>
      <c r="IJ209" s="6"/>
      <c r="IK209" s="5" t="str">
        <f t="shared" si="755"/>
        <v>NO APLICA</v>
      </c>
      <c r="IL209" s="6"/>
      <c r="IM209" s="6"/>
      <c r="IN209" s="6"/>
      <c r="IO209" s="6"/>
      <c r="IP209" s="5" t="str">
        <f t="shared" si="756"/>
        <v>NO APLICA</v>
      </c>
      <c r="IQ209" s="6"/>
      <c r="IR209" s="6"/>
      <c r="IS209" s="6"/>
      <c r="IT209" s="6"/>
      <c r="IU209" s="5" t="str">
        <f t="shared" si="757"/>
        <v>NO APLICA</v>
      </c>
      <c r="IV209" s="6"/>
      <c r="IW209" s="6"/>
      <c r="IX209" s="6"/>
      <c r="IY209" s="6"/>
      <c r="IZ209" s="5" t="str">
        <f t="shared" si="758"/>
        <v>NO APLICA</v>
      </c>
      <c r="JA209" s="3"/>
      <c r="JB209" s="3"/>
      <c r="JC209" s="4"/>
      <c r="JD209" s="8"/>
      <c r="JE209" s="5" t="str">
        <f t="shared" si="759"/>
        <v>NO APLICA</v>
      </c>
      <c r="JF209" s="4"/>
      <c r="JG209" s="4"/>
      <c r="JH209" s="6"/>
      <c r="JI209" s="6"/>
      <c r="JJ209" s="5" t="str">
        <f t="shared" si="760"/>
        <v>NO APLICA</v>
      </c>
      <c r="JK209" s="6"/>
      <c r="JL209" s="6"/>
      <c r="JM209" s="6"/>
      <c r="JN209" s="6"/>
      <c r="JO209" s="5" t="str">
        <f t="shared" si="761"/>
        <v>NO APLICA</v>
      </c>
      <c r="JP209" s="4"/>
      <c r="JQ209" s="4"/>
      <c r="JR209" s="6"/>
      <c r="JS209" s="6"/>
      <c r="JT209" s="5" t="str">
        <f t="shared" si="762"/>
        <v>NO APLICA</v>
      </c>
      <c r="JU209" s="5"/>
      <c r="JV209" s="3"/>
      <c r="JW209" s="4"/>
      <c r="JX209" s="8"/>
      <c r="JY209" s="5" t="str">
        <f>IF(JX209&gt;=61,"VIGENTE",IF(JX209&gt;=1,"POR VENCER",IF(JX209&lt;=-1,"VENCIDA",IF(JV209=0,"NO APLICA"))))</f>
        <v>NO APLICA</v>
      </c>
      <c r="JZ209" s="5"/>
      <c r="KA209" s="6"/>
      <c r="KB209" s="6"/>
      <c r="KC209" s="6"/>
      <c r="KD209" s="5" t="str">
        <f t="shared" si="764"/>
        <v>NO APLICA</v>
      </c>
      <c r="KE209" s="5"/>
      <c r="KF209" s="6"/>
      <c r="KG209" s="6"/>
      <c r="KH209" s="6"/>
      <c r="KI209" s="5" t="str">
        <f t="shared" si="784"/>
        <v>NO APLICA</v>
      </c>
      <c r="KJ209" s="5"/>
      <c r="KK209" s="6"/>
      <c r="KL209" s="6"/>
      <c r="KM209" s="6"/>
      <c r="KN209" s="5" t="str">
        <f t="shared" si="765"/>
        <v>NO APLICA</v>
      </c>
      <c r="KO209" s="5"/>
      <c r="KP209" s="6"/>
      <c r="KQ209" s="6"/>
      <c r="KR209" s="6"/>
      <c r="KS209" s="5" t="str">
        <f t="shared" si="785"/>
        <v>NO APLICA</v>
      </c>
      <c r="KT209" s="6"/>
      <c r="KU209" s="6"/>
      <c r="KV209" s="6"/>
      <c r="KW209" s="6"/>
      <c r="KX209" s="5" t="str">
        <f t="shared" si="791"/>
        <v>NO APLICA</v>
      </c>
      <c r="KY209" s="5"/>
      <c r="KZ209" s="6"/>
      <c r="LA209" s="6"/>
      <c r="LB209" s="6"/>
      <c r="LC209" s="5" t="str">
        <f t="shared" si="786"/>
        <v>NO APLICA</v>
      </c>
      <c r="LD209" s="6"/>
      <c r="LE209" s="6"/>
      <c r="LF209" s="6"/>
      <c r="LG209" s="6"/>
      <c r="LH209" s="5" t="str">
        <f t="shared" si="619"/>
        <v>NO APLICA</v>
      </c>
      <c r="LI209" s="5"/>
      <c r="LJ209" s="5"/>
      <c r="LK209" s="4"/>
      <c r="LL209" s="8"/>
      <c r="LM209" s="5" t="str">
        <f t="shared" si="792"/>
        <v>NO APLICA</v>
      </c>
      <c r="LN209" s="6"/>
      <c r="LO209" s="6"/>
      <c r="LP209" s="6"/>
      <c r="LQ209" s="6"/>
      <c r="LR209" s="5" t="str">
        <f t="shared" si="787"/>
        <v>NO APLICA</v>
      </c>
      <c r="LS209" s="6"/>
      <c r="LT209" s="6"/>
      <c r="LU209" s="6"/>
      <c r="LV209" s="6"/>
      <c r="LW209" s="5" t="str">
        <f t="shared" si="788"/>
        <v>NO APLICA</v>
      </c>
      <c r="LX209" s="6"/>
      <c r="LY209" s="6"/>
      <c r="LZ209" s="6"/>
      <c r="MA209" s="6"/>
      <c r="MB209" s="5" t="str">
        <f t="shared" si="789"/>
        <v>NO APLICA</v>
      </c>
      <c r="MC209" s="6"/>
      <c r="MD209" s="6"/>
      <c r="ME209" s="6"/>
      <c r="MF209" s="6"/>
      <c r="MG209" s="5" t="str">
        <f t="shared" si="766"/>
        <v>NO APLICA</v>
      </c>
      <c r="MH209" s="6"/>
      <c r="MI209" s="6"/>
      <c r="MJ209" s="6"/>
      <c r="MK209" s="6"/>
      <c r="ML209" s="5" t="str">
        <f t="shared" si="767"/>
        <v>NO APLICA</v>
      </c>
      <c r="MM209" s="5"/>
      <c r="MN209" s="6"/>
      <c r="MO209" s="6"/>
      <c r="MP209" s="6"/>
      <c r="MQ209" s="5" t="str">
        <f t="shared" si="768"/>
        <v>NO APLICA</v>
      </c>
      <c r="MR209" s="5"/>
      <c r="MS209" s="6"/>
      <c r="MT209" s="6"/>
      <c r="MU209" s="6"/>
      <c r="MV209" s="5" t="str">
        <f t="shared" si="769"/>
        <v>NO APLICA</v>
      </c>
      <c r="MW209" s="6"/>
      <c r="MX209" s="6"/>
      <c r="MY209" s="6"/>
      <c r="MZ209" s="6"/>
      <c r="NA209" s="5" t="str">
        <f t="shared" si="770"/>
        <v>NO APLICA</v>
      </c>
      <c r="NB209" s="6"/>
      <c r="NC209" s="6"/>
      <c r="ND209" s="6"/>
      <c r="NE209" s="6"/>
      <c r="NF209" s="5" t="str">
        <f t="shared" si="771"/>
        <v>NO APLICA</v>
      </c>
      <c r="NG209" s="6"/>
      <c r="NH209" s="6"/>
      <c r="NI209" s="6"/>
      <c r="NJ209" s="6"/>
      <c r="NK209" s="5" t="str">
        <f t="shared" si="772"/>
        <v>NO APLICA</v>
      </c>
      <c r="NL209" s="6"/>
      <c r="NM209" s="6"/>
      <c r="NN209" s="6"/>
      <c r="NO209" s="6"/>
      <c r="NP209" s="5" t="str">
        <f t="shared" si="773"/>
        <v>NO APLICA</v>
      </c>
      <c r="NQ209" s="6"/>
      <c r="NR209" s="6"/>
      <c r="NS209" s="6"/>
      <c r="NT209" s="6"/>
      <c r="NU209" s="5" t="str">
        <f t="shared" si="774"/>
        <v>NO APLICA</v>
      </c>
      <c r="NV209" s="6"/>
      <c r="NW209" s="6"/>
      <c r="NX209" s="6"/>
      <c r="NY209" s="6"/>
      <c r="NZ209" s="5" t="str">
        <f t="shared" si="775"/>
        <v>NO APLICA</v>
      </c>
      <c r="OA209" s="6"/>
      <c r="OB209" s="6"/>
      <c r="OC209" s="6"/>
      <c r="OD209" s="6"/>
      <c r="OE209" s="5" t="str">
        <f t="shared" si="776"/>
        <v>NO APLICA</v>
      </c>
      <c r="OF209" s="6"/>
      <c r="OG209" s="6"/>
      <c r="OH209" s="6"/>
      <c r="OI209" s="6"/>
      <c r="OJ209" s="5" t="str">
        <f t="shared" si="777"/>
        <v>NO APLICA</v>
      </c>
      <c r="OK209" s="6"/>
      <c r="OL209" s="6"/>
      <c r="OM209" s="6"/>
      <c r="ON209" s="6"/>
      <c r="OO209" s="5" t="str">
        <f t="shared" si="778"/>
        <v>NO APLICA</v>
      </c>
      <c r="OP209" s="6"/>
      <c r="OQ209" s="6"/>
      <c r="OR209" s="6"/>
      <c r="OS209" s="6"/>
      <c r="OT209" s="5" t="str">
        <f t="shared" si="779"/>
        <v>NO APLICA</v>
      </c>
      <c r="OU209" s="6"/>
      <c r="OV209" s="6"/>
      <c r="OW209" s="6"/>
      <c r="OX209" s="6"/>
      <c r="OY209" s="5" t="str">
        <f t="shared" si="793"/>
        <v>NO APLICA</v>
      </c>
      <c r="OZ209" s="6"/>
      <c r="PA209" s="6"/>
      <c r="PB209" s="6"/>
      <c r="PC209" s="6"/>
      <c r="PD209" s="5" t="str">
        <f t="shared" si="780"/>
        <v>NO APLICA</v>
      </c>
      <c r="PE209" s="6"/>
      <c r="PF209" s="6"/>
      <c r="PG209" s="6"/>
      <c r="PH209" s="6"/>
      <c r="PI209" s="5" t="str">
        <f t="shared" si="781"/>
        <v>NO APLICA</v>
      </c>
      <c r="PJ209" s="5"/>
      <c r="PK209" s="6"/>
      <c r="PL209" s="6"/>
      <c r="PM209" s="6"/>
      <c r="PN209" s="5" t="str">
        <f t="shared" si="790"/>
        <v>NO APLICA</v>
      </c>
      <c r="PO209" s="6"/>
      <c r="PP209" s="6"/>
      <c r="PQ209" s="6"/>
      <c r="PR209" s="6"/>
      <c r="PS209" s="5" t="str">
        <f t="shared" si="782"/>
        <v>NO APLICA</v>
      </c>
      <c r="PT209" s="5"/>
      <c r="PU209" s="6"/>
      <c r="PV209" s="6"/>
      <c r="PW209" s="6"/>
      <c r="PX209" s="5" t="str">
        <f t="shared" si="783"/>
        <v>NO APLICA</v>
      </c>
    </row>
    <row r="210" spans="1:440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6"/>
      <c r="V210" s="4"/>
      <c r="W210" s="4"/>
      <c r="X210" s="8"/>
      <c r="Y210" s="5" t="str">
        <f t="shared" si="624"/>
        <v>NO APLICA</v>
      </c>
      <c r="Z210" s="6"/>
      <c r="AA210" s="6"/>
      <c r="AB210" s="6"/>
      <c r="AC210" s="6"/>
      <c r="AD210" s="5" t="str">
        <f t="shared" si="627"/>
        <v>NO APLICA</v>
      </c>
      <c r="AE210" s="4"/>
      <c r="AF210" s="4"/>
      <c r="AG210" s="4"/>
      <c r="AH210" s="6"/>
      <c r="AI210" s="5" t="str">
        <f t="shared" si="621"/>
        <v>NO APLICA</v>
      </c>
      <c r="AJ210" s="4"/>
      <c r="AK210" s="4"/>
      <c r="AL210" s="4"/>
      <c r="AM210" s="6"/>
      <c r="AN210" s="5" t="str">
        <f t="shared" si="720"/>
        <v>NO APLICA</v>
      </c>
      <c r="AO210" s="4"/>
      <c r="AP210" s="4"/>
      <c r="AQ210" s="4"/>
      <c r="AR210" s="6"/>
      <c r="AS210" s="5" t="str">
        <f t="shared" si="721"/>
        <v>NO APLICA</v>
      </c>
      <c r="AT210" s="4"/>
      <c r="AU210" s="4"/>
      <c r="AV210" s="4"/>
      <c r="AW210" s="6"/>
      <c r="AX210" s="5" t="str">
        <f t="shared" si="722"/>
        <v>NO APLICA</v>
      </c>
      <c r="AY210" s="4"/>
      <c r="AZ210" s="4"/>
      <c r="BA210" s="4"/>
      <c r="BB210" s="6"/>
      <c r="BC210" s="5" t="str">
        <f t="shared" si="723"/>
        <v>NO APLICA</v>
      </c>
      <c r="BD210" s="4"/>
      <c r="BE210" s="4"/>
      <c r="BF210" s="4"/>
      <c r="BG210" s="6"/>
      <c r="BH210" s="5" t="str">
        <f t="shared" si="724"/>
        <v>NO APLICA</v>
      </c>
      <c r="BI210" s="4"/>
      <c r="BJ210" s="4"/>
      <c r="BK210" s="4"/>
      <c r="BL210" s="6"/>
      <c r="BM210" s="5" t="str">
        <f t="shared" si="725"/>
        <v>NO APLICA</v>
      </c>
      <c r="BN210" s="4"/>
      <c r="BO210" s="4"/>
      <c r="BP210" s="4"/>
      <c r="BQ210" s="6"/>
      <c r="BR210" s="5" t="str">
        <f t="shared" si="726"/>
        <v>NO APLICA</v>
      </c>
      <c r="BS210" s="4"/>
      <c r="BT210" s="4"/>
      <c r="BU210" s="4"/>
      <c r="BV210" s="6"/>
      <c r="BW210" s="5" t="str">
        <f t="shared" si="727"/>
        <v>NO APLICA</v>
      </c>
      <c r="BX210" s="4"/>
      <c r="BY210" s="4"/>
      <c r="BZ210" s="4"/>
      <c r="CA210" s="6"/>
      <c r="CB210" s="5" t="str">
        <f t="shared" si="728"/>
        <v>NO APLICA</v>
      </c>
      <c r="CC210" s="6"/>
      <c r="CD210" s="6"/>
      <c r="CE210" s="6"/>
      <c r="CF210" s="6"/>
      <c r="CG210" s="5" t="str">
        <f t="shared" si="794"/>
        <v>NO APLICA</v>
      </c>
      <c r="CH210" s="4"/>
      <c r="CI210" s="4"/>
      <c r="CJ210" s="4"/>
      <c r="CK210" s="6"/>
      <c r="CL210" s="5" t="str">
        <f t="shared" si="729"/>
        <v>NO APLICA</v>
      </c>
      <c r="CM210" s="4"/>
      <c r="CN210" s="4"/>
      <c r="CO210" s="4"/>
      <c r="CP210" s="6"/>
      <c r="CQ210" s="5" t="str">
        <f t="shared" si="730"/>
        <v>NO APLICA</v>
      </c>
      <c r="CR210" s="4"/>
      <c r="CS210" s="4"/>
      <c r="CT210" s="4"/>
      <c r="CU210" s="6"/>
      <c r="CV210" s="5" t="str">
        <f t="shared" si="731"/>
        <v>NO APLICA</v>
      </c>
      <c r="CW210" s="4"/>
      <c r="CX210" s="4"/>
      <c r="CY210" s="4"/>
      <c r="CZ210" s="6"/>
      <c r="DA210" s="5" t="str">
        <f t="shared" si="732"/>
        <v>NO APLICA</v>
      </c>
      <c r="DB210" s="4"/>
      <c r="DC210" s="4"/>
      <c r="DD210" s="4"/>
      <c r="DE210" s="6"/>
      <c r="DF210" s="5" t="str">
        <f t="shared" si="733"/>
        <v>NO APLICA</v>
      </c>
      <c r="DG210" s="4"/>
      <c r="DH210" s="4"/>
      <c r="DI210" s="4"/>
      <c r="DJ210" s="6"/>
      <c r="DK210" s="5" t="str">
        <f t="shared" si="734"/>
        <v>NO APLICA</v>
      </c>
      <c r="DL210" s="4"/>
      <c r="DM210" s="4"/>
      <c r="DN210" s="4"/>
      <c r="DO210" s="6"/>
      <c r="DP210" s="5" t="str">
        <f t="shared" si="735"/>
        <v>NO APLICA</v>
      </c>
      <c r="DQ210" s="4"/>
      <c r="DR210" s="4"/>
      <c r="DS210" s="4"/>
      <c r="DT210" s="6"/>
      <c r="DU210" s="5" t="str">
        <f t="shared" si="736"/>
        <v>NO APLICA</v>
      </c>
      <c r="DV210" s="4"/>
      <c r="DW210" s="4"/>
      <c r="DX210" s="4"/>
      <c r="DY210" s="6"/>
      <c r="DZ210" s="5" t="str">
        <f t="shared" si="737"/>
        <v>NO APLICA</v>
      </c>
      <c r="EA210" s="4"/>
      <c r="EB210" s="4"/>
      <c r="EC210" s="4"/>
      <c r="ED210" s="6"/>
      <c r="EE210" s="5" t="str">
        <f t="shared" si="738"/>
        <v>NO APLICA</v>
      </c>
      <c r="EF210" s="4"/>
      <c r="EG210" s="4"/>
      <c r="EH210" s="4"/>
      <c r="EI210" s="8"/>
      <c r="EJ210" s="5" t="str">
        <f t="shared" si="739"/>
        <v>NO APLICA</v>
      </c>
      <c r="EK210" s="4"/>
      <c r="EL210" s="4"/>
      <c r="EM210" s="4"/>
      <c r="EN210" s="8"/>
      <c r="EO210" s="5" t="str">
        <f t="shared" si="740"/>
        <v>NO APLICA</v>
      </c>
      <c r="EP210" s="4"/>
      <c r="EQ210" s="4"/>
      <c r="ER210" s="4"/>
      <c r="ES210" s="8"/>
      <c r="ET210" s="5" t="str">
        <f t="shared" si="741"/>
        <v>NO APLICA</v>
      </c>
      <c r="EU210" s="4"/>
      <c r="EV210" s="4"/>
      <c r="EW210" s="4"/>
      <c r="EX210" s="6"/>
      <c r="EY210" s="5" t="str">
        <f t="shared" si="742"/>
        <v>NO APLICA</v>
      </c>
      <c r="EZ210" s="4"/>
      <c r="FA210" s="4"/>
      <c r="FB210" s="4"/>
      <c r="FC210" s="6"/>
      <c r="FD210" s="5" t="str">
        <f t="shared" si="743"/>
        <v>NO APLICA</v>
      </c>
      <c r="FE210" s="4"/>
      <c r="FF210" s="4"/>
      <c r="FG210" s="4"/>
      <c r="FH210" s="6"/>
      <c r="FI210" s="5" t="str">
        <f t="shared" si="744"/>
        <v>NO APLICA</v>
      </c>
      <c r="FJ210" s="4"/>
      <c r="FK210" s="4"/>
      <c r="FL210" s="4"/>
      <c r="FM210" s="6"/>
      <c r="FN210" s="5" t="str">
        <f t="shared" si="745"/>
        <v>NO APLICA</v>
      </c>
      <c r="FO210" s="4"/>
      <c r="FP210" s="4"/>
      <c r="FQ210" s="4"/>
      <c r="FR210" s="6"/>
      <c r="FS210" s="5" t="str">
        <f t="shared" si="746"/>
        <v>NO APLICA</v>
      </c>
      <c r="FT210" s="4"/>
      <c r="FU210" s="4"/>
      <c r="FV210" s="4"/>
      <c r="FW210" s="6"/>
      <c r="FX210" s="5" t="str">
        <f t="shared" si="747"/>
        <v>NO APLICA</v>
      </c>
      <c r="FY210" s="4"/>
      <c r="FZ210" s="4"/>
      <c r="GA210" s="4"/>
      <c r="GB210" s="6"/>
      <c r="GC210" s="5" t="str">
        <f t="shared" si="748"/>
        <v>NO APLICA</v>
      </c>
      <c r="GD210" s="4"/>
      <c r="GE210" s="4"/>
      <c r="GF210" s="4"/>
      <c r="GG210" s="8"/>
      <c r="GH210" s="5" t="str">
        <f t="shared" si="749"/>
        <v>NO APLICA</v>
      </c>
      <c r="GI210" s="4"/>
      <c r="GJ210" s="6"/>
      <c r="GK210" s="6"/>
      <c r="GL210" s="6"/>
      <c r="GM210" s="5" t="str">
        <f t="shared" si="750"/>
        <v>NO APLICA</v>
      </c>
      <c r="GN210" s="4"/>
      <c r="GO210" s="6"/>
      <c r="GP210" s="6"/>
      <c r="GQ210" s="6"/>
      <c r="GR210" s="5" t="str">
        <f t="shared" si="630"/>
        <v>NO APLICA</v>
      </c>
      <c r="GS210" s="4"/>
      <c r="GT210" s="6"/>
      <c r="GU210" s="6"/>
      <c r="GV210" s="6"/>
      <c r="GW210" s="5" t="str">
        <f t="shared" si="631"/>
        <v>NO APLICA</v>
      </c>
      <c r="GX210" s="6"/>
      <c r="GY210" s="6"/>
      <c r="GZ210" s="6"/>
      <c r="HA210" s="6"/>
      <c r="HB210" s="5" t="str">
        <f t="shared" si="632"/>
        <v>NO APLICA</v>
      </c>
      <c r="HC210" s="6"/>
      <c r="HD210" s="6"/>
      <c r="HE210" s="4"/>
      <c r="HF210" s="8"/>
      <c r="HG210" s="5" t="str">
        <f t="shared" si="718"/>
        <v>NO APLICA</v>
      </c>
      <c r="HH210" s="6"/>
      <c r="HI210" s="6"/>
      <c r="HJ210" s="6"/>
      <c r="HK210" s="6"/>
      <c r="HL210" s="5" t="str">
        <f t="shared" si="714"/>
        <v>NO APLICA</v>
      </c>
      <c r="HM210" s="6"/>
      <c r="HN210" s="6"/>
      <c r="HO210" s="6"/>
      <c r="HP210" s="6"/>
      <c r="HQ210" s="5" t="str">
        <f t="shared" si="751"/>
        <v>NO APLICA</v>
      </c>
      <c r="HR210" s="6"/>
      <c r="HS210" s="6"/>
      <c r="HT210" s="6"/>
      <c r="HU210" s="6"/>
      <c r="HV210" s="5" t="str">
        <f t="shared" si="752"/>
        <v>NO APLICA</v>
      </c>
      <c r="HW210" s="6"/>
      <c r="HX210" s="6"/>
      <c r="HY210" s="6"/>
      <c r="HZ210" s="6"/>
      <c r="IA210" s="5" t="str">
        <f t="shared" si="753"/>
        <v>NO APLICA</v>
      </c>
      <c r="IB210" s="6"/>
      <c r="IC210" s="6"/>
      <c r="ID210" s="6"/>
      <c r="IE210" s="6"/>
      <c r="IF210" s="5" t="str">
        <f t="shared" si="754"/>
        <v>NO APLICA</v>
      </c>
      <c r="IG210" s="6"/>
      <c r="IH210" s="6"/>
      <c r="II210" s="6"/>
      <c r="IJ210" s="6"/>
      <c r="IK210" s="5" t="str">
        <f t="shared" si="755"/>
        <v>NO APLICA</v>
      </c>
      <c r="IL210" s="6"/>
      <c r="IM210" s="6"/>
      <c r="IN210" s="6"/>
      <c r="IO210" s="6"/>
      <c r="IP210" s="5" t="str">
        <f t="shared" si="756"/>
        <v>NO APLICA</v>
      </c>
      <c r="IQ210" s="6"/>
      <c r="IR210" s="6"/>
      <c r="IS210" s="6"/>
      <c r="IT210" s="6"/>
      <c r="IU210" s="5" t="str">
        <f t="shared" si="757"/>
        <v>NO APLICA</v>
      </c>
      <c r="IV210" s="6"/>
      <c r="IW210" s="6"/>
      <c r="IX210" s="6"/>
      <c r="IY210" s="6"/>
      <c r="IZ210" s="5" t="str">
        <f t="shared" si="758"/>
        <v>NO APLICA</v>
      </c>
      <c r="JA210" s="6"/>
      <c r="JB210" s="6"/>
      <c r="JC210" s="6"/>
      <c r="JD210" s="6"/>
      <c r="JE210" s="5" t="str">
        <f t="shared" si="759"/>
        <v>NO APLICA</v>
      </c>
      <c r="JF210" s="6"/>
      <c r="JG210" s="6"/>
      <c r="JH210" s="6"/>
      <c r="JI210" s="6"/>
      <c r="JJ210" s="5" t="str">
        <f t="shared" si="760"/>
        <v>NO APLICA</v>
      </c>
      <c r="JK210" s="6"/>
      <c r="JL210" s="6"/>
      <c r="JM210" s="6"/>
      <c r="JN210" s="6"/>
      <c r="JO210" s="5" t="str">
        <f t="shared" si="761"/>
        <v>NO APLICA</v>
      </c>
      <c r="JP210" s="6"/>
      <c r="JQ210" s="6"/>
      <c r="JR210" s="6"/>
      <c r="JS210" s="6"/>
      <c r="JT210" s="5" t="str">
        <f t="shared" si="762"/>
        <v>NO APLICA</v>
      </c>
      <c r="JU210" s="5"/>
      <c r="JV210" s="5"/>
      <c r="JW210" s="5"/>
      <c r="JX210" s="5"/>
      <c r="JY210" s="5" t="str">
        <f t="shared" si="763"/>
        <v>NO APLICA</v>
      </c>
      <c r="JZ210" s="5"/>
      <c r="KA210" s="6"/>
      <c r="KB210" s="6"/>
      <c r="KC210" s="6"/>
      <c r="KD210" s="5" t="str">
        <f t="shared" si="764"/>
        <v>NO APLICA</v>
      </c>
      <c r="KE210" s="5"/>
      <c r="KF210" s="6"/>
      <c r="KG210" s="6"/>
      <c r="KH210" s="6"/>
      <c r="KI210" s="5" t="str">
        <f t="shared" si="784"/>
        <v>NO APLICA</v>
      </c>
      <c r="KJ210" s="5"/>
      <c r="KK210" s="6"/>
      <c r="KL210" s="6"/>
      <c r="KM210" s="6"/>
      <c r="KN210" s="5" t="str">
        <f t="shared" si="765"/>
        <v>NO APLICA</v>
      </c>
      <c r="KO210" s="5"/>
      <c r="KP210" s="6"/>
      <c r="KQ210" s="6"/>
      <c r="KR210" s="6"/>
      <c r="KS210" s="5" t="str">
        <f t="shared" si="785"/>
        <v>NO APLICA</v>
      </c>
      <c r="KT210" s="6"/>
      <c r="KU210" s="6"/>
      <c r="KV210" s="6"/>
      <c r="KW210" s="6"/>
      <c r="KX210" s="5" t="str">
        <f t="shared" si="791"/>
        <v>NO APLICA</v>
      </c>
      <c r="KY210" s="5"/>
      <c r="KZ210" s="6"/>
      <c r="LA210" s="6"/>
      <c r="LB210" s="6"/>
      <c r="LC210" s="5" t="str">
        <f t="shared" si="786"/>
        <v>NO APLICA</v>
      </c>
      <c r="LD210" s="6"/>
      <c r="LE210" s="6"/>
      <c r="LF210" s="6"/>
      <c r="LG210" s="6"/>
      <c r="LH210" s="5" t="str">
        <f t="shared" si="619"/>
        <v>NO APLICA</v>
      </c>
      <c r="LI210" s="5"/>
      <c r="LJ210" s="5"/>
      <c r="LK210" s="4"/>
      <c r="LL210" s="8"/>
      <c r="LM210" s="5" t="str">
        <f t="shared" si="792"/>
        <v>NO APLICA</v>
      </c>
      <c r="LN210" s="6"/>
      <c r="LO210" s="6"/>
      <c r="LP210" s="6"/>
      <c r="LQ210" s="6"/>
      <c r="LR210" s="5" t="str">
        <f t="shared" si="787"/>
        <v>NO APLICA</v>
      </c>
      <c r="LS210" s="6"/>
      <c r="LT210" s="6"/>
      <c r="LU210" s="6"/>
      <c r="LV210" s="6"/>
      <c r="LW210" s="5" t="str">
        <f t="shared" si="788"/>
        <v>NO APLICA</v>
      </c>
      <c r="LX210" s="6"/>
      <c r="LY210" s="6"/>
      <c r="LZ210" s="6"/>
      <c r="MA210" s="6"/>
      <c r="MB210" s="5" t="str">
        <f t="shared" si="789"/>
        <v>NO APLICA</v>
      </c>
      <c r="MC210" s="6"/>
      <c r="MD210" s="6"/>
      <c r="ME210" s="6"/>
      <c r="MF210" s="6"/>
      <c r="MG210" s="5" t="str">
        <f t="shared" si="766"/>
        <v>NO APLICA</v>
      </c>
      <c r="MH210" s="6"/>
      <c r="MI210" s="6"/>
      <c r="MJ210" s="6"/>
      <c r="MK210" s="6"/>
      <c r="ML210" s="5" t="str">
        <f t="shared" si="767"/>
        <v>NO APLICA</v>
      </c>
      <c r="MM210" s="5"/>
      <c r="MN210" s="6"/>
      <c r="MO210" s="6"/>
      <c r="MP210" s="6"/>
      <c r="MQ210" s="5" t="str">
        <f t="shared" si="768"/>
        <v>NO APLICA</v>
      </c>
      <c r="MR210" s="5"/>
      <c r="MS210" s="6"/>
      <c r="MT210" s="6"/>
      <c r="MU210" s="6"/>
      <c r="MV210" s="5" t="str">
        <f t="shared" si="769"/>
        <v>NO APLICA</v>
      </c>
      <c r="MW210" s="6"/>
      <c r="MX210" s="6"/>
      <c r="MY210" s="6"/>
      <c r="MZ210" s="6"/>
      <c r="NA210" s="5" t="str">
        <f t="shared" si="770"/>
        <v>NO APLICA</v>
      </c>
      <c r="NB210" s="6"/>
      <c r="NC210" s="6"/>
      <c r="ND210" s="6"/>
      <c r="NE210" s="6"/>
      <c r="NF210" s="5" t="str">
        <f t="shared" si="771"/>
        <v>NO APLICA</v>
      </c>
      <c r="NG210" s="6"/>
      <c r="NH210" s="6"/>
      <c r="NI210" s="6"/>
      <c r="NJ210" s="6"/>
      <c r="NK210" s="5" t="str">
        <f t="shared" si="772"/>
        <v>NO APLICA</v>
      </c>
      <c r="NL210" s="6"/>
      <c r="NM210" s="6"/>
      <c r="NN210" s="6"/>
      <c r="NO210" s="6"/>
      <c r="NP210" s="5" t="str">
        <f t="shared" si="773"/>
        <v>NO APLICA</v>
      </c>
      <c r="NQ210" s="6"/>
      <c r="NR210" s="6"/>
      <c r="NS210" s="6"/>
      <c r="NT210" s="6"/>
      <c r="NU210" s="5" t="str">
        <f t="shared" si="774"/>
        <v>NO APLICA</v>
      </c>
      <c r="NV210" s="6"/>
      <c r="NW210" s="6"/>
      <c r="NX210" s="6"/>
      <c r="NY210" s="6"/>
      <c r="NZ210" s="5" t="str">
        <f t="shared" si="775"/>
        <v>NO APLICA</v>
      </c>
      <c r="OA210" s="6"/>
      <c r="OB210" s="6"/>
      <c r="OC210" s="6"/>
      <c r="OD210" s="6"/>
      <c r="OE210" s="5" t="str">
        <f t="shared" si="776"/>
        <v>NO APLICA</v>
      </c>
      <c r="OF210" s="6"/>
      <c r="OG210" s="6"/>
      <c r="OH210" s="6"/>
      <c r="OI210" s="6"/>
      <c r="OJ210" s="5" t="str">
        <f t="shared" si="777"/>
        <v>NO APLICA</v>
      </c>
      <c r="OK210" s="6"/>
      <c r="OL210" s="6"/>
      <c r="OM210" s="6"/>
      <c r="ON210" s="6"/>
      <c r="OO210" s="5" t="str">
        <f t="shared" si="778"/>
        <v>NO APLICA</v>
      </c>
      <c r="OP210" s="6"/>
      <c r="OQ210" s="6"/>
      <c r="OR210" s="6"/>
      <c r="OS210" s="6"/>
      <c r="OT210" s="5" t="str">
        <f t="shared" si="779"/>
        <v>NO APLICA</v>
      </c>
      <c r="OU210" s="6"/>
      <c r="OV210" s="6"/>
      <c r="OW210" s="6"/>
      <c r="OX210" s="6"/>
      <c r="OY210" s="5" t="str">
        <f t="shared" si="793"/>
        <v>NO APLICA</v>
      </c>
      <c r="OZ210" s="6"/>
      <c r="PA210" s="6"/>
      <c r="PB210" s="6"/>
      <c r="PC210" s="6"/>
      <c r="PD210" s="5" t="str">
        <f t="shared" si="780"/>
        <v>NO APLICA</v>
      </c>
      <c r="PE210" s="6"/>
      <c r="PF210" s="6"/>
      <c r="PG210" s="6"/>
      <c r="PH210" s="6"/>
      <c r="PI210" s="5" t="str">
        <f t="shared" si="781"/>
        <v>NO APLICA</v>
      </c>
      <c r="PJ210" s="5"/>
      <c r="PK210" s="6"/>
      <c r="PL210" s="6"/>
      <c r="PM210" s="6"/>
      <c r="PN210" s="5" t="str">
        <f t="shared" si="790"/>
        <v>NO APLICA</v>
      </c>
      <c r="PO210" s="6"/>
      <c r="PP210" s="6"/>
      <c r="PQ210" s="6"/>
      <c r="PR210" s="6"/>
      <c r="PS210" s="5" t="str">
        <f t="shared" si="782"/>
        <v>NO APLICA</v>
      </c>
      <c r="PT210" s="5"/>
      <c r="PU210" s="6"/>
      <c r="PV210" s="6"/>
      <c r="PW210" s="6"/>
      <c r="PX210" s="5" t="str">
        <f t="shared" si="783"/>
        <v>NO APLICA</v>
      </c>
    </row>
    <row r="211" spans="1:440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2"/>
      <c r="V211" s="4"/>
      <c r="W211" s="4"/>
      <c r="X211" s="8"/>
      <c r="Y211" s="5" t="str">
        <f t="shared" si="624"/>
        <v>NO APLICA</v>
      </c>
      <c r="Z211" s="2"/>
      <c r="AA211" s="6"/>
      <c r="AB211" s="4"/>
      <c r="AC211" s="8"/>
      <c r="AD211" s="5" t="str">
        <f t="shared" si="627"/>
        <v>NO APLICA</v>
      </c>
      <c r="AE211" s="2"/>
      <c r="AF211" s="4"/>
      <c r="AG211" s="4"/>
      <c r="AH211" s="8"/>
      <c r="AI211" s="5" t="str">
        <f t="shared" si="621"/>
        <v>NO APLICA</v>
      </c>
      <c r="AJ211" s="2"/>
      <c r="AK211" s="4"/>
      <c r="AL211" s="4"/>
      <c r="AM211" s="8"/>
      <c r="AN211" s="5" t="str">
        <f t="shared" si="720"/>
        <v>NO APLICA</v>
      </c>
      <c r="AO211" s="2"/>
      <c r="AP211" s="4"/>
      <c r="AQ211" s="4"/>
      <c r="AR211" s="8"/>
      <c r="AS211" s="5" t="str">
        <f t="shared" si="721"/>
        <v>NO APLICA</v>
      </c>
      <c r="AT211" s="2"/>
      <c r="AU211" s="4"/>
      <c r="AV211" s="4"/>
      <c r="AW211" s="8"/>
      <c r="AX211" s="5" t="str">
        <f t="shared" si="722"/>
        <v>NO APLICA</v>
      </c>
      <c r="AY211" s="3"/>
      <c r="AZ211" s="4"/>
      <c r="BA211" s="4"/>
      <c r="BB211" s="8"/>
      <c r="BC211" s="5" t="str">
        <f t="shared" si="723"/>
        <v>NO APLICA</v>
      </c>
      <c r="BD211" s="2"/>
      <c r="BE211" s="4"/>
      <c r="BF211" s="4"/>
      <c r="BG211" s="8"/>
      <c r="BH211" s="5" t="str">
        <f t="shared" si="724"/>
        <v>NO APLICA</v>
      </c>
      <c r="BI211" s="3"/>
      <c r="BJ211" s="4"/>
      <c r="BK211" s="4"/>
      <c r="BL211" s="8"/>
      <c r="BM211" s="5" t="str">
        <f t="shared" si="725"/>
        <v>NO APLICA</v>
      </c>
      <c r="BN211" s="3"/>
      <c r="BO211" s="4"/>
      <c r="BP211" s="4"/>
      <c r="BQ211" s="8"/>
      <c r="BR211" s="5" t="str">
        <f t="shared" si="726"/>
        <v>NO APLICA</v>
      </c>
      <c r="BS211" s="2"/>
      <c r="BT211" s="4"/>
      <c r="BU211" s="4"/>
      <c r="BV211" s="8"/>
      <c r="BW211" s="5" t="str">
        <f t="shared" si="727"/>
        <v>NO APLICA</v>
      </c>
      <c r="BX211" s="2"/>
      <c r="BY211" s="4"/>
      <c r="BZ211" s="4"/>
      <c r="CA211" s="8"/>
      <c r="CB211" s="5" t="str">
        <f t="shared" si="728"/>
        <v>NO APLICA</v>
      </c>
      <c r="CC211" s="6"/>
      <c r="CD211" s="4"/>
      <c r="CE211" s="4"/>
      <c r="CF211" s="8"/>
      <c r="CG211" s="5" t="str">
        <f t="shared" si="794"/>
        <v>NO APLICA</v>
      </c>
      <c r="CH211" s="6"/>
      <c r="CI211" s="4"/>
      <c r="CJ211" s="4"/>
      <c r="CK211" s="8"/>
      <c r="CL211" s="5" t="str">
        <f t="shared" si="729"/>
        <v>NO APLICA</v>
      </c>
      <c r="CM211" s="2"/>
      <c r="CN211" s="4"/>
      <c r="CO211" s="4"/>
      <c r="CP211" s="8"/>
      <c r="CQ211" s="5" t="str">
        <f t="shared" si="730"/>
        <v>NO APLICA</v>
      </c>
      <c r="CR211" s="2"/>
      <c r="CS211" s="4"/>
      <c r="CT211" s="4"/>
      <c r="CU211" s="8"/>
      <c r="CV211" s="5" t="str">
        <f t="shared" si="731"/>
        <v>NO APLICA</v>
      </c>
      <c r="CW211" s="3"/>
      <c r="CX211" s="4"/>
      <c r="CY211" s="4"/>
      <c r="CZ211" s="8"/>
      <c r="DA211" s="5" t="str">
        <f t="shared" si="732"/>
        <v>NO APLICA</v>
      </c>
      <c r="DB211" s="3"/>
      <c r="DC211" s="4"/>
      <c r="DD211" s="4"/>
      <c r="DE211" s="8"/>
      <c r="DF211" s="5" t="str">
        <f t="shared" si="733"/>
        <v>NO APLICA</v>
      </c>
      <c r="DG211" s="2"/>
      <c r="DH211" s="4"/>
      <c r="DI211" s="4"/>
      <c r="DJ211" s="8"/>
      <c r="DK211" s="5" t="str">
        <f t="shared" si="734"/>
        <v>NO APLICA</v>
      </c>
      <c r="DL211" s="3"/>
      <c r="DM211" s="4"/>
      <c r="DN211" s="4"/>
      <c r="DO211" s="8"/>
      <c r="DP211" s="5" t="str">
        <f t="shared" si="735"/>
        <v>NO APLICA</v>
      </c>
      <c r="DQ211" s="2"/>
      <c r="DR211" s="4"/>
      <c r="DS211" s="4"/>
      <c r="DT211" s="8"/>
      <c r="DU211" s="5" t="str">
        <f t="shared" si="736"/>
        <v>NO APLICA</v>
      </c>
      <c r="DV211" s="3"/>
      <c r="DW211" s="4"/>
      <c r="DX211" s="4"/>
      <c r="DY211" s="8"/>
      <c r="DZ211" s="5" t="str">
        <f t="shared" si="737"/>
        <v>NO APLICA</v>
      </c>
      <c r="EA211" s="3"/>
      <c r="EB211" s="4"/>
      <c r="EC211" s="4"/>
      <c r="ED211" s="8"/>
      <c r="EE211" s="5" t="str">
        <f t="shared" si="738"/>
        <v>NO APLICA</v>
      </c>
      <c r="EF211" s="2"/>
      <c r="EG211" s="4"/>
      <c r="EH211" s="4"/>
      <c r="EI211" s="8"/>
      <c r="EJ211" s="5" t="str">
        <f t="shared" si="739"/>
        <v>NO APLICA</v>
      </c>
      <c r="EK211" s="3"/>
      <c r="EL211" s="4"/>
      <c r="EM211" s="4"/>
      <c r="EN211" s="8"/>
      <c r="EO211" s="5" t="str">
        <f t="shared" si="740"/>
        <v>NO APLICA</v>
      </c>
      <c r="EP211" s="2"/>
      <c r="EQ211" s="4"/>
      <c r="ER211" s="4"/>
      <c r="ES211" s="8"/>
      <c r="ET211" s="5" t="str">
        <f t="shared" si="741"/>
        <v>NO APLICA</v>
      </c>
      <c r="EU211" s="2"/>
      <c r="EV211" s="4"/>
      <c r="EW211" s="4"/>
      <c r="EX211" s="8"/>
      <c r="EY211" s="5" t="str">
        <f t="shared" si="742"/>
        <v>NO APLICA</v>
      </c>
      <c r="EZ211" s="2"/>
      <c r="FA211" s="4"/>
      <c r="FB211" s="4"/>
      <c r="FC211" s="8"/>
      <c r="FD211" s="5" t="str">
        <f t="shared" si="743"/>
        <v>NO APLICA</v>
      </c>
      <c r="FE211" s="2"/>
      <c r="FF211" s="4"/>
      <c r="FG211" s="4"/>
      <c r="FH211" s="8"/>
      <c r="FI211" s="5" t="str">
        <f t="shared" si="744"/>
        <v>NO APLICA</v>
      </c>
      <c r="FJ211" s="3"/>
      <c r="FK211" s="4"/>
      <c r="FL211" s="4"/>
      <c r="FM211" s="8"/>
      <c r="FN211" s="5" t="str">
        <f t="shared" si="745"/>
        <v>NO APLICA</v>
      </c>
      <c r="FO211" s="3"/>
      <c r="FP211" s="4"/>
      <c r="FQ211" s="4"/>
      <c r="FR211" s="8"/>
      <c r="FS211" s="5" t="str">
        <f t="shared" si="746"/>
        <v>NO APLICA</v>
      </c>
      <c r="FT211" s="3"/>
      <c r="FU211" s="4"/>
      <c r="FV211" s="4"/>
      <c r="FW211" s="8"/>
      <c r="FX211" s="5" t="str">
        <f t="shared" si="747"/>
        <v>NO APLICA</v>
      </c>
      <c r="FY211" s="3"/>
      <c r="FZ211" s="4"/>
      <c r="GA211" s="4"/>
      <c r="GB211" s="8"/>
      <c r="GC211" s="5" t="str">
        <f t="shared" si="748"/>
        <v>NO APLICA</v>
      </c>
      <c r="GD211" s="3"/>
      <c r="GE211" s="4"/>
      <c r="GF211" s="4"/>
      <c r="GG211" s="8"/>
      <c r="GH211" s="5" t="str">
        <f t="shared" si="749"/>
        <v>NO APLICA</v>
      </c>
      <c r="GI211" s="3"/>
      <c r="GJ211" s="4"/>
      <c r="GK211" s="4"/>
      <c r="GL211" s="8"/>
      <c r="GM211" s="5" t="str">
        <f t="shared" si="750"/>
        <v>NO APLICA</v>
      </c>
      <c r="GN211" s="4"/>
      <c r="GO211" s="4"/>
      <c r="GP211" s="4"/>
      <c r="GQ211" s="8"/>
      <c r="GR211" s="5" t="str">
        <f t="shared" si="630"/>
        <v>NO APLICA</v>
      </c>
      <c r="GS211" s="3"/>
      <c r="GT211" s="4"/>
      <c r="GU211" s="4"/>
      <c r="GV211" s="8"/>
      <c r="GW211" s="5" t="str">
        <f t="shared" si="631"/>
        <v>NO APLICA</v>
      </c>
      <c r="GX211" s="2"/>
      <c r="GY211" s="4"/>
      <c r="GZ211" s="4"/>
      <c r="HA211" s="8"/>
      <c r="HB211" s="5" t="str">
        <f t="shared" si="632"/>
        <v>NO APLICA</v>
      </c>
      <c r="HC211" s="6"/>
      <c r="HD211" s="6"/>
      <c r="HE211" s="4"/>
      <c r="HF211" s="8"/>
      <c r="HG211" s="5" t="str">
        <f t="shared" si="718"/>
        <v>NO APLICA</v>
      </c>
      <c r="HH211" s="2"/>
      <c r="HI211" s="6"/>
      <c r="HJ211" s="4"/>
      <c r="HK211" s="8"/>
      <c r="HL211" s="5" t="str">
        <f t="shared" si="714"/>
        <v>NO APLICA</v>
      </c>
      <c r="HM211" s="2"/>
      <c r="HN211" s="2"/>
      <c r="HO211" s="4"/>
      <c r="HP211" s="2"/>
      <c r="HQ211" s="5" t="str">
        <f t="shared" si="751"/>
        <v>NO APLICA</v>
      </c>
      <c r="HR211" s="2"/>
      <c r="HS211" s="6"/>
      <c r="HT211" s="4"/>
      <c r="HU211" s="8"/>
      <c r="HV211" s="5" t="str">
        <f t="shared" si="752"/>
        <v>NO APLICA</v>
      </c>
      <c r="HW211" s="2"/>
      <c r="HX211" s="6"/>
      <c r="HY211" s="4"/>
      <c r="HZ211" s="8"/>
      <c r="IA211" s="5" t="str">
        <f t="shared" si="753"/>
        <v>NO APLICA</v>
      </c>
      <c r="IB211" s="2"/>
      <c r="IC211" s="6"/>
      <c r="ID211" s="4"/>
      <c r="IE211" s="8"/>
      <c r="IF211" s="5" t="str">
        <f t="shared" si="754"/>
        <v>NO APLICA</v>
      </c>
      <c r="IG211" s="6"/>
      <c r="IH211" s="6"/>
      <c r="II211" s="4"/>
      <c r="IJ211" s="8"/>
      <c r="IK211" s="5" t="str">
        <f t="shared" si="755"/>
        <v>NO APLICA</v>
      </c>
      <c r="IL211" s="2"/>
      <c r="IM211" s="6"/>
      <c r="IN211" s="4"/>
      <c r="IO211" s="8"/>
      <c r="IP211" s="5" t="str">
        <f t="shared" si="756"/>
        <v>NO APLICA</v>
      </c>
      <c r="IQ211" s="2"/>
      <c r="IR211" s="6"/>
      <c r="IS211" s="4"/>
      <c r="IT211" s="8"/>
      <c r="IU211" s="5" t="str">
        <f t="shared" si="757"/>
        <v>NO APLICA</v>
      </c>
      <c r="IV211" s="2"/>
      <c r="IW211" s="6"/>
      <c r="IX211" s="4"/>
      <c r="IY211" s="8"/>
      <c r="IZ211" s="5" t="str">
        <f t="shared" si="758"/>
        <v>NO APLICA</v>
      </c>
      <c r="JA211" s="3"/>
      <c r="JB211" s="3"/>
      <c r="JC211" s="4"/>
      <c r="JD211" s="8"/>
      <c r="JE211" s="5" t="str">
        <f t="shared" si="759"/>
        <v>NO APLICA</v>
      </c>
      <c r="JF211" s="6"/>
      <c r="JG211" s="6"/>
      <c r="JH211" s="6"/>
      <c r="JI211" s="6"/>
      <c r="JJ211" s="5" t="str">
        <f t="shared" si="760"/>
        <v>NO APLICA</v>
      </c>
      <c r="JK211" s="6"/>
      <c r="JL211" s="6"/>
      <c r="JM211" s="6"/>
      <c r="JN211" s="6"/>
      <c r="JO211" s="5" t="str">
        <f t="shared" si="761"/>
        <v>NO APLICA</v>
      </c>
      <c r="JP211" s="6"/>
      <c r="JQ211" s="6"/>
      <c r="JR211" s="6"/>
      <c r="JS211" s="6"/>
      <c r="JT211" s="5" t="str">
        <f t="shared" si="762"/>
        <v>NO APLICA</v>
      </c>
      <c r="JU211" s="5"/>
      <c r="JV211" s="5"/>
      <c r="JW211" s="5"/>
      <c r="JX211" s="5"/>
      <c r="JY211" s="5" t="str">
        <f t="shared" si="763"/>
        <v>NO APLICA</v>
      </c>
      <c r="JZ211" s="5"/>
      <c r="KA211" s="2"/>
      <c r="KB211" s="4"/>
      <c r="KC211" s="8"/>
      <c r="KD211" s="5" t="str">
        <f t="shared" si="764"/>
        <v>NO APLICA</v>
      </c>
      <c r="KE211" s="5"/>
      <c r="KF211" s="2"/>
      <c r="KG211" s="4"/>
      <c r="KH211" s="8"/>
      <c r="KI211" s="5" t="str">
        <f t="shared" si="784"/>
        <v>NO APLICA</v>
      </c>
      <c r="KJ211" s="5"/>
      <c r="KK211" s="2"/>
      <c r="KL211" s="4"/>
      <c r="KM211" s="8"/>
      <c r="KN211" s="5" t="str">
        <f t="shared" si="765"/>
        <v>NO APLICA</v>
      </c>
      <c r="KO211" s="5"/>
      <c r="KP211" s="2"/>
      <c r="KQ211" s="4"/>
      <c r="KR211" s="8"/>
      <c r="KS211" s="5" t="str">
        <f t="shared" si="785"/>
        <v>NO APLICA</v>
      </c>
      <c r="KT211" s="2"/>
      <c r="KU211" s="6"/>
      <c r="KV211" s="4"/>
      <c r="KW211" s="8"/>
      <c r="KX211" s="5" t="str">
        <f t="shared" si="791"/>
        <v>NO APLICA</v>
      </c>
      <c r="KY211" s="5"/>
      <c r="KZ211" s="6"/>
      <c r="LA211" s="4"/>
      <c r="LB211" s="8"/>
      <c r="LC211" s="5" t="str">
        <f t="shared" si="786"/>
        <v>NO APLICA</v>
      </c>
      <c r="LD211" s="6"/>
      <c r="LE211" s="6"/>
      <c r="LF211" s="4"/>
      <c r="LG211" s="8"/>
      <c r="LH211" s="5" t="str">
        <f t="shared" si="619"/>
        <v>NO APLICA</v>
      </c>
      <c r="LI211" s="5"/>
      <c r="LJ211" s="5"/>
      <c r="LK211" s="4"/>
      <c r="LL211" s="8"/>
      <c r="LM211" s="5" t="str">
        <f t="shared" si="792"/>
        <v>NO APLICA</v>
      </c>
      <c r="LN211" s="2"/>
      <c r="LO211" s="6"/>
      <c r="LP211" s="4"/>
      <c r="LQ211" s="8"/>
      <c r="LR211" s="5" t="str">
        <f t="shared" si="787"/>
        <v>NO APLICA</v>
      </c>
      <c r="LS211" s="6"/>
      <c r="LT211" s="6"/>
      <c r="LU211" s="4"/>
      <c r="LV211" s="8"/>
      <c r="LW211" s="5" t="str">
        <f t="shared" si="788"/>
        <v>NO APLICA</v>
      </c>
      <c r="LX211" s="6"/>
      <c r="LY211" s="6"/>
      <c r="LZ211" s="4"/>
      <c r="MA211" s="8"/>
      <c r="MB211" s="5" t="str">
        <f t="shared" si="789"/>
        <v>NO APLICA</v>
      </c>
      <c r="MC211" s="2"/>
      <c r="MD211" s="2"/>
      <c r="ME211" s="4"/>
      <c r="MF211" s="8"/>
      <c r="MG211" s="5" t="str">
        <f t="shared" si="766"/>
        <v>NO APLICA</v>
      </c>
      <c r="MH211" s="2"/>
      <c r="MI211" s="2"/>
      <c r="MJ211" s="4"/>
      <c r="MK211" s="8"/>
      <c r="ML211" s="5" t="str">
        <f t="shared" si="767"/>
        <v>NO APLICA</v>
      </c>
      <c r="MM211" s="5"/>
      <c r="MN211" s="2"/>
      <c r="MO211" s="4"/>
      <c r="MP211" s="8"/>
      <c r="MQ211" s="5" t="str">
        <f t="shared" si="768"/>
        <v>NO APLICA</v>
      </c>
      <c r="MR211" s="5"/>
      <c r="MS211" s="2"/>
      <c r="MT211" s="4"/>
      <c r="MU211" s="2"/>
      <c r="MV211" s="5" t="str">
        <f t="shared" si="769"/>
        <v>NO APLICA</v>
      </c>
      <c r="MW211" s="2"/>
      <c r="MX211" s="6"/>
      <c r="MY211" s="4"/>
      <c r="MZ211" s="8"/>
      <c r="NA211" s="5" t="str">
        <f t="shared" si="770"/>
        <v>NO APLICA</v>
      </c>
      <c r="NB211" s="2"/>
      <c r="NC211" s="6"/>
      <c r="ND211" s="4"/>
      <c r="NE211" s="8"/>
      <c r="NF211" s="5" t="str">
        <f t="shared" si="771"/>
        <v>NO APLICA</v>
      </c>
      <c r="NG211" s="2"/>
      <c r="NH211" s="6"/>
      <c r="NI211" s="4"/>
      <c r="NJ211" s="8"/>
      <c r="NK211" s="5" t="str">
        <f t="shared" si="772"/>
        <v>NO APLICA</v>
      </c>
      <c r="NL211" s="2"/>
      <c r="NM211" s="2"/>
      <c r="NN211" s="4"/>
      <c r="NO211" s="8"/>
      <c r="NP211" s="5" t="str">
        <f t="shared" si="773"/>
        <v>NO APLICA</v>
      </c>
      <c r="NQ211" s="2"/>
      <c r="NR211" s="2"/>
      <c r="NS211" s="4"/>
      <c r="NT211" s="2"/>
      <c r="NU211" s="5" t="str">
        <f t="shared" si="774"/>
        <v>NO APLICA</v>
      </c>
      <c r="NV211" s="6"/>
      <c r="NW211" s="6"/>
      <c r="NX211" s="4"/>
      <c r="NY211" s="8"/>
      <c r="NZ211" s="5" t="str">
        <f t="shared" si="775"/>
        <v>NO APLICA</v>
      </c>
      <c r="OA211" s="6"/>
      <c r="OB211" s="6"/>
      <c r="OC211" s="6"/>
      <c r="OD211" s="6"/>
      <c r="OE211" s="5" t="str">
        <f t="shared" si="776"/>
        <v>NO APLICA</v>
      </c>
      <c r="OF211" s="6"/>
      <c r="OG211" s="6"/>
      <c r="OH211" s="4"/>
      <c r="OI211" s="8"/>
      <c r="OJ211" s="5" t="str">
        <f t="shared" si="777"/>
        <v>NO APLICA</v>
      </c>
      <c r="OK211" s="6"/>
      <c r="OL211" s="6"/>
      <c r="OM211" s="6"/>
      <c r="ON211" s="6"/>
      <c r="OO211" s="5" t="str">
        <f t="shared" si="778"/>
        <v>NO APLICA</v>
      </c>
      <c r="OP211" s="6"/>
      <c r="OQ211" s="6"/>
      <c r="OR211" s="6"/>
      <c r="OS211" s="6"/>
      <c r="OT211" s="5" t="str">
        <f t="shared" si="779"/>
        <v>NO APLICA</v>
      </c>
      <c r="OU211" s="6"/>
      <c r="OV211" s="6"/>
      <c r="OW211" s="6"/>
      <c r="OX211" s="6"/>
      <c r="OY211" s="5" t="str">
        <f t="shared" si="793"/>
        <v>NO APLICA</v>
      </c>
      <c r="OZ211" s="6"/>
      <c r="PA211" s="6"/>
      <c r="PB211" s="6"/>
      <c r="PC211" s="6"/>
      <c r="PD211" s="5" t="str">
        <f t="shared" si="780"/>
        <v>NO APLICA</v>
      </c>
      <c r="PE211" s="6"/>
      <c r="PF211" s="6"/>
      <c r="PG211" s="6"/>
      <c r="PH211" s="6"/>
      <c r="PI211" s="5" t="str">
        <f t="shared" si="781"/>
        <v>NO APLICA</v>
      </c>
      <c r="PJ211" s="5"/>
      <c r="PK211" s="6"/>
      <c r="PL211" s="4"/>
      <c r="PM211" s="8"/>
      <c r="PN211" s="5" t="str">
        <f t="shared" si="790"/>
        <v>NO APLICA</v>
      </c>
      <c r="PO211" s="6"/>
      <c r="PP211" s="6"/>
      <c r="PQ211" s="6"/>
      <c r="PR211" s="6"/>
      <c r="PS211" s="5" t="str">
        <f t="shared" si="782"/>
        <v>NO APLICA</v>
      </c>
      <c r="PT211" s="5"/>
      <c r="PU211" s="4">
        <v>46126</v>
      </c>
      <c r="PV211" s="4">
        <f>DATE(YEAR(PU211)+1,MONTH(PU211),DAY(PU211))</f>
        <v>46491</v>
      </c>
      <c r="PW211" s="8">
        <f ca="1">PV211-TODAY()</f>
        <v>357</v>
      </c>
      <c r="PX211" s="5" t="str">
        <f t="shared" ca="1" si="783"/>
        <v>VIGENTE</v>
      </c>
    </row>
    <row r="212" spans="1:440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6" t="s">
        <v>653</v>
      </c>
      <c r="V212" s="4">
        <v>44918</v>
      </c>
      <c r="W212" s="4">
        <f>DATE(YEAR(V212)+5,MONTH(V212),DAY(V212))</f>
        <v>46744</v>
      </c>
      <c r="X212" s="8">
        <f ca="1">W212-TODAY()</f>
        <v>610</v>
      </c>
      <c r="Y212" s="5" t="str">
        <f ca="1">IF(X212&gt;=90,"VIGENTE",IF(X212&gt;=1,"POR VENCER",IF(X212&lt;=-1,"VENCIDA",IF(V212=0,"NO APLICA"))))</f>
        <v>VIGENTE</v>
      </c>
      <c r="Z212" s="6" t="s">
        <v>654</v>
      </c>
      <c r="AA212" s="4">
        <v>44988</v>
      </c>
      <c r="AB212" s="4">
        <f>DATE(YEAR(AA212)+5,MONTH(AA212),DAY(AA212))</f>
        <v>46815</v>
      </c>
      <c r="AC212" s="8">
        <f ca="1">AB212-TODAY()</f>
        <v>681</v>
      </c>
      <c r="AD212" s="5" t="str">
        <f t="shared" ca="1" si="627"/>
        <v>VIGENTE</v>
      </c>
      <c r="AE212" s="4"/>
      <c r="AF212" s="4"/>
      <c r="AG212" s="4"/>
      <c r="AH212" s="6"/>
      <c r="AI212" s="5" t="str">
        <f t="shared" si="621"/>
        <v>NO APLICA</v>
      </c>
      <c r="AJ212" s="4"/>
      <c r="AK212" s="4"/>
      <c r="AL212" s="4"/>
      <c r="AM212" s="6"/>
      <c r="AN212" s="5" t="str">
        <f t="shared" si="720"/>
        <v>NO APLICA</v>
      </c>
      <c r="AO212" s="4"/>
      <c r="AP212" s="4"/>
      <c r="AQ212" s="4"/>
      <c r="AR212" s="6"/>
      <c r="AS212" s="5" t="str">
        <f t="shared" si="721"/>
        <v>NO APLICA</v>
      </c>
      <c r="AT212" s="4"/>
      <c r="AU212" s="4"/>
      <c r="AV212" s="4"/>
      <c r="AW212" s="6"/>
      <c r="AX212" s="5" t="str">
        <f t="shared" si="722"/>
        <v>NO APLICA</v>
      </c>
      <c r="AY212" s="4"/>
      <c r="AZ212" s="4"/>
      <c r="BA212" s="4"/>
      <c r="BB212" s="6"/>
      <c r="BC212" s="5" t="str">
        <f t="shared" si="723"/>
        <v>NO APLICA</v>
      </c>
      <c r="BD212" s="4"/>
      <c r="BE212" s="4"/>
      <c r="BF212" s="4"/>
      <c r="BG212" s="6"/>
      <c r="BH212" s="5" t="str">
        <f t="shared" si="724"/>
        <v>NO APLICA</v>
      </c>
      <c r="BI212" s="4"/>
      <c r="BJ212" s="4"/>
      <c r="BK212" s="4"/>
      <c r="BL212" s="6"/>
      <c r="BM212" s="5" t="str">
        <f t="shared" si="725"/>
        <v>NO APLICA</v>
      </c>
      <c r="BN212" s="4"/>
      <c r="BO212" s="4"/>
      <c r="BP212" s="4"/>
      <c r="BQ212" s="6"/>
      <c r="BR212" s="5" t="str">
        <f t="shared" si="726"/>
        <v>NO APLICA</v>
      </c>
      <c r="BS212" s="4"/>
      <c r="BT212" s="4"/>
      <c r="BU212" s="4"/>
      <c r="BV212" s="6"/>
      <c r="BW212" s="5" t="str">
        <f t="shared" si="727"/>
        <v>NO APLICA</v>
      </c>
      <c r="BX212" s="4"/>
      <c r="BY212" s="4"/>
      <c r="BZ212" s="4"/>
      <c r="CA212" s="6"/>
      <c r="CB212" s="5" t="str">
        <f t="shared" si="728"/>
        <v>NO APLICA</v>
      </c>
      <c r="CC212" s="6" t="s">
        <v>323</v>
      </c>
      <c r="CD212" s="4">
        <v>44901</v>
      </c>
      <c r="CE212" s="4">
        <f>DATE(YEAR(CD212)+4,MONTH(CD212),DAY(CD212))</f>
        <v>46362</v>
      </c>
      <c r="CF212" s="8">
        <f ca="1">CE212-TODAY()</f>
        <v>228</v>
      </c>
      <c r="CG212" s="5" t="str">
        <f ca="1">IF(CF212&gt;=90,"VIGENTE",IF(CF212&gt;=1,"POR VENCER",IF(CF212&lt;=-1,"VENCIDA",IF(CF212=0,"NO APLICA"))))</f>
        <v>VIGENTE</v>
      </c>
      <c r="CH212" s="4"/>
      <c r="CI212" s="4"/>
      <c r="CJ212" s="4"/>
      <c r="CK212" s="6"/>
      <c r="CL212" s="5" t="str">
        <f t="shared" si="729"/>
        <v>NO APLICA</v>
      </c>
      <c r="CM212" s="4"/>
      <c r="CN212" s="4"/>
      <c r="CO212" s="4"/>
      <c r="CP212" s="6"/>
      <c r="CQ212" s="5" t="str">
        <f t="shared" si="730"/>
        <v>NO APLICA</v>
      </c>
      <c r="CR212" s="4"/>
      <c r="CS212" s="4"/>
      <c r="CT212" s="4"/>
      <c r="CU212" s="6"/>
      <c r="CV212" s="5" t="str">
        <f t="shared" si="731"/>
        <v>NO APLICA</v>
      </c>
      <c r="CW212" s="4"/>
      <c r="CX212" s="4"/>
      <c r="CY212" s="4"/>
      <c r="CZ212" s="6"/>
      <c r="DA212" s="5" t="str">
        <f t="shared" si="732"/>
        <v>NO APLICA</v>
      </c>
      <c r="DB212" s="4"/>
      <c r="DC212" s="4"/>
      <c r="DD212" s="4"/>
      <c r="DE212" s="6"/>
      <c r="DF212" s="5" t="str">
        <f t="shared" si="733"/>
        <v>NO APLICA</v>
      </c>
      <c r="DG212" s="4"/>
      <c r="DH212" s="4"/>
      <c r="DI212" s="4"/>
      <c r="DJ212" s="6"/>
      <c r="DK212" s="5" t="str">
        <f t="shared" si="734"/>
        <v>NO APLICA</v>
      </c>
      <c r="DL212" s="4"/>
      <c r="DM212" s="4"/>
      <c r="DN212" s="4"/>
      <c r="DO212" s="6"/>
      <c r="DP212" s="5" t="str">
        <f t="shared" si="735"/>
        <v>NO APLICA</v>
      </c>
      <c r="DQ212" s="4"/>
      <c r="DR212" s="4"/>
      <c r="DS212" s="4"/>
      <c r="DT212" s="6"/>
      <c r="DU212" s="5" t="str">
        <f t="shared" si="736"/>
        <v>NO APLICA</v>
      </c>
      <c r="DV212" s="4"/>
      <c r="DW212" s="4"/>
      <c r="DX212" s="4"/>
      <c r="DY212" s="6"/>
      <c r="DZ212" s="5" t="str">
        <f t="shared" si="737"/>
        <v>NO APLICA</v>
      </c>
      <c r="EA212" s="4"/>
      <c r="EB212" s="4"/>
      <c r="EC212" s="4"/>
      <c r="ED212" s="6"/>
      <c r="EE212" s="5" t="str">
        <f t="shared" si="738"/>
        <v>NO APLICA</v>
      </c>
      <c r="EF212" s="4"/>
      <c r="EG212" s="4"/>
      <c r="EH212" s="4"/>
      <c r="EI212" s="8"/>
      <c r="EJ212" s="5" t="str">
        <f t="shared" si="739"/>
        <v>NO APLICA</v>
      </c>
      <c r="EK212" s="4"/>
      <c r="EL212" s="4"/>
      <c r="EM212" s="4"/>
      <c r="EN212" s="8"/>
      <c r="EO212" s="5" t="str">
        <f t="shared" si="740"/>
        <v>NO APLICA</v>
      </c>
      <c r="EP212" s="4"/>
      <c r="EQ212" s="4"/>
      <c r="ER212" s="4"/>
      <c r="ES212" s="8"/>
      <c r="ET212" s="5" t="str">
        <f t="shared" si="741"/>
        <v>NO APLICA</v>
      </c>
      <c r="EU212" s="4"/>
      <c r="EV212" s="4"/>
      <c r="EW212" s="4"/>
      <c r="EX212" s="6"/>
      <c r="EY212" s="5" t="str">
        <f t="shared" si="742"/>
        <v>NO APLICA</v>
      </c>
      <c r="EZ212" s="4"/>
      <c r="FA212" s="4"/>
      <c r="FB212" s="4"/>
      <c r="FC212" s="6"/>
      <c r="FD212" s="5" t="str">
        <f t="shared" si="743"/>
        <v>NO APLICA</v>
      </c>
      <c r="FE212" s="4"/>
      <c r="FF212" s="4"/>
      <c r="FG212" s="4"/>
      <c r="FH212" s="6"/>
      <c r="FI212" s="5" t="str">
        <f t="shared" si="744"/>
        <v>NO APLICA</v>
      </c>
      <c r="FJ212" s="4"/>
      <c r="FK212" s="4"/>
      <c r="FL212" s="4"/>
      <c r="FM212" s="6"/>
      <c r="FN212" s="5" t="str">
        <f t="shared" si="745"/>
        <v>NO APLICA</v>
      </c>
      <c r="FO212" s="4"/>
      <c r="FP212" s="4"/>
      <c r="FQ212" s="4"/>
      <c r="FR212" s="6"/>
      <c r="FS212" s="5" t="str">
        <f t="shared" si="746"/>
        <v>NO APLICA</v>
      </c>
      <c r="FT212" s="4"/>
      <c r="FU212" s="4"/>
      <c r="FV212" s="4"/>
      <c r="FW212" s="6"/>
      <c r="FX212" s="5" t="str">
        <f t="shared" si="747"/>
        <v>NO APLICA</v>
      </c>
      <c r="FY212" s="4"/>
      <c r="FZ212" s="4"/>
      <c r="GA212" s="4"/>
      <c r="GB212" s="6"/>
      <c r="GC212" s="5" t="str">
        <f t="shared" si="748"/>
        <v>NO APLICA</v>
      </c>
      <c r="GD212" s="4"/>
      <c r="GE212" s="4"/>
      <c r="GF212" s="4"/>
      <c r="GG212" s="8"/>
      <c r="GH212" s="5" t="str">
        <f t="shared" si="749"/>
        <v>NO APLICA</v>
      </c>
      <c r="GI212" s="4"/>
      <c r="GJ212" s="6"/>
      <c r="GK212" s="6"/>
      <c r="GL212" s="6"/>
      <c r="GM212" s="5" t="str">
        <f t="shared" si="750"/>
        <v>NO APLICA</v>
      </c>
      <c r="GN212" s="4"/>
      <c r="GO212" s="6"/>
      <c r="GP212" s="6"/>
      <c r="GQ212" s="6"/>
      <c r="GR212" s="5" t="str">
        <f t="shared" si="630"/>
        <v>NO APLICA</v>
      </c>
      <c r="GS212" s="4"/>
      <c r="GT212" s="6"/>
      <c r="GU212" s="6"/>
      <c r="GV212" s="6"/>
      <c r="GW212" s="5" t="str">
        <f t="shared" si="631"/>
        <v>NO APLICA</v>
      </c>
      <c r="GX212" s="6"/>
      <c r="GY212" s="6"/>
      <c r="GZ212" s="6"/>
      <c r="HA212" s="6"/>
      <c r="HB212" s="5" t="str">
        <f t="shared" si="632"/>
        <v>NO APLICA</v>
      </c>
      <c r="HC212" s="6"/>
      <c r="HD212" s="6"/>
      <c r="HE212" s="4"/>
      <c r="HF212" s="8"/>
      <c r="HG212" s="5" t="str">
        <f t="shared" si="718"/>
        <v>NO APLICA</v>
      </c>
      <c r="HH212" s="6"/>
      <c r="HI212" s="6"/>
      <c r="HJ212" s="6"/>
      <c r="HK212" s="6"/>
      <c r="HL212" s="5" t="str">
        <f t="shared" si="714"/>
        <v>NO APLICA</v>
      </c>
      <c r="HM212" s="6"/>
      <c r="HN212" s="6"/>
      <c r="HO212" s="6"/>
      <c r="HP212" s="6"/>
      <c r="HQ212" s="5" t="str">
        <f t="shared" si="751"/>
        <v>NO APLICA</v>
      </c>
      <c r="HR212" s="6"/>
      <c r="HS212" s="6"/>
      <c r="HT212" s="6"/>
      <c r="HU212" s="6"/>
      <c r="HV212" s="5" t="str">
        <f t="shared" si="752"/>
        <v>NO APLICA</v>
      </c>
      <c r="HW212" s="6"/>
      <c r="HX212" s="6"/>
      <c r="HY212" s="6"/>
      <c r="HZ212" s="6"/>
      <c r="IA212" s="5" t="str">
        <f t="shared" si="753"/>
        <v>NO APLICA</v>
      </c>
      <c r="IB212" s="6"/>
      <c r="IC212" s="6"/>
      <c r="ID212" s="6"/>
      <c r="IE212" s="6"/>
      <c r="IF212" s="5" t="str">
        <f t="shared" si="754"/>
        <v>NO APLICA</v>
      </c>
      <c r="IG212" s="6"/>
      <c r="IH212" s="6"/>
      <c r="II212" s="6"/>
      <c r="IJ212" s="6"/>
      <c r="IK212" s="5" t="str">
        <f t="shared" si="755"/>
        <v>NO APLICA</v>
      </c>
      <c r="IL212" s="6"/>
      <c r="IM212" s="6"/>
      <c r="IN212" s="6"/>
      <c r="IO212" s="6"/>
      <c r="IP212" s="5" t="str">
        <f t="shared" si="756"/>
        <v>NO APLICA</v>
      </c>
      <c r="IQ212" s="6"/>
      <c r="IR212" s="6"/>
      <c r="IS212" s="6"/>
      <c r="IT212" s="6"/>
      <c r="IU212" s="5" t="str">
        <f t="shared" si="757"/>
        <v>NO APLICA</v>
      </c>
      <c r="IV212" s="6"/>
      <c r="IW212" s="6"/>
      <c r="IX212" s="6"/>
      <c r="IY212" s="6"/>
      <c r="IZ212" s="5" t="str">
        <f t="shared" si="758"/>
        <v>NO APLICA</v>
      </c>
      <c r="JA212" s="6"/>
      <c r="JB212" s="6"/>
      <c r="JC212" s="6"/>
      <c r="JD212" s="6"/>
      <c r="JE212" s="5" t="str">
        <f t="shared" si="759"/>
        <v>NO APLICA</v>
      </c>
      <c r="JF212" s="6"/>
      <c r="JG212" s="6"/>
      <c r="JH212" s="6"/>
      <c r="JI212" s="6"/>
      <c r="JJ212" s="5" t="str">
        <f t="shared" si="760"/>
        <v>NO APLICA</v>
      </c>
      <c r="JK212" s="6"/>
      <c r="JL212" s="6"/>
      <c r="JM212" s="6"/>
      <c r="JN212" s="6"/>
      <c r="JO212" s="5" t="str">
        <f t="shared" si="761"/>
        <v>NO APLICA</v>
      </c>
      <c r="JP212" s="6"/>
      <c r="JQ212" s="6"/>
      <c r="JR212" s="6"/>
      <c r="JS212" s="6"/>
      <c r="JT212" s="5" t="str">
        <f t="shared" si="762"/>
        <v>NO APLICA</v>
      </c>
      <c r="JU212" s="5"/>
      <c r="JV212" s="5"/>
      <c r="JW212" s="5"/>
      <c r="JX212" s="5"/>
      <c r="JY212" s="5" t="str">
        <f t="shared" si="763"/>
        <v>NO APLICA</v>
      </c>
      <c r="JZ212" s="5"/>
      <c r="KA212" s="6"/>
      <c r="KB212" s="6"/>
      <c r="KC212" s="6"/>
      <c r="KD212" s="5" t="str">
        <f t="shared" si="764"/>
        <v>NO APLICA</v>
      </c>
      <c r="KE212" s="5"/>
      <c r="KF212" s="6"/>
      <c r="KG212" s="6"/>
      <c r="KH212" s="6"/>
      <c r="KI212" s="5" t="str">
        <f t="shared" si="784"/>
        <v>NO APLICA</v>
      </c>
      <c r="KJ212" s="5"/>
      <c r="KK212" s="6"/>
      <c r="KL212" s="6"/>
      <c r="KM212" s="6"/>
      <c r="KN212" s="5" t="str">
        <f t="shared" si="765"/>
        <v>NO APLICA</v>
      </c>
      <c r="KO212" s="5"/>
      <c r="KP212" s="4">
        <v>45346</v>
      </c>
      <c r="KQ212" s="4">
        <f>DATE(YEAR(KP212)+5,MONTH(KP212),DAY(KP212))</f>
        <v>47173</v>
      </c>
      <c r="KR212" s="8">
        <f ca="1">KQ212-TODAY()</f>
        <v>1039</v>
      </c>
      <c r="KS212" s="5" t="str">
        <f ca="1">IF(KR212&gt;=61,"VIGENTE",IF(KR212&gt;=1,"POR VENCER",IF(KR212&lt;=-1,"VENCIDA",IF(KP212=0,"NO APLICA"))))</f>
        <v>VIGENTE</v>
      </c>
      <c r="KT212" s="6"/>
      <c r="KU212" s="6"/>
      <c r="KV212" s="6"/>
      <c r="KW212" s="6"/>
      <c r="KX212" s="5" t="str">
        <f t="shared" si="791"/>
        <v>NO APLICA</v>
      </c>
      <c r="KY212" s="5"/>
      <c r="KZ212" s="6"/>
      <c r="LA212" s="6"/>
      <c r="LB212" s="6"/>
      <c r="LC212" s="5" t="str">
        <f t="shared" si="786"/>
        <v>NO APLICA</v>
      </c>
      <c r="LD212" s="6"/>
      <c r="LE212" s="6"/>
      <c r="LF212" s="6"/>
      <c r="LG212" s="6"/>
      <c r="LH212" s="5" t="str">
        <f t="shared" si="619"/>
        <v>NO APLICA</v>
      </c>
      <c r="LI212" s="5"/>
      <c r="LJ212" s="5"/>
      <c r="LK212" s="4"/>
      <c r="LL212" s="8"/>
      <c r="LM212" s="5" t="str">
        <f t="shared" si="792"/>
        <v>NO APLICA</v>
      </c>
      <c r="LN212" s="6"/>
      <c r="LO212" s="6"/>
      <c r="LP212" s="6"/>
      <c r="LQ212" s="6"/>
      <c r="LR212" s="5" t="str">
        <f t="shared" si="787"/>
        <v>NO APLICA</v>
      </c>
      <c r="LS212" s="6"/>
      <c r="LT212" s="6"/>
      <c r="LU212" s="6"/>
      <c r="LV212" s="6"/>
      <c r="LW212" s="5" t="str">
        <f t="shared" si="788"/>
        <v>NO APLICA</v>
      </c>
      <c r="LX212" s="6"/>
      <c r="LY212" s="6"/>
      <c r="LZ212" s="6"/>
      <c r="MA212" s="6"/>
      <c r="MB212" s="5" t="str">
        <f t="shared" si="789"/>
        <v>NO APLICA</v>
      </c>
      <c r="MC212" s="6"/>
      <c r="MD212" s="6"/>
      <c r="ME212" s="6"/>
      <c r="MF212" s="6"/>
      <c r="MG212" s="5" t="str">
        <f t="shared" si="766"/>
        <v>NO APLICA</v>
      </c>
      <c r="MH212" s="6"/>
      <c r="MI212" s="6"/>
      <c r="MJ212" s="6"/>
      <c r="MK212" s="6"/>
      <c r="ML212" s="5" t="str">
        <f t="shared" si="767"/>
        <v>NO APLICA</v>
      </c>
      <c r="MM212" s="5"/>
      <c r="MN212" s="6"/>
      <c r="MO212" s="6"/>
      <c r="MP212" s="6"/>
      <c r="MQ212" s="5" t="str">
        <f t="shared" si="768"/>
        <v>NO APLICA</v>
      </c>
      <c r="MR212" s="5"/>
      <c r="MS212" s="6"/>
      <c r="MT212" s="6"/>
      <c r="MU212" s="6"/>
      <c r="MV212" s="5" t="str">
        <f t="shared" si="769"/>
        <v>NO APLICA</v>
      </c>
      <c r="MW212" s="6"/>
      <c r="MX212" s="6"/>
      <c r="MY212" s="6"/>
      <c r="MZ212" s="6"/>
      <c r="NA212" s="5" t="str">
        <f t="shared" si="770"/>
        <v>NO APLICA</v>
      </c>
      <c r="NB212" s="6"/>
      <c r="NC212" s="6"/>
      <c r="ND212" s="6"/>
      <c r="NE212" s="6"/>
      <c r="NF212" s="5" t="str">
        <f t="shared" si="771"/>
        <v>NO APLICA</v>
      </c>
      <c r="NG212" s="6"/>
      <c r="NH212" s="6"/>
      <c r="NI212" s="6"/>
      <c r="NJ212" s="6"/>
      <c r="NK212" s="5" t="str">
        <f t="shared" si="772"/>
        <v>NO APLICA</v>
      </c>
      <c r="NL212" s="6"/>
      <c r="NM212" s="6"/>
      <c r="NN212" s="6"/>
      <c r="NO212" s="6"/>
      <c r="NP212" s="5" t="str">
        <f t="shared" si="773"/>
        <v>NO APLICA</v>
      </c>
      <c r="NQ212" s="6"/>
      <c r="NR212" s="6"/>
      <c r="NS212" s="6"/>
      <c r="NT212" s="6"/>
      <c r="NU212" s="5" t="str">
        <f t="shared" si="774"/>
        <v>NO APLICA</v>
      </c>
      <c r="NV212" s="6"/>
      <c r="NW212" s="6"/>
      <c r="NX212" s="6"/>
      <c r="NY212" s="6"/>
      <c r="NZ212" s="5" t="str">
        <f t="shared" si="775"/>
        <v>NO APLICA</v>
      </c>
      <c r="OA212" s="6"/>
      <c r="OB212" s="6"/>
      <c r="OC212" s="6"/>
      <c r="OD212" s="6"/>
      <c r="OE212" s="5" t="str">
        <f t="shared" si="776"/>
        <v>NO APLICA</v>
      </c>
      <c r="OF212" s="6"/>
      <c r="OG212" s="6"/>
      <c r="OH212" s="6"/>
      <c r="OI212" s="6"/>
      <c r="OJ212" s="5" t="str">
        <f t="shared" si="777"/>
        <v>NO APLICA</v>
      </c>
      <c r="OK212" s="6"/>
      <c r="OL212" s="6"/>
      <c r="OM212" s="6"/>
      <c r="ON212" s="6"/>
      <c r="OO212" s="5" t="str">
        <f t="shared" si="778"/>
        <v>NO APLICA</v>
      </c>
      <c r="OP212" s="6"/>
      <c r="OQ212" s="6"/>
      <c r="OR212" s="6"/>
      <c r="OS212" s="6"/>
      <c r="OT212" s="5" t="str">
        <f t="shared" si="779"/>
        <v>NO APLICA</v>
      </c>
      <c r="OU212" s="6"/>
      <c r="OV212" s="6"/>
      <c r="OW212" s="6"/>
      <c r="OX212" s="6"/>
      <c r="OY212" s="5" t="str">
        <f t="shared" si="793"/>
        <v>NO APLICA</v>
      </c>
      <c r="OZ212" s="6"/>
      <c r="PA212" s="6"/>
      <c r="PB212" s="6"/>
      <c r="PC212" s="6"/>
      <c r="PD212" s="5" t="str">
        <f t="shared" si="780"/>
        <v>NO APLICA</v>
      </c>
      <c r="PE212" s="6"/>
      <c r="PF212" s="6"/>
      <c r="PG212" s="6"/>
      <c r="PH212" s="6"/>
      <c r="PI212" s="5" t="str">
        <f t="shared" si="781"/>
        <v>NO APLICA</v>
      </c>
      <c r="PJ212" s="5"/>
      <c r="PK212" s="6"/>
      <c r="PL212" s="6"/>
      <c r="PM212" s="6"/>
      <c r="PN212" s="5" t="str">
        <f t="shared" si="790"/>
        <v>NO APLICA</v>
      </c>
      <c r="PO212" s="6"/>
      <c r="PP212" s="6"/>
      <c r="PQ212" s="6"/>
      <c r="PR212" s="6"/>
      <c r="PS212" s="5" t="str">
        <f t="shared" si="782"/>
        <v>NO APLICA</v>
      </c>
      <c r="PT212" s="5"/>
      <c r="PU212" s="6"/>
      <c r="PV212" s="6"/>
      <c r="PW212" s="6"/>
      <c r="PX212" s="5" t="str">
        <f t="shared" si="783"/>
        <v>NO APLICA</v>
      </c>
    </row>
    <row r="213" spans="1:440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2"/>
      <c r="V213" s="4"/>
      <c r="W213" s="4"/>
      <c r="X213" s="8"/>
      <c r="Y213" s="5" t="str">
        <f t="shared" si="624"/>
        <v>NO APLICA</v>
      </c>
      <c r="Z213" s="2"/>
      <c r="AA213" s="6"/>
      <c r="AB213" s="4"/>
      <c r="AC213" s="8"/>
      <c r="AD213" s="5" t="str">
        <f t="shared" si="627"/>
        <v>NO APLICA</v>
      </c>
      <c r="AE213" s="2"/>
      <c r="AF213" s="4"/>
      <c r="AG213" s="4"/>
      <c r="AH213" s="8"/>
      <c r="AI213" s="5" t="str">
        <f t="shared" si="621"/>
        <v>NO APLICA</v>
      </c>
      <c r="AJ213" s="2"/>
      <c r="AK213" s="4"/>
      <c r="AL213" s="4"/>
      <c r="AM213" s="8"/>
      <c r="AN213" s="5" t="str">
        <f t="shared" si="720"/>
        <v>NO APLICA</v>
      </c>
      <c r="AO213" s="2"/>
      <c r="AP213" s="4"/>
      <c r="AQ213" s="4"/>
      <c r="AR213" s="8"/>
      <c r="AS213" s="5" t="str">
        <f t="shared" si="721"/>
        <v>NO APLICA</v>
      </c>
      <c r="AT213" s="2"/>
      <c r="AU213" s="4"/>
      <c r="AV213" s="4"/>
      <c r="AW213" s="8"/>
      <c r="AX213" s="5" t="str">
        <f t="shared" si="722"/>
        <v>NO APLICA</v>
      </c>
      <c r="AY213" s="3"/>
      <c r="AZ213" s="4"/>
      <c r="BA213" s="4"/>
      <c r="BB213" s="8"/>
      <c r="BC213" s="5" t="str">
        <f t="shared" si="723"/>
        <v>NO APLICA</v>
      </c>
      <c r="BD213" s="2"/>
      <c r="BE213" s="4"/>
      <c r="BF213" s="4"/>
      <c r="BG213" s="8"/>
      <c r="BH213" s="5" t="str">
        <f t="shared" si="724"/>
        <v>NO APLICA</v>
      </c>
      <c r="BI213" s="3"/>
      <c r="BJ213" s="4"/>
      <c r="BK213" s="4"/>
      <c r="BL213" s="8"/>
      <c r="BM213" s="5" t="str">
        <f t="shared" si="725"/>
        <v>NO APLICA</v>
      </c>
      <c r="BN213" s="3"/>
      <c r="BO213" s="4"/>
      <c r="BP213" s="4"/>
      <c r="BQ213" s="8"/>
      <c r="BR213" s="5" t="str">
        <f t="shared" si="726"/>
        <v>NO APLICA</v>
      </c>
      <c r="BS213" s="2"/>
      <c r="BT213" s="4"/>
      <c r="BU213" s="4"/>
      <c r="BV213" s="8"/>
      <c r="BW213" s="5" t="str">
        <f t="shared" si="727"/>
        <v>NO APLICA</v>
      </c>
      <c r="BX213" s="2"/>
      <c r="BY213" s="4"/>
      <c r="BZ213" s="4"/>
      <c r="CA213" s="8"/>
      <c r="CB213" s="5" t="str">
        <f t="shared" si="728"/>
        <v>NO APLICA</v>
      </c>
      <c r="CC213" s="6"/>
      <c r="CD213" s="4"/>
      <c r="CE213" s="4"/>
      <c r="CF213" s="8"/>
      <c r="CG213" s="5" t="str">
        <f t="shared" si="794"/>
        <v>NO APLICA</v>
      </c>
      <c r="CH213" s="6"/>
      <c r="CI213" s="4"/>
      <c r="CJ213" s="4"/>
      <c r="CK213" s="8"/>
      <c r="CL213" s="5" t="str">
        <f t="shared" si="729"/>
        <v>NO APLICA</v>
      </c>
      <c r="CM213" s="2"/>
      <c r="CN213" s="4"/>
      <c r="CO213" s="4"/>
      <c r="CP213" s="8"/>
      <c r="CQ213" s="5" t="str">
        <f t="shared" si="730"/>
        <v>NO APLICA</v>
      </c>
      <c r="CR213" s="2"/>
      <c r="CS213" s="4"/>
      <c r="CT213" s="4"/>
      <c r="CU213" s="8"/>
      <c r="CV213" s="5" t="str">
        <f t="shared" si="731"/>
        <v>NO APLICA</v>
      </c>
      <c r="CW213" s="3"/>
      <c r="CX213" s="4"/>
      <c r="CY213" s="4"/>
      <c r="CZ213" s="8"/>
      <c r="DA213" s="5" t="str">
        <f t="shared" si="732"/>
        <v>NO APLICA</v>
      </c>
      <c r="DB213" s="3"/>
      <c r="DC213" s="4"/>
      <c r="DD213" s="4"/>
      <c r="DE213" s="8"/>
      <c r="DF213" s="5" t="str">
        <f t="shared" si="733"/>
        <v>NO APLICA</v>
      </c>
      <c r="DG213" s="2"/>
      <c r="DH213" s="4"/>
      <c r="DI213" s="4"/>
      <c r="DJ213" s="8"/>
      <c r="DK213" s="5" t="str">
        <f t="shared" si="734"/>
        <v>NO APLICA</v>
      </c>
      <c r="DL213" s="3"/>
      <c r="DM213" s="4"/>
      <c r="DN213" s="4"/>
      <c r="DO213" s="8"/>
      <c r="DP213" s="5" t="str">
        <f t="shared" si="735"/>
        <v>NO APLICA</v>
      </c>
      <c r="DQ213" s="2"/>
      <c r="DR213" s="4"/>
      <c r="DS213" s="4"/>
      <c r="DT213" s="8"/>
      <c r="DU213" s="5" t="str">
        <f t="shared" si="736"/>
        <v>NO APLICA</v>
      </c>
      <c r="DV213" s="3"/>
      <c r="DW213" s="4"/>
      <c r="DX213" s="4"/>
      <c r="DY213" s="8"/>
      <c r="DZ213" s="5" t="str">
        <f t="shared" si="737"/>
        <v>NO APLICA</v>
      </c>
      <c r="EA213" s="3"/>
      <c r="EB213" s="4"/>
      <c r="EC213" s="4"/>
      <c r="ED213" s="8"/>
      <c r="EE213" s="5" t="str">
        <f t="shared" si="738"/>
        <v>NO APLICA</v>
      </c>
      <c r="EF213" s="2"/>
      <c r="EG213" s="4"/>
      <c r="EH213" s="4"/>
      <c r="EI213" s="8"/>
      <c r="EJ213" s="5" t="str">
        <f t="shared" si="739"/>
        <v>NO APLICA</v>
      </c>
      <c r="EK213" s="3"/>
      <c r="EL213" s="4"/>
      <c r="EM213" s="4"/>
      <c r="EN213" s="8"/>
      <c r="EO213" s="5" t="str">
        <f t="shared" si="740"/>
        <v>NO APLICA</v>
      </c>
      <c r="EP213" s="2"/>
      <c r="EQ213" s="4"/>
      <c r="ER213" s="4"/>
      <c r="ES213" s="8"/>
      <c r="ET213" s="5" t="str">
        <f t="shared" si="741"/>
        <v>NO APLICA</v>
      </c>
      <c r="EU213" s="2"/>
      <c r="EV213" s="4"/>
      <c r="EW213" s="4"/>
      <c r="EX213" s="8"/>
      <c r="EY213" s="5" t="str">
        <f t="shared" si="742"/>
        <v>NO APLICA</v>
      </c>
      <c r="EZ213" s="2"/>
      <c r="FA213" s="4"/>
      <c r="FB213" s="4"/>
      <c r="FC213" s="8"/>
      <c r="FD213" s="5" t="str">
        <f t="shared" si="743"/>
        <v>NO APLICA</v>
      </c>
      <c r="FE213" s="2"/>
      <c r="FF213" s="4"/>
      <c r="FG213" s="4"/>
      <c r="FH213" s="8"/>
      <c r="FI213" s="5" t="str">
        <f t="shared" si="744"/>
        <v>NO APLICA</v>
      </c>
      <c r="FJ213" s="3"/>
      <c r="FK213" s="4"/>
      <c r="FL213" s="4"/>
      <c r="FM213" s="8"/>
      <c r="FN213" s="5" t="str">
        <f t="shared" si="745"/>
        <v>NO APLICA</v>
      </c>
      <c r="FO213" s="3"/>
      <c r="FP213" s="4"/>
      <c r="FQ213" s="4"/>
      <c r="FR213" s="8"/>
      <c r="FS213" s="5" t="str">
        <f t="shared" si="746"/>
        <v>NO APLICA</v>
      </c>
      <c r="FT213" s="3"/>
      <c r="FU213" s="4"/>
      <c r="FV213" s="4"/>
      <c r="FW213" s="8"/>
      <c r="FX213" s="5" t="str">
        <f t="shared" si="747"/>
        <v>NO APLICA</v>
      </c>
      <c r="FY213" s="3"/>
      <c r="FZ213" s="4"/>
      <c r="GA213" s="4"/>
      <c r="GB213" s="8"/>
      <c r="GC213" s="5" t="str">
        <f t="shared" si="748"/>
        <v>NO APLICA</v>
      </c>
      <c r="GD213" s="3"/>
      <c r="GE213" s="4"/>
      <c r="GF213" s="4"/>
      <c r="GG213" s="8"/>
      <c r="GH213" s="5" t="str">
        <f t="shared" si="749"/>
        <v>NO APLICA</v>
      </c>
      <c r="GI213" s="3"/>
      <c r="GJ213" s="4"/>
      <c r="GK213" s="4"/>
      <c r="GL213" s="8"/>
      <c r="GM213" s="5" t="str">
        <f t="shared" si="750"/>
        <v>NO APLICA</v>
      </c>
      <c r="GN213" s="4"/>
      <c r="GO213" s="4"/>
      <c r="GP213" s="4"/>
      <c r="GQ213" s="8"/>
      <c r="GR213" s="5" t="str">
        <f t="shared" si="630"/>
        <v>NO APLICA</v>
      </c>
      <c r="GS213" s="3"/>
      <c r="GT213" s="4"/>
      <c r="GU213" s="4"/>
      <c r="GV213" s="8"/>
      <c r="GW213" s="5" t="str">
        <f t="shared" si="631"/>
        <v>NO APLICA</v>
      </c>
      <c r="GX213" s="2"/>
      <c r="GY213" s="4"/>
      <c r="GZ213" s="4"/>
      <c r="HA213" s="8"/>
      <c r="HB213" s="5" t="str">
        <f t="shared" si="632"/>
        <v>NO APLICA</v>
      </c>
      <c r="HC213" s="6"/>
      <c r="HD213" s="6"/>
      <c r="HE213" s="4"/>
      <c r="HF213" s="8"/>
      <c r="HG213" s="5" t="str">
        <f t="shared" si="718"/>
        <v>NO APLICA</v>
      </c>
      <c r="HH213" s="2"/>
      <c r="HI213" s="6"/>
      <c r="HJ213" s="4"/>
      <c r="HK213" s="8"/>
      <c r="HL213" s="5" t="str">
        <f t="shared" si="714"/>
        <v>NO APLICA</v>
      </c>
      <c r="HM213" s="2"/>
      <c r="HN213" s="2"/>
      <c r="HO213" s="4"/>
      <c r="HP213" s="2"/>
      <c r="HQ213" s="5" t="str">
        <f t="shared" si="751"/>
        <v>NO APLICA</v>
      </c>
      <c r="HR213" s="2"/>
      <c r="HS213" s="6"/>
      <c r="HT213" s="4"/>
      <c r="HU213" s="8"/>
      <c r="HV213" s="5" t="str">
        <f t="shared" si="752"/>
        <v>NO APLICA</v>
      </c>
      <c r="HW213" s="2"/>
      <c r="HX213" s="6"/>
      <c r="HY213" s="4"/>
      <c r="HZ213" s="8"/>
      <c r="IA213" s="5" t="str">
        <f t="shared" si="753"/>
        <v>NO APLICA</v>
      </c>
      <c r="IB213" s="2"/>
      <c r="IC213" s="6"/>
      <c r="ID213" s="4"/>
      <c r="IE213" s="8"/>
      <c r="IF213" s="5" t="str">
        <f t="shared" si="754"/>
        <v>NO APLICA</v>
      </c>
      <c r="IG213" s="6"/>
      <c r="IH213" s="6"/>
      <c r="II213" s="4"/>
      <c r="IJ213" s="8"/>
      <c r="IK213" s="5" t="str">
        <f t="shared" si="755"/>
        <v>NO APLICA</v>
      </c>
      <c r="IL213" s="2"/>
      <c r="IM213" s="6"/>
      <c r="IN213" s="4"/>
      <c r="IO213" s="8"/>
      <c r="IP213" s="5" t="str">
        <f t="shared" si="756"/>
        <v>NO APLICA</v>
      </c>
      <c r="IQ213" s="2"/>
      <c r="IR213" s="6"/>
      <c r="IS213" s="4"/>
      <c r="IT213" s="8"/>
      <c r="IU213" s="5" t="str">
        <f t="shared" si="757"/>
        <v>NO APLICA</v>
      </c>
      <c r="IV213" s="2"/>
      <c r="IW213" s="6"/>
      <c r="IX213" s="4"/>
      <c r="IY213" s="8"/>
      <c r="IZ213" s="5" t="str">
        <f t="shared" si="758"/>
        <v>NO APLICA</v>
      </c>
      <c r="JA213" s="3"/>
      <c r="JB213" s="3"/>
      <c r="JC213" s="4"/>
      <c r="JD213" s="8"/>
      <c r="JE213" s="5" t="str">
        <f t="shared" si="759"/>
        <v>NO APLICA</v>
      </c>
      <c r="JF213" s="6"/>
      <c r="JG213" s="6"/>
      <c r="JH213" s="6"/>
      <c r="JI213" s="6"/>
      <c r="JJ213" s="5" t="str">
        <f t="shared" si="760"/>
        <v>NO APLICA</v>
      </c>
      <c r="JK213" s="6"/>
      <c r="JL213" s="6"/>
      <c r="JM213" s="6"/>
      <c r="JN213" s="6"/>
      <c r="JO213" s="5" t="str">
        <f t="shared" si="761"/>
        <v>NO APLICA</v>
      </c>
      <c r="JP213" s="6"/>
      <c r="JQ213" s="6"/>
      <c r="JR213" s="6"/>
      <c r="JS213" s="6"/>
      <c r="JT213" s="5" t="str">
        <f t="shared" si="762"/>
        <v>NO APLICA</v>
      </c>
      <c r="JU213" s="5"/>
      <c r="JV213" s="5"/>
      <c r="JW213" s="5"/>
      <c r="JX213" s="5"/>
      <c r="JY213" s="5" t="str">
        <f t="shared" si="763"/>
        <v>NO APLICA</v>
      </c>
      <c r="JZ213" s="5"/>
      <c r="KA213" s="2"/>
      <c r="KB213" s="4"/>
      <c r="KC213" s="8"/>
      <c r="KD213" s="5" t="str">
        <f t="shared" si="764"/>
        <v>NO APLICA</v>
      </c>
      <c r="KE213" s="5"/>
      <c r="KF213" s="2"/>
      <c r="KG213" s="4"/>
      <c r="KH213" s="8"/>
      <c r="KI213" s="5" t="str">
        <f t="shared" si="784"/>
        <v>NO APLICA</v>
      </c>
      <c r="KJ213" s="5"/>
      <c r="KK213" s="2"/>
      <c r="KL213" s="4"/>
      <c r="KM213" s="8"/>
      <c r="KN213" s="5" t="str">
        <f t="shared" si="765"/>
        <v>NO APLICA</v>
      </c>
      <c r="KO213" s="5"/>
      <c r="KP213" s="2"/>
      <c r="KQ213" s="4"/>
      <c r="KR213" s="8"/>
      <c r="KS213" s="5" t="str">
        <f t="shared" si="785"/>
        <v>NO APLICA</v>
      </c>
      <c r="KT213" s="2"/>
      <c r="KU213" s="6"/>
      <c r="KV213" s="4"/>
      <c r="KW213" s="8"/>
      <c r="KX213" s="5" t="str">
        <f t="shared" si="791"/>
        <v>NO APLICA</v>
      </c>
      <c r="KY213" s="5"/>
      <c r="KZ213" s="6"/>
      <c r="LA213" s="4"/>
      <c r="LB213" s="8"/>
      <c r="LC213" s="5" t="str">
        <f t="shared" si="786"/>
        <v>NO APLICA</v>
      </c>
      <c r="LD213" s="6"/>
      <c r="LE213" s="6"/>
      <c r="LF213" s="4"/>
      <c r="LG213" s="8"/>
      <c r="LH213" s="5" t="str">
        <f t="shared" si="619"/>
        <v>NO APLICA</v>
      </c>
      <c r="LI213" s="5"/>
      <c r="LJ213" s="5"/>
      <c r="LK213" s="4"/>
      <c r="LL213" s="8"/>
      <c r="LM213" s="5" t="str">
        <f t="shared" si="792"/>
        <v>NO APLICA</v>
      </c>
      <c r="LN213" s="2"/>
      <c r="LO213" s="6"/>
      <c r="LP213" s="4"/>
      <c r="LQ213" s="8"/>
      <c r="LR213" s="5" t="str">
        <f t="shared" si="787"/>
        <v>NO APLICA</v>
      </c>
      <c r="LS213" s="6"/>
      <c r="LT213" s="6"/>
      <c r="LU213" s="4"/>
      <c r="LV213" s="8"/>
      <c r="LW213" s="5" t="str">
        <f t="shared" si="788"/>
        <v>NO APLICA</v>
      </c>
      <c r="LX213" s="6"/>
      <c r="LY213" s="6"/>
      <c r="LZ213" s="4"/>
      <c r="MA213" s="8"/>
      <c r="MB213" s="5" t="str">
        <f t="shared" si="789"/>
        <v>NO APLICA</v>
      </c>
      <c r="MC213" s="2"/>
      <c r="MD213" s="2"/>
      <c r="ME213" s="4"/>
      <c r="MF213" s="8"/>
      <c r="MG213" s="5" t="str">
        <f t="shared" si="766"/>
        <v>NO APLICA</v>
      </c>
      <c r="MH213" s="2"/>
      <c r="MI213" s="2"/>
      <c r="MJ213" s="4"/>
      <c r="MK213" s="8"/>
      <c r="ML213" s="5" t="str">
        <f t="shared" si="767"/>
        <v>NO APLICA</v>
      </c>
      <c r="MM213" s="5"/>
      <c r="MN213" s="2"/>
      <c r="MO213" s="4"/>
      <c r="MP213" s="8"/>
      <c r="MQ213" s="5" t="str">
        <f t="shared" si="768"/>
        <v>NO APLICA</v>
      </c>
      <c r="MR213" s="5"/>
      <c r="MS213" s="2"/>
      <c r="MT213" s="4"/>
      <c r="MU213" s="2"/>
      <c r="MV213" s="5" t="str">
        <f t="shared" si="769"/>
        <v>NO APLICA</v>
      </c>
      <c r="MW213" s="2"/>
      <c r="MX213" s="6"/>
      <c r="MY213" s="4"/>
      <c r="MZ213" s="8"/>
      <c r="NA213" s="5" t="str">
        <f t="shared" si="770"/>
        <v>NO APLICA</v>
      </c>
      <c r="NB213" s="2"/>
      <c r="NC213" s="6"/>
      <c r="ND213" s="4"/>
      <c r="NE213" s="8"/>
      <c r="NF213" s="5" t="str">
        <f t="shared" si="771"/>
        <v>NO APLICA</v>
      </c>
      <c r="NG213" s="2"/>
      <c r="NH213" s="6"/>
      <c r="NI213" s="4"/>
      <c r="NJ213" s="8"/>
      <c r="NK213" s="5" t="str">
        <f t="shared" si="772"/>
        <v>NO APLICA</v>
      </c>
      <c r="NL213" s="2"/>
      <c r="NM213" s="2"/>
      <c r="NN213" s="4"/>
      <c r="NO213" s="8"/>
      <c r="NP213" s="5" t="str">
        <f t="shared" si="773"/>
        <v>NO APLICA</v>
      </c>
      <c r="NQ213" s="2"/>
      <c r="NR213" s="2"/>
      <c r="NS213" s="4"/>
      <c r="NT213" s="2"/>
      <c r="NU213" s="5" t="str">
        <f t="shared" si="774"/>
        <v>NO APLICA</v>
      </c>
      <c r="NV213" s="6"/>
      <c r="NW213" s="6"/>
      <c r="NX213" s="4"/>
      <c r="NY213" s="8"/>
      <c r="NZ213" s="5" t="str">
        <f t="shared" si="775"/>
        <v>NO APLICA</v>
      </c>
      <c r="OA213" s="6"/>
      <c r="OB213" s="6"/>
      <c r="OC213" s="6"/>
      <c r="OD213" s="6"/>
      <c r="OE213" s="5" t="str">
        <f t="shared" si="776"/>
        <v>NO APLICA</v>
      </c>
      <c r="OF213" s="6"/>
      <c r="OG213" s="6"/>
      <c r="OH213" s="4"/>
      <c r="OI213" s="8"/>
      <c r="OJ213" s="5" t="str">
        <f t="shared" si="777"/>
        <v>NO APLICA</v>
      </c>
      <c r="OK213" s="6"/>
      <c r="OL213" s="6"/>
      <c r="OM213" s="6"/>
      <c r="ON213" s="6"/>
      <c r="OO213" s="5" t="str">
        <f t="shared" si="778"/>
        <v>NO APLICA</v>
      </c>
      <c r="OP213" s="6"/>
      <c r="OQ213" s="6"/>
      <c r="OR213" s="6"/>
      <c r="OS213" s="6"/>
      <c r="OT213" s="5" t="str">
        <f t="shared" si="779"/>
        <v>NO APLICA</v>
      </c>
      <c r="OU213" s="6"/>
      <c r="OV213" s="6"/>
      <c r="OW213" s="6"/>
      <c r="OX213" s="6"/>
      <c r="OY213" s="5" t="str">
        <f t="shared" si="793"/>
        <v>NO APLICA</v>
      </c>
      <c r="OZ213" s="6"/>
      <c r="PA213" s="6"/>
      <c r="PB213" s="6"/>
      <c r="PC213" s="6"/>
      <c r="PD213" s="5" t="str">
        <f t="shared" si="780"/>
        <v>NO APLICA</v>
      </c>
      <c r="PE213" s="6"/>
      <c r="PF213" s="6"/>
      <c r="PG213" s="6"/>
      <c r="PH213" s="6"/>
      <c r="PI213" s="5" t="str">
        <f t="shared" si="781"/>
        <v>NO APLICA</v>
      </c>
      <c r="PJ213" s="5"/>
      <c r="PK213" s="4">
        <v>44627</v>
      </c>
      <c r="PL213" s="4">
        <f>DATE(YEAR(PK213)+5,MONTH(PK213),DAY(PK213))</f>
        <v>46453</v>
      </c>
      <c r="PM213" s="8">
        <f ca="1">PL213-TODAY()</f>
        <v>319</v>
      </c>
      <c r="PN213" s="5" t="str">
        <f ca="1">IF(PM213&gt;=61,"VIGENTE",IF(PM213&gt;=1,"POR VENCER",IF(PM213&lt;=-1,"VENCIDA",IF(PK213=0,"NO APLICA"))))</f>
        <v>VIGENTE</v>
      </c>
      <c r="PO213" s="6"/>
      <c r="PP213" s="6"/>
      <c r="PQ213" s="6"/>
      <c r="PR213" s="6"/>
      <c r="PS213" s="5" t="str">
        <f t="shared" si="782"/>
        <v>NO APLICA</v>
      </c>
      <c r="PT213" s="5"/>
      <c r="PU213" s="6"/>
      <c r="PV213" s="6"/>
      <c r="PW213" s="6"/>
      <c r="PX213" s="5" t="str">
        <f t="shared" si="783"/>
        <v>NO APLICA</v>
      </c>
    </row>
    <row r="214" spans="1:440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6"/>
      <c r="V214" s="4"/>
      <c r="W214" s="4"/>
      <c r="X214" s="8"/>
      <c r="Y214" s="5" t="str">
        <f t="shared" si="624"/>
        <v>NO APLICA</v>
      </c>
      <c r="Z214" s="6"/>
      <c r="AA214" s="6"/>
      <c r="AB214" s="6"/>
      <c r="AC214" s="6"/>
      <c r="AD214" s="5" t="str">
        <f t="shared" si="627"/>
        <v>NO APLICA</v>
      </c>
      <c r="AE214" s="4"/>
      <c r="AF214" s="4"/>
      <c r="AG214" s="4"/>
      <c r="AH214" s="6"/>
      <c r="AI214" s="5" t="str">
        <f t="shared" si="621"/>
        <v>NO APLICA</v>
      </c>
      <c r="AJ214" s="4"/>
      <c r="AK214" s="4"/>
      <c r="AL214" s="4"/>
      <c r="AM214" s="6"/>
      <c r="AN214" s="5" t="str">
        <f t="shared" si="720"/>
        <v>NO APLICA</v>
      </c>
      <c r="AO214" s="4"/>
      <c r="AP214" s="4"/>
      <c r="AQ214" s="4"/>
      <c r="AR214" s="6"/>
      <c r="AS214" s="5" t="str">
        <f t="shared" si="721"/>
        <v>NO APLICA</v>
      </c>
      <c r="AT214" s="4"/>
      <c r="AU214" s="4"/>
      <c r="AV214" s="4"/>
      <c r="AW214" s="6"/>
      <c r="AX214" s="5" t="str">
        <f t="shared" si="722"/>
        <v>NO APLICA</v>
      </c>
      <c r="AY214" s="4"/>
      <c r="AZ214" s="4"/>
      <c r="BA214" s="4"/>
      <c r="BB214" s="6"/>
      <c r="BC214" s="5" t="str">
        <f t="shared" si="723"/>
        <v>NO APLICA</v>
      </c>
      <c r="BD214" s="4"/>
      <c r="BE214" s="4"/>
      <c r="BF214" s="4"/>
      <c r="BG214" s="6"/>
      <c r="BH214" s="5" t="str">
        <f t="shared" si="724"/>
        <v>NO APLICA</v>
      </c>
      <c r="BI214" s="4"/>
      <c r="BJ214" s="4"/>
      <c r="BK214" s="4"/>
      <c r="BL214" s="6"/>
      <c r="BM214" s="5" t="str">
        <f t="shared" si="725"/>
        <v>NO APLICA</v>
      </c>
      <c r="BN214" s="4"/>
      <c r="BO214" s="4"/>
      <c r="BP214" s="4"/>
      <c r="BQ214" s="6"/>
      <c r="BR214" s="5" t="str">
        <f t="shared" si="726"/>
        <v>NO APLICA</v>
      </c>
      <c r="BS214" s="4"/>
      <c r="BT214" s="4"/>
      <c r="BU214" s="4"/>
      <c r="BV214" s="6"/>
      <c r="BW214" s="5" t="str">
        <f t="shared" si="727"/>
        <v>NO APLICA</v>
      </c>
      <c r="BX214" s="4"/>
      <c r="BY214" s="4"/>
      <c r="BZ214" s="4"/>
      <c r="CA214" s="6"/>
      <c r="CB214" s="5" t="str">
        <f t="shared" si="728"/>
        <v>NO APLICA</v>
      </c>
      <c r="CC214" s="6"/>
      <c r="CD214" s="6"/>
      <c r="CE214" s="6"/>
      <c r="CF214" s="6"/>
      <c r="CG214" s="5" t="str">
        <f t="shared" si="794"/>
        <v>NO APLICA</v>
      </c>
      <c r="CH214" s="4"/>
      <c r="CI214" s="4"/>
      <c r="CJ214" s="4"/>
      <c r="CK214" s="6"/>
      <c r="CL214" s="5" t="str">
        <f t="shared" si="729"/>
        <v>NO APLICA</v>
      </c>
      <c r="CM214" s="4"/>
      <c r="CN214" s="4"/>
      <c r="CO214" s="4"/>
      <c r="CP214" s="6"/>
      <c r="CQ214" s="5" t="str">
        <f t="shared" si="730"/>
        <v>NO APLICA</v>
      </c>
      <c r="CR214" s="4"/>
      <c r="CS214" s="4"/>
      <c r="CT214" s="4"/>
      <c r="CU214" s="6"/>
      <c r="CV214" s="5" t="str">
        <f t="shared" si="731"/>
        <v>NO APLICA</v>
      </c>
      <c r="CW214" s="4"/>
      <c r="CX214" s="4"/>
      <c r="CY214" s="4"/>
      <c r="CZ214" s="6"/>
      <c r="DA214" s="5" t="str">
        <f t="shared" si="732"/>
        <v>NO APLICA</v>
      </c>
      <c r="DB214" s="4"/>
      <c r="DC214" s="4"/>
      <c r="DD214" s="4"/>
      <c r="DE214" s="6"/>
      <c r="DF214" s="5" t="str">
        <f t="shared" si="733"/>
        <v>NO APLICA</v>
      </c>
      <c r="DG214" s="4"/>
      <c r="DH214" s="4"/>
      <c r="DI214" s="4"/>
      <c r="DJ214" s="6"/>
      <c r="DK214" s="5" t="str">
        <f t="shared" si="734"/>
        <v>NO APLICA</v>
      </c>
      <c r="DL214" s="4"/>
      <c r="DM214" s="4"/>
      <c r="DN214" s="4"/>
      <c r="DO214" s="6"/>
      <c r="DP214" s="5" t="str">
        <f t="shared" si="735"/>
        <v>NO APLICA</v>
      </c>
      <c r="DQ214" s="4"/>
      <c r="DR214" s="4"/>
      <c r="DS214" s="4"/>
      <c r="DT214" s="6"/>
      <c r="DU214" s="5" t="str">
        <f t="shared" si="736"/>
        <v>NO APLICA</v>
      </c>
      <c r="DV214" s="4"/>
      <c r="DW214" s="4"/>
      <c r="DX214" s="4"/>
      <c r="DY214" s="6"/>
      <c r="DZ214" s="5" t="str">
        <f t="shared" si="737"/>
        <v>NO APLICA</v>
      </c>
      <c r="EA214" s="4"/>
      <c r="EB214" s="4"/>
      <c r="EC214" s="4"/>
      <c r="ED214" s="6"/>
      <c r="EE214" s="5" t="str">
        <f t="shared" si="738"/>
        <v>NO APLICA</v>
      </c>
      <c r="EF214" s="4"/>
      <c r="EG214" s="4"/>
      <c r="EH214" s="4"/>
      <c r="EI214" s="8"/>
      <c r="EJ214" s="5" t="str">
        <f t="shared" si="739"/>
        <v>NO APLICA</v>
      </c>
      <c r="EK214" s="4"/>
      <c r="EL214" s="4"/>
      <c r="EM214" s="4"/>
      <c r="EN214" s="8"/>
      <c r="EO214" s="5" t="str">
        <f t="shared" si="740"/>
        <v>NO APLICA</v>
      </c>
      <c r="EP214" s="4"/>
      <c r="EQ214" s="4"/>
      <c r="ER214" s="4"/>
      <c r="ES214" s="8"/>
      <c r="ET214" s="5" t="str">
        <f t="shared" si="741"/>
        <v>NO APLICA</v>
      </c>
      <c r="EU214" s="4"/>
      <c r="EV214" s="4"/>
      <c r="EW214" s="4"/>
      <c r="EX214" s="6"/>
      <c r="EY214" s="5" t="str">
        <f t="shared" si="742"/>
        <v>NO APLICA</v>
      </c>
      <c r="EZ214" s="4"/>
      <c r="FA214" s="4"/>
      <c r="FB214" s="4"/>
      <c r="FC214" s="6"/>
      <c r="FD214" s="5" t="str">
        <f t="shared" si="743"/>
        <v>NO APLICA</v>
      </c>
      <c r="FE214" s="4"/>
      <c r="FF214" s="4"/>
      <c r="FG214" s="4"/>
      <c r="FH214" s="6"/>
      <c r="FI214" s="5" t="str">
        <f t="shared" si="744"/>
        <v>NO APLICA</v>
      </c>
      <c r="FJ214" s="4"/>
      <c r="FK214" s="4"/>
      <c r="FL214" s="4"/>
      <c r="FM214" s="6"/>
      <c r="FN214" s="5" t="str">
        <f t="shared" si="745"/>
        <v>NO APLICA</v>
      </c>
      <c r="FO214" s="4"/>
      <c r="FP214" s="4"/>
      <c r="FQ214" s="4"/>
      <c r="FR214" s="6"/>
      <c r="FS214" s="5" t="str">
        <f t="shared" si="746"/>
        <v>NO APLICA</v>
      </c>
      <c r="FT214" s="4"/>
      <c r="FU214" s="4"/>
      <c r="FV214" s="4"/>
      <c r="FW214" s="6"/>
      <c r="FX214" s="5" t="str">
        <f t="shared" si="747"/>
        <v>NO APLICA</v>
      </c>
      <c r="FY214" s="4"/>
      <c r="FZ214" s="4"/>
      <c r="GA214" s="4"/>
      <c r="GB214" s="6"/>
      <c r="GC214" s="5" t="str">
        <f t="shared" si="748"/>
        <v>NO APLICA</v>
      </c>
      <c r="GD214" s="4"/>
      <c r="GE214" s="4"/>
      <c r="GF214" s="4"/>
      <c r="GG214" s="8"/>
      <c r="GH214" s="5" t="str">
        <f t="shared" si="749"/>
        <v>NO APLICA</v>
      </c>
      <c r="GI214" s="4"/>
      <c r="GJ214" s="6"/>
      <c r="GK214" s="6"/>
      <c r="GL214" s="6"/>
      <c r="GM214" s="5" t="str">
        <f t="shared" si="750"/>
        <v>NO APLICA</v>
      </c>
      <c r="GN214" s="4"/>
      <c r="GO214" s="6"/>
      <c r="GP214" s="6"/>
      <c r="GQ214" s="6"/>
      <c r="GR214" s="5" t="str">
        <f t="shared" si="630"/>
        <v>NO APLICA</v>
      </c>
      <c r="GS214" s="4"/>
      <c r="GT214" s="6"/>
      <c r="GU214" s="6"/>
      <c r="GV214" s="6"/>
      <c r="GW214" s="5" t="str">
        <f t="shared" si="631"/>
        <v>NO APLICA</v>
      </c>
      <c r="GX214" s="6"/>
      <c r="GY214" s="6"/>
      <c r="GZ214" s="6"/>
      <c r="HA214" s="6"/>
      <c r="HB214" s="5" t="str">
        <f t="shared" si="632"/>
        <v>NO APLICA</v>
      </c>
      <c r="HC214" s="6"/>
      <c r="HD214" s="6"/>
      <c r="HE214" s="4"/>
      <c r="HF214" s="8"/>
      <c r="HG214" s="5" t="str">
        <f t="shared" si="718"/>
        <v>NO APLICA</v>
      </c>
      <c r="HH214" s="6"/>
      <c r="HI214" s="6"/>
      <c r="HJ214" s="6"/>
      <c r="HK214" s="6"/>
      <c r="HL214" s="5" t="str">
        <f t="shared" si="714"/>
        <v>NO APLICA</v>
      </c>
      <c r="HM214" s="6"/>
      <c r="HN214" s="6"/>
      <c r="HO214" s="6"/>
      <c r="HP214" s="6"/>
      <c r="HQ214" s="5" t="str">
        <f t="shared" si="751"/>
        <v>NO APLICA</v>
      </c>
      <c r="HR214" s="6"/>
      <c r="HS214" s="6"/>
      <c r="HT214" s="6"/>
      <c r="HU214" s="6"/>
      <c r="HV214" s="5" t="str">
        <f t="shared" si="752"/>
        <v>NO APLICA</v>
      </c>
      <c r="HW214" s="6"/>
      <c r="HX214" s="6"/>
      <c r="HY214" s="6"/>
      <c r="HZ214" s="6"/>
      <c r="IA214" s="5" t="str">
        <f t="shared" si="753"/>
        <v>NO APLICA</v>
      </c>
      <c r="IB214" s="6"/>
      <c r="IC214" s="6"/>
      <c r="ID214" s="6"/>
      <c r="IE214" s="6"/>
      <c r="IF214" s="5" t="str">
        <f t="shared" si="754"/>
        <v>NO APLICA</v>
      </c>
      <c r="IG214" s="6"/>
      <c r="IH214" s="6"/>
      <c r="II214" s="6"/>
      <c r="IJ214" s="6"/>
      <c r="IK214" s="5" t="str">
        <f t="shared" si="755"/>
        <v>NO APLICA</v>
      </c>
      <c r="IL214" s="6"/>
      <c r="IM214" s="6"/>
      <c r="IN214" s="6"/>
      <c r="IO214" s="6"/>
      <c r="IP214" s="5" t="str">
        <f t="shared" si="756"/>
        <v>NO APLICA</v>
      </c>
      <c r="IQ214" s="6"/>
      <c r="IR214" s="6"/>
      <c r="IS214" s="6"/>
      <c r="IT214" s="6"/>
      <c r="IU214" s="5" t="str">
        <f t="shared" si="757"/>
        <v>NO APLICA</v>
      </c>
      <c r="IV214" s="6"/>
      <c r="IW214" s="6"/>
      <c r="IX214" s="6"/>
      <c r="IY214" s="6"/>
      <c r="IZ214" s="5" t="str">
        <f t="shared" si="758"/>
        <v>NO APLICA</v>
      </c>
      <c r="JA214" s="6"/>
      <c r="JB214" s="6"/>
      <c r="JC214" s="6"/>
      <c r="JD214" s="6"/>
      <c r="JE214" s="5" t="str">
        <f t="shared" si="759"/>
        <v>NO APLICA</v>
      </c>
      <c r="JF214" s="6"/>
      <c r="JG214" s="6"/>
      <c r="JH214" s="6"/>
      <c r="JI214" s="6"/>
      <c r="JJ214" s="5" t="str">
        <f t="shared" si="760"/>
        <v>NO APLICA</v>
      </c>
      <c r="JK214" s="6"/>
      <c r="JL214" s="6"/>
      <c r="JM214" s="6"/>
      <c r="JN214" s="6"/>
      <c r="JO214" s="5" t="str">
        <f t="shared" si="761"/>
        <v>NO APLICA</v>
      </c>
      <c r="JP214" s="6"/>
      <c r="JQ214" s="6"/>
      <c r="JR214" s="6"/>
      <c r="JS214" s="6"/>
      <c r="JT214" s="5" t="str">
        <f t="shared" si="762"/>
        <v>NO APLICA</v>
      </c>
      <c r="JU214" s="5"/>
      <c r="JV214" s="5"/>
      <c r="JW214" s="5"/>
      <c r="JX214" s="5"/>
      <c r="JY214" s="5" t="str">
        <f t="shared" si="763"/>
        <v>NO APLICA</v>
      </c>
      <c r="JZ214" s="5"/>
      <c r="KA214" s="6"/>
      <c r="KB214" s="6"/>
      <c r="KC214" s="6"/>
      <c r="KD214" s="5" t="str">
        <f t="shared" si="764"/>
        <v>NO APLICA</v>
      </c>
      <c r="KE214" s="5"/>
      <c r="KF214" s="6"/>
      <c r="KG214" s="6"/>
      <c r="KH214" s="6"/>
      <c r="KI214" s="5" t="str">
        <f t="shared" si="784"/>
        <v>NO APLICA</v>
      </c>
      <c r="KJ214" s="5"/>
      <c r="KK214" s="6"/>
      <c r="KL214" s="6"/>
      <c r="KM214" s="6"/>
      <c r="KN214" s="5" t="str">
        <f t="shared" si="765"/>
        <v>NO APLICA</v>
      </c>
      <c r="KO214" s="5"/>
      <c r="KP214" s="6"/>
      <c r="KQ214" s="6"/>
      <c r="KR214" s="6"/>
      <c r="KS214" s="5" t="str">
        <f t="shared" si="785"/>
        <v>NO APLICA</v>
      </c>
      <c r="KT214" s="6"/>
      <c r="KU214" s="6"/>
      <c r="KV214" s="6"/>
      <c r="KW214" s="6"/>
      <c r="KX214" s="5" t="str">
        <f t="shared" si="791"/>
        <v>NO APLICA</v>
      </c>
      <c r="KY214" s="5"/>
      <c r="KZ214" s="6"/>
      <c r="LA214" s="6"/>
      <c r="LB214" s="6"/>
      <c r="LC214" s="5" t="str">
        <f t="shared" si="786"/>
        <v>NO APLICA</v>
      </c>
      <c r="LD214" s="6"/>
      <c r="LE214" s="6"/>
      <c r="LF214" s="6"/>
      <c r="LG214" s="6"/>
      <c r="LH214" s="5" t="str">
        <f t="shared" si="619"/>
        <v>NO APLICA</v>
      </c>
      <c r="LI214" s="5"/>
      <c r="LJ214" s="5"/>
      <c r="LK214" s="4"/>
      <c r="LL214" s="8"/>
      <c r="LM214" s="5" t="str">
        <f t="shared" si="792"/>
        <v>NO APLICA</v>
      </c>
      <c r="LN214" s="6"/>
      <c r="LO214" s="6"/>
      <c r="LP214" s="6"/>
      <c r="LQ214" s="6"/>
      <c r="LR214" s="5" t="str">
        <f t="shared" si="787"/>
        <v>NO APLICA</v>
      </c>
      <c r="LS214" s="6"/>
      <c r="LT214" s="6"/>
      <c r="LU214" s="6"/>
      <c r="LV214" s="6"/>
      <c r="LW214" s="5" t="str">
        <f t="shared" si="788"/>
        <v>NO APLICA</v>
      </c>
      <c r="LX214" s="6"/>
      <c r="LY214" s="6"/>
      <c r="LZ214" s="6"/>
      <c r="MA214" s="6"/>
      <c r="MB214" s="5" t="str">
        <f t="shared" si="789"/>
        <v>NO APLICA</v>
      </c>
      <c r="MC214" s="6"/>
      <c r="MD214" s="6"/>
      <c r="ME214" s="6"/>
      <c r="MF214" s="6"/>
      <c r="MG214" s="5" t="str">
        <f t="shared" si="766"/>
        <v>NO APLICA</v>
      </c>
      <c r="MH214" s="6"/>
      <c r="MI214" s="6"/>
      <c r="MJ214" s="6"/>
      <c r="MK214" s="6"/>
      <c r="ML214" s="5" t="str">
        <f t="shared" si="767"/>
        <v>NO APLICA</v>
      </c>
      <c r="MM214" s="5"/>
      <c r="MN214" s="6"/>
      <c r="MO214" s="6"/>
      <c r="MP214" s="6"/>
      <c r="MQ214" s="5" t="str">
        <f t="shared" si="768"/>
        <v>NO APLICA</v>
      </c>
      <c r="MR214" s="5"/>
      <c r="MS214" s="6"/>
      <c r="MT214" s="6"/>
      <c r="MU214" s="6"/>
      <c r="MV214" s="5" t="str">
        <f t="shared" si="769"/>
        <v>NO APLICA</v>
      </c>
      <c r="MW214" s="6"/>
      <c r="MX214" s="6"/>
      <c r="MY214" s="6"/>
      <c r="MZ214" s="6"/>
      <c r="NA214" s="5" t="str">
        <f t="shared" si="770"/>
        <v>NO APLICA</v>
      </c>
      <c r="NB214" s="6"/>
      <c r="NC214" s="6"/>
      <c r="ND214" s="6"/>
      <c r="NE214" s="6"/>
      <c r="NF214" s="5" t="str">
        <f t="shared" si="771"/>
        <v>NO APLICA</v>
      </c>
      <c r="NG214" s="6"/>
      <c r="NH214" s="6"/>
      <c r="NI214" s="6"/>
      <c r="NJ214" s="6"/>
      <c r="NK214" s="5" t="str">
        <f t="shared" si="772"/>
        <v>NO APLICA</v>
      </c>
      <c r="NL214" s="6"/>
      <c r="NM214" s="6"/>
      <c r="NN214" s="6"/>
      <c r="NO214" s="6"/>
      <c r="NP214" s="5" t="str">
        <f t="shared" si="773"/>
        <v>NO APLICA</v>
      </c>
      <c r="NQ214" s="6"/>
      <c r="NR214" s="6"/>
      <c r="NS214" s="6"/>
      <c r="NT214" s="6"/>
      <c r="NU214" s="5" t="str">
        <f t="shared" si="774"/>
        <v>NO APLICA</v>
      </c>
      <c r="NV214" s="6"/>
      <c r="NW214" s="6"/>
      <c r="NX214" s="6"/>
      <c r="NY214" s="6"/>
      <c r="NZ214" s="5" t="str">
        <f t="shared" si="775"/>
        <v>NO APLICA</v>
      </c>
      <c r="OA214" s="6"/>
      <c r="OB214" s="6"/>
      <c r="OC214" s="6"/>
      <c r="OD214" s="6"/>
      <c r="OE214" s="5" t="str">
        <f t="shared" si="776"/>
        <v>NO APLICA</v>
      </c>
      <c r="OF214" s="6"/>
      <c r="OG214" s="6"/>
      <c r="OH214" s="6"/>
      <c r="OI214" s="6"/>
      <c r="OJ214" s="5" t="str">
        <f t="shared" si="777"/>
        <v>NO APLICA</v>
      </c>
      <c r="OK214" s="6"/>
      <c r="OL214" s="6"/>
      <c r="OM214" s="6"/>
      <c r="ON214" s="6"/>
      <c r="OO214" s="5" t="str">
        <f t="shared" si="778"/>
        <v>NO APLICA</v>
      </c>
      <c r="OP214" s="6"/>
      <c r="OQ214" s="6"/>
      <c r="OR214" s="6"/>
      <c r="OS214" s="6"/>
      <c r="OT214" s="5" t="str">
        <f t="shared" si="779"/>
        <v>NO APLICA</v>
      </c>
      <c r="OU214" s="6"/>
      <c r="OV214" s="6"/>
      <c r="OW214" s="6"/>
      <c r="OX214" s="6"/>
      <c r="OY214" s="5" t="str">
        <f t="shared" si="793"/>
        <v>NO APLICA</v>
      </c>
      <c r="OZ214" s="6"/>
      <c r="PA214" s="6"/>
      <c r="PB214" s="6"/>
      <c r="PC214" s="6"/>
      <c r="PD214" s="5" t="str">
        <f t="shared" si="780"/>
        <v>NO APLICA</v>
      </c>
      <c r="PE214" s="6"/>
      <c r="PF214" s="6"/>
      <c r="PG214" s="6"/>
      <c r="PH214" s="6"/>
      <c r="PI214" s="5" t="str">
        <f t="shared" si="781"/>
        <v>NO APLICA</v>
      </c>
      <c r="PJ214" s="5"/>
      <c r="PK214" s="6"/>
      <c r="PL214" s="6"/>
      <c r="PM214" s="6"/>
      <c r="PN214" s="5" t="str">
        <f t="shared" si="790"/>
        <v>NO APLICA</v>
      </c>
      <c r="PO214" s="6"/>
      <c r="PP214" s="6"/>
      <c r="PQ214" s="6"/>
      <c r="PR214" s="6"/>
      <c r="PS214" s="5" t="str">
        <f t="shared" si="782"/>
        <v>NO APLICA</v>
      </c>
      <c r="PT214" s="5"/>
      <c r="PU214" s="6"/>
      <c r="PV214" s="6"/>
      <c r="PW214" s="6"/>
      <c r="PX214" s="5" t="str">
        <f t="shared" si="783"/>
        <v>NO APLICA</v>
      </c>
    </row>
    <row r="215" spans="1:440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6"/>
      <c r="V215" s="4">
        <v>44772</v>
      </c>
      <c r="W215" s="4">
        <f>DATE(YEAR(V215)+5,MONTH(V215),DAY(V215))</f>
        <v>46598</v>
      </c>
      <c r="X215" s="8">
        <f ca="1">W215-TODAY()</f>
        <v>464</v>
      </c>
      <c r="Y215" s="5" t="str">
        <f t="shared" ca="1" si="624"/>
        <v>VIGENTE</v>
      </c>
      <c r="Z215" s="6" t="s">
        <v>659</v>
      </c>
      <c r="AA215" s="4">
        <v>44988</v>
      </c>
      <c r="AB215" s="4">
        <f>DATE(YEAR(AA215)+5,MONTH(AA215),DAY(AA215))</f>
        <v>46815</v>
      </c>
      <c r="AC215" s="8">
        <f ca="1">AB215-TODAY()</f>
        <v>681</v>
      </c>
      <c r="AD215" s="5" t="str">
        <f t="shared" ca="1" si="627"/>
        <v>VIGENTE</v>
      </c>
      <c r="AE215" s="4"/>
      <c r="AF215" s="4"/>
      <c r="AG215" s="4"/>
      <c r="AH215" s="6"/>
      <c r="AI215" s="5" t="str">
        <f t="shared" si="621"/>
        <v>NO APLICA</v>
      </c>
      <c r="AJ215" s="4"/>
      <c r="AK215" s="4"/>
      <c r="AL215" s="4"/>
      <c r="AM215" s="6"/>
      <c r="AN215" s="5" t="str">
        <f t="shared" si="720"/>
        <v>NO APLICA</v>
      </c>
      <c r="AO215" s="4"/>
      <c r="AP215" s="4"/>
      <c r="AQ215" s="4"/>
      <c r="AR215" s="6"/>
      <c r="AS215" s="5" t="str">
        <f t="shared" si="721"/>
        <v>NO APLICA</v>
      </c>
      <c r="AT215" s="4"/>
      <c r="AU215" s="4"/>
      <c r="AV215" s="4"/>
      <c r="AW215" s="6"/>
      <c r="AX215" s="5" t="str">
        <f t="shared" si="722"/>
        <v>NO APLICA</v>
      </c>
      <c r="AY215" s="4"/>
      <c r="AZ215" s="4"/>
      <c r="BA215" s="4"/>
      <c r="BB215" s="6"/>
      <c r="BC215" s="5" t="str">
        <f t="shared" si="723"/>
        <v>NO APLICA</v>
      </c>
      <c r="BD215" s="4"/>
      <c r="BE215" s="4"/>
      <c r="BF215" s="4"/>
      <c r="BG215" s="6"/>
      <c r="BH215" s="5" t="str">
        <f t="shared" si="724"/>
        <v>NO APLICA</v>
      </c>
      <c r="BI215" s="4"/>
      <c r="BJ215" s="4"/>
      <c r="BK215" s="4"/>
      <c r="BL215" s="6"/>
      <c r="BM215" s="5" t="str">
        <f t="shared" si="725"/>
        <v>NO APLICA</v>
      </c>
      <c r="BN215" s="4"/>
      <c r="BO215" s="4"/>
      <c r="BP215" s="4"/>
      <c r="BQ215" s="6"/>
      <c r="BR215" s="5" t="str">
        <f t="shared" si="726"/>
        <v>NO APLICA</v>
      </c>
      <c r="BS215" s="4"/>
      <c r="BT215" s="4"/>
      <c r="BU215" s="4"/>
      <c r="BV215" s="6"/>
      <c r="BW215" s="5" t="str">
        <f t="shared" si="727"/>
        <v>NO APLICA</v>
      </c>
      <c r="BX215" s="4"/>
      <c r="BY215" s="4"/>
      <c r="BZ215" s="4"/>
      <c r="CA215" s="6"/>
      <c r="CB215" s="5" t="str">
        <f t="shared" si="728"/>
        <v>NO APLICA</v>
      </c>
      <c r="CC215" s="6" t="s">
        <v>146</v>
      </c>
      <c r="CD215" s="4">
        <v>44775</v>
      </c>
      <c r="CE215" s="4">
        <f>DATE(YEAR(CD215)+4,MONTH(CD215),DAY(CD215))</f>
        <v>46236</v>
      </c>
      <c r="CF215" s="8">
        <f ca="1">CE215-TODAY()</f>
        <v>102</v>
      </c>
      <c r="CG215" s="5" t="str">
        <f ca="1">IF(CF215&gt;=90,"VIGENTE",IF(CF215&gt;=1,"POR VENCER",IF(CF215&lt;=-1,"VENCIDA",IF(CF215=0,"NO APLICA"))))</f>
        <v>VIGENTE</v>
      </c>
      <c r="CH215" s="4"/>
      <c r="CI215" s="4"/>
      <c r="CJ215" s="4"/>
      <c r="CK215" s="6"/>
      <c r="CL215" s="5" t="str">
        <f t="shared" si="729"/>
        <v>NO APLICA</v>
      </c>
      <c r="CM215" s="4"/>
      <c r="CN215" s="4"/>
      <c r="CO215" s="4"/>
      <c r="CP215" s="6"/>
      <c r="CQ215" s="5" t="str">
        <f t="shared" si="730"/>
        <v>NO APLICA</v>
      </c>
      <c r="CR215" s="4"/>
      <c r="CS215" s="4"/>
      <c r="CT215" s="4"/>
      <c r="CU215" s="6"/>
      <c r="CV215" s="5" t="str">
        <f t="shared" si="731"/>
        <v>NO APLICA</v>
      </c>
      <c r="CW215" s="4"/>
      <c r="CX215" s="4"/>
      <c r="CY215" s="4"/>
      <c r="CZ215" s="6"/>
      <c r="DA215" s="5" t="str">
        <f t="shared" si="732"/>
        <v>NO APLICA</v>
      </c>
      <c r="DB215" s="4"/>
      <c r="DC215" s="4"/>
      <c r="DD215" s="4"/>
      <c r="DE215" s="6"/>
      <c r="DF215" s="5" t="str">
        <f t="shared" si="733"/>
        <v>NO APLICA</v>
      </c>
      <c r="DG215" s="4"/>
      <c r="DH215" s="4"/>
      <c r="DI215" s="4"/>
      <c r="DJ215" s="6"/>
      <c r="DK215" s="5" t="str">
        <f t="shared" si="734"/>
        <v>NO APLICA</v>
      </c>
      <c r="DL215" s="4"/>
      <c r="DM215" s="4"/>
      <c r="DN215" s="4"/>
      <c r="DO215" s="6"/>
      <c r="DP215" s="5" t="str">
        <f t="shared" si="735"/>
        <v>NO APLICA</v>
      </c>
      <c r="DQ215" s="4"/>
      <c r="DR215" s="4"/>
      <c r="DS215" s="4"/>
      <c r="DT215" s="6"/>
      <c r="DU215" s="5" t="str">
        <f t="shared" si="736"/>
        <v>NO APLICA</v>
      </c>
      <c r="DV215" s="4"/>
      <c r="DW215" s="4"/>
      <c r="DX215" s="4"/>
      <c r="DY215" s="6"/>
      <c r="DZ215" s="5" t="str">
        <f t="shared" si="737"/>
        <v>NO APLICA</v>
      </c>
      <c r="EA215" s="4"/>
      <c r="EB215" s="4"/>
      <c r="EC215" s="4"/>
      <c r="ED215" s="6"/>
      <c r="EE215" s="5" t="str">
        <f t="shared" si="738"/>
        <v>NO APLICA</v>
      </c>
      <c r="EF215" s="4"/>
      <c r="EG215" s="4"/>
      <c r="EH215" s="4"/>
      <c r="EI215" s="8"/>
      <c r="EJ215" s="5" t="str">
        <f t="shared" si="739"/>
        <v>NO APLICA</v>
      </c>
      <c r="EK215" s="4"/>
      <c r="EL215" s="4"/>
      <c r="EM215" s="4"/>
      <c r="EN215" s="8"/>
      <c r="EO215" s="5" t="str">
        <f t="shared" si="740"/>
        <v>NO APLICA</v>
      </c>
      <c r="EP215" s="4"/>
      <c r="EQ215" s="4"/>
      <c r="ER215" s="4"/>
      <c r="ES215" s="8"/>
      <c r="ET215" s="5" t="str">
        <f t="shared" si="741"/>
        <v>NO APLICA</v>
      </c>
      <c r="EU215" s="4"/>
      <c r="EV215" s="4"/>
      <c r="EW215" s="4"/>
      <c r="EX215" s="6"/>
      <c r="EY215" s="5" t="str">
        <f t="shared" si="742"/>
        <v>NO APLICA</v>
      </c>
      <c r="EZ215" s="4"/>
      <c r="FA215" s="4"/>
      <c r="FB215" s="4"/>
      <c r="FC215" s="6"/>
      <c r="FD215" s="5" t="str">
        <f t="shared" si="743"/>
        <v>NO APLICA</v>
      </c>
      <c r="FE215" s="4"/>
      <c r="FF215" s="4"/>
      <c r="FG215" s="4"/>
      <c r="FH215" s="6"/>
      <c r="FI215" s="5" t="str">
        <f t="shared" si="744"/>
        <v>NO APLICA</v>
      </c>
      <c r="FJ215" s="4"/>
      <c r="FK215" s="4"/>
      <c r="FL215" s="4"/>
      <c r="FM215" s="6"/>
      <c r="FN215" s="5" t="str">
        <f t="shared" si="745"/>
        <v>NO APLICA</v>
      </c>
      <c r="FO215" s="4"/>
      <c r="FP215" s="4"/>
      <c r="FQ215" s="4"/>
      <c r="FR215" s="6"/>
      <c r="FS215" s="5" t="str">
        <f t="shared" si="746"/>
        <v>NO APLICA</v>
      </c>
      <c r="FT215" s="4"/>
      <c r="FU215" s="4"/>
      <c r="FV215" s="4"/>
      <c r="FW215" s="6"/>
      <c r="FX215" s="5" t="str">
        <f t="shared" si="747"/>
        <v>NO APLICA</v>
      </c>
      <c r="FY215" s="4"/>
      <c r="FZ215" s="4"/>
      <c r="GA215" s="4"/>
      <c r="GB215" s="6"/>
      <c r="GC215" s="5" t="str">
        <f t="shared" si="748"/>
        <v>NO APLICA</v>
      </c>
      <c r="GD215" s="4"/>
      <c r="GE215" s="4"/>
      <c r="GF215" s="4"/>
      <c r="GG215" s="8"/>
      <c r="GH215" s="5" t="str">
        <f t="shared" si="749"/>
        <v>NO APLICA</v>
      </c>
      <c r="GI215" s="4"/>
      <c r="GJ215" s="6"/>
      <c r="GK215" s="6"/>
      <c r="GL215" s="6"/>
      <c r="GM215" s="5" t="str">
        <f t="shared" si="750"/>
        <v>NO APLICA</v>
      </c>
      <c r="GN215" s="4"/>
      <c r="GO215" s="6"/>
      <c r="GP215" s="6"/>
      <c r="GQ215" s="6"/>
      <c r="GR215" s="5" t="str">
        <f t="shared" si="630"/>
        <v>NO APLICA</v>
      </c>
      <c r="GS215" s="4"/>
      <c r="GT215" s="6"/>
      <c r="GU215" s="6"/>
      <c r="GV215" s="6"/>
      <c r="GW215" s="5" t="str">
        <f t="shared" si="631"/>
        <v>NO APLICA</v>
      </c>
      <c r="GX215" s="6"/>
      <c r="GY215" s="6"/>
      <c r="GZ215" s="6"/>
      <c r="HA215" s="6"/>
      <c r="HB215" s="5" t="str">
        <f t="shared" si="632"/>
        <v>NO APLICA</v>
      </c>
      <c r="HC215" s="6"/>
      <c r="HD215" s="6"/>
      <c r="HE215" s="4"/>
      <c r="HF215" s="8"/>
      <c r="HG215" s="5" t="str">
        <f t="shared" si="718"/>
        <v>NO APLICA</v>
      </c>
      <c r="HH215" s="6"/>
      <c r="HI215" s="6"/>
      <c r="HJ215" s="6"/>
      <c r="HK215" s="6"/>
      <c r="HL215" s="5" t="str">
        <f t="shared" si="714"/>
        <v>NO APLICA</v>
      </c>
      <c r="HM215" s="6"/>
      <c r="HN215" s="6"/>
      <c r="HO215" s="6"/>
      <c r="HP215" s="6"/>
      <c r="HQ215" s="5" t="str">
        <f t="shared" si="751"/>
        <v>NO APLICA</v>
      </c>
      <c r="HR215" s="6"/>
      <c r="HS215" s="6"/>
      <c r="HT215" s="6"/>
      <c r="HU215" s="6"/>
      <c r="HV215" s="5" t="str">
        <f t="shared" si="752"/>
        <v>NO APLICA</v>
      </c>
      <c r="HW215" s="6"/>
      <c r="HX215" s="6"/>
      <c r="HY215" s="6"/>
      <c r="HZ215" s="6"/>
      <c r="IA215" s="5" t="str">
        <f t="shared" si="753"/>
        <v>NO APLICA</v>
      </c>
      <c r="IB215" s="6"/>
      <c r="IC215" s="6"/>
      <c r="ID215" s="6"/>
      <c r="IE215" s="6"/>
      <c r="IF215" s="5" t="str">
        <f t="shared" si="754"/>
        <v>NO APLICA</v>
      </c>
      <c r="IG215" s="6"/>
      <c r="IH215" s="6"/>
      <c r="II215" s="6"/>
      <c r="IJ215" s="6"/>
      <c r="IK215" s="5" t="str">
        <f t="shared" si="755"/>
        <v>NO APLICA</v>
      </c>
      <c r="IL215" s="6"/>
      <c r="IM215" s="6"/>
      <c r="IN215" s="6"/>
      <c r="IO215" s="6"/>
      <c r="IP215" s="5" t="str">
        <f t="shared" si="756"/>
        <v>NO APLICA</v>
      </c>
      <c r="IQ215" s="6"/>
      <c r="IR215" s="6"/>
      <c r="IS215" s="6"/>
      <c r="IT215" s="6"/>
      <c r="IU215" s="5" t="str">
        <f t="shared" si="757"/>
        <v>NO APLICA</v>
      </c>
      <c r="IV215" s="6"/>
      <c r="IW215" s="6"/>
      <c r="IX215" s="6"/>
      <c r="IY215" s="6"/>
      <c r="IZ215" s="5" t="str">
        <f t="shared" si="758"/>
        <v>NO APLICA</v>
      </c>
      <c r="JA215" s="6"/>
      <c r="JB215" s="6"/>
      <c r="JC215" s="6"/>
      <c r="JD215" s="6"/>
      <c r="JE215" s="5" t="str">
        <f t="shared" si="759"/>
        <v>NO APLICA</v>
      </c>
      <c r="JF215" s="6"/>
      <c r="JG215" s="6"/>
      <c r="JH215" s="6"/>
      <c r="JI215" s="6"/>
      <c r="JJ215" s="5" t="str">
        <f t="shared" si="760"/>
        <v>NO APLICA</v>
      </c>
      <c r="JK215" s="6"/>
      <c r="JL215" s="6"/>
      <c r="JM215" s="6"/>
      <c r="JN215" s="6"/>
      <c r="JO215" s="5" t="str">
        <f t="shared" si="761"/>
        <v>NO APLICA</v>
      </c>
      <c r="JP215" s="6"/>
      <c r="JQ215" s="6"/>
      <c r="JR215" s="6"/>
      <c r="JS215" s="6"/>
      <c r="JT215" s="5" t="str">
        <f t="shared" si="762"/>
        <v>NO APLICA</v>
      </c>
      <c r="JU215" s="5"/>
      <c r="JV215" s="5"/>
      <c r="JW215" s="5"/>
      <c r="JX215" s="5"/>
      <c r="JY215" s="5" t="str">
        <f t="shared" si="763"/>
        <v>NO APLICA</v>
      </c>
      <c r="JZ215" s="5"/>
      <c r="KA215" s="6"/>
      <c r="KB215" s="6"/>
      <c r="KC215" s="6"/>
      <c r="KD215" s="5" t="str">
        <f t="shared" si="764"/>
        <v>NO APLICA</v>
      </c>
      <c r="KE215" s="5"/>
      <c r="KF215" s="6"/>
      <c r="KG215" s="6"/>
      <c r="KH215" s="6"/>
      <c r="KI215" s="5" t="str">
        <f t="shared" si="784"/>
        <v>NO APLICA</v>
      </c>
      <c r="KJ215" s="5"/>
      <c r="KK215" s="6"/>
      <c r="KL215" s="6"/>
      <c r="KM215" s="6"/>
      <c r="KN215" s="5" t="str">
        <f t="shared" si="765"/>
        <v>NO APLICA</v>
      </c>
      <c r="KO215" s="5"/>
      <c r="KP215" s="6"/>
      <c r="KQ215" s="6"/>
      <c r="KR215" s="6"/>
      <c r="KS215" s="5" t="str">
        <f t="shared" si="785"/>
        <v>NO APLICA</v>
      </c>
      <c r="KT215" s="6"/>
      <c r="KU215" s="6"/>
      <c r="KV215" s="6"/>
      <c r="KW215" s="6"/>
      <c r="KX215" s="5" t="str">
        <f t="shared" si="791"/>
        <v>NO APLICA</v>
      </c>
      <c r="KY215" s="5"/>
      <c r="KZ215" s="6"/>
      <c r="LA215" s="6"/>
      <c r="LB215" s="6"/>
      <c r="LC215" s="5" t="str">
        <f t="shared" si="786"/>
        <v>NO APLICA</v>
      </c>
      <c r="LD215" s="6"/>
      <c r="LE215" s="6"/>
      <c r="LF215" s="6"/>
      <c r="LG215" s="6"/>
      <c r="LH215" s="5" t="str">
        <f t="shared" si="619"/>
        <v>NO APLICA</v>
      </c>
      <c r="LI215" s="5"/>
      <c r="LJ215" s="5"/>
      <c r="LK215" s="4"/>
      <c r="LL215" s="8"/>
      <c r="LM215" s="5" t="str">
        <f t="shared" si="792"/>
        <v>NO APLICA</v>
      </c>
      <c r="LN215" s="6"/>
      <c r="LO215" s="6"/>
      <c r="LP215" s="6"/>
      <c r="LQ215" s="6"/>
      <c r="LR215" s="5" t="str">
        <f t="shared" si="787"/>
        <v>NO APLICA</v>
      </c>
      <c r="LS215" s="6"/>
      <c r="LT215" s="6"/>
      <c r="LU215" s="6"/>
      <c r="LV215" s="6"/>
      <c r="LW215" s="5" t="str">
        <f t="shared" si="788"/>
        <v>NO APLICA</v>
      </c>
      <c r="LX215" s="6"/>
      <c r="LY215" s="6"/>
      <c r="LZ215" s="6"/>
      <c r="MA215" s="6"/>
      <c r="MB215" s="5" t="str">
        <f t="shared" si="789"/>
        <v>NO APLICA</v>
      </c>
      <c r="MC215" s="6"/>
      <c r="MD215" s="6"/>
      <c r="ME215" s="6"/>
      <c r="MF215" s="6"/>
      <c r="MG215" s="5" t="str">
        <f t="shared" si="766"/>
        <v>NO APLICA</v>
      </c>
      <c r="MH215" s="6"/>
      <c r="MI215" s="6"/>
      <c r="MJ215" s="6"/>
      <c r="MK215" s="6"/>
      <c r="ML215" s="5" t="str">
        <f t="shared" si="767"/>
        <v>NO APLICA</v>
      </c>
      <c r="MM215" s="5"/>
      <c r="MN215" s="6"/>
      <c r="MO215" s="6"/>
      <c r="MP215" s="6"/>
      <c r="MQ215" s="5" t="str">
        <f t="shared" si="768"/>
        <v>NO APLICA</v>
      </c>
      <c r="MR215" s="5"/>
      <c r="MS215" s="6"/>
      <c r="MT215" s="6"/>
      <c r="MU215" s="6"/>
      <c r="MV215" s="5" t="str">
        <f t="shared" si="769"/>
        <v>NO APLICA</v>
      </c>
      <c r="MW215" s="6"/>
      <c r="MX215" s="6"/>
      <c r="MY215" s="6"/>
      <c r="MZ215" s="6"/>
      <c r="NA215" s="5" t="str">
        <f t="shared" si="770"/>
        <v>NO APLICA</v>
      </c>
      <c r="NB215" s="6"/>
      <c r="NC215" s="6"/>
      <c r="ND215" s="6"/>
      <c r="NE215" s="6"/>
      <c r="NF215" s="5" t="str">
        <f t="shared" si="771"/>
        <v>NO APLICA</v>
      </c>
      <c r="NG215" s="6"/>
      <c r="NH215" s="6"/>
      <c r="NI215" s="6"/>
      <c r="NJ215" s="6"/>
      <c r="NK215" s="5" t="str">
        <f t="shared" si="772"/>
        <v>NO APLICA</v>
      </c>
      <c r="NL215" s="6"/>
      <c r="NM215" s="6"/>
      <c r="NN215" s="6"/>
      <c r="NO215" s="6"/>
      <c r="NP215" s="5" t="str">
        <f t="shared" si="773"/>
        <v>NO APLICA</v>
      </c>
      <c r="NQ215" s="6"/>
      <c r="NR215" s="6"/>
      <c r="NS215" s="6"/>
      <c r="NT215" s="6"/>
      <c r="NU215" s="5" t="str">
        <f t="shared" si="774"/>
        <v>NO APLICA</v>
      </c>
      <c r="NV215" s="6"/>
      <c r="NW215" s="6"/>
      <c r="NX215" s="6"/>
      <c r="NY215" s="6"/>
      <c r="NZ215" s="5" t="str">
        <f t="shared" si="775"/>
        <v>NO APLICA</v>
      </c>
      <c r="OA215" s="6"/>
      <c r="OB215" s="6"/>
      <c r="OC215" s="6"/>
      <c r="OD215" s="6"/>
      <c r="OE215" s="5" t="str">
        <f t="shared" si="776"/>
        <v>NO APLICA</v>
      </c>
      <c r="OF215" s="6"/>
      <c r="OG215" s="6"/>
      <c r="OH215" s="6"/>
      <c r="OI215" s="6"/>
      <c r="OJ215" s="5" t="str">
        <f t="shared" si="777"/>
        <v>NO APLICA</v>
      </c>
      <c r="OK215" s="6"/>
      <c r="OL215" s="6"/>
      <c r="OM215" s="6"/>
      <c r="ON215" s="6"/>
      <c r="OO215" s="5" t="str">
        <f t="shared" si="778"/>
        <v>NO APLICA</v>
      </c>
      <c r="OP215" s="6"/>
      <c r="OQ215" s="6"/>
      <c r="OR215" s="6"/>
      <c r="OS215" s="6"/>
      <c r="OT215" s="5" t="str">
        <f t="shared" si="779"/>
        <v>NO APLICA</v>
      </c>
      <c r="OU215" s="6"/>
      <c r="OV215" s="6"/>
      <c r="OW215" s="6"/>
      <c r="OX215" s="6"/>
      <c r="OY215" s="5" t="str">
        <f t="shared" si="793"/>
        <v>NO APLICA</v>
      </c>
      <c r="OZ215" s="6"/>
      <c r="PA215" s="6"/>
      <c r="PB215" s="6"/>
      <c r="PC215" s="6"/>
      <c r="PD215" s="5" t="str">
        <f t="shared" si="780"/>
        <v>NO APLICA</v>
      </c>
      <c r="PE215" s="6"/>
      <c r="PF215" s="6"/>
      <c r="PG215" s="6"/>
      <c r="PH215" s="6"/>
      <c r="PI215" s="5" t="str">
        <f t="shared" si="781"/>
        <v>NO APLICA</v>
      </c>
      <c r="PJ215" s="5"/>
      <c r="PK215" s="6"/>
      <c r="PL215" s="6"/>
      <c r="PM215" s="6"/>
      <c r="PN215" s="5" t="str">
        <f t="shared" si="790"/>
        <v>NO APLICA</v>
      </c>
      <c r="PO215" s="6"/>
      <c r="PP215" s="6"/>
      <c r="PQ215" s="6"/>
      <c r="PR215" s="6"/>
      <c r="PS215" s="5" t="str">
        <f t="shared" si="782"/>
        <v>NO APLICA</v>
      </c>
      <c r="PT215" s="5"/>
      <c r="PU215" s="6"/>
      <c r="PV215" s="6"/>
      <c r="PW215" s="6"/>
      <c r="PX215" s="5" t="str">
        <f t="shared" si="783"/>
        <v>NO APLICA</v>
      </c>
    </row>
    <row r="216" spans="1:440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6"/>
      <c r="V216" s="4"/>
      <c r="W216" s="4"/>
      <c r="X216" s="8"/>
      <c r="Y216" s="5" t="str">
        <f t="shared" si="624"/>
        <v>NO APLICA</v>
      </c>
      <c r="Z216" s="6"/>
      <c r="AA216" s="6"/>
      <c r="AB216" s="6"/>
      <c r="AC216" s="6"/>
      <c r="AD216" s="5" t="str">
        <f t="shared" si="627"/>
        <v>NO APLICA</v>
      </c>
      <c r="AE216" s="4"/>
      <c r="AF216" s="4"/>
      <c r="AG216" s="4"/>
      <c r="AH216" s="6"/>
      <c r="AI216" s="5" t="str">
        <f t="shared" si="621"/>
        <v>NO APLICA</v>
      </c>
      <c r="AJ216" s="4"/>
      <c r="AK216" s="4"/>
      <c r="AL216" s="4"/>
      <c r="AM216" s="6"/>
      <c r="AN216" s="5" t="str">
        <f t="shared" si="720"/>
        <v>NO APLICA</v>
      </c>
      <c r="AO216" s="4"/>
      <c r="AP216" s="4"/>
      <c r="AQ216" s="4"/>
      <c r="AR216" s="6"/>
      <c r="AS216" s="5" t="str">
        <f t="shared" si="721"/>
        <v>NO APLICA</v>
      </c>
      <c r="AT216" s="4"/>
      <c r="AU216" s="4"/>
      <c r="AV216" s="4"/>
      <c r="AW216" s="6"/>
      <c r="AX216" s="5" t="str">
        <f t="shared" si="722"/>
        <v>NO APLICA</v>
      </c>
      <c r="AY216" s="4"/>
      <c r="AZ216" s="4"/>
      <c r="BA216" s="4"/>
      <c r="BB216" s="6"/>
      <c r="BC216" s="5" t="str">
        <f t="shared" si="723"/>
        <v>NO APLICA</v>
      </c>
      <c r="BD216" s="4"/>
      <c r="BE216" s="4"/>
      <c r="BF216" s="4"/>
      <c r="BG216" s="6"/>
      <c r="BH216" s="5" t="str">
        <f t="shared" si="724"/>
        <v>NO APLICA</v>
      </c>
      <c r="BI216" s="4"/>
      <c r="BJ216" s="4"/>
      <c r="BK216" s="4"/>
      <c r="BL216" s="6"/>
      <c r="BM216" s="5" t="str">
        <f t="shared" si="725"/>
        <v>NO APLICA</v>
      </c>
      <c r="BN216" s="4"/>
      <c r="BO216" s="4"/>
      <c r="BP216" s="4"/>
      <c r="BQ216" s="6"/>
      <c r="BR216" s="5" t="str">
        <f t="shared" si="726"/>
        <v>NO APLICA</v>
      </c>
      <c r="BS216" s="4"/>
      <c r="BT216" s="4"/>
      <c r="BU216" s="4"/>
      <c r="BV216" s="6"/>
      <c r="BW216" s="5" t="str">
        <f t="shared" si="727"/>
        <v>NO APLICA</v>
      </c>
      <c r="BX216" s="4"/>
      <c r="BY216" s="4"/>
      <c r="BZ216" s="4"/>
      <c r="CA216" s="6"/>
      <c r="CB216" s="5" t="str">
        <f t="shared" si="728"/>
        <v>NO APLICA</v>
      </c>
      <c r="CC216" s="6"/>
      <c r="CD216" s="6"/>
      <c r="CE216" s="6"/>
      <c r="CF216" s="6"/>
      <c r="CG216" s="5" t="str">
        <f t="shared" si="794"/>
        <v>NO APLICA</v>
      </c>
      <c r="CH216" s="4"/>
      <c r="CI216" s="4"/>
      <c r="CJ216" s="4"/>
      <c r="CK216" s="6"/>
      <c r="CL216" s="5" t="str">
        <f t="shared" si="729"/>
        <v>NO APLICA</v>
      </c>
      <c r="CM216" s="4"/>
      <c r="CN216" s="4"/>
      <c r="CO216" s="4"/>
      <c r="CP216" s="6"/>
      <c r="CQ216" s="5" t="str">
        <f t="shared" si="730"/>
        <v>NO APLICA</v>
      </c>
      <c r="CR216" s="4"/>
      <c r="CS216" s="4"/>
      <c r="CT216" s="4"/>
      <c r="CU216" s="6"/>
      <c r="CV216" s="5" t="str">
        <f t="shared" si="731"/>
        <v>NO APLICA</v>
      </c>
      <c r="CW216" s="4"/>
      <c r="CX216" s="4"/>
      <c r="CY216" s="4"/>
      <c r="CZ216" s="6"/>
      <c r="DA216" s="5" t="str">
        <f t="shared" si="732"/>
        <v>NO APLICA</v>
      </c>
      <c r="DB216" s="4"/>
      <c r="DC216" s="4"/>
      <c r="DD216" s="4"/>
      <c r="DE216" s="6"/>
      <c r="DF216" s="5" t="str">
        <f t="shared" si="733"/>
        <v>NO APLICA</v>
      </c>
      <c r="DG216" s="4"/>
      <c r="DH216" s="4"/>
      <c r="DI216" s="4"/>
      <c r="DJ216" s="6"/>
      <c r="DK216" s="5" t="str">
        <f t="shared" si="734"/>
        <v>NO APLICA</v>
      </c>
      <c r="DL216" s="4"/>
      <c r="DM216" s="4"/>
      <c r="DN216" s="4"/>
      <c r="DO216" s="6"/>
      <c r="DP216" s="5" t="str">
        <f t="shared" si="735"/>
        <v>NO APLICA</v>
      </c>
      <c r="DQ216" s="4"/>
      <c r="DR216" s="4"/>
      <c r="DS216" s="4"/>
      <c r="DT216" s="6"/>
      <c r="DU216" s="5" t="str">
        <f t="shared" si="736"/>
        <v>NO APLICA</v>
      </c>
      <c r="DV216" s="4"/>
      <c r="DW216" s="4"/>
      <c r="DX216" s="4"/>
      <c r="DY216" s="6"/>
      <c r="DZ216" s="5" t="str">
        <f t="shared" si="737"/>
        <v>NO APLICA</v>
      </c>
      <c r="EA216" s="4"/>
      <c r="EB216" s="4"/>
      <c r="EC216" s="4"/>
      <c r="ED216" s="6"/>
      <c r="EE216" s="5" t="str">
        <f t="shared" si="738"/>
        <v>NO APLICA</v>
      </c>
      <c r="EF216" s="4"/>
      <c r="EG216" s="4"/>
      <c r="EH216" s="4"/>
      <c r="EI216" s="8"/>
      <c r="EJ216" s="5" t="str">
        <f t="shared" si="739"/>
        <v>NO APLICA</v>
      </c>
      <c r="EK216" s="4"/>
      <c r="EL216" s="4"/>
      <c r="EM216" s="4"/>
      <c r="EN216" s="8"/>
      <c r="EO216" s="5" t="str">
        <f t="shared" si="740"/>
        <v>NO APLICA</v>
      </c>
      <c r="EP216" s="4"/>
      <c r="EQ216" s="4"/>
      <c r="ER216" s="4"/>
      <c r="ES216" s="8"/>
      <c r="ET216" s="5" t="str">
        <f t="shared" si="741"/>
        <v>NO APLICA</v>
      </c>
      <c r="EU216" s="4"/>
      <c r="EV216" s="4"/>
      <c r="EW216" s="4"/>
      <c r="EX216" s="6"/>
      <c r="EY216" s="5" t="str">
        <f t="shared" si="742"/>
        <v>NO APLICA</v>
      </c>
      <c r="EZ216" s="4"/>
      <c r="FA216" s="4"/>
      <c r="FB216" s="4"/>
      <c r="FC216" s="6"/>
      <c r="FD216" s="5" t="str">
        <f t="shared" si="743"/>
        <v>NO APLICA</v>
      </c>
      <c r="FE216" s="4"/>
      <c r="FF216" s="4"/>
      <c r="FG216" s="4"/>
      <c r="FH216" s="6"/>
      <c r="FI216" s="5" t="str">
        <f t="shared" si="744"/>
        <v>NO APLICA</v>
      </c>
      <c r="FJ216" s="4"/>
      <c r="FK216" s="4"/>
      <c r="FL216" s="4"/>
      <c r="FM216" s="6"/>
      <c r="FN216" s="5" t="str">
        <f t="shared" si="745"/>
        <v>NO APLICA</v>
      </c>
      <c r="FO216" s="4"/>
      <c r="FP216" s="4"/>
      <c r="FQ216" s="4"/>
      <c r="FR216" s="6"/>
      <c r="FS216" s="5" t="str">
        <f t="shared" si="746"/>
        <v>NO APLICA</v>
      </c>
      <c r="FT216" s="4"/>
      <c r="FU216" s="4"/>
      <c r="FV216" s="4"/>
      <c r="FW216" s="6"/>
      <c r="FX216" s="5" t="str">
        <f t="shared" si="747"/>
        <v>NO APLICA</v>
      </c>
      <c r="FY216" s="4"/>
      <c r="FZ216" s="4"/>
      <c r="GA216" s="4"/>
      <c r="GB216" s="6"/>
      <c r="GC216" s="5" t="str">
        <f t="shared" si="748"/>
        <v>NO APLICA</v>
      </c>
      <c r="GD216" s="4"/>
      <c r="GE216" s="4"/>
      <c r="GF216" s="4"/>
      <c r="GG216" s="8"/>
      <c r="GH216" s="5" t="str">
        <f t="shared" si="749"/>
        <v>NO APLICA</v>
      </c>
      <c r="GI216" s="4"/>
      <c r="GJ216" s="6"/>
      <c r="GK216" s="6"/>
      <c r="GL216" s="6"/>
      <c r="GM216" s="5" t="str">
        <f t="shared" si="750"/>
        <v>NO APLICA</v>
      </c>
      <c r="GN216" s="4"/>
      <c r="GO216" s="6"/>
      <c r="GP216" s="6"/>
      <c r="GQ216" s="6"/>
      <c r="GR216" s="5" t="str">
        <f t="shared" si="630"/>
        <v>NO APLICA</v>
      </c>
      <c r="GS216" s="4"/>
      <c r="GT216" s="6"/>
      <c r="GU216" s="6"/>
      <c r="GV216" s="6"/>
      <c r="GW216" s="5" t="str">
        <f t="shared" si="631"/>
        <v>NO APLICA</v>
      </c>
      <c r="GX216" s="6"/>
      <c r="GY216" s="6"/>
      <c r="GZ216" s="6"/>
      <c r="HA216" s="6"/>
      <c r="HB216" s="5" t="str">
        <f t="shared" si="632"/>
        <v>NO APLICA</v>
      </c>
      <c r="HC216" s="6"/>
      <c r="HD216" s="6"/>
      <c r="HE216" s="4"/>
      <c r="HF216" s="8"/>
      <c r="HG216" s="5" t="str">
        <f t="shared" si="718"/>
        <v>NO APLICA</v>
      </c>
      <c r="HH216" s="6"/>
      <c r="HI216" s="6"/>
      <c r="HJ216" s="6"/>
      <c r="HK216" s="6"/>
      <c r="HL216" s="5" t="str">
        <f t="shared" si="714"/>
        <v>NO APLICA</v>
      </c>
      <c r="HM216" s="6"/>
      <c r="HN216" s="6"/>
      <c r="HO216" s="6"/>
      <c r="HP216" s="6"/>
      <c r="HQ216" s="5" t="str">
        <f t="shared" si="751"/>
        <v>NO APLICA</v>
      </c>
      <c r="HR216" s="6"/>
      <c r="HS216" s="6"/>
      <c r="HT216" s="6"/>
      <c r="HU216" s="6"/>
      <c r="HV216" s="5" t="str">
        <f t="shared" si="752"/>
        <v>NO APLICA</v>
      </c>
      <c r="HW216" s="6"/>
      <c r="HX216" s="6"/>
      <c r="HY216" s="6"/>
      <c r="HZ216" s="6"/>
      <c r="IA216" s="5" t="str">
        <f t="shared" si="753"/>
        <v>NO APLICA</v>
      </c>
      <c r="IB216" s="6"/>
      <c r="IC216" s="6"/>
      <c r="ID216" s="6"/>
      <c r="IE216" s="6"/>
      <c r="IF216" s="5" t="str">
        <f t="shared" si="754"/>
        <v>NO APLICA</v>
      </c>
      <c r="IG216" s="6"/>
      <c r="IH216" s="6"/>
      <c r="II216" s="6"/>
      <c r="IJ216" s="6"/>
      <c r="IK216" s="5" t="str">
        <f t="shared" si="755"/>
        <v>NO APLICA</v>
      </c>
      <c r="IL216" s="6"/>
      <c r="IM216" s="6"/>
      <c r="IN216" s="6"/>
      <c r="IO216" s="6"/>
      <c r="IP216" s="5" t="str">
        <f t="shared" si="756"/>
        <v>NO APLICA</v>
      </c>
      <c r="IQ216" s="6"/>
      <c r="IR216" s="6"/>
      <c r="IS216" s="6"/>
      <c r="IT216" s="6"/>
      <c r="IU216" s="5" t="str">
        <f t="shared" si="757"/>
        <v>NO APLICA</v>
      </c>
      <c r="IV216" s="6"/>
      <c r="IW216" s="6"/>
      <c r="IX216" s="6"/>
      <c r="IY216" s="6"/>
      <c r="IZ216" s="5" t="str">
        <f t="shared" si="758"/>
        <v>NO APLICA</v>
      </c>
      <c r="JA216" s="6"/>
      <c r="JB216" s="6"/>
      <c r="JC216" s="6"/>
      <c r="JD216" s="6"/>
      <c r="JE216" s="5" t="str">
        <f t="shared" si="759"/>
        <v>NO APLICA</v>
      </c>
      <c r="JF216" s="6"/>
      <c r="JG216" s="6"/>
      <c r="JH216" s="6"/>
      <c r="JI216" s="6"/>
      <c r="JJ216" s="5" t="str">
        <f t="shared" si="760"/>
        <v>NO APLICA</v>
      </c>
      <c r="JK216" s="6"/>
      <c r="JL216" s="6"/>
      <c r="JM216" s="6"/>
      <c r="JN216" s="6"/>
      <c r="JO216" s="5" t="str">
        <f t="shared" si="761"/>
        <v>NO APLICA</v>
      </c>
      <c r="JP216" s="6"/>
      <c r="JQ216" s="6"/>
      <c r="JR216" s="6"/>
      <c r="JS216" s="6"/>
      <c r="JT216" s="5" t="str">
        <f t="shared" si="762"/>
        <v>NO APLICA</v>
      </c>
      <c r="JU216" s="5"/>
      <c r="JV216" s="5"/>
      <c r="JW216" s="5"/>
      <c r="JX216" s="5"/>
      <c r="JY216" s="5" t="str">
        <f t="shared" si="763"/>
        <v>NO APLICA</v>
      </c>
      <c r="JZ216" s="5"/>
      <c r="KA216" s="6"/>
      <c r="KB216" s="6"/>
      <c r="KC216" s="6"/>
      <c r="KD216" s="5" t="str">
        <f t="shared" si="764"/>
        <v>NO APLICA</v>
      </c>
      <c r="KE216" s="5"/>
      <c r="KF216" s="6"/>
      <c r="KG216" s="6"/>
      <c r="KH216" s="6"/>
      <c r="KI216" s="5" t="str">
        <f t="shared" si="784"/>
        <v>NO APLICA</v>
      </c>
      <c r="KJ216" s="5"/>
      <c r="KK216" s="6"/>
      <c r="KL216" s="6"/>
      <c r="KM216" s="6"/>
      <c r="KN216" s="5" t="str">
        <f t="shared" si="765"/>
        <v>NO APLICA</v>
      </c>
      <c r="KO216" s="5"/>
      <c r="KP216" s="6"/>
      <c r="KQ216" s="6"/>
      <c r="KR216" s="6"/>
      <c r="KS216" s="5" t="str">
        <f t="shared" si="785"/>
        <v>NO APLICA</v>
      </c>
      <c r="KT216" s="6"/>
      <c r="KU216" s="6"/>
      <c r="KV216" s="6"/>
      <c r="KW216" s="6"/>
      <c r="KX216" s="5" t="str">
        <f t="shared" si="791"/>
        <v>NO APLICA</v>
      </c>
      <c r="KY216" s="5"/>
      <c r="KZ216" s="6"/>
      <c r="LA216" s="6"/>
      <c r="LB216" s="6"/>
      <c r="LC216" s="5" t="str">
        <f t="shared" si="786"/>
        <v>NO APLICA</v>
      </c>
      <c r="LD216" s="6"/>
      <c r="LE216" s="6"/>
      <c r="LF216" s="6"/>
      <c r="LG216" s="6"/>
      <c r="LH216" s="5" t="str">
        <f t="shared" si="619"/>
        <v>NO APLICA</v>
      </c>
      <c r="LI216" s="5"/>
      <c r="LJ216" s="5"/>
      <c r="LK216" s="4"/>
      <c r="LL216" s="8"/>
      <c r="LM216" s="5" t="str">
        <f t="shared" si="792"/>
        <v>NO APLICA</v>
      </c>
      <c r="LN216" s="6"/>
      <c r="LO216" s="6"/>
      <c r="LP216" s="6"/>
      <c r="LQ216" s="6"/>
      <c r="LR216" s="5" t="str">
        <f t="shared" si="787"/>
        <v>NO APLICA</v>
      </c>
      <c r="LS216" s="6"/>
      <c r="LT216" s="6"/>
      <c r="LU216" s="6"/>
      <c r="LV216" s="6"/>
      <c r="LW216" s="5" t="str">
        <f t="shared" si="788"/>
        <v>NO APLICA</v>
      </c>
      <c r="LX216" s="6"/>
      <c r="LY216" s="6"/>
      <c r="LZ216" s="6"/>
      <c r="MA216" s="6"/>
      <c r="MB216" s="5" t="str">
        <f t="shared" si="789"/>
        <v>NO APLICA</v>
      </c>
      <c r="MC216" s="6"/>
      <c r="MD216" s="6"/>
      <c r="ME216" s="6"/>
      <c r="MF216" s="6"/>
      <c r="MG216" s="5" t="str">
        <f t="shared" si="766"/>
        <v>NO APLICA</v>
      </c>
      <c r="MH216" s="6"/>
      <c r="MI216" s="6"/>
      <c r="MJ216" s="6"/>
      <c r="MK216" s="6"/>
      <c r="ML216" s="5" t="str">
        <f t="shared" si="767"/>
        <v>NO APLICA</v>
      </c>
      <c r="MM216" s="5"/>
      <c r="MN216" s="6"/>
      <c r="MO216" s="6"/>
      <c r="MP216" s="6"/>
      <c r="MQ216" s="5" t="str">
        <f t="shared" si="768"/>
        <v>NO APLICA</v>
      </c>
      <c r="MR216" s="5"/>
      <c r="MS216" s="6"/>
      <c r="MT216" s="6"/>
      <c r="MU216" s="6"/>
      <c r="MV216" s="5" t="str">
        <f t="shared" si="769"/>
        <v>NO APLICA</v>
      </c>
      <c r="MW216" s="6"/>
      <c r="MX216" s="6"/>
      <c r="MY216" s="6"/>
      <c r="MZ216" s="6"/>
      <c r="NA216" s="5" t="str">
        <f t="shared" si="770"/>
        <v>NO APLICA</v>
      </c>
      <c r="NB216" s="6"/>
      <c r="NC216" s="6"/>
      <c r="ND216" s="6"/>
      <c r="NE216" s="6"/>
      <c r="NF216" s="5" t="str">
        <f t="shared" si="771"/>
        <v>NO APLICA</v>
      </c>
      <c r="NG216" s="6"/>
      <c r="NH216" s="6"/>
      <c r="NI216" s="6"/>
      <c r="NJ216" s="6"/>
      <c r="NK216" s="5" t="str">
        <f t="shared" si="772"/>
        <v>NO APLICA</v>
      </c>
      <c r="NL216" s="6"/>
      <c r="NM216" s="6"/>
      <c r="NN216" s="6"/>
      <c r="NO216" s="6"/>
      <c r="NP216" s="5" t="str">
        <f t="shared" si="773"/>
        <v>NO APLICA</v>
      </c>
      <c r="NQ216" s="6"/>
      <c r="NR216" s="6"/>
      <c r="NS216" s="6"/>
      <c r="NT216" s="6"/>
      <c r="NU216" s="5" t="str">
        <f t="shared" si="774"/>
        <v>NO APLICA</v>
      </c>
      <c r="NV216" s="6"/>
      <c r="NW216" s="6"/>
      <c r="NX216" s="6"/>
      <c r="NY216" s="6"/>
      <c r="NZ216" s="5" t="str">
        <f t="shared" si="775"/>
        <v>NO APLICA</v>
      </c>
      <c r="OA216" s="6"/>
      <c r="OB216" s="6"/>
      <c r="OC216" s="6"/>
      <c r="OD216" s="6"/>
      <c r="OE216" s="5" t="str">
        <f t="shared" si="776"/>
        <v>NO APLICA</v>
      </c>
      <c r="OF216" s="6"/>
      <c r="OG216" s="6"/>
      <c r="OH216" s="6"/>
      <c r="OI216" s="6"/>
      <c r="OJ216" s="5" t="str">
        <f t="shared" si="777"/>
        <v>NO APLICA</v>
      </c>
      <c r="OK216" s="6"/>
      <c r="OL216" s="6"/>
      <c r="OM216" s="6"/>
      <c r="ON216" s="6"/>
      <c r="OO216" s="5" t="str">
        <f t="shared" si="778"/>
        <v>NO APLICA</v>
      </c>
      <c r="OP216" s="6"/>
      <c r="OQ216" s="6"/>
      <c r="OR216" s="6"/>
      <c r="OS216" s="6"/>
      <c r="OT216" s="5" t="str">
        <f t="shared" si="779"/>
        <v>NO APLICA</v>
      </c>
      <c r="OU216" s="6"/>
      <c r="OV216" s="6"/>
      <c r="OW216" s="6"/>
      <c r="OX216" s="6"/>
      <c r="OY216" s="5" t="str">
        <f t="shared" si="793"/>
        <v>NO APLICA</v>
      </c>
      <c r="OZ216" s="6"/>
      <c r="PA216" s="6"/>
      <c r="PB216" s="6"/>
      <c r="PC216" s="6"/>
      <c r="PD216" s="5" t="str">
        <f t="shared" si="780"/>
        <v>NO APLICA</v>
      </c>
      <c r="PE216" s="6"/>
      <c r="PF216" s="6"/>
      <c r="PG216" s="6"/>
      <c r="PH216" s="6"/>
      <c r="PI216" s="5" t="str">
        <f t="shared" si="781"/>
        <v>NO APLICA</v>
      </c>
      <c r="PJ216" s="5"/>
      <c r="PK216" s="6"/>
      <c r="PL216" s="6"/>
      <c r="PM216" s="6"/>
      <c r="PN216" s="5" t="str">
        <f t="shared" si="790"/>
        <v>NO APLICA</v>
      </c>
      <c r="PO216" s="6"/>
      <c r="PP216" s="6"/>
      <c r="PQ216" s="6"/>
      <c r="PR216" s="6"/>
      <c r="PS216" s="5" t="str">
        <f t="shared" si="782"/>
        <v>NO APLICA</v>
      </c>
      <c r="PT216" s="5"/>
      <c r="PU216" s="6"/>
      <c r="PV216" s="6"/>
      <c r="PW216" s="6"/>
      <c r="PX216" s="5" t="str">
        <f t="shared" si="783"/>
        <v>NO APLICA</v>
      </c>
    </row>
    <row r="217" spans="1:440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6"/>
      <c r="V217" s="4"/>
      <c r="W217" s="4"/>
      <c r="X217" s="8"/>
      <c r="Y217" s="5" t="str">
        <f t="shared" si="624"/>
        <v>NO APLICA</v>
      </c>
      <c r="Z217" s="6"/>
      <c r="AA217" s="6"/>
      <c r="AB217" s="6"/>
      <c r="AC217" s="6"/>
      <c r="AD217" s="5" t="str">
        <f t="shared" si="627"/>
        <v>NO APLICA</v>
      </c>
      <c r="AE217" s="4"/>
      <c r="AF217" s="4"/>
      <c r="AG217" s="4"/>
      <c r="AH217" s="6"/>
      <c r="AI217" s="5" t="str">
        <f t="shared" si="621"/>
        <v>NO APLICA</v>
      </c>
      <c r="AJ217" s="4"/>
      <c r="AK217" s="4"/>
      <c r="AL217" s="4"/>
      <c r="AM217" s="6"/>
      <c r="AN217" s="5" t="str">
        <f t="shared" si="720"/>
        <v>NO APLICA</v>
      </c>
      <c r="AO217" s="4"/>
      <c r="AP217" s="4"/>
      <c r="AQ217" s="4"/>
      <c r="AR217" s="6"/>
      <c r="AS217" s="5" t="str">
        <f t="shared" si="721"/>
        <v>NO APLICA</v>
      </c>
      <c r="AT217" s="4"/>
      <c r="AU217" s="4"/>
      <c r="AV217" s="4"/>
      <c r="AW217" s="6"/>
      <c r="AX217" s="5" t="str">
        <f t="shared" si="722"/>
        <v>NO APLICA</v>
      </c>
      <c r="AY217" s="4"/>
      <c r="AZ217" s="4"/>
      <c r="BA217" s="4"/>
      <c r="BB217" s="6"/>
      <c r="BC217" s="5" t="str">
        <f t="shared" si="723"/>
        <v>NO APLICA</v>
      </c>
      <c r="BD217" s="4"/>
      <c r="BE217" s="4"/>
      <c r="BF217" s="4"/>
      <c r="BG217" s="6"/>
      <c r="BH217" s="5" t="str">
        <f t="shared" si="724"/>
        <v>NO APLICA</v>
      </c>
      <c r="BI217" s="4"/>
      <c r="BJ217" s="4"/>
      <c r="BK217" s="4"/>
      <c r="BL217" s="6"/>
      <c r="BM217" s="5" t="str">
        <f t="shared" si="725"/>
        <v>NO APLICA</v>
      </c>
      <c r="BN217" s="4"/>
      <c r="BO217" s="4"/>
      <c r="BP217" s="4"/>
      <c r="BQ217" s="6"/>
      <c r="BR217" s="5" t="str">
        <f t="shared" si="726"/>
        <v>NO APLICA</v>
      </c>
      <c r="BS217" s="4"/>
      <c r="BT217" s="4"/>
      <c r="BU217" s="4"/>
      <c r="BV217" s="6"/>
      <c r="BW217" s="5" t="str">
        <f t="shared" si="727"/>
        <v>NO APLICA</v>
      </c>
      <c r="BX217" s="4"/>
      <c r="BY217" s="4"/>
      <c r="BZ217" s="4"/>
      <c r="CA217" s="6"/>
      <c r="CB217" s="5" t="str">
        <f t="shared" si="728"/>
        <v>NO APLICA</v>
      </c>
      <c r="CC217" s="6"/>
      <c r="CD217" s="6"/>
      <c r="CE217" s="6"/>
      <c r="CF217" s="6"/>
      <c r="CG217" s="5" t="str">
        <f t="shared" si="794"/>
        <v>NO APLICA</v>
      </c>
      <c r="CH217" s="4"/>
      <c r="CI217" s="4"/>
      <c r="CJ217" s="4"/>
      <c r="CK217" s="6"/>
      <c r="CL217" s="5" t="str">
        <f t="shared" si="729"/>
        <v>NO APLICA</v>
      </c>
      <c r="CM217" s="4"/>
      <c r="CN217" s="4"/>
      <c r="CO217" s="4"/>
      <c r="CP217" s="6"/>
      <c r="CQ217" s="5" t="str">
        <f t="shared" si="730"/>
        <v>NO APLICA</v>
      </c>
      <c r="CR217" s="4"/>
      <c r="CS217" s="4"/>
      <c r="CT217" s="4"/>
      <c r="CU217" s="6"/>
      <c r="CV217" s="5" t="str">
        <f t="shared" si="731"/>
        <v>NO APLICA</v>
      </c>
      <c r="CW217" s="4"/>
      <c r="CX217" s="4"/>
      <c r="CY217" s="4"/>
      <c r="CZ217" s="6"/>
      <c r="DA217" s="5" t="str">
        <f t="shared" si="732"/>
        <v>NO APLICA</v>
      </c>
      <c r="DB217" s="4"/>
      <c r="DC217" s="4"/>
      <c r="DD217" s="4"/>
      <c r="DE217" s="6"/>
      <c r="DF217" s="5" t="str">
        <f t="shared" si="733"/>
        <v>NO APLICA</v>
      </c>
      <c r="DG217" s="4"/>
      <c r="DH217" s="4"/>
      <c r="DI217" s="4"/>
      <c r="DJ217" s="6"/>
      <c r="DK217" s="5" t="str">
        <f t="shared" si="734"/>
        <v>NO APLICA</v>
      </c>
      <c r="DL217" s="4"/>
      <c r="DM217" s="4"/>
      <c r="DN217" s="4"/>
      <c r="DO217" s="6"/>
      <c r="DP217" s="5" t="str">
        <f t="shared" si="735"/>
        <v>NO APLICA</v>
      </c>
      <c r="DQ217" s="4"/>
      <c r="DR217" s="4"/>
      <c r="DS217" s="4"/>
      <c r="DT217" s="6"/>
      <c r="DU217" s="5" t="str">
        <f t="shared" si="736"/>
        <v>NO APLICA</v>
      </c>
      <c r="DV217" s="4"/>
      <c r="DW217" s="4"/>
      <c r="DX217" s="4"/>
      <c r="DY217" s="6"/>
      <c r="DZ217" s="5" t="str">
        <f t="shared" si="737"/>
        <v>NO APLICA</v>
      </c>
      <c r="EA217" s="4"/>
      <c r="EB217" s="4"/>
      <c r="EC217" s="4"/>
      <c r="ED217" s="6"/>
      <c r="EE217" s="5" t="str">
        <f t="shared" si="738"/>
        <v>NO APLICA</v>
      </c>
      <c r="EF217" s="4"/>
      <c r="EG217" s="4"/>
      <c r="EH217" s="4"/>
      <c r="EI217" s="8"/>
      <c r="EJ217" s="5" t="str">
        <f t="shared" si="739"/>
        <v>NO APLICA</v>
      </c>
      <c r="EK217" s="4"/>
      <c r="EL217" s="4"/>
      <c r="EM217" s="4"/>
      <c r="EN217" s="8"/>
      <c r="EO217" s="5" t="str">
        <f t="shared" si="740"/>
        <v>NO APLICA</v>
      </c>
      <c r="EP217" s="4"/>
      <c r="EQ217" s="4"/>
      <c r="ER217" s="4"/>
      <c r="ES217" s="8"/>
      <c r="ET217" s="5" t="str">
        <f t="shared" si="741"/>
        <v>NO APLICA</v>
      </c>
      <c r="EU217" s="4"/>
      <c r="EV217" s="4"/>
      <c r="EW217" s="4"/>
      <c r="EX217" s="6"/>
      <c r="EY217" s="5" t="str">
        <f t="shared" si="742"/>
        <v>NO APLICA</v>
      </c>
      <c r="EZ217" s="4"/>
      <c r="FA217" s="4"/>
      <c r="FB217" s="4"/>
      <c r="FC217" s="6"/>
      <c r="FD217" s="5" t="str">
        <f t="shared" si="743"/>
        <v>NO APLICA</v>
      </c>
      <c r="FE217" s="4"/>
      <c r="FF217" s="4"/>
      <c r="FG217" s="4"/>
      <c r="FH217" s="6"/>
      <c r="FI217" s="5" t="str">
        <f t="shared" si="744"/>
        <v>NO APLICA</v>
      </c>
      <c r="FJ217" s="4"/>
      <c r="FK217" s="4"/>
      <c r="FL217" s="4"/>
      <c r="FM217" s="6"/>
      <c r="FN217" s="5" t="str">
        <f t="shared" si="745"/>
        <v>NO APLICA</v>
      </c>
      <c r="FO217" s="4"/>
      <c r="FP217" s="4"/>
      <c r="FQ217" s="4"/>
      <c r="FR217" s="6"/>
      <c r="FS217" s="5" t="str">
        <f t="shared" si="746"/>
        <v>NO APLICA</v>
      </c>
      <c r="FT217" s="4"/>
      <c r="FU217" s="4"/>
      <c r="FV217" s="4"/>
      <c r="FW217" s="6"/>
      <c r="FX217" s="5" t="str">
        <f t="shared" si="747"/>
        <v>NO APLICA</v>
      </c>
      <c r="FY217" s="4"/>
      <c r="FZ217" s="4"/>
      <c r="GA217" s="4"/>
      <c r="GB217" s="6"/>
      <c r="GC217" s="5" t="str">
        <f t="shared" si="748"/>
        <v>NO APLICA</v>
      </c>
      <c r="GD217" s="4"/>
      <c r="GE217" s="4"/>
      <c r="GF217" s="4"/>
      <c r="GG217" s="8"/>
      <c r="GH217" s="5" t="str">
        <f t="shared" si="749"/>
        <v>NO APLICA</v>
      </c>
      <c r="GI217" s="4"/>
      <c r="GJ217" s="6"/>
      <c r="GK217" s="6"/>
      <c r="GL217" s="6"/>
      <c r="GM217" s="5" t="str">
        <f t="shared" si="750"/>
        <v>NO APLICA</v>
      </c>
      <c r="GN217" s="4"/>
      <c r="GO217" s="6"/>
      <c r="GP217" s="6"/>
      <c r="GQ217" s="6"/>
      <c r="GR217" s="5" t="str">
        <f t="shared" si="630"/>
        <v>NO APLICA</v>
      </c>
      <c r="GS217" s="4"/>
      <c r="GT217" s="6"/>
      <c r="GU217" s="6"/>
      <c r="GV217" s="6"/>
      <c r="GW217" s="5" t="str">
        <f t="shared" si="631"/>
        <v>NO APLICA</v>
      </c>
      <c r="GX217" s="6"/>
      <c r="GY217" s="6"/>
      <c r="GZ217" s="6"/>
      <c r="HA217" s="6"/>
      <c r="HB217" s="5" t="str">
        <f t="shared" si="632"/>
        <v>NO APLICA</v>
      </c>
      <c r="HC217" s="6"/>
      <c r="HD217" s="6"/>
      <c r="HE217" s="4"/>
      <c r="HF217" s="8"/>
      <c r="HG217" s="5" t="str">
        <f t="shared" si="718"/>
        <v>NO APLICA</v>
      </c>
      <c r="HH217" s="6"/>
      <c r="HI217" s="6"/>
      <c r="HJ217" s="6"/>
      <c r="HK217" s="6"/>
      <c r="HL217" s="5" t="str">
        <f t="shared" si="714"/>
        <v>NO APLICA</v>
      </c>
      <c r="HM217" s="6"/>
      <c r="HN217" s="6"/>
      <c r="HO217" s="6"/>
      <c r="HP217" s="6"/>
      <c r="HQ217" s="5" t="str">
        <f t="shared" si="751"/>
        <v>NO APLICA</v>
      </c>
      <c r="HR217" s="6"/>
      <c r="HS217" s="6"/>
      <c r="HT217" s="6"/>
      <c r="HU217" s="6"/>
      <c r="HV217" s="5" t="str">
        <f t="shared" si="752"/>
        <v>NO APLICA</v>
      </c>
      <c r="HW217" s="6"/>
      <c r="HX217" s="6"/>
      <c r="HY217" s="6"/>
      <c r="HZ217" s="6"/>
      <c r="IA217" s="5" t="str">
        <f t="shared" si="753"/>
        <v>NO APLICA</v>
      </c>
      <c r="IB217" s="6"/>
      <c r="IC217" s="6"/>
      <c r="ID217" s="6"/>
      <c r="IE217" s="6"/>
      <c r="IF217" s="5" t="str">
        <f t="shared" si="754"/>
        <v>NO APLICA</v>
      </c>
      <c r="IG217" s="6"/>
      <c r="IH217" s="6"/>
      <c r="II217" s="6"/>
      <c r="IJ217" s="6"/>
      <c r="IK217" s="5" t="str">
        <f t="shared" si="755"/>
        <v>NO APLICA</v>
      </c>
      <c r="IL217" s="6"/>
      <c r="IM217" s="6"/>
      <c r="IN217" s="6"/>
      <c r="IO217" s="6"/>
      <c r="IP217" s="5" t="str">
        <f t="shared" si="756"/>
        <v>NO APLICA</v>
      </c>
      <c r="IQ217" s="6"/>
      <c r="IR217" s="6"/>
      <c r="IS217" s="6"/>
      <c r="IT217" s="6"/>
      <c r="IU217" s="5" t="str">
        <f t="shared" si="757"/>
        <v>NO APLICA</v>
      </c>
      <c r="IV217" s="6"/>
      <c r="IW217" s="6"/>
      <c r="IX217" s="6"/>
      <c r="IY217" s="6"/>
      <c r="IZ217" s="5" t="str">
        <f t="shared" si="758"/>
        <v>NO APLICA</v>
      </c>
      <c r="JA217" s="3"/>
      <c r="JB217" s="3"/>
      <c r="JC217" s="6"/>
      <c r="JD217" s="6"/>
      <c r="JE217" s="5" t="str">
        <f t="shared" si="759"/>
        <v>NO APLICA</v>
      </c>
      <c r="JF217" s="6"/>
      <c r="JG217" s="6"/>
      <c r="JH217" s="6"/>
      <c r="JI217" s="6"/>
      <c r="JJ217" s="5" t="str">
        <f t="shared" si="760"/>
        <v>NO APLICA</v>
      </c>
      <c r="JK217" s="6"/>
      <c r="JL217" s="6"/>
      <c r="JM217" s="6"/>
      <c r="JN217" s="6"/>
      <c r="JO217" s="5" t="str">
        <f t="shared" si="761"/>
        <v>NO APLICA</v>
      </c>
      <c r="JP217" s="4"/>
      <c r="JQ217" s="4"/>
      <c r="JR217" s="6"/>
      <c r="JS217" s="6"/>
      <c r="JT217" s="5" t="str">
        <f t="shared" si="762"/>
        <v>NO APLICA</v>
      </c>
      <c r="JU217" s="5"/>
      <c r="JV217" s="3"/>
      <c r="JW217" s="4"/>
      <c r="JX217" s="8"/>
      <c r="JY217" s="5" t="str">
        <f>IF(JX217&gt;=61,"VIGENTE",IF(JX217&gt;=1,"POR VENCER",IF(JX217&lt;=-1,"VENCIDA",IF(JV217=0,"NO APLICA"))))</f>
        <v>NO APLICA</v>
      </c>
      <c r="JZ217" s="5"/>
      <c r="KA217" s="6"/>
      <c r="KB217" s="6"/>
      <c r="KC217" s="6"/>
      <c r="KD217" s="5" t="str">
        <f t="shared" si="764"/>
        <v>NO APLICA</v>
      </c>
      <c r="KE217" s="5"/>
      <c r="KF217" s="6"/>
      <c r="KG217" s="6"/>
      <c r="KH217" s="6"/>
      <c r="KI217" s="5" t="str">
        <f t="shared" si="784"/>
        <v>NO APLICA</v>
      </c>
      <c r="KJ217" s="5"/>
      <c r="KK217" s="6"/>
      <c r="KL217" s="6"/>
      <c r="KM217" s="6"/>
      <c r="KN217" s="5" t="str">
        <f t="shared" si="765"/>
        <v>NO APLICA</v>
      </c>
      <c r="KO217" s="5"/>
      <c r="KP217" s="6"/>
      <c r="KQ217" s="6"/>
      <c r="KR217" s="6"/>
      <c r="KS217" s="5" t="str">
        <f t="shared" si="785"/>
        <v>NO APLICA</v>
      </c>
      <c r="KT217" s="6"/>
      <c r="KU217" s="6"/>
      <c r="KV217" s="6"/>
      <c r="KW217" s="6"/>
      <c r="KX217" s="5" t="str">
        <f t="shared" si="791"/>
        <v>NO APLICA</v>
      </c>
      <c r="KY217" s="5"/>
      <c r="KZ217" s="6"/>
      <c r="LA217" s="6"/>
      <c r="LB217" s="6"/>
      <c r="LC217" s="5" t="str">
        <f t="shared" si="786"/>
        <v>NO APLICA</v>
      </c>
      <c r="LD217" s="6"/>
      <c r="LE217" s="6"/>
      <c r="LF217" s="6"/>
      <c r="LG217" s="6"/>
      <c r="LH217" s="5" t="str">
        <f t="shared" si="619"/>
        <v>NO APLICA</v>
      </c>
      <c r="LI217" s="5"/>
      <c r="LJ217" s="5"/>
      <c r="LK217" s="4"/>
      <c r="LL217" s="8"/>
      <c r="LM217" s="5" t="str">
        <f t="shared" si="792"/>
        <v>NO APLICA</v>
      </c>
      <c r="LN217" s="6"/>
      <c r="LO217" s="6"/>
      <c r="LP217" s="6"/>
      <c r="LQ217" s="6"/>
      <c r="LR217" s="5" t="str">
        <f t="shared" si="787"/>
        <v>NO APLICA</v>
      </c>
      <c r="LS217" s="6"/>
      <c r="LT217" s="6"/>
      <c r="LU217" s="6"/>
      <c r="LV217" s="6"/>
      <c r="LW217" s="5" t="str">
        <f t="shared" si="788"/>
        <v>NO APLICA</v>
      </c>
      <c r="LX217" s="6"/>
      <c r="LY217" s="6"/>
      <c r="LZ217" s="6"/>
      <c r="MA217" s="6"/>
      <c r="MB217" s="5" t="str">
        <f t="shared" si="789"/>
        <v>NO APLICA</v>
      </c>
      <c r="MC217" s="6"/>
      <c r="MD217" s="6"/>
      <c r="ME217" s="6"/>
      <c r="MF217" s="6"/>
      <c r="MG217" s="5" t="str">
        <f t="shared" si="766"/>
        <v>NO APLICA</v>
      </c>
      <c r="MH217" s="6"/>
      <c r="MI217" s="6"/>
      <c r="MJ217" s="6"/>
      <c r="MK217" s="6"/>
      <c r="ML217" s="5" t="str">
        <f t="shared" si="767"/>
        <v>NO APLICA</v>
      </c>
      <c r="MM217" s="5"/>
      <c r="MN217" s="6"/>
      <c r="MO217" s="6"/>
      <c r="MP217" s="6"/>
      <c r="MQ217" s="5" t="str">
        <f t="shared" si="768"/>
        <v>NO APLICA</v>
      </c>
      <c r="MR217" s="5"/>
      <c r="MS217" s="6"/>
      <c r="MT217" s="6"/>
      <c r="MU217" s="6"/>
      <c r="MV217" s="5" t="str">
        <f t="shared" si="769"/>
        <v>NO APLICA</v>
      </c>
      <c r="MW217" s="6"/>
      <c r="MX217" s="6"/>
      <c r="MY217" s="6"/>
      <c r="MZ217" s="6"/>
      <c r="NA217" s="5" t="str">
        <f t="shared" si="770"/>
        <v>NO APLICA</v>
      </c>
      <c r="NB217" s="6"/>
      <c r="NC217" s="6"/>
      <c r="ND217" s="6"/>
      <c r="NE217" s="6"/>
      <c r="NF217" s="5" t="str">
        <f t="shared" si="771"/>
        <v>NO APLICA</v>
      </c>
      <c r="NG217" s="6"/>
      <c r="NH217" s="6"/>
      <c r="NI217" s="6"/>
      <c r="NJ217" s="6"/>
      <c r="NK217" s="5" t="str">
        <f t="shared" si="772"/>
        <v>NO APLICA</v>
      </c>
      <c r="NL217" s="6"/>
      <c r="NM217" s="6"/>
      <c r="NN217" s="6"/>
      <c r="NO217" s="6"/>
      <c r="NP217" s="5" t="str">
        <f t="shared" si="773"/>
        <v>NO APLICA</v>
      </c>
      <c r="NQ217" s="6"/>
      <c r="NR217" s="6"/>
      <c r="NS217" s="6"/>
      <c r="NT217" s="6"/>
      <c r="NU217" s="5" t="str">
        <f t="shared" si="774"/>
        <v>NO APLICA</v>
      </c>
      <c r="NV217" s="6"/>
      <c r="NW217" s="6"/>
      <c r="NX217" s="6"/>
      <c r="NY217" s="6"/>
      <c r="NZ217" s="5" t="str">
        <f t="shared" si="775"/>
        <v>NO APLICA</v>
      </c>
      <c r="OA217" s="6"/>
      <c r="OB217" s="6"/>
      <c r="OC217" s="6"/>
      <c r="OD217" s="6"/>
      <c r="OE217" s="5" t="str">
        <f t="shared" si="776"/>
        <v>NO APLICA</v>
      </c>
      <c r="OF217" s="6"/>
      <c r="OG217" s="6"/>
      <c r="OH217" s="6"/>
      <c r="OI217" s="6"/>
      <c r="OJ217" s="5" t="str">
        <f t="shared" si="777"/>
        <v>NO APLICA</v>
      </c>
      <c r="OK217" s="6"/>
      <c r="OL217" s="6"/>
      <c r="OM217" s="6"/>
      <c r="ON217" s="6"/>
      <c r="OO217" s="5" t="str">
        <f t="shared" si="778"/>
        <v>NO APLICA</v>
      </c>
      <c r="OP217" s="6"/>
      <c r="OQ217" s="6"/>
      <c r="OR217" s="6"/>
      <c r="OS217" s="6"/>
      <c r="OT217" s="5" t="str">
        <f t="shared" si="779"/>
        <v>NO APLICA</v>
      </c>
      <c r="OU217" s="6"/>
      <c r="OV217" s="6"/>
      <c r="OW217" s="6"/>
      <c r="OX217" s="6"/>
      <c r="OY217" s="5" t="str">
        <f t="shared" si="793"/>
        <v>NO APLICA</v>
      </c>
      <c r="OZ217" s="6"/>
      <c r="PA217" s="6"/>
      <c r="PB217" s="6"/>
      <c r="PC217" s="6"/>
      <c r="PD217" s="5" t="str">
        <f t="shared" si="780"/>
        <v>NO APLICA</v>
      </c>
      <c r="PE217" s="6"/>
      <c r="PF217" s="6"/>
      <c r="PG217" s="6"/>
      <c r="PH217" s="6"/>
      <c r="PI217" s="5" t="str">
        <f t="shared" si="781"/>
        <v>NO APLICA</v>
      </c>
      <c r="PJ217" s="5"/>
      <c r="PK217" s="6"/>
      <c r="PL217" s="6"/>
      <c r="PM217" s="6"/>
      <c r="PN217" s="5" t="str">
        <f t="shared" si="790"/>
        <v>NO APLICA</v>
      </c>
      <c r="PO217" s="6"/>
      <c r="PP217" s="6"/>
      <c r="PQ217" s="6"/>
      <c r="PR217" s="6"/>
      <c r="PS217" s="5" t="str">
        <f t="shared" si="782"/>
        <v>NO APLICA</v>
      </c>
      <c r="PT217" s="5"/>
      <c r="PU217" s="6"/>
      <c r="PV217" s="6"/>
      <c r="PW217" s="6"/>
      <c r="PX217" s="5" t="str">
        <f t="shared" si="783"/>
        <v>NO APLICA</v>
      </c>
    </row>
    <row r="218" spans="1:440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6"/>
      <c r="V218" s="4"/>
      <c r="W218" s="4"/>
      <c r="X218" s="8"/>
      <c r="Y218" s="5" t="str">
        <f t="shared" si="624"/>
        <v>NO APLICA</v>
      </c>
      <c r="Z218" s="6"/>
      <c r="AA218" s="6"/>
      <c r="AB218" s="6"/>
      <c r="AC218" s="6"/>
      <c r="AD218" s="5" t="str">
        <f t="shared" si="627"/>
        <v>NO APLICA</v>
      </c>
      <c r="AE218" s="4"/>
      <c r="AF218" s="4"/>
      <c r="AG218" s="4"/>
      <c r="AH218" s="6"/>
      <c r="AI218" s="5" t="str">
        <f t="shared" si="621"/>
        <v>NO APLICA</v>
      </c>
      <c r="AJ218" s="4"/>
      <c r="AK218" s="4"/>
      <c r="AL218" s="4"/>
      <c r="AM218" s="6"/>
      <c r="AN218" s="5" t="str">
        <f t="shared" si="720"/>
        <v>NO APLICA</v>
      </c>
      <c r="AO218" s="4"/>
      <c r="AP218" s="4"/>
      <c r="AQ218" s="4"/>
      <c r="AR218" s="6"/>
      <c r="AS218" s="5" t="str">
        <f t="shared" si="721"/>
        <v>NO APLICA</v>
      </c>
      <c r="AT218" s="4"/>
      <c r="AU218" s="4"/>
      <c r="AV218" s="4"/>
      <c r="AW218" s="6"/>
      <c r="AX218" s="5" t="str">
        <f t="shared" si="722"/>
        <v>NO APLICA</v>
      </c>
      <c r="AY218" s="4"/>
      <c r="AZ218" s="4"/>
      <c r="BA218" s="4"/>
      <c r="BB218" s="6"/>
      <c r="BC218" s="5" t="str">
        <f t="shared" si="723"/>
        <v>NO APLICA</v>
      </c>
      <c r="BD218" s="4"/>
      <c r="BE218" s="4"/>
      <c r="BF218" s="4"/>
      <c r="BG218" s="6"/>
      <c r="BH218" s="5" t="str">
        <f t="shared" si="724"/>
        <v>NO APLICA</v>
      </c>
      <c r="BI218" s="4"/>
      <c r="BJ218" s="4"/>
      <c r="BK218" s="4"/>
      <c r="BL218" s="6"/>
      <c r="BM218" s="5" t="str">
        <f t="shared" si="725"/>
        <v>NO APLICA</v>
      </c>
      <c r="BN218" s="4"/>
      <c r="BO218" s="4"/>
      <c r="BP218" s="4"/>
      <c r="BQ218" s="6"/>
      <c r="BR218" s="5" t="str">
        <f t="shared" si="726"/>
        <v>NO APLICA</v>
      </c>
      <c r="BS218" s="4"/>
      <c r="BT218" s="4"/>
      <c r="BU218" s="4"/>
      <c r="BV218" s="6"/>
      <c r="BW218" s="5" t="str">
        <f t="shared" si="727"/>
        <v>NO APLICA</v>
      </c>
      <c r="BX218" s="4"/>
      <c r="BY218" s="4"/>
      <c r="BZ218" s="4"/>
      <c r="CA218" s="6"/>
      <c r="CB218" s="5" t="str">
        <f t="shared" si="728"/>
        <v>NO APLICA</v>
      </c>
      <c r="CC218" s="6"/>
      <c r="CD218" s="6"/>
      <c r="CE218" s="6"/>
      <c r="CF218" s="6"/>
      <c r="CG218" s="5" t="str">
        <f t="shared" si="794"/>
        <v>NO APLICA</v>
      </c>
      <c r="CH218" s="4"/>
      <c r="CI218" s="4"/>
      <c r="CJ218" s="4"/>
      <c r="CK218" s="6"/>
      <c r="CL218" s="5" t="str">
        <f t="shared" si="729"/>
        <v>NO APLICA</v>
      </c>
      <c r="CM218" s="4"/>
      <c r="CN218" s="4"/>
      <c r="CO218" s="4"/>
      <c r="CP218" s="6"/>
      <c r="CQ218" s="5" t="str">
        <f t="shared" si="730"/>
        <v>NO APLICA</v>
      </c>
      <c r="CR218" s="4"/>
      <c r="CS218" s="4"/>
      <c r="CT218" s="4"/>
      <c r="CU218" s="6"/>
      <c r="CV218" s="5" t="str">
        <f t="shared" si="731"/>
        <v>NO APLICA</v>
      </c>
      <c r="CW218" s="4"/>
      <c r="CX218" s="4"/>
      <c r="CY218" s="4"/>
      <c r="CZ218" s="6"/>
      <c r="DA218" s="5" t="str">
        <f t="shared" si="732"/>
        <v>NO APLICA</v>
      </c>
      <c r="DB218" s="4"/>
      <c r="DC218" s="4"/>
      <c r="DD218" s="4"/>
      <c r="DE218" s="6"/>
      <c r="DF218" s="5" t="str">
        <f t="shared" si="733"/>
        <v>NO APLICA</v>
      </c>
      <c r="DG218" s="4"/>
      <c r="DH218" s="4"/>
      <c r="DI218" s="4"/>
      <c r="DJ218" s="6"/>
      <c r="DK218" s="5" t="str">
        <f t="shared" si="734"/>
        <v>NO APLICA</v>
      </c>
      <c r="DL218" s="4"/>
      <c r="DM218" s="4"/>
      <c r="DN218" s="4"/>
      <c r="DO218" s="6"/>
      <c r="DP218" s="5" t="str">
        <f t="shared" si="735"/>
        <v>NO APLICA</v>
      </c>
      <c r="DQ218" s="4"/>
      <c r="DR218" s="4"/>
      <c r="DS218" s="4"/>
      <c r="DT218" s="6"/>
      <c r="DU218" s="5" t="str">
        <f t="shared" si="736"/>
        <v>NO APLICA</v>
      </c>
      <c r="DV218" s="4"/>
      <c r="DW218" s="4"/>
      <c r="DX218" s="4"/>
      <c r="DY218" s="6"/>
      <c r="DZ218" s="5" t="str">
        <f t="shared" si="737"/>
        <v>NO APLICA</v>
      </c>
      <c r="EA218" s="4"/>
      <c r="EB218" s="4"/>
      <c r="EC218" s="4"/>
      <c r="ED218" s="6"/>
      <c r="EE218" s="5" t="str">
        <f t="shared" si="738"/>
        <v>NO APLICA</v>
      </c>
      <c r="EF218" s="4"/>
      <c r="EG218" s="4"/>
      <c r="EH218" s="4"/>
      <c r="EI218" s="8"/>
      <c r="EJ218" s="5" t="str">
        <f t="shared" si="739"/>
        <v>NO APLICA</v>
      </c>
      <c r="EK218" s="4"/>
      <c r="EL218" s="4"/>
      <c r="EM218" s="4"/>
      <c r="EN218" s="8"/>
      <c r="EO218" s="5" t="str">
        <f t="shared" si="740"/>
        <v>NO APLICA</v>
      </c>
      <c r="EP218" s="4"/>
      <c r="EQ218" s="4"/>
      <c r="ER218" s="4"/>
      <c r="ES218" s="8"/>
      <c r="ET218" s="5" t="str">
        <f t="shared" si="741"/>
        <v>NO APLICA</v>
      </c>
      <c r="EU218" s="4"/>
      <c r="EV218" s="4"/>
      <c r="EW218" s="4"/>
      <c r="EX218" s="6"/>
      <c r="EY218" s="5" t="str">
        <f t="shared" si="742"/>
        <v>NO APLICA</v>
      </c>
      <c r="EZ218" s="4"/>
      <c r="FA218" s="4"/>
      <c r="FB218" s="4"/>
      <c r="FC218" s="6"/>
      <c r="FD218" s="5" t="str">
        <f t="shared" si="743"/>
        <v>NO APLICA</v>
      </c>
      <c r="FE218" s="4"/>
      <c r="FF218" s="4"/>
      <c r="FG218" s="4"/>
      <c r="FH218" s="6"/>
      <c r="FI218" s="5" t="str">
        <f t="shared" si="744"/>
        <v>NO APLICA</v>
      </c>
      <c r="FJ218" s="4"/>
      <c r="FK218" s="4"/>
      <c r="FL218" s="4"/>
      <c r="FM218" s="6"/>
      <c r="FN218" s="5" t="str">
        <f t="shared" si="745"/>
        <v>NO APLICA</v>
      </c>
      <c r="FO218" s="4"/>
      <c r="FP218" s="4"/>
      <c r="FQ218" s="4"/>
      <c r="FR218" s="6"/>
      <c r="FS218" s="5" t="str">
        <f t="shared" si="746"/>
        <v>NO APLICA</v>
      </c>
      <c r="FT218" s="4"/>
      <c r="FU218" s="4"/>
      <c r="FV218" s="4"/>
      <c r="FW218" s="6"/>
      <c r="FX218" s="5" t="str">
        <f t="shared" si="747"/>
        <v>NO APLICA</v>
      </c>
      <c r="FY218" s="4"/>
      <c r="FZ218" s="4"/>
      <c r="GA218" s="4"/>
      <c r="GB218" s="6"/>
      <c r="GC218" s="5" t="str">
        <f t="shared" si="748"/>
        <v>NO APLICA</v>
      </c>
      <c r="GD218" s="4"/>
      <c r="GE218" s="4"/>
      <c r="GF218" s="4"/>
      <c r="GG218" s="8"/>
      <c r="GH218" s="5" t="str">
        <f t="shared" si="749"/>
        <v>NO APLICA</v>
      </c>
      <c r="GI218" s="4"/>
      <c r="GJ218" s="6"/>
      <c r="GK218" s="6"/>
      <c r="GL218" s="6"/>
      <c r="GM218" s="5" t="str">
        <f t="shared" si="750"/>
        <v>NO APLICA</v>
      </c>
      <c r="GN218" s="4"/>
      <c r="GO218" s="6"/>
      <c r="GP218" s="6"/>
      <c r="GQ218" s="6"/>
      <c r="GR218" s="5" t="str">
        <f t="shared" si="630"/>
        <v>NO APLICA</v>
      </c>
      <c r="GS218" s="4"/>
      <c r="GT218" s="6"/>
      <c r="GU218" s="6"/>
      <c r="GV218" s="6"/>
      <c r="GW218" s="5" t="str">
        <f t="shared" si="631"/>
        <v>NO APLICA</v>
      </c>
      <c r="GX218" s="6"/>
      <c r="GY218" s="6"/>
      <c r="GZ218" s="6"/>
      <c r="HA218" s="6"/>
      <c r="HB218" s="5" t="str">
        <f t="shared" si="632"/>
        <v>NO APLICA</v>
      </c>
      <c r="HC218" s="6"/>
      <c r="HD218" s="6"/>
      <c r="HE218" s="4"/>
      <c r="HF218" s="8"/>
      <c r="HG218" s="5" t="str">
        <f t="shared" si="718"/>
        <v>NO APLICA</v>
      </c>
      <c r="HH218" s="6"/>
      <c r="HI218" s="6"/>
      <c r="HJ218" s="6"/>
      <c r="HK218" s="6"/>
      <c r="HL218" s="5" t="str">
        <f t="shared" si="714"/>
        <v>NO APLICA</v>
      </c>
      <c r="HM218" s="6"/>
      <c r="HN218" s="6"/>
      <c r="HO218" s="6"/>
      <c r="HP218" s="6"/>
      <c r="HQ218" s="5" t="str">
        <f t="shared" si="751"/>
        <v>NO APLICA</v>
      </c>
      <c r="HR218" s="6"/>
      <c r="HS218" s="6"/>
      <c r="HT218" s="6"/>
      <c r="HU218" s="6"/>
      <c r="HV218" s="5" t="str">
        <f t="shared" si="752"/>
        <v>NO APLICA</v>
      </c>
      <c r="HW218" s="6"/>
      <c r="HX218" s="6"/>
      <c r="HY218" s="6"/>
      <c r="HZ218" s="6"/>
      <c r="IA218" s="5" t="str">
        <f t="shared" si="753"/>
        <v>NO APLICA</v>
      </c>
      <c r="IB218" s="6"/>
      <c r="IC218" s="6"/>
      <c r="ID218" s="6"/>
      <c r="IE218" s="6"/>
      <c r="IF218" s="5" t="str">
        <f t="shared" si="754"/>
        <v>NO APLICA</v>
      </c>
      <c r="IG218" s="6"/>
      <c r="IH218" s="6"/>
      <c r="II218" s="6"/>
      <c r="IJ218" s="6"/>
      <c r="IK218" s="5" t="str">
        <f t="shared" si="755"/>
        <v>NO APLICA</v>
      </c>
      <c r="IL218" s="6"/>
      <c r="IM218" s="6"/>
      <c r="IN218" s="6"/>
      <c r="IO218" s="6"/>
      <c r="IP218" s="5" t="str">
        <f t="shared" si="756"/>
        <v>NO APLICA</v>
      </c>
      <c r="IQ218" s="6"/>
      <c r="IR218" s="6"/>
      <c r="IS218" s="6"/>
      <c r="IT218" s="6"/>
      <c r="IU218" s="5" t="str">
        <f t="shared" si="757"/>
        <v>NO APLICA</v>
      </c>
      <c r="IV218" s="6"/>
      <c r="IW218" s="6"/>
      <c r="IX218" s="6"/>
      <c r="IY218" s="6"/>
      <c r="IZ218" s="5" t="str">
        <f t="shared" si="758"/>
        <v>NO APLICA</v>
      </c>
      <c r="JA218" s="6"/>
      <c r="JB218" s="6"/>
      <c r="JC218" s="6"/>
      <c r="JD218" s="6"/>
      <c r="JE218" s="5" t="str">
        <f t="shared" si="759"/>
        <v>NO APLICA</v>
      </c>
      <c r="JF218" s="6"/>
      <c r="JG218" s="6"/>
      <c r="JH218" s="6"/>
      <c r="JI218" s="6"/>
      <c r="JJ218" s="5" t="str">
        <f t="shared" si="760"/>
        <v>NO APLICA</v>
      </c>
      <c r="JK218" s="6"/>
      <c r="JL218" s="6"/>
      <c r="JM218" s="6"/>
      <c r="JN218" s="6"/>
      <c r="JO218" s="5" t="str">
        <f t="shared" si="761"/>
        <v>NO APLICA</v>
      </c>
      <c r="JP218" s="6"/>
      <c r="JQ218" s="6"/>
      <c r="JR218" s="6"/>
      <c r="JS218" s="6"/>
      <c r="JT218" s="5" t="str">
        <f t="shared" si="762"/>
        <v>NO APLICA</v>
      </c>
      <c r="JU218" s="5"/>
      <c r="JV218" s="5"/>
      <c r="JW218" s="5"/>
      <c r="JX218" s="5"/>
      <c r="JY218" s="5" t="str">
        <f t="shared" si="763"/>
        <v>NO APLICA</v>
      </c>
      <c r="JZ218" s="5"/>
      <c r="KA218" s="6"/>
      <c r="KB218" s="6"/>
      <c r="KC218" s="6"/>
      <c r="KD218" s="5" t="str">
        <f t="shared" si="764"/>
        <v>NO APLICA</v>
      </c>
      <c r="KE218" s="5"/>
      <c r="KF218" s="6"/>
      <c r="KG218" s="6"/>
      <c r="KH218" s="6"/>
      <c r="KI218" s="5" t="str">
        <f t="shared" si="784"/>
        <v>NO APLICA</v>
      </c>
      <c r="KJ218" s="5"/>
      <c r="KK218" s="6"/>
      <c r="KL218" s="6"/>
      <c r="KM218" s="6"/>
      <c r="KN218" s="5" t="str">
        <f t="shared" si="765"/>
        <v>NO APLICA</v>
      </c>
      <c r="KO218" s="5"/>
      <c r="KP218" s="6"/>
      <c r="KQ218" s="6"/>
      <c r="KR218" s="6"/>
      <c r="KS218" s="5" t="str">
        <f t="shared" si="785"/>
        <v>NO APLICA</v>
      </c>
      <c r="KT218" s="6"/>
      <c r="KU218" s="6"/>
      <c r="KV218" s="6"/>
      <c r="KW218" s="6"/>
      <c r="KX218" s="5" t="str">
        <f t="shared" si="791"/>
        <v>NO APLICA</v>
      </c>
      <c r="KY218" s="5"/>
      <c r="KZ218" s="6"/>
      <c r="LA218" s="6"/>
      <c r="LB218" s="6"/>
      <c r="LC218" s="5" t="str">
        <f t="shared" si="786"/>
        <v>NO APLICA</v>
      </c>
      <c r="LD218" s="6"/>
      <c r="LE218" s="6"/>
      <c r="LF218" s="6"/>
      <c r="LG218" s="6"/>
      <c r="LH218" s="5" t="str">
        <f t="shared" si="619"/>
        <v>NO APLICA</v>
      </c>
      <c r="LI218" s="5"/>
      <c r="LJ218" s="5"/>
      <c r="LK218" s="4"/>
      <c r="LL218" s="8"/>
      <c r="LM218" s="5" t="str">
        <f t="shared" si="792"/>
        <v>NO APLICA</v>
      </c>
      <c r="LN218" s="6"/>
      <c r="LO218" s="6"/>
      <c r="LP218" s="6"/>
      <c r="LQ218" s="6"/>
      <c r="LR218" s="5" t="str">
        <f t="shared" si="787"/>
        <v>NO APLICA</v>
      </c>
      <c r="LS218" s="6"/>
      <c r="LT218" s="6"/>
      <c r="LU218" s="6"/>
      <c r="LV218" s="6"/>
      <c r="LW218" s="5" t="str">
        <f t="shared" si="788"/>
        <v>NO APLICA</v>
      </c>
      <c r="LX218" s="6"/>
      <c r="LY218" s="6"/>
      <c r="LZ218" s="6"/>
      <c r="MA218" s="6"/>
      <c r="MB218" s="5" t="str">
        <f t="shared" si="789"/>
        <v>NO APLICA</v>
      </c>
      <c r="MC218" s="6"/>
      <c r="MD218" s="6"/>
      <c r="ME218" s="6"/>
      <c r="MF218" s="6"/>
      <c r="MG218" s="5" t="str">
        <f t="shared" si="766"/>
        <v>NO APLICA</v>
      </c>
      <c r="MH218" s="6"/>
      <c r="MI218" s="6"/>
      <c r="MJ218" s="6"/>
      <c r="MK218" s="6"/>
      <c r="ML218" s="5" t="str">
        <f t="shared" si="767"/>
        <v>NO APLICA</v>
      </c>
      <c r="MM218" s="5"/>
      <c r="MN218" s="6"/>
      <c r="MO218" s="6"/>
      <c r="MP218" s="6"/>
      <c r="MQ218" s="5" t="str">
        <f t="shared" si="768"/>
        <v>NO APLICA</v>
      </c>
      <c r="MR218" s="5"/>
      <c r="MS218" s="6"/>
      <c r="MT218" s="6"/>
      <c r="MU218" s="6"/>
      <c r="MV218" s="5" t="str">
        <f t="shared" si="769"/>
        <v>NO APLICA</v>
      </c>
      <c r="MW218" s="6"/>
      <c r="MX218" s="6"/>
      <c r="MY218" s="6"/>
      <c r="MZ218" s="6"/>
      <c r="NA218" s="5" t="str">
        <f t="shared" si="770"/>
        <v>NO APLICA</v>
      </c>
      <c r="NB218" s="6"/>
      <c r="NC218" s="6"/>
      <c r="ND218" s="6"/>
      <c r="NE218" s="6"/>
      <c r="NF218" s="5" t="str">
        <f t="shared" si="771"/>
        <v>NO APLICA</v>
      </c>
      <c r="NG218" s="6"/>
      <c r="NH218" s="6"/>
      <c r="NI218" s="6"/>
      <c r="NJ218" s="6"/>
      <c r="NK218" s="5" t="str">
        <f t="shared" si="772"/>
        <v>NO APLICA</v>
      </c>
      <c r="NL218" s="6"/>
      <c r="NM218" s="6"/>
      <c r="NN218" s="6"/>
      <c r="NO218" s="6"/>
      <c r="NP218" s="5" t="str">
        <f t="shared" si="773"/>
        <v>NO APLICA</v>
      </c>
      <c r="NQ218" s="6"/>
      <c r="NR218" s="6"/>
      <c r="NS218" s="6"/>
      <c r="NT218" s="6"/>
      <c r="NU218" s="5" t="str">
        <f t="shared" si="774"/>
        <v>NO APLICA</v>
      </c>
      <c r="NV218" s="6"/>
      <c r="NW218" s="6"/>
      <c r="NX218" s="6"/>
      <c r="NY218" s="6"/>
      <c r="NZ218" s="5" t="str">
        <f t="shared" si="775"/>
        <v>NO APLICA</v>
      </c>
      <c r="OA218" s="6"/>
      <c r="OB218" s="6"/>
      <c r="OC218" s="6"/>
      <c r="OD218" s="6"/>
      <c r="OE218" s="5" t="str">
        <f t="shared" si="776"/>
        <v>NO APLICA</v>
      </c>
      <c r="OF218" s="6"/>
      <c r="OG218" s="6"/>
      <c r="OH218" s="6"/>
      <c r="OI218" s="6"/>
      <c r="OJ218" s="5" t="str">
        <f t="shared" si="777"/>
        <v>NO APLICA</v>
      </c>
      <c r="OK218" s="6"/>
      <c r="OL218" s="6"/>
      <c r="OM218" s="6"/>
      <c r="ON218" s="6"/>
      <c r="OO218" s="5" t="str">
        <f t="shared" si="778"/>
        <v>NO APLICA</v>
      </c>
      <c r="OP218" s="6"/>
      <c r="OQ218" s="6"/>
      <c r="OR218" s="6"/>
      <c r="OS218" s="6"/>
      <c r="OT218" s="5" t="str">
        <f t="shared" si="779"/>
        <v>NO APLICA</v>
      </c>
      <c r="OU218" s="6"/>
      <c r="OV218" s="6"/>
      <c r="OW218" s="6"/>
      <c r="OX218" s="6"/>
      <c r="OY218" s="5" t="str">
        <f t="shared" si="793"/>
        <v>NO APLICA</v>
      </c>
      <c r="OZ218" s="6"/>
      <c r="PA218" s="6"/>
      <c r="PB218" s="6"/>
      <c r="PC218" s="6"/>
      <c r="PD218" s="5" t="str">
        <f t="shared" si="780"/>
        <v>NO APLICA</v>
      </c>
      <c r="PE218" s="6"/>
      <c r="PF218" s="6"/>
      <c r="PG218" s="6"/>
      <c r="PH218" s="6"/>
      <c r="PI218" s="5" t="str">
        <f t="shared" si="781"/>
        <v>NO APLICA</v>
      </c>
      <c r="PJ218" s="5"/>
      <c r="PK218" s="6"/>
      <c r="PL218" s="6"/>
      <c r="PM218" s="6"/>
      <c r="PN218" s="5" t="str">
        <f t="shared" si="790"/>
        <v>NO APLICA</v>
      </c>
      <c r="PO218" s="6"/>
      <c r="PP218" s="6"/>
      <c r="PQ218" s="6"/>
      <c r="PR218" s="6"/>
      <c r="PS218" s="5" t="str">
        <f t="shared" si="782"/>
        <v>NO APLICA</v>
      </c>
      <c r="PT218" s="5"/>
      <c r="PU218" s="6"/>
      <c r="PV218" s="6"/>
      <c r="PW218" s="6"/>
      <c r="PX218" s="5" t="str">
        <f t="shared" si="783"/>
        <v>NO APLICA</v>
      </c>
    </row>
    <row r="219" spans="1:440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6"/>
      <c r="V219" s="4"/>
      <c r="W219" s="4"/>
      <c r="X219" s="8"/>
      <c r="Y219" s="5" t="str">
        <f t="shared" si="624"/>
        <v>NO APLICA</v>
      </c>
      <c r="Z219" s="6"/>
      <c r="AA219" s="6"/>
      <c r="AB219" s="6"/>
      <c r="AC219" s="6"/>
      <c r="AD219" s="5" t="str">
        <f t="shared" si="627"/>
        <v>NO APLICA</v>
      </c>
      <c r="AE219" s="4"/>
      <c r="AF219" s="4"/>
      <c r="AG219" s="4"/>
      <c r="AH219" s="6"/>
      <c r="AI219" s="5" t="str">
        <f t="shared" si="621"/>
        <v>NO APLICA</v>
      </c>
      <c r="AJ219" s="4"/>
      <c r="AK219" s="4"/>
      <c r="AL219" s="4"/>
      <c r="AM219" s="6"/>
      <c r="AN219" s="5" t="str">
        <f t="shared" si="720"/>
        <v>NO APLICA</v>
      </c>
      <c r="AO219" s="4"/>
      <c r="AP219" s="4"/>
      <c r="AQ219" s="4"/>
      <c r="AR219" s="6"/>
      <c r="AS219" s="5" t="str">
        <f t="shared" si="721"/>
        <v>NO APLICA</v>
      </c>
      <c r="AT219" s="4"/>
      <c r="AU219" s="4"/>
      <c r="AV219" s="4"/>
      <c r="AW219" s="6"/>
      <c r="AX219" s="5" t="str">
        <f t="shared" si="722"/>
        <v>NO APLICA</v>
      </c>
      <c r="AY219" s="4"/>
      <c r="AZ219" s="4"/>
      <c r="BA219" s="4"/>
      <c r="BB219" s="6"/>
      <c r="BC219" s="5" t="str">
        <f t="shared" si="723"/>
        <v>NO APLICA</v>
      </c>
      <c r="BD219" s="4"/>
      <c r="BE219" s="4"/>
      <c r="BF219" s="4"/>
      <c r="BG219" s="6"/>
      <c r="BH219" s="5" t="str">
        <f t="shared" si="724"/>
        <v>NO APLICA</v>
      </c>
      <c r="BI219" s="4"/>
      <c r="BJ219" s="4"/>
      <c r="BK219" s="4"/>
      <c r="BL219" s="6"/>
      <c r="BM219" s="5" t="str">
        <f t="shared" si="725"/>
        <v>NO APLICA</v>
      </c>
      <c r="BN219" s="4"/>
      <c r="BO219" s="4"/>
      <c r="BP219" s="4"/>
      <c r="BQ219" s="6"/>
      <c r="BR219" s="5" t="str">
        <f t="shared" si="726"/>
        <v>NO APLICA</v>
      </c>
      <c r="BS219" s="4"/>
      <c r="BT219" s="4"/>
      <c r="BU219" s="4"/>
      <c r="BV219" s="6"/>
      <c r="BW219" s="5" t="str">
        <f t="shared" si="727"/>
        <v>NO APLICA</v>
      </c>
      <c r="BX219" s="4"/>
      <c r="BY219" s="4"/>
      <c r="BZ219" s="4"/>
      <c r="CA219" s="6"/>
      <c r="CB219" s="5" t="str">
        <f t="shared" si="728"/>
        <v>NO APLICA</v>
      </c>
      <c r="CC219" s="6"/>
      <c r="CD219" s="6"/>
      <c r="CE219" s="6"/>
      <c r="CF219" s="6"/>
      <c r="CG219" s="5" t="str">
        <f t="shared" si="794"/>
        <v>NO APLICA</v>
      </c>
      <c r="CH219" s="4"/>
      <c r="CI219" s="4"/>
      <c r="CJ219" s="4"/>
      <c r="CK219" s="6"/>
      <c r="CL219" s="5" t="str">
        <f t="shared" si="729"/>
        <v>NO APLICA</v>
      </c>
      <c r="CM219" s="4"/>
      <c r="CN219" s="4"/>
      <c r="CO219" s="4"/>
      <c r="CP219" s="6"/>
      <c r="CQ219" s="5" t="str">
        <f t="shared" si="730"/>
        <v>NO APLICA</v>
      </c>
      <c r="CR219" s="4"/>
      <c r="CS219" s="4"/>
      <c r="CT219" s="4"/>
      <c r="CU219" s="6"/>
      <c r="CV219" s="5" t="str">
        <f t="shared" si="731"/>
        <v>NO APLICA</v>
      </c>
      <c r="CW219" s="4"/>
      <c r="CX219" s="4"/>
      <c r="CY219" s="4"/>
      <c r="CZ219" s="6"/>
      <c r="DA219" s="5" t="str">
        <f t="shared" si="732"/>
        <v>NO APLICA</v>
      </c>
      <c r="DB219" s="4"/>
      <c r="DC219" s="4"/>
      <c r="DD219" s="4"/>
      <c r="DE219" s="6"/>
      <c r="DF219" s="5" t="str">
        <f t="shared" si="733"/>
        <v>NO APLICA</v>
      </c>
      <c r="DG219" s="4"/>
      <c r="DH219" s="4"/>
      <c r="DI219" s="4"/>
      <c r="DJ219" s="6"/>
      <c r="DK219" s="5" t="str">
        <f t="shared" si="734"/>
        <v>NO APLICA</v>
      </c>
      <c r="DL219" s="4"/>
      <c r="DM219" s="4"/>
      <c r="DN219" s="4"/>
      <c r="DO219" s="6"/>
      <c r="DP219" s="5" t="str">
        <f t="shared" si="735"/>
        <v>NO APLICA</v>
      </c>
      <c r="DQ219" s="4"/>
      <c r="DR219" s="4"/>
      <c r="DS219" s="4"/>
      <c r="DT219" s="6"/>
      <c r="DU219" s="5" t="str">
        <f t="shared" si="736"/>
        <v>NO APLICA</v>
      </c>
      <c r="DV219" s="4"/>
      <c r="DW219" s="4"/>
      <c r="DX219" s="4"/>
      <c r="DY219" s="6"/>
      <c r="DZ219" s="5" t="str">
        <f t="shared" si="737"/>
        <v>NO APLICA</v>
      </c>
      <c r="EA219" s="4"/>
      <c r="EB219" s="4"/>
      <c r="EC219" s="4"/>
      <c r="ED219" s="6"/>
      <c r="EE219" s="5" t="str">
        <f t="shared" si="738"/>
        <v>NO APLICA</v>
      </c>
      <c r="EF219" s="4"/>
      <c r="EG219" s="4"/>
      <c r="EH219" s="4"/>
      <c r="EI219" s="8"/>
      <c r="EJ219" s="5" t="str">
        <f t="shared" si="739"/>
        <v>NO APLICA</v>
      </c>
      <c r="EK219" s="4"/>
      <c r="EL219" s="4"/>
      <c r="EM219" s="4"/>
      <c r="EN219" s="8"/>
      <c r="EO219" s="5" t="str">
        <f t="shared" si="740"/>
        <v>NO APLICA</v>
      </c>
      <c r="EP219" s="4"/>
      <c r="EQ219" s="4"/>
      <c r="ER219" s="4"/>
      <c r="ES219" s="8"/>
      <c r="ET219" s="5" t="str">
        <f t="shared" si="741"/>
        <v>NO APLICA</v>
      </c>
      <c r="EU219" s="4"/>
      <c r="EV219" s="4"/>
      <c r="EW219" s="4"/>
      <c r="EX219" s="6"/>
      <c r="EY219" s="5" t="str">
        <f t="shared" si="742"/>
        <v>NO APLICA</v>
      </c>
      <c r="EZ219" s="4"/>
      <c r="FA219" s="4"/>
      <c r="FB219" s="4"/>
      <c r="FC219" s="6"/>
      <c r="FD219" s="5" t="str">
        <f t="shared" si="743"/>
        <v>NO APLICA</v>
      </c>
      <c r="FE219" s="4"/>
      <c r="FF219" s="4"/>
      <c r="FG219" s="4"/>
      <c r="FH219" s="6"/>
      <c r="FI219" s="5" t="str">
        <f t="shared" si="744"/>
        <v>NO APLICA</v>
      </c>
      <c r="FJ219" s="4"/>
      <c r="FK219" s="4"/>
      <c r="FL219" s="4"/>
      <c r="FM219" s="6"/>
      <c r="FN219" s="5" t="str">
        <f t="shared" si="745"/>
        <v>NO APLICA</v>
      </c>
      <c r="FO219" s="4"/>
      <c r="FP219" s="4"/>
      <c r="FQ219" s="4"/>
      <c r="FR219" s="6"/>
      <c r="FS219" s="5" t="str">
        <f t="shared" si="746"/>
        <v>NO APLICA</v>
      </c>
      <c r="FT219" s="4"/>
      <c r="FU219" s="4"/>
      <c r="FV219" s="4"/>
      <c r="FW219" s="6"/>
      <c r="FX219" s="5" t="str">
        <f t="shared" si="747"/>
        <v>NO APLICA</v>
      </c>
      <c r="FY219" s="4"/>
      <c r="FZ219" s="4"/>
      <c r="GA219" s="4"/>
      <c r="GB219" s="6"/>
      <c r="GC219" s="5" t="str">
        <f t="shared" si="748"/>
        <v>NO APLICA</v>
      </c>
      <c r="GD219" s="4"/>
      <c r="GE219" s="4"/>
      <c r="GF219" s="4"/>
      <c r="GG219" s="8"/>
      <c r="GH219" s="5" t="str">
        <f t="shared" si="749"/>
        <v>NO APLICA</v>
      </c>
      <c r="GI219" s="4"/>
      <c r="GJ219" s="6"/>
      <c r="GK219" s="6"/>
      <c r="GL219" s="6"/>
      <c r="GM219" s="5" t="str">
        <f t="shared" si="750"/>
        <v>NO APLICA</v>
      </c>
      <c r="GN219" s="4"/>
      <c r="GO219" s="6"/>
      <c r="GP219" s="6"/>
      <c r="GQ219" s="6"/>
      <c r="GR219" s="5" t="str">
        <f t="shared" si="630"/>
        <v>NO APLICA</v>
      </c>
      <c r="GS219" s="4"/>
      <c r="GT219" s="6"/>
      <c r="GU219" s="6"/>
      <c r="GV219" s="6"/>
      <c r="GW219" s="5" t="str">
        <f t="shared" si="631"/>
        <v>NO APLICA</v>
      </c>
      <c r="GX219" s="6"/>
      <c r="GY219" s="6"/>
      <c r="GZ219" s="6"/>
      <c r="HA219" s="6"/>
      <c r="HB219" s="5" t="str">
        <f t="shared" si="632"/>
        <v>NO APLICA</v>
      </c>
      <c r="HC219" s="6"/>
      <c r="HD219" s="6"/>
      <c r="HE219" s="4"/>
      <c r="HF219" s="8"/>
      <c r="HG219" s="5" t="str">
        <f t="shared" si="718"/>
        <v>NO APLICA</v>
      </c>
      <c r="HH219" s="6"/>
      <c r="HI219" s="6"/>
      <c r="HJ219" s="6"/>
      <c r="HK219" s="6"/>
      <c r="HL219" s="5" t="str">
        <f t="shared" si="714"/>
        <v>NO APLICA</v>
      </c>
      <c r="HM219" s="6"/>
      <c r="HN219" s="6"/>
      <c r="HO219" s="6"/>
      <c r="HP219" s="6"/>
      <c r="HQ219" s="5" t="str">
        <f t="shared" si="751"/>
        <v>NO APLICA</v>
      </c>
      <c r="HR219" s="6"/>
      <c r="HS219" s="6"/>
      <c r="HT219" s="6"/>
      <c r="HU219" s="6"/>
      <c r="HV219" s="5" t="str">
        <f t="shared" si="752"/>
        <v>NO APLICA</v>
      </c>
      <c r="HW219" s="6"/>
      <c r="HX219" s="6"/>
      <c r="HY219" s="6"/>
      <c r="HZ219" s="6"/>
      <c r="IA219" s="5" t="str">
        <f t="shared" si="753"/>
        <v>NO APLICA</v>
      </c>
      <c r="IB219" s="6"/>
      <c r="IC219" s="6"/>
      <c r="ID219" s="6"/>
      <c r="IE219" s="6"/>
      <c r="IF219" s="5" t="str">
        <f t="shared" si="754"/>
        <v>NO APLICA</v>
      </c>
      <c r="IG219" s="6"/>
      <c r="IH219" s="6"/>
      <c r="II219" s="6"/>
      <c r="IJ219" s="6"/>
      <c r="IK219" s="5" t="str">
        <f t="shared" si="755"/>
        <v>NO APLICA</v>
      </c>
      <c r="IL219" s="6"/>
      <c r="IM219" s="6"/>
      <c r="IN219" s="6"/>
      <c r="IO219" s="6"/>
      <c r="IP219" s="5" t="str">
        <f t="shared" si="756"/>
        <v>NO APLICA</v>
      </c>
      <c r="IQ219" s="6"/>
      <c r="IR219" s="6"/>
      <c r="IS219" s="6"/>
      <c r="IT219" s="6"/>
      <c r="IU219" s="5" t="str">
        <f t="shared" si="757"/>
        <v>NO APLICA</v>
      </c>
      <c r="IV219" s="6"/>
      <c r="IW219" s="6"/>
      <c r="IX219" s="6"/>
      <c r="IY219" s="6"/>
      <c r="IZ219" s="5" t="str">
        <f t="shared" si="758"/>
        <v>NO APLICA</v>
      </c>
      <c r="JA219" s="6"/>
      <c r="JB219" s="6"/>
      <c r="JC219" s="6"/>
      <c r="JD219" s="6"/>
      <c r="JE219" s="5" t="str">
        <f t="shared" si="759"/>
        <v>NO APLICA</v>
      </c>
      <c r="JF219" s="6"/>
      <c r="JG219" s="6"/>
      <c r="JH219" s="6"/>
      <c r="JI219" s="6"/>
      <c r="JJ219" s="5" t="str">
        <f t="shared" si="760"/>
        <v>NO APLICA</v>
      </c>
      <c r="JK219" s="6"/>
      <c r="JL219" s="6"/>
      <c r="JM219" s="6"/>
      <c r="JN219" s="6"/>
      <c r="JO219" s="5" t="str">
        <f t="shared" si="761"/>
        <v>NO APLICA</v>
      </c>
      <c r="JP219" s="6"/>
      <c r="JQ219" s="6"/>
      <c r="JR219" s="6"/>
      <c r="JS219" s="6"/>
      <c r="JT219" s="5" t="str">
        <f t="shared" si="762"/>
        <v>NO APLICA</v>
      </c>
      <c r="JU219" s="5"/>
      <c r="JV219" s="3"/>
      <c r="JW219" s="4"/>
      <c r="JX219" s="8"/>
      <c r="JY219" s="5" t="str">
        <f>IF(JX219&gt;=61,"VIGENTE",IF(JX219&gt;=1,"POR VENCER",IF(JX219&lt;=-1,"VENCIDA",IF(JV219=0,"NO APLICA"))))</f>
        <v>NO APLICA</v>
      </c>
      <c r="JZ219" s="5"/>
      <c r="KA219" s="6"/>
      <c r="KB219" s="6"/>
      <c r="KC219" s="6"/>
      <c r="KD219" s="5" t="str">
        <f t="shared" si="764"/>
        <v>NO APLICA</v>
      </c>
      <c r="KE219" s="5"/>
      <c r="KF219" s="6"/>
      <c r="KG219" s="6"/>
      <c r="KH219" s="6"/>
      <c r="KI219" s="5" t="str">
        <f t="shared" si="784"/>
        <v>NO APLICA</v>
      </c>
      <c r="KJ219" s="5"/>
      <c r="KK219" s="6"/>
      <c r="KL219" s="6"/>
      <c r="KM219" s="6"/>
      <c r="KN219" s="5" t="str">
        <f t="shared" si="765"/>
        <v>NO APLICA</v>
      </c>
      <c r="KO219" s="5"/>
      <c r="KP219" s="6"/>
      <c r="KQ219" s="6"/>
      <c r="KR219" s="6"/>
      <c r="KS219" s="5" t="str">
        <f t="shared" si="785"/>
        <v>NO APLICA</v>
      </c>
      <c r="KT219" s="6"/>
      <c r="KU219" s="6"/>
      <c r="KV219" s="6"/>
      <c r="KW219" s="6"/>
      <c r="KX219" s="5" t="str">
        <f t="shared" si="791"/>
        <v>NO APLICA</v>
      </c>
      <c r="KY219" s="5"/>
      <c r="KZ219" s="6"/>
      <c r="LA219" s="6"/>
      <c r="LB219" s="6"/>
      <c r="LC219" s="5" t="str">
        <f t="shared" si="786"/>
        <v>NO APLICA</v>
      </c>
      <c r="LD219" s="6"/>
      <c r="LE219" s="6"/>
      <c r="LF219" s="6"/>
      <c r="LG219" s="6"/>
      <c r="LH219" s="5" t="str">
        <f t="shared" si="619"/>
        <v>NO APLICA</v>
      </c>
      <c r="LI219" s="5"/>
      <c r="LJ219" s="5"/>
      <c r="LK219" s="4"/>
      <c r="LL219" s="8"/>
      <c r="LM219" s="5" t="str">
        <f t="shared" si="792"/>
        <v>NO APLICA</v>
      </c>
      <c r="LN219" s="6"/>
      <c r="LO219" s="6"/>
      <c r="LP219" s="6"/>
      <c r="LQ219" s="6"/>
      <c r="LR219" s="5" t="str">
        <f t="shared" si="787"/>
        <v>NO APLICA</v>
      </c>
      <c r="LS219" s="6"/>
      <c r="LT219" s="6"/>
      <c r="LU219" s="6"/>
      <c r="LV219" s="6"/>
      <c r="LW219" s="5" t="str">
        <f t="shared" si="788"/>
        <v>NO APLICA</v>
      </c>
      <c r="LX219" s="6"/>
      <c r="LY219" s="6"/>
      <c r="LZ219" s="6"/>
      <c r="MA219" s="6"/>
      <c r="MB219" s="5" t="str">
        <f t="shared" si="789"/>
        <v>NO APLICA</v>
      </c>
      <c r="MC219" s="6"/>
      <c r="MD219" s="6"/>
      <c r="ME219" s="6"/>
      <c r="MF219" s="6"/>
      <c r="MG219" s="5" t="str">
        <f t="shared" si="766"/>
        <v>NO APLICA</v>
      </c>
      <c r="MH219" s="6"/>
      <c r="MI219" s="6"/>
      <c r="MJ219" s="6"/>
      <c r="MK219" s="6"/>
      <c r="ML219" s="5" t="str">
        <f t="shared" si="767"/>
        <v>NO APLICA</v>
      </c>
      <c r="MM219" s="5"/>
      <c r="MN219" s="6"/>
      <c r="MO219" s="6"/>
      <c r="MP219" s="6"/>
      <c r="MQ219" s="5" t="str">
        <f t="shared" si="768"/>
        <v>NO APLICA</v>
      </c>
      <c r="MR219" s="5"/>
      <c r="MS219" s="6"/>
      <c r="MT219" s="6"/>
      <c r="MU219" s="6"/>
      <c r="MV219" s="5" t="str">
        <f t="shared" si="769"/>
        <v>NO APLICA</v>
      </c>
      <c r="MW219" s="6"/>
      <c r="MX219" s="6"/>
      <c r="MY219" s="6"/>
      <c r="MZ219" s="6"/>
      <c r="NA219" s="5" t="str">
        <f t="shared" si="770"/>
        <v>NO APLICA</v>
      </c>
      <c r="NB219" s="6"/>
      <c r="NC219" s="6"/>
      <c r="ND219" s="6"/>
      <c r="NE219" s="6"/>
      <c r="NF219" s="5" t="str">
        <f t="shared" si="771"/>
        <v>NO APLICA</v>
      </c>
      <c r="NG219" s="6"/>
      <c r="NH219" s="6"/>
      <c r="NI219" s="6"/>
      <c r="NJ219" s="6"/>
      <c r="NK219" s="5" t="str">
        <f t="shared" si="772"/>
        <v>NO APLICA</v>
      </c>
      <c r="NL219" s="6"/>
      <c r="NM219" s="6"/>
      <c r="NN219" s="6"/>
      <c r="NO219" s="6"/>
      <c r="NP219" s="5" t="str">
        <f t="shared" si="773"/>
        <v>NO APLICA</v>
      </c>
      <c r="NQ219" s="6"/>
      <c r="NR219" s="6"/>
      <c r="NS219" s="6"/>
      <c r="NT219" s="6"/>
      <c r="NU219" s="5" t="str">
        <f t="shared" si="774"/>
        <v>NO APLICA</v>
      </c>
      <c r="NV219" s="6"/>
      <c r="NW219" s="6"/>
      <c r="NX219" s="6"/>
      <c r="NY219" s="6"/>
      <c r="NZ219" s="5" t="str">
        <f t="shared" si="775"/>
        <v>NO APLICA</v>
      </c>
      <c r="OA219" s="6"/>
      <c r="OB219" s="6"/>
      <c r="OC219" s="6"/>
      <c r="OD219" s="6"/>
      <c r="OE219" s="5" t="str">
        <f t="shared" si="776"/>
        <v>NO APLICA</v>
      </c>
      <c r="OF219" s="6"/>
      <c r="OG219" s="6"/>
      <c r="OH219" s="6"/>
      <c r="OI219" s="6"/>
      <c r="OJ219" s="5" t="str">
        <f t="shared" si="777"/>
        <v>NO APLICA</v>
      </c>
      <c r="OK219" s="6"/>
      <c r="OL219" s="6"/>
      <c r="OM219" s="6"/>
      <c r="ON219" s="6"/>
      <c r="OO219" s="5" t="str">
        <f t="shared" si="778"/>
        <v>NO APLICA</v>
      </c>
      <c r="OP219" s="6"/>
      <c r="OQ219" s="6"/>
      <c r="OR219" s="6"/>
      <c r="OS219" s="6"/>
      <c r="OT219" s="5" t="str">
        <f t="shared" si="779"/>
        <v>NO APLICA</v>
      </c>
      <c r="OU219" s="6"/>
      <c r="OV219" s="6"/>
      <c r="OW219" s="6"/>
      <c r="OX219" s="6"/>
      <c r="OY219" s="5" t="str">
        <f t="shared" si="793"/>
        <v>NO APLICA</v>
      </c>
      <c r="OZ219" s="6"/>
      <c r="PA219" s="6"/>
      <c r="PB219" s="6"/>
      <c r="PC219" s="6"/>
      <c r="PD219" s="5" t="str">
        <f t="shared" si="780"/>
        <v>NO APLICA</v>
      </c>
      <c r="PE219" s="6"/>
      <c r="PF219" s="6"/>
      <c r="PG219" s="6"/>
      <c r="PH219" s="6"/>
      <c r="PI219" s="5" t="str">
        <f t="shared" si="781"/>
        <v>NO APLICA</v>
      </c>
      <c r="PJ219" s="5"/>
      <c r="PK219" s="6"/>
      <c r="PL219" s="6"/>
      <c r="PM219" s="6"/>
      <c r="PN219" s="5" t="str">
        <f t="shared" si="790"/>
        <v>NO APLICA</v>
      </c>
      <c r="PO219" s="6"/>
      <c r="PP219" s="6"/>
      <c r="PQ219" s="6"/>
      <c r="PR219" s="6"/>
      <c r="PS219" s="5" t="str">
        <f t="shared" si="782"/>
        <v>NO APLICA</v>
      </c>
      <c r="PT219" s="5"/>
      <c r="PU219" s="6"/>
      <c r="PV219" s="6"/>
      <c r="PW219" s="6"/>
      <c r="PX219" s="5" t="str">
        <f t="shared" si="783"/>
        <v>NO APLICA</v>
      </c>
    </row>
    <row r="220" spans="1:440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6"/>
      <c r="V220" s="4"/>
      <c r="W220" s="4"/>
      <c r="X220" s="8"/>
      <c r="Y220" s="5" t="str">
        <f t="shared" si="624"/>
        <v>NO APLICA</v>
      </c>
      <c r="Z220" s="6"/>
      <c r="AA220" s="6"/>
      <c r="AB220" s="6"/>
      <c r="AC220" s="6"/>
      <c r="AD220" s="5" t="str">
        <f t="shared" si="627"/>
        <v>NO APLICA</v>
      </c>
      <c r="AE220" s="4"/>
      <c r="AF220" s="4"/>
      <c r="AG220" s="4"/>
      <c r="AH220" s="6"/>
      <c r="AI220" s="5" t="str">
        <f t="shared" si="621"/>
        <v>NO APLICA</v>
      </c>
      <c r="AJ220" s="4"/>
      <c r="AK220" s="4"/>
      <c r="AL220" s="4"/>
      <c r="AM220" s="6"/>
      <c r="AN220" s="5" t="str">
        <f t="shared" si="720"/>
        <v>NO APLICA</v>
      </c>
      <c r="AO220" s="4"/>
      <c r="AP220" s="4"/>
      <c r="AQ220" s="4"/>
      <c r="AR220" s="6"/>
      <c r="AS220" s="5" t="str">
        <f t="shared" si="721"/>
        <v>NO APLICA</v>
      </c>
      <c r="AT220" s="4"/>
      <c r="AU220" s="4"/>
      <c r="AV220" s="4"/>
      <c r="AW220" s="6"/>
      <c r="AX220" s="5" t="str">
        <f t="shared" si="722"/>
        <v>NO APLICA</v>
      </c>
      <c r="AY220" s="4"/>
      <c r="AZ220" s="4"/>
      <c r="BA220" s="4"/>
      <c r="BB220" s="6"/>
      <c r="BC220" s="5" t="str">
        <f t="shared" si="723"/>
        <v>NO APLICA</v>
      </c>
      <c r="BD220" s="4"/>
      <c r="BE220" s="4"/>
      <c r="BF220" s="4"/>
      <c r="BG220" s="6"/>
      <c r="BH220" s="5" t="str">
        <f t="shared" si="724"/>
        <v>NO APLICA</v>
      </c>
      <c r="BI220" s="4"/>
      <c r="BJ220" s="4"/>
      <c r="BK220" s="4"/>
      <c r="BL220" s="6"/>
      <c r="BM220" s="5" t="str">
        <f t="shared" si="725"/>
        <v>NO APLICA</v>
      </c>
      <c r="BN220" s="4"/>
      <c r="BO220" s="4"/>
      <c r="BP220" s="4"/>
      <c r="BQ220" s="6"/>
      <c r="BR220" s="5" t="str">
        <f t="shared" si="726"/>
        <v>NO APLICA</v>
      </c>
      <c r="BS220" s="4"/>
      <c r="BT220" s="4"/>
      <c r="BU220" s="4"/>
      <c r="BV220" s="6"/>
      <c r="BW220" s="5" t="str">
        <f t="shared" si="727"/>
        <v>NO APLICA</v>
      </c>
      <c r="BX220" s="4"/>
      <c r="BY220" s="4"/>
      <c r="BZ220" s="4"/>
      <c r="CA220" s="6"/>
      <c r="CB220" s="5" t="str">
        <f t="shared" si="728"/>
        <v>NO APLICA</v>
      </c>
      <c r="CC220" s="6"/>
      <c r="CD220" s="6"/>
      <c r="CE220" s="6"/>
      <c r="CF220" s="6"/>
      <c r="CG220" s="5" t="str">
        <f t="shared" si="794"/>
        <v>NO APLICA</v>
      </c>
      <c r="CH220" s="4"/>
      <c r="CI220" s="4"/>
      <c r="CJ220" s="4"/>
      <c r="CK220" s="6"/>
      <c r="CL220" s="5" t="str">
        <f t="shared" si="729"/>
        <v>NO APLICA</v>
      </c>
      <c r="CM220" s="4"/>
      <c r="CN220" s="4"/>
      <c r="CO220" s="4"/>
      <c r="CP220" s="6"/>
      <c r="CQ220" s="5" t="str">
        <f t="shared" si="730"/>
        <v>NO APLICA</v>
      </c>
      <c r="CR220" s="4"/>
      <c r="CS220" s="4"/>
      <c r="CT220" s="4"/>
      <c r="CU220" s="6"/>
      <c r="CV220" s="5" t="str">
        <f t="shared" si="731"/>
        <v>NO APLICA</v>
      </c>
      <c r="CW220" s="4"/>
      <c r="CX220" s="4"/>
      <c r="CY220" s="4"/>
      <c r="CZ220" s="6"/>
      <c r="DA220" s="5" t="str">
        <f t="shared" si="732"/>
        <v>NO APLICA</v>
      </c>
      <c r="DB220" s="4"/>
      <c r="DC220" s="4"/>
      <c r="DD220" s="4"/>
      <c r="DE220" s="6"/>
      <c r="DF220" s="5" t="str">
        <f t="shared" si="733"/>
        <v>NO APLICA</v>
      </c>
      <c r="DG220" s="4"/>
      <c r="DH220" s="4"/>
      <c r="DI220" s="4"/>
      <c r="DJ220" s="6"/>
      <c r="DK220" s="5" t="str">
        <f t="shared" si="734"/>
        <v>NO APLICA</v>
      </c>
      <c r="DL220" s="4"/>
      <c r="DM220" s="4"/>
      <c r="DN220" s="4"/>
      <c r="DO220" s="6"/>
      <c r="DP220" s="5" t="str">
        <f t="shared" si="735"/>
        <v>NO APLICA</v>
      </c>
      <c r="DQ220" s="4"/>
      <c r="DR220" s="4"/>
      <c r="DS220" s="4"/>
      <c r="DT220" s="6"/>
      <c r="DU220" s="5" t="str">
        <f t="shared" si="736"/>
        <v>NO APLICA</v>
      </c>
      <c r="DV220" s="4"/>
      <c r="DW220" s="4"/>
      <c r="DX220" s="4"/>
      <c r="DY220" s="6"/>
      <c r="DZ220" s="5" t="str">
        <f t="shared" si="737"/>
        <v>NO APLICA</v>
      </c>
      <c r="EA220" s="4"/>
      <c r="EB220" s="4"/>
      <c r="EC220" s="4"/>
      <c r="ED220" s="6"/>
      <c r="EE220" s="5" t="str">
        <f t="shared" si="738"/>
        <v>NO APLICA</v>
      </c>
      <c r="EF220" s="4"/>
      <c r="EG220" s="4"/>
      <c r="EH220" s="4"/>
      <c r="EI220" s="8"/>
      <c r="EJ220" s="5" t="str">
        <f t="shared" si="739"/>
        <v>NO APLICA</v>
      </c>
      <c r="EK220" s="4"/>
      <c r="EL220" s="4"/>
      <c r="EM220" s="4"/>
      <c r="EN220" s="8"/>
      <c r="EO220" s="5" t="str">
        <f t="shared" si="740"/>
        <v>NO APLICA</v>
      </c>
      <c r="EP220" s="4"/>
      <c r="EQ220" s="4"/>
      <c r="ER220" s="4"/>
      <c r="ES220" s="8"/>
      <c r="ET220" s="5" t="str">
        <f t="shared" si="741"/>
        <v>NO APLICA</v>
      </c>
      <c r="EU220" s="4"/>
      <c r="EV220" s="4"/>
      <c r="EW220" s="4"/>
      <c r="EX220" s="6"/>
      <c r="EY220" s="5" t="str">
        <f t="shared" si="742"/>
        <v>NO APLICA</v>
      </c>
      <c r="EZ220" s="4"/>
      <c r="FA220" s="4"/>
      <c r="FB220" s="4"/>
      <c r="FC220" s="6"/>
      <c r="FD220" s="5" t="str">
        <f t="shared" si="743"/>
        <v>NO APLICA</v>
      </c>
      <c r="FE220" s="4"/>
      <c r="FF220" s="4"/>
      <c r="FG220" s="4"/>
      <c r="FH220" s="6"/>
      <c r="FI220" s="5" t="str">
        <f t="shared" si="744"/>
        <v>NO APLICA</v>
      </c>
      <c r="FJ220" s="4"/>
      <c r="FK220" s="4"/>
      <c r="FL220" s="4"/>
      <c r="FM220" s="6"/>
      <c r="FN220" s="5" t="str">
        <f t="shared" si="745"/>
        <v>NO APLICA</v>
      </c>
      <c r="FO220" s="4"/>
      <c r="FP220" s="4"/>
      <c r="FQ220" s="4"/>
      <c r="FR220" s="6"/>
      <c r="FS220" s="5" t="str">
        <f t="shared" si="746"/>
        <v>NO APLICA</v>
      </c>
      <c r="FT220" s="4"/>
      <c r="FU220" s="4"/>
      <c r="FV220" s="4"/>
      <c r="FW220" s="6"/>
      <c r="FX220" s="5" t="str">
        <f t="shared" si="747"/>
        <v>NO APLICA</v>
      </c>
      <c r="FY220" s="4"/>
      <c r="FZ220" s="4"/>
      <c r="GA220" s="4"/>
      <c r="GB220" s="6"/>
      <c r="GC220" s="5" t="str">
        <f t="shared" si="748"/>
        <v>NO APLICA</v>
      </c>
      <c r="GD220" s="4"/>
      <c r="GE220" s="4"/>
      <c r="GF220" s="4"/>
      <c r="GG220" s="8"/>
      <c r="GH220" s="5" t="str">
        <f t="shared" si="749"/>
        <v>NO APLICA</v>
      </c>
      <c r="GI220" s="4"/>
      <c r="GJ220" s="6"/>
      <c r="GK220" s="6"/>
      <c r="GL220" s="6"/>
      <c r="GM220" s="5" t="str">
        <f t="shared" si="750"/>
        <v>NO APLICA</v>
      </c>
      <c r="GN220" s="4"/>
      <c r="GO220" s="6"/>
      <c r="GP220" s="6"/>
      <c r="GQ220" s="6"/>
      <c r="GR220" s="5" t="str">
        <f t="shared" si="630"/>
        <v>NO APLICA</v>
      </c>
      <c r="GS220" s="4"/>
      <c r="GT220" s="6"/>
      <c r="GU220" s="6"/>
      <c r="GV220" s="6"/>
      <c r="GW220" s="5" t="str">
        <f t="shared" si="631"/>
        <v>NO APLICA</v>
      </c>
      <c r="GX220" s="6"/>
      <c r="GY220" s="6"/>
      <c r="GZ220" s="6"/>
      <c r="HA220" s="6"/>
      <c r="HB220" s="5" t="str">
        <f t="shared" si="632"/>
        <v>NO APLICA</v>
      </c>
      <c r="HC220" s="6"/>
      <c r="HD220" s="6"/>
      <c r="HE220" s="4"/>
      <c r="HF220" s="8"/>
      <c r="HG220" s="5" t="str">
        <f t="shared" si="718"/>
        <v>NO APLICA</v>
      </c>
      <c r="HH220" s="6"/>
      <c r="HI220" s="6"/>
      <c r="HJ220" s="6"/>
      <c r="HK220" s="6"/>
      <c r="HL220" s="5" t="str">
        <f t="shared" si="714"/>
        <v>NO APLICA</v>
      </c>
      <c r="HM220" s="6"/>
      <c r="HN220" s="6"/>
      <c r="HO220" s="6"/>
      <c r="HP220" s="6"/>
      <c r="HQ220" s="5" t="str">
        <f t="shared" si="751"/>
        <v>NO APLICA</v>
      </c>
      <c r="HR220" s="6"/>
      <c r="HS220" s="6"/>
      <c r="HT220" s="6"/>
      <c r="HU220" s="6"/>
      <c r="HV220" s="5" t="str">
        <f t="shared" si="752"/>
        <v>NO APLICA</v>
      </c>
      <c r="HW220" s="6"/>
      <c r="HX220" s="6"/>
      <c r="HY220" s="6"/>
      <c r="HZ220" s="6"/>
      <c r="IA220" s="5" t="str">
        <f t="shared" si="753"/>
        <v>NO APLICA</v>
      </c>
      <c r="IB220" s="6"/>
      <c r="IC220" s="6"/>
      <c r="ID220" s="6"/>
      <c r="IE220" s="6"/>
      <c r="IF220" s="5" t="str">
        <f t="shared" si="754"/>
        <v>NO APLICA</v>
      </c>
      <c r="IG220" s="6"/>
      <c r="IH220" s="6"/>
      <c r="II220" s="6"/>
      <c r="IJ220" s="6"/>
      <c r="IK220" s="5" t="str">
        <f t="shared" si="755"/>
        <v>NO APLICA</v>
      </c>
      <c r="IL220" s="6"/>
      <c r="IM220" s="6"/>
      <c r="IN220" s="6"/>
      <c r="IO220" s="6"/>
      <c r="IP220" s="5" t="str">
        <f t="shared" si="756"/>
        <v>NO APLICA</v>
      </c>
      <c r="IQ220" s="6"/>
      <c r="IR220" s="6"/>
      <c r="IS220" s="6"/>
      <c r="IT220" s="6"/>
      <c r="IU220" s="5" t="str">
        <f t="shared" si="757"/>
        <v>NO APLICA</v>
      </c>
      <c r="IV220" s="6"/>
      <c r="IW220" s="6"/>
      <c r="IX220" s="6"/>
      <c r="IY220" s="6"/>
      <c r="IZ220" s="5" t="str">
        <f t="shared" si="758"/>
        <v>NO APLICA</v>
      </c>
      <c r="JA220" s="6"/>
      <c r="JB220" s="6"/>
      <c r="JC220" s="6"/>
      <c r="JD220" s="6"/>
      <c r="JE220" s="5" t="str">
        <f t="shared" si="759"/>
        <v>NO APLICA</v>
      </c>
      <c r="JF220" s="6"/>
      <c r="JG220" s="6"/>
      <c r="JH220" s="6"/>
      <c r="JI220" s="6"/>
      <c r="JJ220" s="5" t="str">
        <f t="shared" si="760"/>
        <v>NO APLICA</v>
      </c>
      <c r="JK220" s="6"/>
      <c r="JL220" s="6"/>
      <c r="JM220" s="6"/>
      <c r="JN220" s="6"/>
      <c r="JO220" s="5" t="str">
        <f t="shared" si="761"/>
        <v>NO APLICA</v>
      </c>
      <c r="JP220" s="6"/>
      <c r="JQ220" s="6"/>
      <c r="JR220" s="6"/>
      <c r="JS220" s="6"/>
      <c r="JT220" s="5" t="str">
        <f t="shared" si="762"/>
        <v>NO APLICA</v>
      </c>
      <c r="JU220" s="5"/>
      <c r="JV220" s="5"/>
      <c r="JW220" s="5"/>
      <c r="JX220" s="5"/>
      <c r="JY220" s="5" t="str">
        <f t="shared" si="763"/>
        <v>NO APLICA</v>
      </c>
      <c r="JZ220" s="5"/>
      <c r="KA220" s="6"/>
      <c r="KB220" s="6"/>
      <c r="KC220" s="6"/>
      <c r="KD220" s="5" t="str">
        <f t="shared" si="764"/>
        <v>NO APLICA</v>
      </c>
      <c r="KE220" s="5"/>
      <c r="KF220" s="6"/>
      <c r="KG220" s="6"/>
      <c r="KH220" s="6"/>
      <c r="KI220" s="5" t="str">
        <f t="shared" si="784"/>
        <v>NO APLICA</v>
      </c>
      <c r="KJ220" s="5"/>
      <c r="KK220" s="6"/>
      <c r="KL220" s="6"/>
      <c r="KM220" s="6"/>
      <c r="KN220" s="5" t="str">
        <f t="shared" si="765"/>
        <v>NO APLICA</v>
      </c>
      <c r="KO220" s="5"/>
      <c r="KP220" s="6"/>
      <c r="KQ220" s="6"/>
      <c r="KR220" s="6"/>
      <c r="KS220" s="5" t="str">
        <f t="shared" si="785"/>
        <v>NO APLICA</v>
      </c>
      <c r="KT220" s="6"/>
      <c r="KU220" s="6"/>
      <c r="KV220" s="6"/>
      <c r="KW220" s="6"/>
      <c r="KX220" s="5" t="str">
        <f t="shared" si="791"/>
        <v>NO APLICA</v>
      </c>
      <c r="KY220" s="5"/>
      <c r="KZ220" s="6"/>
      <c r="LA220" s="6"/>
      <c r="LB220" s="6"/>
      <c r="LC220" s="5" t="str">
        <f t="shared" si="786"/>
        <v>NO APLICA</v>
      </c>
      <c r="LD220" s="6"/>
      <c r="LE220" s="6"/>
      <c r="LF220" s="6"/>
      <c r="LG220" s="6"/>
      <c r="LH220" s="5" t="str">
        <f t="shared" si="619"/>
        <v>NO APLICA</v>
      </c>
      <c r="LI220" s="5"/>
      <c r="LJ220" s="5"/>
      <c r="LK220" s="4"/>
      <c r="LL220" s="8"/>
      <c r="LM220" s="5" t="str">
        <f t="shared" si="792"/>
        <v>NO APLICA</v>
      </c>
      <c r="LN220" s="6"/>
      <c r="LO220" s="6"/>
      <c r="LP220" s="6"/>
      <c r="LQ220" s="6"/>
      <c r="LR220" s="5" t="str">
        <f t="shared" si="787"/>
        <v>NO APLICA</v>
      </c>
      <c r="LS220" s="6"/>
      <c r="LT220" s="6"/>
      <c r="LU220" s="6"/>
      <c r="LV220" s="6"/>
      <c r="LW220" s="5" t="str">
        <f t="shared" si="788"/>
        <v>NO APLICA</v>
      </c>
      <c r="LX220" s="6"/>
      <c r="LY220" s="6"/>
      <c r="LZ220" s="6"/>
      <c r="MA220" s="6"/>
      <c r="MB220" s="5" t="str">
        <f t="shared" si="789"/>
        <v>NO APLICA</v>
      </c>
      <c r="MC220" s="6"/>
      <c r="MD220" s="6"/>
      <c r="ME220" s="6"/>
      <c r="MF220" s="6"/>
      <c r="MG220" s="5" t="str">
        <f t="shared" si="766"/>
        <v>NO APLICA</v>
      </c>
      <c r="MH220" s="6"/>
      <c r="MI220" s="6"/>
      <c r="MJ220" s="6"/>
      <c r="MK220" s="6"/>
      <c r="ML220" s="5" t="str">
        <f t="shared" si="767"/>
        <v>NO APLICA</v>
      </c>
      <c r="MM220" s="5"/>
      <c r="MN220" s="6"/>
      <c r="MO220" s="6"/>
      <c r="MP220" s="6"/>
      <c r="MQ220" s="5" t="str">
        <f t="shared" si="768"/>
        <v>NO APLICA</v>
      </c>
      <c r="MR220" s="5"/>
      <c r="MS220" s="6"/>
      <c r="MT220" s="6"/>
      <c r="MU220" s="6"/>
      <c r="MV220" s="5" t="str">
        <f t="shared" si="769"/>
        <v>NO APLICA</v>
      </c>
      <c r="MW220" s="6"/>
      <c r="MX220" s="6"/>
      <c r="MY220" s="6"/>
      <c r="MZ220" s="6"/>
      <c r="NA220" s="5" t="str">
        <f t="shared" si="770"/>
        <v>NO APLICA</v>
      </c>
      <c r="NB220" s="6"/>
      <c r="NC220" s="6"/>
      <c r="ND220" s="6"/>
      <c r="NE220" s="6"/>
      <c r="NF220" s="5" t="str">
        <f t="shared" si="771"/>
        <v>NO APLICA</v>
      </c>
      <c r="NG220" s="6"/>
      <c r="NH220" s="6"/>
      <c r="NI220" s="6"/>
      <c r="NJ220" s="6"/>
      <c r="NK220" s="5" t="str">
        <f t="shared" si="772"/>
        <v>NO APLICA</v>
      </c>
      <c r="NL220" s="6"/>
      <c r="NM220" s="6"/>
      <c r="NN220" s="6"/>
      <c r="NO220" s="6"/>
      <c r="NP220" s="5" t="str">
        <f t="shared" si="773"/>
        <v>NO APLICA</v>
      </c>
      <c r="NQ220" s="6"/>
      <c r="NR220" s="6"/>
      <c r="NS220" s="6"/>
      <c r="NT220" s="6"/>
      <c r="NU220" s="5" t="str">
        <f t="shared" si="774"/>
        <v>NO APLICA</v>
      </c>
      <c r="NV220" s="6"/>
      <c r="NW220" s="6"/>
      <c r="NX220" s="6"/>
      <c r="NY220" s="6"/>
      <c r="NZ220" s="5" t="str">
        <f t="shared" si="775"/>
        <v>NO APLICA</v>
      </c>
      <c r="OA220" s="6"/>
      <c r="OB220" s="6"/>
      <c r="OC220" s="6"/>
      <c r="OD220" s="6"/>
      <c r="OE220" s="5" t="str">
        <f t="shared" si="776"/>
        <v>NO APLICA</v>
      </c>
      <c r="OF220" s="6"/>
      <c r="OG220" s="6"/>
      <c r="OH220" s="6"/>
      <c r="OI220" s="6"/>
      <c r="OJ220" s="5" t="str">
        <f t="shared" si="777"/>
        <v>NO APLICA</v>
      </c>
      <c r="OK220" s="6"/>
      <c r="OL220" s="6"/>
      <c r="OM220" s="6"/>
      <c r="ON220" s="6"/>
      <c r="OO220" s="5" t="str">
        <f t="shared" si="778"/>
        <v>NO APLICA</v>
      </c>
      <c r="OP220" s="6"/>
      <c r="OQ220" s="6"/>
      <c r="OR220" s="6"/>
      <c r="OS220" s="6"/>
      <c r="OT220" s="5" t="str">
        <f t="shared" si="779"/>
        <v>NO APLICA</v>
      </c>
      <c r="OU220" s="4"/>
      <c r="OV220" s="4">
        <v>44770</v>
      </c>
      <c r="OW220" s="4">
        <f>DATE(YEAR(OV220)+5,MONTH(OV220),DAY(OV220))</f>
        <v>46596</v>
      </c>
      <c r="OX220" s="8">
        <f ca="1">OW220-TODAY()</f>
        <v>462</v>
      </c>
      <c r="OY220" s="5" t="str">
        <f ca="1">IF(OX220&gt;=61,"VIGENTE",IF(OX220&gt;=1,"POR VENCER",IF(OX220&lt;=-1,"VENCIDA",IF(OV220=0,"NO APLICA"))))</f>
        <v>VIGENTE</v>
      </c>
      <c r="OZ220" s="6"/>
      <c r="PA220" s="6"/>
      <c r="PB220" s="6"/>
      <c r="PC220" s="6"/>
      <c r="PD220" s="5" t="str">
        <f t="shared" si="780"/>
        <v>NO APLICA</v>
      </c>
      <c r="PE220" s="6"/>
      <c r="PF220" s="6"/>
      <c r="PG220" s="6"/>
      <c r="PH220" s="6"/>
      <c r="PI220" s="5" t="str">
        <f t="shared" si="781"/>
        <v>NO APLICA</v>
      </c>
      <c r="PJ220" s="5"/>
      <c r="PK220" s="6"/>
      <c r="PL220" s="6"/>
      <c r="PM220" s="6"/>
      <c r="PN220" s="5" t="str">
        <f t="shared" si="790"/>
        <v>NO APLICA</v>
      </c>
      <c r="PO220" s="6"/>
      <c r="PP220" s="6"/>
      <c r="PQ220" s="6"/>
      <c r="PR220" s="6"/>
      <c r="PS220" s="5" t="str">
        <f t="shared" si="782"/>
        <v>NO APLICA</v>
      </c>
      <c r="PT220" s="5"/>
      <c r="PU220" s="6"/>
      <c r="PV220" s="6"/>
      <c r="PW220" s="6"/>
      <c r="PX220" s="5" t="str">
        <f t="shared" si="783"/>
        <v>NO APLICA</v>
      </c>
    </row>
    <row r="221" spans="1:440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6" t="s">
        <v>669</v>
      </c>
      <c r="V221" s="4">
        <v>46069</v>
      </c>
      <c r="W221" s="4">
        <f>DATE(YEAR(V221)+5,MONTH(V221),DAY(V221))</f>
        <v>47895</v>
      </c>
      <c r="X221" s="8">
        <f ca="1">W221-TODAY()</f>
        <v>1761</v>
      </c>
      <c r="Y221" s="5" t="str">
        <f ca="1">IF(X221&gt;=90,"VIGENTE",IF(X221&gt;=1,"POR VENCER",IF(X221&lt;=-1,"VENCIDA",IF(V221=0,"NO APLICA"))))</f>
        <v>VIGENTE</v>
      </c>
      <c r="Z221" s="6"/>
      <c r="AA221" s="6"/>
      <c r="AB221" s="6"/>
      <c r="AC221" s="6"/>
      <c r="AD221" s="5" t="str">
        <f t="shared" si="627"/>
        <v>NO APLICA</v>
      </c>
      <c r="AE221" s="4"/>
      <c r="AF221" s="4">
        <v>46006</v>
      </c>
      <c r="AG221" s="4">
        <f>DATE(YEAR(AF221)+2,MONTH(AF221),DAY(AF221))</f>
        <v>46736</v>
      </c>
      <c r="AH221" s="8">
        <f ca="1">AG221-TODAY()</f>
        <v>602</v>
      </c>
      <c r="AI221" s="5" t="str">
        <f ca="1">IF(AH221&gt;=91,"VIGENTE",IF(AH221&gt;=1,"POR VENCER",IF(AH221&lt;=-1,"VENCIDA",IF(AF221=0,"NO APLICA"))))</f>
        <v>VIGENTE</v>
      </c>
      <c r="AJ221" s="4"/>
      <c r="AK221" s="4">
        <v>45959</v>
      </c>
      <c r="AL221" s="4">
        <f>DATE(YEAR(AK221)+2,MONTH(AK221),DAY(AK221))</f>
        <v>46689</v>
      </c>
      <c r="AM221" s="8">
        <f ca="1">AL221-TODAY()</f>
        <v>555</v>
      </c>
      <c r="AN221" s="5" t="str">
        <f ca="1">IF(AM221&gt;=91,"VIGENTE",IF(AM221&gt;=1,"POR VENCER",IF(AM221&lt;=-1,"VENCIDA",IF(AK221=0,"NO APLICA"))))</f>
        <v>VIGENTE</v>
      </c>
      <c r="AO221" s="4"/>
      <c r="AP221" s="4">
        <v>45989</v>
      </c>
      <c r="AQ221" s="4">
        <f>DATE(YEAR(AP221)+2,MONTH(AP221),DAY(AP221))</f>
        <v>46719</v>
      </c>
      <c r="AR221" s="8">
        <f ca="1">AQ221-TODAY()</f>
        <v>585</v>
      </c>
      <c r="AS221" s="5" t="str">
        <f ca="1">IF(AR221&gt;=91,"VIGENTE",IF(AR221&gt;=1,"POR VENCER",IF(AR221&lt;=-1,"VENCIDA",IF(AP221=0,"NO APLICA"))))</f>
        <v>VIGENTE</v>
      </c>
      <c r="AT221" s="4"/>
      <c r="AU221" s="4">
        <v>45927</v>
      </c>
      <c r="AV221" s="4">
        <f>DATE(YEAR(AU221)+2,MONTH(AU221),DAY(AU221))</f>
        <v>46657</v>
      </c>
      <c r="AW221" s="8">
        <f ca="1">AV221-TODAY()</f>
        <v>523</v>
      </c>
      <c r="AX221" s="5" t="str">
        <f ca="1">IF(AW221&gt;=91,"VIGENTE",IF(AW221&gt;=1,"POR VENCER",IF(AW221&lt;=-1,"VENCIDA",IF(AU221=0,"NO APLICA"))))</f>
        <v>VIGENTE</v>
      </c>
      <c r="AY221" s="4"/>
      <c r="AZ221" s="4">
        <v>45980</v>
      </c>
      <c r="BA221" s="4">
        <f>DATE(YEAR(AZ221)+2,MONTH(AZ221),DAY(AZ221))</f>
        <v>46710</v>
      </c>
      <c r="BB221" s="8">
        <f ca="1">BA221-TODAY()</f>
        <v>576</v>
      </c>
      <c r="BC221" s="5" t="str">
        <f ca="1">IF(BB221&gt;=91,"VIGENTE",IF(BB221&gt;=1,"POR VENCER",IF(BB221&lt;=-1,"VENCIDA",IF(AZ221=0,"NO APLICA"))))</f>
        <v>VIGENTE</v>
      </c>
      <c r="BD221" s="4"/>
      <c r="BE221" s="4">
        <v>45997</v>
      </c>
      <c r="BF221" s="4">
        <f>DATE(YEAR(BE221)+2,MONTH(BE221),DAY(BE221))</f>
        <v>46727</v>
      </c>
      <c r="BG221" s="8">
        <f ca="1">BF221-TODAY()</f>
        <v>593</v>
      </c>
      <c r="BH221" s="5" t="str">
        <f ca="1">IF(BG221&gt;=91,"VIGENTE",IF(BG221&gt;=1,"POR VENCER",IF(BG221&lt;=-1,"VENCIDA",IF(BE221=0,"NO APLICA"))))</f>
        <v>VIGENTE</v>
      </c>
      <c r="BI221" s="4"/>
      <c r="BJ221" s="4">
        <v>46017</v>
      </c>
      <c r="BK221" s="4">
        <f>DATE(YEAR(BJ221)+2,MONTH(BJ221),DAY(BJ221))</f>
        <v>46747</v>
      </c>
      <c r="BL221" s="8">
        <f ca="1">BK221-TODAY()</f>
        <v>613</v>
      </c>
      <c r="BM221" s="5" t="str">
        <f ca="1">IF(BL221&gt;=91,"VIGENTE",IF(BL221&gt;=1,"POR VENCER",IF(BL221&lt;=-1,"VENCIDA",IF(BJ221=0,"NO APLICA"))))</f>
        <v>VIGENTE</v>
      </c>
      <c r="BN221" s="4"/>
      <c r="BO221" s="4">
        <v>45988</v>
      </c>
      <c r="BP221" s="4">
        <f>DATE(YEAR(BO221)+2,MONTH(BO221),DAY(BO221))</f>
        <v>46718</v>
      </c>
      <c r="BQ221" s="8">
        <f ca="1">BP221-TODAY()</f>
        <v>584</v>
      </c>
      <c r="BR221" s="5" t="str">
        <f ca="1">IF(BQ221&gt;=91,"VIGENTE",IF(BQ221&gt;=1,"POR VENCER",IF(BQ221&lt;=-1,"VENCIDA",IF(BO221=0,"NO APLICA"))))</f>
        <v>VIGENTE</v>
      </c>
      <c r="BS221" s="4"/>
      <c r="BT221" s="4">
        <v>45961</v>
      </c>
      <c r="BU221" s="4">
        <f>DATE(YEAR(BT221)+2,MONTH(BT221),DAY(BT221))</f>
        <v>46691</v>
      </c>
      <c r="BV221" s="8">
        <f ca="1">BU221-TODAY()</f>
        <v>557</v>
      </c>
      <c r="BW221" s="5" t="str">
        <f ca="1">IF(BV221&gt;=91,"VIGENTE",IF(BV221&gt;=1,"POR VENCER",IF(BV221&lt;=-1,"VENCIDA",IF(BT221=0,"NO APLICA"))))</f>
        <v>VIGENTE</v>
      </c>
      <c r="BX221" s="4"/>
      <c r="BY221" s="4">
        <v>45986</v>
      </c>
      <c r="BZ221" s="4">
        <f>DATE(YEAR(BY221)+2,MONTH(BY221),DAY(BY221))</f>
        <v>46716</v>
      </c>
      <c r="CA221" s="8">
        <f ca="1">BZ221-TODAY()</f>
        <v>582</v>
      </c>
      <c r="CB221" s="5" t="str">
        <f ca="1">IF(CA221&gt;=91,"VIGENTE",IF(CA221&gt;=1,"POR VENCER",IF(CA221&lt;=-1,"VENCIDA",IF(BY221=0,"NO APLICA"))))</f>
        <v>VIGENTE</v>
      </c>
      <c r="CC221" s="6"/>
      <c r="CD221" s="6"/>
      <c r="CE221" s="6"/>
      <c r="CF221" s="6"/>
      <c r="CG221" s="5" t="str">
        <f t="shared" si="794"/>
        <v>NO APLICA</v>
      </c>
      <c r="CH221" s="4"/>
      <c r="CI221" s="4">
        <v>46018</v>
      </c>
      <c r="CJ221" s="4">
        <f>DATE(YEAR(CI221)+2,MONTH(CI221),DAY(CI221))</f>
        <v>46748</v>
      </c>
      <c r="CK221" s="8">
        <f ca="1">CJ221-TODAY()</f>
        <v>614</v>
      </c>
      <c r="CL221" s="5" t="str">
        <f ca="1">IF(CK221&gt;=91,"VIGENTE",IF(CK221&gt;=1,"POR VENCER",IF(CK221&lt;=-1,"VENCIDA",IF(CI221=0,"NO APLICA"))))</f>
        <v>VIGENTE</v>
      </c>
      <c r="CM221" s="4"/>
      <c r="CN221" s="4">
        <v>45979</v>
      </c>
      <c r="CO221" s="4">
        <f>DATE(YEAR(CN221)+2,MONTH(CN221),DAY(CN221))</f>
        <v>46709</v>
      </c>
      <c r="CP221" s="8">
        <f ca="1">CO221-TODAY()</f>
        <v>575</v>
      </c>
      <c r="CQ221" s="5" t="str">
        <f ca="1">IF(CP221&gt;=91,"VIGENTE",IF(CP221&gt;=1,"POR VENCER",IF(CP221&lt;=-1,"VENCIDA",IF(CN221=0,"NO APLICA"))))</f>
        <v>VIGENTE</v>
      </c>
      <c r="CR221" s="4"/>
      <c r="CS221" s="4">
        <v>45965</v>
      </c>
      <c r="CT221" s="4">
        <f>DATE(YEAR(CS221)+2,MONTH(CS221),DAY(CS221))</f>
        <v>46695</v>
      </c>
      <c r="CU221" s="8">
        <f ca="1">CT221-TODAY()</f>
        <v>561</v>
      </c>
      <c r="CV221" s="5" t="str">
        <f ca="1">IF(CU221&gt;=91,"VIGENTE",IF(CU221&gt;=1,"POR VENCER",IF(CU221&lt;=-1,"VENCIDA",IF(CS221=0,"NO APLICA"))))</f>
        <v>VIGENTE</v>
      </c>
      <c r="CW221" s="4"/>
      <c r="CX221" s="4">
        <v>46000</v>
      </c>
      <c r="CY221" s="4">
        <f>DATE(YEAR(CX221)+2,MONTH(CX221),DAY(CX221))</f>
        <v>46730</v>
      </c>
      <c r="CZ221" s="8">
        <f ca="1">CY221-TODAY()</f>
        <v>596</v>
      </c>
      <c r="DA221" s="5" t="str">
        <f ca="1">IF(CZ221&gt;=91,"VIGENTE",IF(CZ221&gt;=1,"POR VENCER",IF(CZ221&lt;=-1,"VENCIDA",IF(CX221=0,"NO APLICA"))))</f>
        <v>VIGENTE</v>
      </c>
      <c r="DB221" s="4"/>
      <c r="DC221" s="4">
        <v>45996</v>
      </c>
      <c r="DD221" s="4">
        <f>DATE(YEAR(DC221)+2,MONTH(DC221),DAY(DC221))</f>
        <v>46726</v>
      </c>
      <c r="DE221" s="8">
        <f ca="1">DD221-TODAY()</f>
        <v>592</v>
      </c>
      <c r="DF221" s="5" t="str">
        <f ca="1">IF(DE221&gt;=91,"VIGENTE",IF(DE221&gt;=1,"POR VENCER",IF(DE221&lt;=-1,"VENCIDA",IF(DC221=0,"NO APLICA"))))</f>
        <v>VIGENTE</v>
      </c>
      <c r="DG221" s="4"/>
      <c r="DH221" s="4">
        <v>45955</v>
      </c>
      <c r="DI221" s="4">
        <f>DATE(YEAR(DH221)+2,MONTH(DH221),DAY(DH221))</f>
        <v>46685</v>
      </c>
      <c r="DJ221" s="8">
        <f ca="1">DI221-TODAY()</f>
        <v>551</v>
      </c>
      <c r="DK221" s="5" t="str">
        <f ca="1">IF(DJ221&gt;=91,"VIGENTE",IF(DJ221&gt;=1,"POR VENCER",IF(DJ221&lt;=-1,"VENCIDA",IF(DH221=0,"NO APLICA"))))</f>
        <v>VIGENTE</v>
      </c>
      <c r="DL221" s="4"/>
      <c r="DM221" s="4">
        <v>46008</v>
      </c>
      <c r="DN221" s="4">
        <f>DATE(YEAR(DM221)+2,MONTH(DM221),DAY(DM221))</f>
        <v>46738</v>
      </c>
      <c r="DO221" s="8">
        <f ca="1">DN221-TODAY()</f>
        <v>604</v>
      </c>
      <c r="DP221" s="5" t="str">
        <f ca="1">IF(DO221&gt;=91,"VIGENTE",IF(DO221&gt;=1,"POR VENCER",IF(DO221&lt;=-1,"VENCIDA",IF(DM221=0,"NO APLICA"))))</f>
        <v>VIGENTE</v>
      </c>
      <c r="DQ221" s="4"/>
      <c r="DR221" s="3">
        <v>46009</v>
      </c>
      <c r="DS221" s="4">
        <f>DATE(YEAR(DR221)+2,MONTH(DR221),DAY(DR221))</f>
        <v>46739</v>
      </c>
      <c r="DT221" s="8">
        <f ca="1">DS221-TODAY()</f>
        <v>605</v>
      </c>
      <c r="DU221" s="5" t="str">
        <f ca="1">IF(DT221&gt;=91,"VIGENTE",IF(DT221&gt;=1,"POR VENCER",IF(DT221&lt;=-1,"VENCIDA",IF(DR221=0,"NO APLICA"))))</f>
        <v>VIGENTE</v>
      </c>
      <c r="DV221" s="4"/>
      <c r="DW221" s="4">
        <v>46020</v>
      </c>
      <c r="DX221" s="4">
        <f>DATE(YEAR(DW221)+2,MONTH(DW221),DAY(DW221))</f>
        <v>46750</v>
      </c>
      <c r="DY221" s="8">
        <f ca="1">DX221-TODAY()</f>
        <v>616</v>
      </c>
      <c r="DZ221" s="5" t="str">
        <f ca="1">IF(DY221&gt;=91,"VIGENTE",IF(DY221&gt;=1,"POR VENCER",IF(DY221&lt;=-1,"VENCIDA",IF(DW221=0,"NO APLICA"))))</f>
        <v>VIGENTE</v>
      </c>
      <c r="EA221" s="4"/>
      <c r="EB221" s="4">
        <v>45994</v>
      </c>
      <c r="EC221" s="4">
        <f>DATE(YEAR(EB221)+2,MONTH(EB221),DAY(EB221))</f>
        <v>46724</v>
      </c>
      <c r="ED221" s="8">
        <f ca="1">EC221-TODAY()</f>
        <v>590</v>
      </c>
      <c r="EE221" s="5" t="str">
        <f ca="1">IF(ED221&gt;=91,"VIGENTE",IF(ED221&gt;=1,"POR VENCER",IF(ED221&lt;=-1,"VENCIDA",IF(EB221=0,"NO APLICA"))))</f>
        <v>VIGENTE</v>
      </c>
      <c r="EF221" s="3"/>
      <c r="EG221" s="3">
        <v>46015</v>
      </c>
      <c r="EH221" s="4">
        <f t="shared" ref="EH221:EH238" si="795">DATE(YEAR(EG221)+1,MONTH(EG221),DAY(EG221))</f>
        <v>46380</v>
      </c>
      <c r="EI221" s="8">
        <f ca="1">EH221-TODAY()</f>
        <v>246</v>
      </c>
      <c r="EJ221" s="5" t="str">
        <f ca="1">IF(EI221&gt;=91,"VIGENTE",IF(EI221&gt;=1,"POR VENCER",IF(EI221&lt;=-1,"VENCIDA",IF(EG221=0,"NO APLICA"))))</f>
        <v>VIGENTE</v>
      </c>
      <c r="EK221" s="3"/>
      <c r="EL221" s="4">
        <v>45983</v>
      </c>
      <c r="EM221" s="4">
        <f>DATE(YEAR(EL221)+2,MONTH(EL221),DAY(EL221))</f>
        <v>46713</v>
      </c>
      <c r="EN221" s="8">
        <f ca="1">EM221-TODAY()</f>
        <v>579</v>
      </c>
      <c r="EO221" s="5" t="str">
        <f ca="1">IF(EN221&gt;=91,"VIGENTE",IF(EN221&gt;=1,"POR VENCER",IF(EN221&lt;=-1,"VENCIDA",IF(EL221=0,"NO APLICA"))))</f>
        <v>VIGENTE</v>
      </c>
      <c r="EP221" s="4"/>
      <c r="EQ221" s="4">
        <v>45999</v>
      </c>
      <c r="ER221" s="4">
        <f>DATE(YEAR(EQ221)+2,MONTH(EQ221),DAY(EQ221))</f>
        <v>46729</v>
      </c>
      <c r="ES221" s="8">
        <f ca="1">ER221-TODAY()</f>
        <v>595</v>
      </c>
      <c r="ET221" s="5" t="str">
        <f ca="1">IF(ES221&gt;=91,"VIGENTE",IF(ES221&gt;=1,"POR VENCER",IF(ES221&lt;=-1,"VENCIDA",IF(EQ221=0,"NO APLICA"))))</f>
        <v>VIGENTE</v>
      </c>
      <c r="EU221" s="4"/>
      <c r="EV221" s="4">
        <v>45964</v>
      </c>
      <c r="EW221" s="4">
        <f>DATE(YEAR(EV221)+2,MONTH(EV221),DAY(EV221))</f>
        <v>46694</v>
      </c>
      <c r="EX221" s="8">
        <f ca="1">EW221-TODAY()</f>
        <v>560</v>
      </c>
      <c r="EY221" s="5" t="str">
        <f ca="1">IF(EX221&gt;=91,"VIGENTE",IF(EX221&gt;=1,"POR VENCER",IF(EX221&lt;=-1,"VENCIDA",IF(EV221=0,"NO APLICA"))))</f>
        <v>VIGENTE</v>
      </c>
      <c r="EZ221" s="4"/>
      <c r="FA221" s="4">
        <v>46010</v>
      </c>
      <c r="FB221" s="4">
        <f>DATE(YEAR(FA221)+2,MONTH(FA221),DAY(FA221))</f>
        <v>46740</v>
      </c>
      <c r="FC221" s="8">
        <f ca="1">FB221-TODAY()</f>
        <v>606</v>
      </c>
      <c r="FD221" s="5" t="str">
        <f ca="1">IF(FC221&gt;=91,"VIGENTE",IF(FC221&gt;=1,"POR VENCER",IF(FC221&lt;=-1,"VENCIDA",IF(FA221=0,"NO APLICA"))))</f>
        <v>VIGENTE</v>
      </c>
      <c r="FE221" s="4"/>
      <c r="FF221" s="4">
        <v>45992</v>
      </c>
      <c r="FG221" s="4">
        <f>DATE(YEAR(FF221)+2,MONTH(FF221),DAY(FF221))</f>
        <v>46722</v>
      </c>
      <c r="FH221" s="8">
        <f ca="1">FG221-TODAY()</f>
        <v>588</v>
      </c>
      <c r="FI221" s="5" t="str">
        <f ca="1">IF(FH221&gt;=91,"VIGENTE",IF(FH221&gt;=1,"POR VENCER",IF(FH221&lt;=-1,"VENCIDA",IF(FF221=0,"NO APLICA"))))</f>
        <v>VIGENTE</v>
      </c>
      <c r="FJ221" s="4"/>
      <c r="FK221" s="4">
        <v>45933</v>
      </c>
      <c r="FL221" s="4">
        <f>DATE(YEAR(FK221)+2,MONTH(FK221),DAY(FK221))</f>
        <v>46663</v>
      </c>
      <c r="FM221" s="8">
        <f ca="1">FL221-TODAY()</f>
        <v>529</v>
      </c>
      <c r="FN221" s="5" t="str">
        <f ca="1">IF(FM221&gt;=91,"VIGENTE",IF(FM221&gt;=1,"POR VENCER",IF(FM221&lt;=-1,"VENCIDA",IF(FK221=0,"NO APLICA"))))</f>
        <v>VIGENTE</v>
      </c>
      <c r="FO221" s="4"/>
      <c r="FP221" s="4">
        <v>45957</v>
      </c>
      <c r="FQ221" s="4">
        <f>DATE(YEAR(FP221)+2,MONTH(FP221),DAY(FP221))</f>
        <v>46687</v>
      </c>
      <c r="FR221" s="8">
        <f ca="1">FQ221-TODAY()</f>
        <v>553</v>
      </c>
      <c r="FS221" s="5" t="str">
        <f ca="1">IF(FR221&gt;=91,"VIGENTE",IF(FR221&gt;=1,"POR VENCER",IF(FR221&lt;=-1,"VENCIDA",IF(FP221=0,"NO APLICA"))))</f>
        <v>VIGENTE</v>
      </c>
      <c r="FT221" s="4"/>
      <c r="FU221" s="4">
        <v>46004</v>
      </c>
      <c r="FV221" s="4">
        <f>DATE(YEAR(FU221)+2,MONTH(FU221),DAY(FU221))</f>
        <v>46734</v>
      </c>
      <c r="FW221" s="8">
        <f ca="1">FV221-TODAY()</f>
        <v>600</v>
      </c>
      <c r="FX221" s="5" t="str">
        <f ca="1">IF(FW221&gt;=91,"VIGENTE",IF(FW221&gt;=1,"POR VENCER",IF(FW221&lt;=-1,"VENCIDA",IF(FU221=0,"NO APLICA"))))</f>
        <v>VIGENTE</v>
      </c>
      <c r="FY221" s="4"/>
      <c r="FZ221" s="4">
        <v>46003</v>
      </c>
      <c r="GA221" s="4">
        <f>DATE(YEAR(FZ221)+2,MONTH(FZ221),DAY(FZ221))</f>
        <v>46733</v>
      </c>
      <c r="GB221" s="8">
        <f ca="1">GA221-TODAY()</f>
        <v>599</v>
      </c>
      <c r="GC221" s="5" t="str">
        <f ca="1">IF(GB221&gt;=91,"VIGENTE",IF(GB221&gt;=1,"POR VENCER",IF(GB221&lt;=-1,"VENCIDA",IF(FZ221=0,"NO APLICA"))))</f>
        <v>VIGENTE</v>
      </c>
      <c r="GD221" s="4"/>
      <c r="GE221" s="4">
        <v>45985</v>
      </c>
      <c r="GF221" s="4">
        <f>DATE(YEAR(GE221)+2,MONTH(GE221),DAY(GE221))</f>
        <v>46715</v>
      </c>
      <c r="GG221" s="8">
        <f ca="1">GF221-TODAY()</f>
        <v>581</v>
      </c>
      <c r="GH221" s="5" t="str">
        <f ca="1">IF(GG221&gt;=91,"VIGENTE",IF(GG221&gt;=1,"POR VENCER",IF(GG221&lt;=-1,"VENCIDA",IF(GE221=0,"NO APLICA"))))</f>
        <v>VIGENTE</v>
      </c>
      <c r="GI221" s="4"/>
      <c r="GJ221" s="4">
        <v>45958</v>
      </c>
      <c r="GK221" s="4">
        <f>DATE(YEAR(GJ221)+2,MONTH(GJ221),DAY(GJ221))</f>
        <v>46688</v>
      </c>
      <c r="GL221" s="8">
        <f ca="1">GK221-TODAY()</f>
        <v>554</v>
      </c>
      <c r="GM221" s="5" t="str">
        <f ca="1">IF(GL221&gt;=61,"VIGENTE",IF(GL221&gt;=1,"POR VENCER",IF(GL221&lt;=-1,"VENCIDA",IF(GJ221=0,"NO APLICA"))))</f>
        <v>VIGENTE</v>
      </c>
      <c r="GN221" s="4"/>
      <c r="GO221" s="6"/>
      <c r="GP221" s="6"/>
      <c r="GQ221" s="6"/>
      <c r="GR221" s="5" t="str">
        <f t="shared" si="630"/>
        <v>NO APLICA</v>
      </c>
      <c r="GS221" s="4"/>
      <c r="GT221" s="6"/>
      <c r="GU221" s="6"/>
      <c r="GV221" s="6"/>
      <c r="GW221" s="5" t="str">
        <f t="shared" si="631"/>
        <v>NO APLICA</v>
      </c>
      <c r="GX221" s="6"/>
      <c r="GY221" s="6"/>
      <c r="GZ221" s="6"/>
      <c r="HA221" s="6"/>
      <c r="HB221" s="5" t="str">
        <f t="shared" si="632"/>
        <v>NO APLICA</v>
      </c>
      <c r="HC221" s="6"/>
      <c r="HD221" s="6"/>
      <c r="HE221" s="4"/>
      <c r="HF221" s="8"/>
      <c r="HG221" s="5" t="str">
        <f t="shared" si="718"/>
        <v>NO APLICA</v>
      </c>
      <c r="HH221" s="6"/>
      <c r="HI221" s="6"/>
      <c r="HJ221" s="6"/>
      <c r="HK221" s="6"/>
      <c r="HL221" s="5" t="str">
        <f t="shared" si="714"/>
        <v>NO APLICA</v>
      </c>
      <c r="HM221" s="6"/>
      <c r="HN221" s="6"/>
      <c r="HO221" s="6"/>
      <c r="HP221" s="6"/>
      <c r="HQ221" s="5" t="str">
        <f t="shared" si="751"/>
        <v>NO APLICA</v>
      </c>
      <c r="HR221" s="6"/>
      <c r="HS221" s="6"/>
      <c r="HT221" s="6"/>
      <c r="HU221" s="6"/>
      <c r="HV221" s="5" t="str">
        <f t="shared" si="752"/>
        <v>NO APLICA</v>
      </c>
      <c r="HW221" s="6"/>
      <c r="HX221" s="6"/>
      <c r="HY221" s="6"/>
      <c r="HZ221" s="6"/>
      <c r="IA221" s="5" t="str">
        <f t="shared" si="753"/>
        <v>NO APLICA</v>
      </c>
      <c r="IB221" s="6"/>
      <c r="IC221" s="6"/>
      <c r="ID221" s="6"/>
      <c r="IE221" s="6"/>
      <c r="IF221" s="5" t="str">
        <f t="shared" si="754"/>
        <v>NO APLICA</v>
      </c>
      <c r="IG221" s="6"/>
      <c r="IH221" s="6"/>
      <c r="II221" s="6"/>
      <c r="IJ221" s="6"/>
      <c r="IK221" s="5" t="str">
        <f t="shared" si="755"/>
        <v>NO APLICA</v>
      </c>
      <c r="IL221" s="6"/>
      <c r="IM221" s="6"/>
      <c r="IN221" s="6"/>
      <c r="IO221" s="6"/>
      <c r="IP221" s="5" t="str">
        <f t="shared" si="756"/>
        <v>NO APLICA</v>
      </c>
      <c r="IQ221" s="6"/>
      <c r="IR221" s="6"/>
      <c r="IS221" s="6"/>
      <c r="IT221" s="6"/>
      <c r="IU221" s="5" t="str">
        <f t="shared" si="757"/>
        <v>NO APLICA</v>
      </c>
      <c r="IV221" s="6"/>
      <c r="IW221" s="6"/>
      <c r="IX221" s="6"/>
      <c r="IY221" s="6"/>
      <c r="IZ221" s="5" t="str">
        <f t="shared" si="758"/>
        <v>NO APLICA</v>
      </c>
      <c r="JA221" s="6"/>
      <c r="JB221" s="6"/>
      <c r="JC221" s="6"/>
      <c r="JD221" s="6"/>
      <c r="JE221" s="5" t="str">
        <f t="shared" si="759"/>
        <v>NO APLICA</v>
      </c>
      <c r="JF221" s="6"/>
      <c r="JG221" s="6"/>
      <c r="JH221" s="6"/>
      <c r="JI221" s="6"/>
      <c r="JJ221" s="5" t="str">
        <f t="shared" si="760"/>
        <v>NO APLICA</v>
      </c>
      <c r="JK221" s="6"/>
      <c r="JL221" s="6"/>
      <c r="JM221" s="6"/>
      <c r="JN221" s="6"/>
      <c r="JO221" s="5" t="str">
        <f t="shared" si="761"/>
        <v>NO APLICA</v>
      </c>
      <c r="JP221" s="6"/>
      <c r="JQ221" s="6"/>
      <c r="JR221" s="6"/>
      <c r="JS221" s="6"/>
      <c r="JT221" s="5" t="str">
        <f t="shared" si="762"/>
        <v>NO APLICA</v>
      </c>
      <c r="JU221" s="5"/>
      <c r="JV221" s="3"/>
      <c r="JW221" s="4"/>
      <c r="JX221" s="8"/>
      <c r="JY221" s="5" t="str">
        <f>IF(JX221&gt;=61,"VIGENTE",IF(JX221&gt;=1,"POR VENCER",IF(JX221&lt;=-1,"VENCIDA",IF(JV221=0,"NO APLICA"))))</f>
        <v>NO APLICA</v>
      </c>
      <c r="JZ221" s="5"/>
      <c r="KA221" s="6"/>
      <c r="KB221" s="6"/>
      <c r="KC221" s="6"/>
      <c r="KD221" s="5" t="str">
        <f t="shared" si="764"/>
        <v>NO APLICA</v>
      </c>
      <c r="KE221" s="5"/>
      <c r="KF221" s="6"/>
      <c r="KG221" s="6"/>
      <c r="KH221" s="6"/>
      <c r="KI221" s="5" t="str">
        <f t="shared" si="784"/>
        <v>NO APLICA</v>
      </c>
      <c r="KJ221" s="5"/>
      <c r="KK221" s="6"/>
      <c r="KL221" s="6"/>
      <c r="KM221" s="6"/>
      <c r="KN221" s="5" t="str">
        <f t="shared" si="765"/>
        <v>NO APLICA</v>
      </c>
      <c r="KO221" s="5"/>
      <c r="KP221" s="6"/>
      <c r="KQ221" s="6"/>
      <c r="KR221" s="6"/>
      <c r="KS221" s="5" t="str">
        <f t="shared" si="785"/>
        <v>NO APLICA</v>
      </c>
      <c r="KT221" s="6"/>
      <c r="KU221" s="6"/>
      <c r="KV221" s="6"/>
      <c r="KW221" s="6"/>
      <c r="KX221" s="5" t="str">
        <f t="shared" si="791"/>
        <v>NO APLICA</v>
      </c>
      <c r="KY221" s="5"/>
      <c r="KZ221" s="6"/>
      <c r="LA221" s="6"/>
      <c r="LB221" s="6"/>
      <c r="LC221" s="5" t="str">
        <f t="shared" si="786"/>
        <v>NO APLICA</v>
      </c>
      <c r="LD221" s="6"/>
      <c r="LE221" s="6"/>
      <c r="LF221" s="6"/>
      <c r="LG221" s="6"/>
      <c r="LH221" s="5" t="str">
        <f t="shared" si="619"/>
        <v>NO APLICA</v>
      </c>
      <c r="LI221" s="5"/>
      <c r="LJ221" s="5"/>
      <c r="LK221" s="4"/>
      <c r="LL221" s="8"/>
      <c r="LM221" s="5" t="str">
        <f t="shared" si="792"/>
        <v>NO APLICA</v>
      </c>
      <c r="LN221" s="6"/>
      <c r="LO221" s="6"/>
      <c r="LP221" s="6"/>
      <c r="LQ221" s="6"/>
      <c r="LR221" s="5" t="str">
        <f t="shared" si="787"/>
        <v>NO APLICA</v>
      </c>
      <c r="LS221" s="6"/>
      <c r="LT221" s="6"/>
      <c r="LU221" s="6"/>
      <c r="LV221" s="6"/>
      <c r="LW221" s="5" t="str">
        <f t="shared" si="788"/>
        <v>NO APLICA</v>
      </c>
      <c r="LX221" s="6"/>
      <c r="LY221" s="6"/>
      <c r="LZ221" s="6"/>
      <c r="MA221" s="6"/>
      <c r="MB221" s="5" t="str">
        <f t="shared" si="789"/>
        <v>NO APLICA</v>
      </c>
      <c r="MC221" s="6"/>
      <c r="MD221" s="6"/>
      <c r="ME221" s="6"/>
      <c r="MF221" s="6"/>
      <c r="MG221" s="5" t="str">
        <f t="shared" si="766"/>
        <v>NO APLICA</v>
      </c>
      <c r="MH221" s="6"/>
      <c r="MI221" s="6"/>
      <c r="MJ221" s="6"/>
      <c r="MK221" s="6"/>
      <c r="ML221" s="5" t="str">
        <f t="shared" si="767"/>
        <v>NO APLICA</v>
      </c>
      <c r="MM221" s="5"/>
      <c r="MN221" s="6"/>
      <c r="MO221" s="6"/>
      <c r="MP221" s="6"/>
      <c r="MQ221" s="5" t="str">
        <f t="shared" si="768"/>
        <v>NO APLICA</v>
      </c>
      <c r="MR221" s="5"/>
      <c r="MS221" s="6"/>
      <c r="MT221" s="6"/>
      <c r="MU221" s="6"/>
      <c r="MV221" s="5" t="str">
        <f t="shared" si="769"/>
        <v>NO APLICA</v>
      </c>
      <c r="MW221" s="6"/>
      <c r="MX221" s="6"/>
      <c r="MY221" s="6"/>
      <c r="MZ221" s="6"/>
      <c r="NA221" s="5" t="str">
        <f t="shared" si="770"/>
        <v>NO APLICA</v>
      </c>
      <c r="NB221" s="6"/>
      <c r="NC221" s="6"/>
      <c r="ND221" s="6"/>
      <c r="NE221" s="6"/>
      <c r="NF221" s="5" t="str">
        <f t="shared" si="771"/>
        <v>NO APLICA</v>
      </c>
      <c r="NG221" s="6"/>
      <c r="NH221" s="6"/>
      <c r="NI221" s="6"/>
      <c r="NJ221" s="6"/>
      <c r="NK221" s="5" t="str">
        <f t="shared" si="772"/>
        <v>NO APLICA</v>
      </c>
      <c r="NL221" s="6"/>
      <c r="NM221" s="6"/>
      <c r="NN221" s="6"/>
      <c r="NO221" s="6"/>
      <c r="NP221" s="5" t="str">
        <f t="shared" si="773"/>
        <v>NO APLICA</v>
      </c>
      <c r="NQ221" s="6"/>
      <c r="NR221" s="6"/>
      <c r="NS221" s="6"/>
      <c r="NT221" s="6"/>
      <c r="NU221" s="5" t="str">
        <f t="shared" si="774"/>
        <v>NO APLICA</v>
      </c>
      <c r="NV221" s="6"/>
      <c r="NW221" s="6"/>
      <c r="NX221" s="6"/>
      <c r="NY221" s="6"/>
      <c r="NZ221" s="5" t="str">
        <f t="shared" si="775"/>
        <v>NO APLICA</v>
      </c>
      <c r="OA221" s="6"/>
      <c r="OB221" s="6"/>
      <c r="OC221" s="6"/>
      <c r="OD221" s="6"/>
      <c r="OE221" s="5" t="str">
        <f t="shared" si="776"/>
        <v>NO APLICA</v>
      </c>
      <c r="OF221" s="6"/>
      <c r="OG221" s="6"/>
      <c r="OH221" s="6"/>
      <c r="OI221" s="6"/>
      <c r="OJ221" s="5" t="str">
        <f t="shared" si="777"/>
        <v>NO APLICA</v>
      </c>
      <c r="OK221" s="6"/>
      <c r="OL221" s="6"/>
      <c r="OM221" s="6"/>
      <c r="ON221" s="6"/>
      <c r="OO221" s="5" t="str">
        <f t="shared" si="778"/>
        <v>NO APLICA</v>
      </c>
      <c r="OP221" s="4"/>
      <c r="OQ221" s="4"/>
      <c r="OR221" s="4"/>
      <c r="OS221" s="8"/>
      <c r="OT221" s="5" t="str">
        <f t="shared" si="779"/>
        <v>NO APLICA</v>
      </c>
      <c r="OU221" s="4"/>
      <c r="OV221" s="4">
        <v>44770</v>
      </c>
      <c r="OW221" s="4">
        <f>DATE(YEAR(OV221)+5,MONTH(OV221),DAY(OV221))</f>
        <v>46596</v>
      </c>
      <c r="OX221" s="8">
        <f ca="1">OW221-TODAY()</f>
        <v>462</v>
      </c>
      <c r="OY221" s="5" t="str">
        <f ca="1">IF(OX221&gt;=61,"VIGENTE",IF(OX221&gt;=1,"POR VENCER",IF(OX221&lt;=-1,"VENCIDA",IF(OV221=0,"NO APLICA"))))</f>
        <v>VIGENTE</v>
      </c>
      <c r="OZ221" s="4"/>
      <c r="PA221" s="4">
        <v>45009</v>
      </c>
      <c r="PB221" s="4">
        <f>DATE(YEAR(PA221)+5,MONTH(PA221),DAY(PA221))</f>
        <v>46836</v>
      </c>
      <c r="PC221" s="8">
        <f ca="1">PB221-TODAY()</f>
        <v>702</v>
      </c>
      <c r="PD221" s="5" t="str">
        <f ca="1">IF(PC221&gt;=61,"VIGENTE",IF(PC221&gt;=1,"POR VENCER",IF(PC221&lt;=-1,"VENCIDA",IF(PA221=0,"NO APLICA"))))</f>
        <v>VIGENTE</v>
      </c>
      <c r="PE221" s="4"/>
      <c r="PF221" s="4">
        <v>44979</v>
      </c>
      <c r="PG221" s="4">
        <f>DATE(YEAR(PF221)+5,MONTH(PF221),DAY(PF221))</f>
        <v>46805</v>
      </c>
      <c r="PH221" s="8">
        <f ca="1">PG221-TODAY()</f>
        <v>671</v>
      </c>
      <c r="PI221" s="5" t="str">
        <f ca="1">IF(PH221&gt;=61,"VIGENTE",IF(PH221&gt;=1,"POR VENCER",IF(PH221&lt;=-1,"VENCIDA",IF(PF221=0,"NO APLICA"))))</f>
        <v>VIGENTE</v>
      </c>
      <c r="PJ221" s="5"/>
      <c r="PK221" s="4">
        <v>44627</v>
      </c>
      <c r="PL221" s="4">
        <f>DATE(YEAR(PK221)+5,MONTH(PK221),DAY(PK221))</f>
        <v>46453</v>
      </c>
      <c r="PM221" s="8">
        <f ca="1">PL221-TODAY()</f>
        <v>319</v>
      </c>
      <c r="PN221" s="5" t="str">
        <f ca="1">IF(PM221&gt;=61,"VIGENTE",IF(PM221&gt;=1,"POR VENCER",IF(PM221&lt;=-1,"VENCIDA",IF(PK221=0,"NO APLICA"))))</f>
        <v>VIGENTE</v>
      </c>
      <c r="PO221" s="4"/>
      <c r="PP221" s="4">
        <v>44981</v>
      </c>
      <c r="PQ221" s="4">
        <f>DATE(YEAR(PP221)+5,MONTH(PP221),DAY(PP221))</f>
        <v>46807</v>
      </c>
      <c r="PR221" s="8">
        <f ca="1">PQ221-TODAY()</f>
        <v>673</v>
      </c>
      <c r="PS221" s="5" t="str">
        <f ca="1">IF(PR221&gt;=61,"VIGENTE",IF(PR221&gt;=1,"POR VENCER",IF(PR221&lt;=-1,"VENCIDA",IF(PP221=0,"NO APLICA"))))</f>
        <v>VIGENTE</v>
      </c>
      <c r="PT221" s="5"/>
      <c r="PU221" s="6"/>
      <c r="PV221" s="6"/>
      <c r="PW221" s="6"/>
      <c r="PX221" s="5" t="str">
        <f t="shared" si="783"/>
        <v>NO APLICA</v>
      </c>
    </row>
    <row r="222" spans="1:440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6"/>
      <c r="V222" s="4"/>
      <c r="W222" s="4"/>
      <c r="X222" s="8"/>
      <c r="Y222" s="5" t="str">
        <f t="shared" si="624"/>
        <v>NO APLICA</v>
      </c>
      <c r="Z222" s="6"/>
      <c r="AA222" s="6"/>
      <c r="AB222" s="6"/>
      <c r="AC222" s="6"/>
      <c r="AD222" s="5" t="str">
        <f t="shared" si="627"/>
        <v>NO APLICA</v>
      </c>
      <c r="AE222" s="4"/>
      <c r="AF222" s="4"/>
      <c r="AG222" s="4"/>
      <c r="AH222" s="6"/>
      <c r="AI222" s="5" t="str">
        <f t="shared" si="621"/>
        <v>NO APLICA</v>
      </c>
      <c r="AJ222" s="4"/>
      <c r="AK222" s="4"/>
      <c r="AL222" s="4"/>
      <c r="AM222" s="6"/>
      <c r="AN222" s="5" t="str">
        <f t="shared" si="720"/>
        <v>NO APLICA</v>
      </c>
      <c r="AO222" s="4"/>
      <c r="AP222" s="4"/>
      <c r="AQ222" s="4"/>
      <c r="AR222" s="6"/>
      <c r="AS222" s="5" t="str">
        <f t="shared" si="721"/>
        <v>NO APLICA</v>
      </c>
      <c r="AT222" s="4"/>
      <c r="AU222" s="4"/>
      <c r="AV222" s="4"/>
      <c r="AW222" s="6"/>
      <c r="AX222" s="5" t="str">
        <f t="shared" si="722"/>
        <v>NO APLICA</v>
      </c>
      <c r="AY222" s="4"/>
      <c r="AZ222" s="4"/>
      <c r="BA222" s="4"/>
      <c r="BB222" s="6"/>
      <c r="BC222" s="5" t="str">
        <f t="shared" si="723"/>
        <v>NO APLICA</v>
      </c>
      <c r="BD222" s="4"/>
      <c r="BE222" s="4"/>
      <c r="BF222" s="4"/>
      <c r="BG222" s="6"/>
      <c r="BH222" s="5" t="str">
        <f t="shared" si="724"/>
        <v>NO APLICA</v>
      </c>
      <c r="BI222" s="4"/>
      <c r="BJ222" s="4"/>
      <c r="BK222" s="4"/>
      <c r="BL222" s="6"/>
      <c r="BM222" s="5" t="str">
        <f t="shared" si="725"/>
        <v>NO APLICA</v>
      </c>
      <c r="BN222" s="4"/>
      <c r="BO222" s="4"/>
      <c r="BP222" s="4"/>
      <c r="BQ222" s="6"/>
      <c r="BR222" s="5" t="str">
        <f t="shared" si="726"/>
        <v>NO APLICA</v>
      </c>
      <c r="BS222" s="4"/>
      <c r="BT222" s="4"/>
      <c r="BU222" s="4"/>
      <c r="BV222" s="6"/>
      <c r="BW222" s="5" t="str">
        <f t="shared" si="727"/>
        <v>NO APLICA</v>
      </c>
      <c r="BX222" s="4"/>
      <c r="BY222" s="4"/>
      <c r="BZ222" s="4"/>
      <c r="CA222" s="6"/>
      <c r="CB222" s="5" t="str">
        <f t="shared" si="728"/>
        <v>NO APLICA</v>
      </c>
      <c r="CC222" s="6"/>
      <c r="CD222" s="6"/>
      <c r="CE222" s="6"/>
      <c r="CF222" s="6"/>
      <c r="CG222" s="5" t="str">
        <f t="shared" si="794"/>
        <v>NO APLICA</v>
      </c>
      <c r="CH222" s="4"/>
      <c r="CI222" s="4"/>
      <c r="CJ222" s="4"/>
      <c r="CK222" s="6"/>
      <c r="CL222" s="5" t="str">
        <f t="shared" si="729"/>
        <v>NO APLICA</v>
      </c>
      <c r="CM222" s="4"/>
      <c r="CN222" s="4"/>
      <c r="CO222" s="4"/>
      <c r="CP222" s="6"/>
      <c r="CQ222" s="5" t="str">
        <f t="shared" si="730"/>
        <v>NO APLICA</v>
      </c>
      <c r="CR222" s="4"/>
      <c r="CS222" s="4"/>
      <c r="CT222" s="4"/>
      <c r="CU222" s="6"/>
      <c r="CV222" s="5" t="str">
        <f t="shared" si="731"/>
        <v>NO APLICA</v>
      </c>
      <c r="CW222" s="4"/>
      <c r="CX222" s="4"/>
      <c r="CY222" s="4"/>
      <c r="CZ222" s="6"/>
      <c r="DA222" s="5" t="str">
        <f t="shared" si="732"/>
        <v>NO APLICA</v>
      </c>
      <c r="DB222" s="4"/>
      <c r="DC222" s="4"/>
      <c r="DD222" s="4"/>
      <c r="DE222" s="6"/>
      <c r="DF222" s="5" t="str">
        <f t="shared" si="733"/>
        <v>NO APLICA</v>
      </c>
      <c r="DG222" s="4"/>
      <c r="DH222" s="4"/>
      <c r="DI222" s="4"/>
      <c r="DJ222" s="6"/>
      <c r="DK222" s="5" t="str">
        <f t="shared" si="734"/>
        <v>NO APLICA</v>
      </c>
      <c r="DL222" s="4"/>
      <c r="DM222" s="4"/>
      <c r="DN222" s="4"/>
      <c r="DO222" s="6"/>
      <c r="DP222" s="5" t="str">
        <f t="shared" si="735"/>
        <v>NO APLICA</v>
      </c>
      <c r="DQ222" s="4"/>
      <c r="DR222" s="4"/>
      <c r="DS222" s="4"/>
      <c r="DT222" s="6"/>
      <c r="DU222" s="5" t="str">
        <f t="shared" si="736"/>
        <v>NO APLICA</v>
      </c>
      <c r="DV222" s="4"/>
      <c r="DW222" s="4"/>
      <c r="DX222" s="4"/>
      <c r="DY222" s="6"/>
      <c r="DZ222" s="5" t="str">
        <f t="shared" si="737"/>
        <v>NO APLICA</v>
      </c>
      <c r="EA222" s="4"/>
      <c r="EB222" s="4"/>
      <c r="EC222" s="4"/>
      <c r="ED222" s="6"/>
      <c r="EE222" s="5" t="str">
        <f t="shared" si="738"/>
        <v>NO APLICA</v>
      </c>
      <c r="EF222" s="4"/>
      <c r="EG222" s="4"/>
      <c r="EH222" s="4"/>
      <c r="EI222" s="8"/>
      <c r="EJ222" s="5" t="str">
        <f t="shared" si="739"/>
        <v>NO APLICA</v>
      </c>
      <c r="EK222" s="4"/>
      <c r="EL222" s="4"/>
      <c r="EM222" s="4"/>
      <c r="EN222" s="8"/>
      <c r="EO222" s="5" t="str">
        <f t="shared" si="740"/>
        <v>NO APLICA</v>
      </c>
      <c r="EP222" s="4"/>
      <c r="EQ222" s="4"/>
      <c r="ER222" s="4"/>
      <c r="ES222" s="8"/>
      <c r="ET222" s="5" t="str">
        <f t="shared" si="741"/>
        <v>NO APLICA</v>
      </c>
      <c r="EU222" s="4"/>
      <c r="EV222" s="4"/>
      <c r="EW222" s="4"/>
      <c r="EX222" s="6"/>
      <c r="EY222" s="5" t="str">
        <f t="shared" si="742"/>
        <v>NO APLICA</v>
      </c>
      <c r="EZ222" s="4"/>
      <c r="FA222" s="4"/>
      <c r="FB222" s="4"/>
      <c r="FC222" s="6"/>
      <c r="FD222" s="5" t="str">
        <f t="shared" si="743"/>
        <v>NO APLICA</v>
      </c>
      <c r="FE222" s="4"/>
      <c r="FF222" s="4"/>
      <c r="FG222" s="4"/>
      <c r="FH222" s="6"/>
      <c r="FI222" s="5" t="str">
        <f t="shared" si="744"/>
        <v>NO APLICA</v>
      </c>
      <c r="FJ222" s="4"/>
      <c r="FK222" s="4"/>
      <c r="FL222" s="4"/>
      <c r="FM222" s="6"/>
      <c r="FN222" s="5" t="str">
        <f t="shared" si="745"/>
        <v>NO APLICA</v>
      </c>
      <c r="FO222" s="4"/>
      <c r="FP222" s="4"/>
      <c r="FQ222" s="4"/>
      <c r="FR222" s="6"/>
      <c r="FS222" s="5" t="str">
        <f t="shared" si="746"/>
        <v>NO APLICA</v>
      </c>
      <c r="FT222" s="4"/>
      <c r="FU222" s="4"/>
      <c r="FV222" s="4"/>
      <c r="FW222" s="6"/>
      <c r="FX222" s="5" t="str">
        <f t="shared" si="747"/>
        <v>NO APLICA</v>
      </c>
      <c r="FY222" s="4"/>
      <c r="FZ222" s="4"/>
      <c r="GA222" s="4"/>
      <c r="GB222" s="6"/>
      <c r="GC222" s="5" t="str">
        <f t="shared" si="748"/>
        <v>NO APLICA</v>
      </c>
      <c r="GD222" s="4"/>
      <c r="GE222" s="4"/>
      <c r="GF222" s="4"/>
      <c r="GG222" s="8"/>
      <c r="GH222" s="5" t="str">
        <f t="shared" si="749"/>
        <v>NO APLICA</v>
      </c>
      <c r="GI222" s="4"/>
      <c r="GJ222" s="6"/>
      <c r="GK222" s="6"/>
      <c r="GL222" s="6"/>
      <c r="GM222" s="5" t="str">
        <f t="shared" si="750"/>
        <v>NO APLICA</v>
      </c>
      <c r="GN222" s="4"/>
      <c r="GO222" s="6"/>
      <c r="GP222" s="6"/>
      <c r="GQ222" s="6"/>
      <c r="GR222" s="5" t="str">
        <f t="shared" si="630"/>
        <v>NO APLICA</v>
      </c>
      <c r="GS222" s="4"/>
      <c r="GT222" s="6"/>
      <c r="GU222" s="6"/>
      <c r="GV222" s="6"/>
      <c r="GW222" s="5" t="str">
        <f t="shared" si="631"/>
        <v>NO APLICA</v>
      </c>
      <c r="GX222" s="6"/>
      <c r="GY222" s="6"/>
      <c r="GZ222" s="6"/>
      <c r="HA222" s="6"/>
      <c r="HB222" s="5" t="str">
        <f t="shared" si="632"/>
        <v>NO APLICA</v>
      </c>
      <c r="HC222" s="6"/>
      <c r="HD222" s="6"/>
      <c r="HE222" s="4"/>
      <c r="HF222" s="8"/>
      <c r="HG222" s="5" t="str">
        <f t="shared" si="718"/>
        <v>NO APLICA</v>
      </c>
      <c r="HH222" s="6"/>
      <c r="HI222" s="6"/>
      <c r="HJ222" s="6"/>
      <c r="HK222" s="6"/>
      <c r="HL222" s="5" t="str">
        <f t="shared" si="714"/>
        <v>NO APLICA</v>
      </c>
      <c r="HM222" s="6"/>
      <c r="HN222" s="6"/>
      <c r="HO222" s="6"/>
      <c r="HP222" s="6"/>
      <c r="HQ222" s="5" t="str">
        <f t="shared" si="751"/>
        <v>NO APLICA</v>
      </c>
      <c r="HR222" s="6"/>
      <c r="HS222" s="6"/>
      <c r="HT222" s="6"/>
      <c r="HU222" s="6"/>
      <c r="HV222" s="5" t="str">
        <f t="shared" si="752"/>
        <v>NO APLICA</v>
      </c>
      <c r="HW222" s="6"/>
      <c r="HX222" s="6"/>
      <c r="HY222" s="6"/>
      <c r="HZ222" s="6"/>
      <c r="IA222" s="5" t="str">
        <f t="shared" si="753"/>
        <v>NO APLICA</v>
      </c>
      <c r="IB222" s="6"/>
      <c r="IC222" s="6"/>
      <c r="ID222" s="6"/>
      <c r="IE222" s="6"/>
      <c r="IF222" s="5" t="str">
        <f t="shared" si="754"/>
        <v>NO APLICA</v>
      </c>
      <c r="IG222" s="6"/>
      <c r="IH222" s="6"/>
      <c r="II222" s="6"/>
      <c r="IJ222" s="6"/>
      <c r="IK222" s="5" t="str">
        <f t="shared" si="755"/>
        <v>NO APLICA</v>
      </c>
      <c r="IL222" s="6"/>
      <c r="IM222" s="6"/>
      <c r="IN222" s="6"/>
      <c r="IO222" s="6"/>
      <c r="IP222" s="5" t="str">
        <f t="shared" si="756"/>
        <v>NO APLICA</v>
      </c>
      <c r="IQ222" s="6"/>
      <c r="IR222" s="6"/>
      <c r="IS222" s="6"/>
      <c r="IT222" s="6"/>
      <c r="IU222" s="5" t="str">
        <f t="shared" si="757"/>
        <v>NO APLICA</v>
      </c>
      <c r="IV222" s="6"/>
      <c r="IW222" s="6"/>
      <c r="IX222" s="6"/>
      <c r="IY222" s="6"/>
      <c r="IZ222" s="5" t="str">
        <f t="shared" si="758"/>
        <v>NO APLICA</v>
      </c>
      <c r="JA222" s="6"/>
      <c r="JB222" s="6"/>
      <c r="JC222" s="6"/>
      <c r="JD222" s="6"/>
      <c r="JE222" s="5" t="str">
        <f t="shared" si="759"/>
        <v>NO APLICA</v>
      </c>
      <c r="JF222" s="6"/>
      <c r="JG222" s="6"/>
      <c r="JH222" s="6"/>
      <c r="JI222" s="6"/>
      <c r="JJ222" s="5" t="str">
        <f t="shared" si="760"/>
        <v>NO APLICA</v>
      </c>
      <c r="JK222" s="6"/>
      <c r="JL222" s="6"/>
      <c r="JM222" s="6"/>
      <c r="JN222" s="6"/>
      <c r="JO222" s="5" t="str">
        <f t="shared" si="761"/>
        <v>NO APLICA</v>
      </c>
      <c r="JP222" s="6"/>
      <c r="JQ222" s="6"/>
      <c r="JR222" s="6"/>
      <c r="JS222" s="6"/>
      <c r="JT222" s="5" t="str">
        <f t="shared" si="762"/>
        <v>NO APLICA</v>
      </c>
      <c r="JU222" s="5"/>
      <c r="JV222" s="3"/>
      <c r="JW222" s="4"/>
      <c r="JX222" s="8"/>
      <c r="JY222" s="5" t="str">
        <f>IF(JX222&gt;=61,"VIGENTE",IF(JX222&gt;=1,"POR VENCER",IF(JX222&lt;=-1,"VENCIDA",IF(JV222=0,"NO APLICA"))))</f>
        <v>NO APLICA</v>
      </c>
      <c r="JZ222" s="5"/>
      <c r="KA222" s="6"/>
      <c r="KB222" s="6"/>
      <c r="KC222" s="6"/>
      <c r="KD222" s="5" t="str">
        <f t="shared" si="764"/>
        <v>NO APLICA</v>
      </c>
      <c r="KE222" s="5"/>
      <c r="KF222" s="6"/>
      <c r="KG222" s="6"/>
      <c r="KH222" s="6"/>
      <c r="KI222" s="5" t="str">
        <f t="shared" si="784"/>
        <v>NO APLICA</v>
      </c>
      <c r="KJ222" s="5"/>
      <c r="KK222" s="6"/>
      <c r="KL222" s="6"/>
      <c r="KM222" s="6"/>
      <c r="KN222" s="5" t="str">
        <f t="shared" si="765"/>
        <v>NO APLICA</v>
      </c>
      <c r="KO222" s="5"/>
      <c r="KP222" s="6"/>
      <c r="KQ222" s="6"/>
      <c r="KR222" s="6"/>
      <c r="KS222" s="5" t="str">
        <f t="shared" si="785"/>
        <v>NO APLICA</v>
      </c>
      <c r="KT222" s="6"/>
      <c r="KU222" s="6"/>
      <c r="KV222" s="6"/>
      <c r="KW222" s="6"/>
      <c r="KX222" s="5" t="str">
        <f t="shared" si="791"/>
        <v>NO APLICA</v>
      </c>
      <c r="KY222" s="5"/>
      <c r="KZ222" s="6"/>
      <c r="LA222" s="6"/>
      <c r="LB222" s="6"/>
      <c r="LC222" s="5" t="str">
        <f t="shared" si="786"/>
        <v>NO APLICA</v>
      </c>
      <c r="LD222" s="6"/>
      <c r="LE222" s="6"/>
      <c r="LF222" s="6"/>
      <c r="LG222" s="6"/>
      <c r="LH222" s="5" t="str">
        <f t="shared" si="619"/>
        <v>NO APLICA</v>
      </c>
      <c r="LI222" s="5"/>
      <c r="LJ222" s="5"/>
      <c r="LK222" s="4"/>
      <c r="LL222" s="8"/>
      <c r="LM222" s="5" t="str">
        <f t="shared" si="792"/>
        <v>NO APLICA</v>
      </c>
      <c r="LN222" s="6"/>
      <c r="LO222" s="6"/>
      <c r="LP222" s="6"/>
      <c r="LQ222" s="6"/>
      <c r="LR222" s="5" t="str">
        <f t="shared" si="787"/>
        <v>NO APLICA</v>
      </c>
      <c r="LS222" s="6"/>
      <c r="LT222" s="6"/>
      <c r="LU222" s="6"/>
      <c r="LV222" s="6"/>
      <c r="LW222" s="5" t="str">
        <f t="shared" si="788"/>
        <v>NO APLICA</v>
      </c>
      <c r="LX222" s="6"/>
      <c r="LY222" s="6"/>
      <c r="LZ222" s="6"/>
      <c r="MA222" s="6"/>
      <c r="MB222" s="5" t="str">
        <f t="shared" si="789"/>
        <v>NO APLICA</v>
      </c>
      <c r="MC222" s="6"/>
      <c r="MD222" s="6"/>
      <c r="ME222" s="6"/>
      <c r="MF222" s="6"/>
      <c r="MG222" s="5" t="str">
        <f t="shared" si="766"/>
        <v>NO APLICA</v>
      </c>
      <c r="MH222" s="6"/>
      <c r="MI222" s="6"/>
      <c r="MJ222" s="6"/>
      <c r="MK222" s="6"/>
      <c r="ML222" s="5" t="str">
        <f t="shared" si="767"/>
        <v>NO APLICA</v>
      </c>
      <c r="MM222" s="5"/>
      <c r="MN222" s="6"/>
      <c r="MO222" s="6"/>
      <c r="MP222" s="6"/>
      <c r="MQ222" s="5" t="str">
        <f t="shared" si="768"/>
        <v>NO APLICA</v>
      </c>
      <c r="MR222" s="5"/>
      <c r="MS222" s="6"/>
      <c r="MT222" s="6"/>
      <c r="MU222" s="6"/>
      <c r="MV222" s="5" t="str">
        <f t="shared" si="769"/>
        <v>NO APLICA</v>
      </c>
      <c r="MW222" s="6"/>
      <c r="MX222" s="6"/>
      <c r="MY222" s="6"/>
      <c r="MZ222" s="6"/>
      <c r="NA222" s="5" t="str">
        <f t="shared" si="770"/>
        <v>NO APLICA</v>
      </c>
      <c r="NB222" s="6"/>
      <c r="NC222" s="6"/>
      <c r="ND222" s="6"/>
      <c r="NE222" s="6"/>
      <c r="NF222" s="5" t="str">
        <f t="shared" si="771"/>
        <v>NO APLICA</v>
      </c>
      <c r="NG222" s="6"/>
      <c r="NH222" s="6"/>
      <c r="NI222" s="6"/>
      <c r="NJ222" s="6"/>
      <c r="NK222" s="5" t="str">
        <f t="shared" si="772"/>
        <v>NO APLICA</v>
      </c>
      <c r="NL222" s="6"/>
      <c r="NM222" s="6"/>
      <c r="NN222" s="6"/>
      <c r="NO222" s="6"/>
      <c r="NP222" s="5" t="str">
        <f t="shared" si="773"/>
        <v>NO APLICA</v>
      </c>
      <c r="NQ222" s="6"/>
      <c r="NR222" s="6"/>
      <c r="NS222" s="6"/>
      <c r="NT222" s="6"/>
      <c r="NU222" s="5" t="str">
        <f t="shared" si="774"/>
        <v>NO APLICA</v>
      </c>
      <c r="NV222" s="6"/>
      <c r="NW222" s="6"/>
      <c r="NX222" s="6"/>
      <c r="NY222" s="6"/>
      <c r="NZ222" s="5" t="str">
        <f t="shared" si="775"/>
        <v>NO APLICA</v>
      </c>
      <c r="OA222" s="6"/>
      <c r="OB222" s="6"/>
      <c r="OC222" s="6"/>
      <c r="OD222" s="6"/>
      <c r="OE222" s="5" t="str">
        <f t="shared" si="776"/>
        <v>NO APLICA</v>
      </c>
      <c r="OF222" s="6"/>
      <c r="OG222" s="6"/>
      <c r="OH222" s="6"/>
      <c r="OI222" s="6"/>
      <c r="OJ222" s="5" t="str">
        <f t="shared" si="777"/>
        <v>NO APLICA</v>
      </c>
      <c r="OK222" s="6"/>
      <c r="OL222" s="6"/>
      <c r="OM222" s="6"/>
      <c r="ON222" s="6"/>
      <c r="OO222" s="5" t="str">
        <f t="shared" si="778"/>
        <v>NO APLICA</v>
      </c>
      <c r="OP222" s="6"/>
      <c r="OQ222" s="6"/>
      <c r="OR222" s="6"/>
      <c r="OS222" s="6"/>
      <c r="OT222" s="5" t="str">
        <f t="shared" si="779"/>
        <v>NO APLICA</v>
      </c>
      <c r="OU222" s="6"/>
      <c r="OV222" s="6"/>
      <c r="OW222" s="6"/>
      <c r="OX222" s="6"/>
      <c r="OY222" s="5" t="str">
        <f t="shared" si="793"/>
        <v>NO APLICA</v>
      </c>
      <c r="OZ222" s="6"/>
      <c r="PA222" s="6"/>
      <c r="PB222" s="6"/>
      <c r="PC222" s="6"/>
      <c r="PD222" s="5" t="str">
        <f t="shared" si="780"/>
        <v>NO APLICA</v>
      </c>
      <c r="PE222" s="6"/>
      <c r="PF222" s="6"/>
      <c r="PG222" s="6"/>
      <c r="PH222" s="6"/>
      <c r="PI222" s="5" t="str">
        <f t="shared" si="781"/>
        <v>NO APLICA</v>
      </c>
      <c r="PJ222" s="5"/>
      <c r="PK222" s="6"/>
      <c r="PL222" s="6"/>
      <c r="PM222" s="6"/>
      <c r="PN222" s="5" t="str">
        <f t="shared" si="790"/>
        <v>NO APLICA</v>
      </c>
      <c r="PO222" s="6"/>
      <c r="PP222" s="6"/>
      <c r="PQ222" s="6"/>
      <c r="PR222" s="6"/>
      <c r="PS222" s="5" t="str">
        <f t="shared" si="782"/>
        <v>NO APLICA</v>
      </c>
      <c r="PT222" s="5"/>
      <c r="PU222" s="6"/>
      <c r="PV222" s="6"/>
      <c r="PW222" s="6"/>
      <c r="PX222" s="5" t="str">
        <f t="shared" si="783"/>
        <v>NO APLICA</v>
      </c>
    </row>
    <row r="223" spans="1:440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6"/>
      <c r="V223" s="4"/>
      <c r="W223" s="4"/>
      <c r="X223" s="8"/>
      <c r="Y223" s="5" t="str">
        <f t="shared" si="624"/>
        <v>NO APLICA</v>
      </c>
      <c r="Z223" s="6"/>
      <c r="AA223" s="6"/>
      <c r="AB223" s="6"/>
      <c r="AC223" s="6"/>
      <c r="AD223" s="5" t="str">
        <f t="shared" si="627"/>
        <v>NO APLICA</v>
      </c>
      <c r="AE223" s="4"/>
      <c r="AF223" s="4"/>
      <c r="AG223" s="4"/>
      <c r="AH223" s="6"/>
      <c r="AI223" s="5" t="str">
        <f t="shared" si="621"/>
        <v>NO APLICA</v>
      </c>
      <c r="AJ223" s="4"/>
      <c r="AK223" s="4"/>
      <c r="AL223" s="4"/>
      <c r="AM223" s="6"/>
      <c r="AN223" s="5" t="str">
        <f t="shared" si="720"/>
        <v>NO APLICA</v>
      </c>
      <c r="AO223" s="4"/>
      <c r="AP223" s="4"/>
      <c r="AQ223" s="4"/>
      <c r="AR223" s="6"/>
      <c r="AS223" s="5" t="str">
        <f t="shared" si="721"/>
        <v>NO APLICA</v>
      </c>
      <c r="AT223" s="4"/>
      <c r="AU223" s="4"/>
      <c r="AV223" s="4"/>
      <c r="AW223" s="6"/>
      <c r="AX223" s="5" t="str">
        <f t="shared" si="722"/>
        <v>NO APLICA</v>
      </c>
      <c r="AY223" s="4"/>
      <c r="AZ223" s="4"/>
      <c r="BA223" s="4"/>
      <c r="BB223" s="6"/>
      <c r="BC223" s="5" t="str">
        <f t="shared" si="723"/>
        <v>NO APLICA</v>
      </c>
      <c r="BD223" s="4"/>
      <c r="BE223" s="4"/>
      <c r="BF223" s="4"/>
      <c r="BG223" s="6"/>
      <c r="BH223" s="5" t="str">
        <f t="shared" si="724"/>
        <v>NO APLICA</v>
      </c>
      <c r="BI223" s="4"/>
      <c r="BJ223" s="4"/>
      <c r="BK223" s="4"/>
      <c r="BL223" s="6"/>
      <c r="BM223" s="5" t="str">
        <f t="shared" si="725"/>
        <v>NO APLICA</v>
      </c>
      <c r="BN223" s="4"/>
      <c r="BO223" s="4"/>
      <c r="BP223" s="4"/>
      <c r="BQ223" s="6"/>
      <c r="BR223" s="5" t="str">
        <f t="shared" si="726"/>
        <v>NO APLICA</v>
      </c>
      <c r="BS223" s="4"/>
      <c r="BT223" s="4"/>
      <c r="BU223" s="4"/>
      <c r="BV223" s="6"/>
      <c r="BW223" s="5" t="str">
        <f t="shared" si="727"/>
        <v>NO APLICA</v>
      </c>
      <c r="BX223" s="4"/>
      <c r="BY223" s="4"/>
      <c r="BZ223" s="4"/>
      <c r="CA223" s="6"/>
      <c r="CB223" s="5" t="str">
        <f t="shared" si="728"/>
        <v>NO APLICA</v>
      </c>
      <c r="CC223" s="6"/>
      <c r="CD223" s="6"/>
      <c r="CE223" s="6"/>
      <c r="CF223" s="6"/>
      <c r="CG223" s="5" t="str">
        <f t="shared" si="794"/>
        <v>NO APLICA</v>
      </c>
      <c r="CH223" s="4"/>
      <c r="CI223" s="4"/>
      <c r="CJ223" s="4"/>
      <c r="CK223" s="6"/>
      <c r="CL223" s="5" t="str">
        <f t="shared" si="729"/>
        <v>NO APLICA</v>
      </c>
      <c r="CM223" s="4"/>
      <c r="CN223" s="4"/>
      <c r="CO223" s="4"/>
      <c r="CP223" s="6"/>
      <c r="CQ223" s="5" t="str">
        <f t="shared" si="730"/>
        <v>NO APLICA</v>
      </c>
      <c r="CR223" s="4"/>
      <c r="CS223" s="4"/>
      <c r="CT223" s="4"/>
      <c r="CU223" s="6"/>
      <c r="CV223" s="5" t="str">
        <f t="shared" si="731"/>
        <v>NO APLICA</v>
      </c>
      <c r="CW223" s="4"/>
      <c r="CX223" s="4"/>
      <c r="CY223" s="4"/>
      <c r="CZ223" s="6"/>
      <c r="DA223" s="5" t="str">
        <f t="shared" si="732"/>
        <v>NO APLICA</v>
      </c>
      <c r="DB223" s="4"/>
      <c r="DC223" s="4"/>
      <c r="DD223" s="4"/>
      <c r="DE223" s="6"/>
      <c r="DF223" s="5" t="str">
        <f t="shared" si="733"/>
        <v>NO APLICA</v>
      </c>
      <c r="DG223" s="4"/>
      <c r="DH223" s="4"/>
      <c r="DI223" s="4"/>
      <c r="DJ223" s="6"/>
      <c r="DK223" s="5" t="str">
        <f t="shared" si="734"/>
        <v>NO APLICA</v>
      </c>
      <c r="DL223" s="4"/>
      <c r="DM223" s="4"/>
      <c r="DN223" s="4"/>
      <c r="DO223" s="6"/>
      <c r="DP223" s="5" t="str">
        <f t="shared" si="735"/>
        <v>NO APLICA</v>
      </c>
      <c r="DQ223" s="4"/>
      <c r="DR223" s="4"/>
      <c r="DS223" s="4"/>
      <c r="DT223" s="6"/>
      <c r="DU223" s="5" t="str">
        <f t="shared" si="736"/>
        <v>NO APLICA</v>
      </c>
      <c r="DV223" s="4"/>
      <c r="DW223" s="4"/>
      <c r="DX223" s="4"/>
      <c r="DY223" s="6"/>
      <c r="DZ223" s="5" t="str">
        <f t="shared" si="737"/>
        <v>NO APLICA</v>
      </c>
      <c r="EA223" s="4"/>
      <c r="EB223" s="4"/>
      <c r="EC223" s="4"/>
      <c r="ED223" s="6"/>
      <c r="EE223" s="5" t="str">
        <f t="shared" si="738"/>
        <v>NO APLICA</v>
      </c>
      <c r="EF223" s="4"/>
      <c r="EG223" s="4"/>
      <c r="EH223" s="4"/>
      <c r="EI223" s="8"/>
      <c r="EJ223" s="5" t="str">
        <f t="shared" si="739"/>
        <v>NO APLICA</v>
      </c>
      <c r="EK223" s="4"/>
      <c r="EL223" s="4"/>
      <c r="EM223" s="4"/>
      <c r="EN223" s="8"/>
      <c r="EO223" s="5" t="str">
        <f t="shared" si="740"/>
        <v>NO APLICA</v>
      </c>
      <c r="EP223" s="4"/>
      <c r="EQ223" s="4"/>
      <c r="ER223" s="4"/>
      <c r="ES223" s="8"/>
      <c r="ET223" s="5" t="str">
        <f t="shared" si="741"/>
        <v>NO APLICA</v>
      </c>
      <c r="EU223" s="4"/>
      <c r="EV223" s="4"/>
      <c r="EW223" s="4"/>
      <c r="EX223" s="6"/>
      <c r="EY223" s="5" t="str">
        <f t="shared" si="742"/>
        <v>NO APLICA</v>
      </c>
      <c r="EZ223" s="4"/>
      <c r="FA223" s="4"/>
      <c r="FB223" s="4"/>
      <c r="FC223" s="6"/>
      <c r="FD223" s="5" t="str">
        <f t="shared" si="743"/>
        <v>NO APLICA</v>
      </c>
      <c r="FE223" s="4"/>
      <c r="FF223" s="4"/>
      <c r="FG223" s="4"/>
      <c r="FH223" s="6"/>
      <c r="FI223" s="5" t="str">
        <f t="shared" si="744"/>
        <v>NO APLICA</v>
      </c>
      <c r="FJ223" s="4"/>
      <c r="FK223" s="4"/>
      <c r="FL223" s="4"/>
      <c r="FM223" s="6"/>
      <c r="FN223" s="5" t="str">
        <f t="shared" si="745"/>
        <v>NO APLICA</v>
      </c>
      <c r="FO223" s="4"/>
      <c r="FP223" s="4"/>
      <c r="FQ223" s="4"/>
      <c r="FR223" s="6"/>
      <c r="FS223" s="5" t="str">
        <f t="shared" si="746"/>
        <v>NO APLICA</v>
      </c>
      <c r="FT223" s="4"/>
      <c r="FU223" s="4"/>
      <c r="FV223" s="4"/>
      <c r="FW223" s="6"/>
      <c r="FX223" s="5" t="str">
        <f t="shared" si="747"/>
        <v>NO APLICA</v>
      </c>
      <c r="FY223" s="4"/>
      <c r="FZ223" s="4"/>
      <c r="GA223" s="4"/>
      <c r="GB223" s="6"/>
      <c r="GC223" s="5" t="str">
        <f t="shared" si="748"/>
        <v>NO APLICA</v>
      </c>
      <c r="GD223" s="4"/>
      <c r="GE223" s="4"/>
      <c r="GF223" s="4"/>
      <c r="GG223" s="8"/>
      <c r="GH223" s="5" t="str">
        <f t="shared" si="749"/>
        <v>NO APLICA</v>
      </c>
      <c r="GI223" s="4"/>
      <c r="GJ223" s="6"/>
      <c r="GK223" s="6"/>
      <c r="GL223" s="6"/>
      <c r="GM223" s="5" t="str">
        <f t="shared" si="750"/>
        <v>NO APLICA</v>
      </c>
      <c r="GN223" s="4"/>
      <c r="GO223" s="6"/>
      <c r="GP223" s="6"/>
      <c r="GQ223" s="6"/>
      <c r="GR223" s="5" t="str">
        <f t="shared" si="630"/>
        <v>NO APLICA</v>
      </c>
      <c r="GS223" s="4"/>
      <c r="GT223" s="6"/>
      <c r="GU223" s="6"/>
      <c r="GV223" s="6"/>
      <c r="GW223" s="5" t="str">
        <f t="shared" si="631"/>
        <v>NO APLICA</v>
      </c>
      <c r="GX223" s="6"/>
      <c r="GY223" s="6"/>
      <c r="GZ223" s="6"/>
      <c r="HA223" s="6"/>
      <c r="HB223" s="5" t="str">
        <f t="shared" si="632"/>
        <v>NO APLICA</v>
      </c>
      <c r="HC223" s="6"/>
      <c r="HD223" s="6"/>
      <c r="HE223" s="4"/>
      <c r="HF223" s="8"/>
      <c r="HG223" s="5" t="str">
        <f t="shared" si="718"/>
        <v>NO APLICA</v>
      </c>
      <c r="HH223" s="6"/>
      <c r="HI223" s="6"/>
      <c r="HJ223" s="6"/>
      <c r="HK223" s="6"/>
      <c r="HL223" s="5" t="str">
        <f t="shared" si="714"/>
        <v>NO APLICA</v>
      </c>
      <c r="HM223" s="6"/>
      <c r="HN223" s="6"/>
      <c r="HO223" s="6"/>
      <c r="HP223" s="6"/>
      <c r="HQ223" s="5" t="str">
        <f t="shared" si="751"/>
        <v>NO APLICA</v>
      </c>
      <c r="HR223" s="6"/>
      <c r="HS223" s="6"/>
      <c r="HT223" s="6"/>
      <c r="HU223" s="6"/>
      <c r="HV223" s="5" t="str">
        <f t="shared" si="752"/>
        <v>NO APLICA</v>
      </c>
      <c r="HW223" s="6"/>
      <c r="HX223" s="6"/>
      <c r="HY223" s="6"/>
      <c r="HZ223" s="6"/>
      <c r="IA223" s="5" t="str">
        <f t="shared" si="753"/>
        <v>NO APLICA</v>
      </c>
      <c r="IB223" s="6"/>
      <c r="IC223" s="6"/>
      <c r="ID223" s="6"/>
      <c r="IE223" s="6"/>
      <c r="IF223" s="5" t="str">
        <f t="shared" si="754"/>
        <v>NO APLICA</v>
      </c>
      <c r="IG223" s="6"/>
      <c r="IH223" s="6"/>
      <c r="II223" s="6"/>
      <c r="IJ223" s="6"/>
      <c r="IK223" s="5" t="str">
        <f t="shared" si="755"/>
        <v>NO APLICA</v>
      </c>
      <c r="IL223" s="6"/>
      <c r="IM223" s="6"/>
      <c r="IN223" s="6"/>
      <c r="IO223" s="6"/>
      <c r="IP223" s="5" t="str">
        <f t="shared" si="756"/>
        <v>NO APLICA</v>
      </c>
      <c r="IQ223" s="6"/>
      <c r="IR223" s="6"/>
      <c r="IS223" s="6"/>
      <c r="IT223" s="6"/>
      <c r="IU223" s="5" t="str">
        <f t="shared" si="757"/>
        <v>NO APLICA</v>
      </c>
      <c r="IV223" s="6"/>
      <c r="IW223" s="6"/>
      <c r="IX223" s="6"/>
      <c r="IY223" s="6"/>
      <c r="IZ223" s="5" t="str">
        <f t="shared" si="758"/>
        <v>NO APLICA</v>
      </c>
      <c r="JA223" s="6"/>
      <c r="JB223" s="6"/>
      <c r="JC223" s="6"/>
      <c r="JD223" s="6"/>
      <c r="JE223" s="5" t="str">
        <f t="shared" si="759"/>
        <v>NO APLICA</v>
      </c>
      <c r="JF223" s="6"/>
      <c r="JG223" s="6"/>
      <c r="JH223" s="6"/>
      <c r="JI223" s="6"/>
      <c r="JJ223" s="5" t="str">
        <f t="shared" si="760"/>
        <v>NO APLICA</v>
      </c>
      <c r="JK223" s="6"/>
      <c r="JL223" s="6"/>
      <c r="JM223" s="6"/>
      <c r="JN223" s="6"/>
      <c r="JO223" s="5" t="str">
        <f t="shared" si="761"/>
        <v>NO APLICA</v>
      </c>
      <c r="JP223" s="6"/>
      <c r="JQ223" s="6"/>
      <c r="JR223" s="6"/>
      <c r="JS223" s="6"/>
      <c r="JT223" s="5" t="str">
        <f t="shared" si="762"/>
        <v>NO APLICA</v>
      </c>
      <c r="JU223" s="5"/>
      <c r="JV223" s="5"/>
      <c r="JW223" s="5"/>
      <c r="JX223" s="5"/>
      <c r="JY223" s="5" t="str">
        <f t="shared" si="763"/>
        <v>NO APLICA</v>
      </c>
      <c r="JZ223" s="5"/>
      <c r="KA223" s="6"/>
      <c r="KB223" s="6"/>
      <c r="KC223" s="6"/>
      <c r="KD223" s="5" t="str">
        <f t="shared" si="764"/>
        <v>NO APLICA</v>
      </c>
      <c r="KE223" s="5"/>
      <c r="KF223" s="6"/>
      <c r="KG223" s="6"/>
      <c r="KH223" s="6"/>
      <c r="KI223" s="5" t="str">
        <f t="shared" si="784"/>
        <v>NO APLICA</v>
      </c>
      <c r="KJ223" s="5"/>
      <c r="KK223" s="6"/>
      <c r="KL223" s="6"/>
      <c r="KM223" s="6"/>
      <c r="KN223" s="5" t="str">
        <f t="shared" si="765"/>
        <v>NO APLICA</v>
      </c>
      <c r="KO223" s="5"/>
      <c r="KP223" s="6"/>
      <c r="KQ223" s="6"/>
      <c r="KR223" s="6"/>
      <c r="KS223" s="5" t="str">
        <f t="shared" si="785"/>
        <v>NO APLICA</v>
      </c>
      <c r="KT223" s="6"/>
      <c r="KU223" s="6"/>
      <c r="KV223" s="6"/>
      <c r="KW223" s="6"/>
      <c r="KX223" s="5" t="str">
        <f t="shared" si="791"/>
        <v>NO APLICA</v>
      </c>
      <c r="KY223" s="5"/>
      <c r="KZ223" s="6"/>
      <c r="LA223" s="6"/>
      <c r="LB223" s="6"/>
      <c r="LC223" s="5" t="str">
        <f t="shared" si="786"/>
        <v>NO APLICA</v>
      </c>
      <c r="LD223" s="6"/>
      <c r="LE223" s="6"/>
      <c r="LF223" s="6"/>
      <c r="LG223" s="6"/>
      <c r="LH223" s="5" t="str">
        <f t="shared" si="619"/>
        <v>NO APLICA</v>
      </c>
      <c r="LI223" s="5"/>
      <c r="LJ223" s="5"/>
      <c r="LK223" s="4"/>
      <c r="LL223" s="8"/>
      <c r="LM223" s="5" t="str">
        <f t="shared" si="792"/>
        <v>NO APLICA</v>
      </c>
      <c r="LN223" s="6"/>
      <c r="LO223" s="6"/>
      <c r="LP223" s="6"/>
      <c r="LQ223" s="6"/>
      <c r="LR223" s="5" t="str">
        <f t="shared" si="787"/>
        <v>NO APLICA</v>
      </c>
      <c r="LS223" s="6"/>
      <c r="LT223" s="6"/>
      <c r="LU223" s="6"/>
      <c r="LV223" s="6"/>
      <c r="LW223" s="5" t="str">
        <f t="shared" si="788"/>
        <v>NO APLICA</v>
      </c>
      <c r="LX223" s="6"/>
      <c r="LY223" s="6"/>
      <c r="LZ223" s="6"/>
      <c r="MA223" s="6"/>
      <c r="MB223" s="5" t="str">
        <f t="shared" si="789"/>
        <v>NO APLICA</v>
      </c>
      <c r="MC223" s="6"/>
      <c r="MD223" s="6"/>
      <c r="ME223" s="6"/>
      <c r="MF223" s="6"/>
      <c r="MG223" s="5" t="str">
        <f t="shared" si="766"/>
        <v>NO APLICA</v>
      </c>
      <c r="MH223" s="6"/>
      <c r="MI223" s="6"/>
      <c r="MJ223" s="6"/>
      <c r="MK223" s="6"/>
      <c r="ML223" s="5" t="str">
        <f t="shared" si="767"/>
        <v>NO APLICA</v>
      </c>
      <c r="MM223" s="5"/>
      <c r="MN223" s="6"/>
      <c r="MO223" s="6"/>
      <c r="MP223" s="6"/>
      <c r="MQ223" s="5" t="str">
        <f t="shared" si="768"/>
        <v>NO APLICA</v>
      </c>
      <c r="MR223" s="5"/>
      <c r="MS223" s="6"/>
      <c r="MT223" s="6"/>
      <c r="MU223" s="6"/>
      <c r="MV223" s="5" t="str">
        <f t="shared" si="769"/>
        <v>NO APLICA</v>
      </c>
      <c r="MW223" s="6"/>
      <c r="MX223" s="6"/>
      <c r="MY223" s="6"/>
      <c r="MZ223" s="6"/>
      <c r="NA223" s="5" t="str">
        <f t="shared" si="770"/>
        <v>NO APLICA</v>
      </c>
      <c r="NB223" s="6"/>
      <c r="NC223" s="6"/>
      <c r="ND223" s="6"/>
      <c r="NE223" s="6"/>
      <c r="NF223" s="5" t="str">
        <f t="shared" si="771"/>
        <v>NO APLICA</v>
      </c>
      <c r="NG223" s="6"/>
      <c r="NH223" s="6"/>
      <c r="NI223" s="6"/>
      <c r="NJ223" s="6"/>
      <c r="NK223" s="5" t="str">
        <f t="shared" si="772"/>
        <v>NO APLICA</v>
      </c>
      <c r="NL223" s="6"/>
      <c r="NM223" s="6"/>
      <c r="NN223" s="6"/>
      <c r="NO223" s="6"/>
      <c r="NP223" s="5" t="str">
        <f t="shared" si="773"/>
        <v>NO APLICA</v>
      </c>
      <c r="NQ223" s="6"/>
      <c r="NR223" s="6"/>
      <c r="NS223" s="6"/>
      <c r="NT223" s="6"/>
      <c r="NU223" s="5" t="str">
        <f t="shared" si="774"/>
        <v>NO APLICA</v>
      </c>
      <c r="NV223" s="6"/>
      <c r="NW223" s="6"/>
      <c r="NX223" s="6"/>
      <c r="NY223" s="6"/>
      <c r="NZ223" s="5" t="str">
        <f t="shared" si="775"/>
        <v>NO APLICA</v>
      </c>
      <c r="OA223" s="6"/>
      <c r="OB223" s="6"/>
      <c r="OC223" s="6"/>
      <c r="OD223" s="6"/>
      <c r="OE223" s="5" t="str">
        <f t="shared" si="776"/>
        <v>NO APLICA</v>
      </c>
      <c r="OF223" s="6"/>
      <c r="OG223" s="6"/>
      <c r="OH223" s="6"/>
      <c r="OI223" s="6"/>
      <c r="OJ223" s="5" t="str">
        <f t="shared" si="777"/>
        <v>NO APLICA</v>
      </c>
      <c r="OK223" s="6"/>
      <c r="OL223" s="6"/>
      <c r="OM223" s="6"/>
      <c r="ON223" s="6"/>
      <c r="OO223" s="5" t="str">
        <f t="shared" si="778"/>
        <v>NO APLICA</v>
      </c>
      <c r="OP223" s="6"/>
      <c r="OQ223" s="6"/>
      <c r="OR223" s="6"/>
      <c r="OS223" s="6"/>
      <c r="OT223" s="5" t="str">
        <f t="shared" si="779"/>
        <v>NO APLICA</v>
      </c>
      <c r="OU223" s="4"/>
      <c r="OV223" s="4">
        <v>44770</v>
      </c>
      <c r="OW223" s="4">
        <f>DATE(YEAR(OV223)+5,MONTH(OV223),DAY(OV223))</f>
        <v>46596</v>
      </c>
      <c r="OX223" s="8">
        <f ca="1">OW223-TODAY()</f>
        <v>462</v>
      </c>
      <c r="OY223" s="5" t="str">
        <f ca="1">IF(OX223&gt;=61,"VIGENTE",IF(OX223&gt;=1,"POR VENCER",IF(OX223&lt;=-1,"VENCIDA",IF(OV223=0,"NO APLICA"))))</f>
        <v>VIGENTE</v>
      </c>
      <c r="OZ223" s="6"/>
      <c r="PA223" s="6"/>
      <c r="PB223" s="6"/>
      <c r="PC223" s="6"/>
      <c r="PD223" s="5" t="str">
        <f t="shared" si="780"/>
        <v>NO APLICA</v>
      </c>
      <c r="PE223" s="6"/>
      <c r="PF223" s="6"/>
      <c r="PG223" s="6"/>
      <c r="PH223" s="6"/>
      <c r="PI223" s="5" t="str">
        <f t="shared" si="781"/>
        <v>NO APLICA</v>
      </c>
      <c r="PJ223" s="5"/>
      <c r="PK223" s="6"/>
      <c r="PL223" s="6"/>
      <c r="PM223" s="6"/>
      <c r="PN223" s="5" t="str">
        <f t="shared" si="790"/>
        <v>NO APLICA</v>
      </c>
      <c r="PO223" s="6"/>
      <c r="PP223" s="6"/>
      <c r="PQ223" s="6"/>
      <c r="PR223" s="6"/>
      <c r="PS223" s="5" t="str">
        <f t="shared" si="782"/>
        <v>NO APLICA</v>
      </c>
      <c r="PT223" s="5"/>
      <c r="PU223" s="4">
        <v>46126</v>
      </c>
      <c r="PV223" s="4">
        <f>DATE(YEAR(PU223)+1,MONTH(PU223),DAY(PU223))</f>
        <v>46491</v>
      </c>
      <c r="PW223" s="8">
        <f ca="1">PV223-TODAY()</f>
        <v>357</v>
      </c>
      <c r="PX223" s="5" t="str">
        <f t="shared" ca="1" si="783"/>
        <v>VIGENTE</v>
      </c>
    </row>
    <row r="224" spans="1:440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6"/>
      <c r="V224" s="4"/>
      <c r="W224" s="4"/>
      <c r="X224" s="8"/>
      <c r="Y224" s="5" t="str">
        <f t="shared" si="624"/>
        <v>NO APLICA</v>
      </c>
      <c r="Z224" s="6"/>
      <c r="AA224" s="6"/>
      <c r="AB224" s="6"/>
      <c r="AC224" s="6"/>
      <c r="AD224" s="5" t="str">
        <f t="shared" si="627"/>
        <v>NO APLICA</v>
      </c>
      <c r="AE224" s="4"/>
      <c r="AF224" s="4"/>
      <c r="AG224" s="4"/>
      <c r="AH224" s="6"/>
      <c r="AI224" s="5" t="str">
        <f t="shared" si="621"/>
        <v>NO APLICA</v>
      </c>
      <c r="AJ224" s="4"/>
      <c r="AK224" s="4"/>
      <c r="AL224" s="4"/>
      <c r="AM224" s="6"/>
      <c r="AN224" s="5" t="str">
        <f t="shared" si="720"/>
        <v>NO APLICA</v>
      </c>
      <c r="AO224" s="4"/>
      <c r="AP224" s="4"/>
      <c r="AQ224" s="4"/>
      <c r="AR224" s="6"/>
      <c r="AS224" s="5" t="str">
        <f t="shared" si="721"/>
        <v>NO APLICA</v>
      </c>
      <c r="AT224" s="4"/>
      <c r="AU224" s="4"/>
      <c r="AV224" s="4"/>
      <c r="AW224" s="6"/>
      <c r="AX224" s="5" t="str">
        <f t="shared" si="722"/>
        <v>NO APLICA</v>
      </c>
      <c r="AY224" s="4"/>
      <c r="AZ224" s="4"/>
      <c r="BA224" s="4"/>
      <c r="BB224" s="6"/>
      <c r="BC224" s="5" t="str">
        <f t="shared" si="723"/>
        <v>NO APLICA</v>
      </c>
      <c r="BD224" s="4"/>
      <c r="BE224" s="4"/>
      <c r="BF224" s="4"/>
      <c r="BG224" s="6"/>
      <c r="BH224" s="5" t="str">
        <f t="shared" si="724"/>
        <v>NO APLICA</v>
      </c>
      <c r="BI224" s="4"/>
      <c r="BJ224" s="4"/>
      <c r="BK224" s="4"/>
      <c r="BL224" s="6"/>
      <c r="BM224" s="5" t="str">
        <f t="shared" si="725"/>
        <v>NO APLICA</v>
      </c>
      <c r="BN224" s="4"/>
      <c r="BO224" s="4"/>
      <c r="BP224" s="4"/>
      <c r="BQ224" s="6"/>
      <c r="BR224" s="5" t="str">
        <f t="shared" si="726"/>
        <v>NO APLICA</v>
      </c>
      <c r="BS224" s="4"/>
      <c r="BT224" s="4"/>
      <c r="BU224" s="4"/>
      <c r="BV224" s="6"/>
      <c r="BW224" s="5" t="str">
        <f t="shared" si="727"/>
        <v>NO APLICA</v>
      </c>
      <c r="BX224" s="4"/>
      <c r="BY224" s="4"/>
      <c r="BZ224" s="4"/>
      <c r="CA224" s="6"/>
      <c r="CB224" s="5" t="str">
        <f t="shared" si="728"/>
        <v>NO APLICA</v>
      </c>
      <c r="CC224" s="6"/>
      <c r="CD224" s="6"/>
      <c r="CE224" s="6"/>
      <c r="CF224" s="6"/>
      <c r="CG224" s="5" t="str">
        <f t="shared" si="794"/>
        <v>NO APLICA</v>
      </c>
      <c r="CH224" s="4"/>
      <c r="CI224" s="4"/>
      <c r="CJ224" s="4"/>
      <c r="CK224" s="6"/>
      <c r="CL224" s="5" t="str">
        <f t="shared" si="729"/>
        <v>NO APLICA</v>
      </c>
      <c r="CM224" s="4"/>
      <c r="CN224" s="4"/>
      <c r="CO224" s="4"/>
      <c r="CP224" s="6"/>
      <c r="CQ224" s="5" t="str">
        <f t="shared" si="730"/>
        <v>NO APLICA</v>
      </c>
      <c r="CR224" s="4"/>
      <c r="CS224" s="4"/>
      <c r="CT224" s="4"/>
      <c r="CU224" s="6"/>
      <c r="CV224" s="5" t="str">
        <f t="shared" si="731"/>
        <v>NO APLICA</v>
      </c>
      <c r="CW224" s="4"/>
      <c r="CX224" s="4"/>
      <c r="CY224" s="4"/>
      <c r="CZ224" s="6"/>
      <c r="DA224" s="5" t="str">
        <f t="shared" si="732"/>
        <v>NO APLICA</v>
      </c>
      <c r="DB224" s="4"/>
      <c r="DC224" s="4"/>
      <c r="DD224" s="4"/>
      <c r="DE224" s="6"/>
      <c r="DF224" s="5" t="str">
        <f t="shared" si="733"/>
        <v>NO APLICA</v>
      </c>
      <c r="DG224" s="4"/>
      <c r="DH224" s="4"/>
      <c r="DI224" s="4"/>
      <c r="DJ224" s="6"/>
      <c r="DK224" s="5" t="str">
        <f t="shared" si="734"/>
        <v>NO APLICA</v>
      </c>
      <c r="DL224" s="4"/>
      <c r="DM224" s="4"/>
      <c r="DN224" s="4"/>
      <c r="DO224" s="6"/>
      <c r="DP224" s="5" t="str">
        <f t="shared" si="735"/>
        <v>NO APLICA</v>
      </c>
      <c r="DQ224" s="4"/>
      <c r="DR224" s="4"/>
      <c r="DS224" s="4"/>
      <c r="DT224" s="6"/>
      <c r="DU224" s="5" t="str">
        <f t="shared" si="736"/>
        <v>NO APLICA</v>
      </c>
      <c r="DV224" s="4"/>
      <c r="DW224" s="4"/>
      <c r="DX224" s="4"/>
      <c r="DY224" s="6"/>
      <c r="DZ224" s="5" t="str">
        <f t="shared" si="737"/>
        <v>NO APLICA</v>
      </c>
      <c r="EA224" s="4"/>
      <c r="EB224" s="4"/>
      <c r="EC224" s="4"/>
      <c r="ED224" s="6"/>
      <c r="EE224" s="5" t="str">
        <f t="shared" si="738"/>
        <v>NO APLICA</v>
      </c>
      <c r="EF224" s="4"/>
      <c r="EG224" s="4"/>
      <c r="EH224" s="4"/>
      <c r="EI224" s="8"/>
      <c r="EJ224" s="5" t="str">
        <f t="shared" si="739"/>
        <v>NO APLICA</v>
      </c>
      <c r="EK224" s="4"/>
      <c r="EL224" s="4"/>
      <c r="EM224" s="4"/>
      <c r="EN224" s="8"/>
      <c r="EO224" s="5" t="str">
        <f t="shared" si="740"/>
        <v>NO APLICA</v>
      </c>
      <c r="EP224" s="4"/>
      <c r="EQ224" s="4"/>
      <c r="ER224" s="4"/>
      <c r="ES224" s="8"/>
      <c r="ET224" s="5" t="str">
        <f t="shared" si="741"/>
        <v>NO APLICA</v>
      </c>
      <c r="EU224" s="4"/>
      <c r="EV224" s="4"/>
      <c r="EW224" s="4"/>
      <c r="EX224" s="6"/>
      <c r="EY224" s="5" t="str">
        <f t="shared" si="742"/>
        <v>NO APLICA</v>
      </c>
      <c r="EZ224" s="4"/>
      <c r="FA224" s="4"/>
      <c r="FB224" s="4"/>
      <c r="FC224" s="6"/>
      <c r="FD224" s="5" t="str">
        <f t="shared" si="743"/>
        <v>NO APLICA</v>
      </c>
      <c r="FE224" s="4"/>
      <c r="FF224" s="4"/>
      <c r="FG224" s="4"/>
      <c r="FH224" s="6"/>
      <c r="FI224" s="5" t="str">
        <f t="shared" si="744"/>
        <v>NO APLICA</v>
      </c>
      <c r="FJ224" s="4"/>
      <c r="FK224" s="4"/>
      <c r="FL224" s="4"/>
      <c r="FM224" s="6"/>
      <c r="FN224" s="5" t="str">
        <f t="shared" si="745"/>
        <v>NO APLICA</v>
      </c>
      <c r="FO224" s="4"/>
      <c r="FP224" s="4"/>
      <c r="FQ224" s="4"/>
      <c r="FR224" s="6"/>
      <c r="FS224" s="5" t="str">
        <f t="shared" si="746"/>
        <v>NO APLICA</v>
      </c>
      <c r="FT224" s="4"/>
      <c r="FU224" s="4"/>
      <c r="FV224" s="4"/>
      <c r="FW224" s="6"/>
      <c r="FX224" s="5" t="str">
        <f t="shared" si="747"/>
        <v>NO APLICA</v>
      </c>
      <c r="FY224" s="4"/>
      <c r="FZ224" s="4"/>
      <c r="GA224" s="4"/>
      <c r="GB224" s="6"/>
      <c r="GC224" s="5" t="str">
        <f t="shared" si="748"/>
        <v>NO APLICA</v>
      </c>
      <c r="GD224" s="4"/>
      <c r="GE224" s="4"/>
      <c r="GF224" s="4"/>
      <c r="GG224" s="8"/>
      <c r="GH224" s="5" t="str">
        <f t="shared" si="749"/>
        <v>NO APLICA</v>
      </c>
      <c r="GI224" s="4"/>
      <c r="GJ224" s="6"/>
      <c r="GK224" s="6"/>
      <c r="GL224" s="6"/>
      <c r="GM224" s="5" t="str">
        <f t="shared" si="750"/>
        <v>NO APLICA</v>
      </c>
      <c r="GN224" s="4"/>
      <c r="GO224" s="6"/>
      <c r="GP224" s="6"/>
      <c r="GQ224" s="6"/>
      <c r="GR224" s="5" t="str">
        <f t="shared" si="630"/>
        <v>NO APLICA</v>
      </c>
      <c r="GS224" s="4"/>
      <c r="GT224" s="6"/>
      <c r="GU224" s="6"/>
      <c r="GV224" s="6"/>
      <c r="GW224" s="5" t="str">
        <f t="shared" si="631"/>
        <v>NO APLICA</v>
      </c>
      <c r="GX224" s="6"/>
      <c r="GY224" s="6"/>
      <c r="GZ224" s="6"/>
      <c r="HA224" s="6"/>
      <c r="HB224" s="5" t="str">
        <f t="shared" si="632"/>
        <v>NO APLICA</v>
      </c>
      <c r="HC224" s="6"/>
      <c r="HD224" s="6"/>
      <c r="HE224" s="4"/>
      <c r="HF224" s="8"/>
      <c r="HG224" s="5" t="str">
        <f t="shared" si="718"/>
        <v>NO APLICA</v>
      </c>
      <c r="HH224" s="6"/>
      <c r="HI224" s="6"/>
      <c r="HJ224" s="6"/>
      <c r="HK224" s="6"/>
      <c r="HL224" s="5" t="str">
        <f t="shared" si="714"/>
        <v>NO APLICA</v>
      </c>
      <c r="HM224" s="6"/>
      <c r="HN224" s="6"/>
      <c r="HO224" s="6"/>
      <c r="HP224" s="6"/>
      <c r="HQ224" s="5" t="str">
        <f t="shared" si="751"/>
        <v>NO APLICA</v>
      </c>
      <c r="HR224" s="6"/>
      <c r="HS224" s="6"/>
      <c r="HT224" s="6"/>
      <c r="HU224" s="6"/>
      <c r="HV224" s="5" t="str">
        <f t="shared" si="752"/>
        <v>NO APLICA</v>
      </c>
      <c r="HW224" s="6"/>
      <c r="HX224" s="6"/>
      <c r="HY224" s="6"/>
      <c r="HZ224" s="6"/>
      <c r="IA224" s="5" t="str">
        <f t="shared" si="753"/>
        <v>NO APLICA</v>
      </c>
      <c r="IB224" s="6"/>
      <c r="IC224" s="6"/>
      <c r="ID224" s="6"/>
      <c r="IE224" s="6"/>
      <c r="IF224" s="5" t="str">
        <f t="shared" si="754"/>
        <v>NO APLICA</v>
      </c>
      <c r="IG224" s="6"/>
      <c r="IH224" s="6"/>
      <c r="II224" s="6"/>
      <c r="IJ224" s="6"/>
      <c r="IK224" s="5" t="str">
        <f t="shared" si="755"/>
        <v>NO APLICA</v>
      </c>
      <c r="IL224" s="6"/>
      <c r="IM224" s="6"/>
      <c r="IN224" s="6"/>
      <c r="IO224" s="6"/>
      <c r="IP224" s="5" t="str">
        <f t="shared" si="756"/>
        <v>NO APLICA</v>
      </c>
      <c r="IQ224" s="6"/>
      <c r="IR224" s="6"/>
      <c r="IS224" s="6"/>
      <c r="IT224" s="6"/>
      <c r="IU224" s="5" t="str">
        <f t="shared" si="757"/>
        <v>NO APLICA</v>
      </c>
      <c r="IV224" s="6"/>
      <c r="IW224" s="6"/>
      <c r="IX224" s="6"/>
      <c r="IY224" s="6"/>
      <c r="IZ224" s="5" t="str">
        <f t="shared" si="758"/>
        <v>NO APLICA</v>
      </c>
      <c r="JA224" s="10"/>
      <c r="JB224" s="10"/>
      <c r="JC224" s="4"/>
      <c r="JD224" s="8"/>
      <c r="JE224" s="5" t="str">
        <f>IF(JD224&gt;=61,"VIGENTE",IF(JD224&gt;=1,"POR VENCER",IF(JD224&lt;=-1,"VENCIDA",IF(JB224=0,"NO APLICA"))))</f>
        <v>NO APLICA</v>
      </c>
      <c r="JF224" s="10"/>
      <c r="JG224" s="10"/>
      <c r="JH224" s="4"/>
      <c r="JI224" s="8"/>
      <c r="JJ224" s="5" t="str">
        <f>IF(JI224&gt;=61,"VIGENTE",IF(JI224&gt;=1,"POR VENCER",IF(JI224&lt;=-1,"VENCIDA",IF(JF224=0,"NO APLICA"))))</f>
        <v>NO APLICA</v>
      </c>
      <c r="JK224" s="6"/>
      <c r="JL224" s="6"/>
      <c r="JM224" s="6"/>
      <c r="JN224" s="6"/>
      <c r="JO224" s="5" t="str">
        <f t="shared" si="761"/>
        <v>NO APLICA</v>
      </c>
      <c r="JP224" s="10"/>
      <c r="JQ224" s="10"/>
      <c r="JR224" s="4"/>
      <c r="JS224" s="8"/>
      <c r="JT224" s="5" t="str">
        <f>IF(JS224&gt;=61,"VIGENTE",IF(JS224&gt;=1,"POR VENCER",IF(JS224&lt;=-1,"VENCIDA",IF(JQ224=0,"NO APLICA"))))</f>
        <v>NO APLICA</v>
      </c>
      <c r="JU224" s="21"/>
      <c r="JV224" s="26"/>
      <c r="JW224" s="4"/>
      <c r="JX224" s="8"/>
      <c r="JY224" s="5" t="str">
        <f>IF(JX224&gt;=61,"VIGENTE",IF(JX224&gt;=1,"POR VENCER",IF(JX224&lt;=-1,"VENCIDA",IF(JV224=0,"NO APLICA"))))</f>
        <v>NO APLICA</v>
      </c>
      <c r="JZ224" s="5"/>
      <c r="KA224" s="6"/>
      <c r="KB224" s="6"/>
      <c r="KC224" s="6"/>
      <c r="KD224" s="5" t="str">
        <f t="shared" si="764"/>
        <v>NO APLICA</v>
      </c>
      <c r="KE224" s="5"/>
      <c r="KF224" s="6"/>
      <c r="KG224" s="6"/>
      <c r="KH224" s="6"/>
      <c r="KI224" s="5" t="str">
        <f t="shared" si="784"/>
        <v>NO APLICA</v>
      </c>
      <c r="KJ224" s="5"/>
      <c r="KK224" s="6"/>
      <c r="KL224" s="6"/>
      <c r="KM224" s="6"/>
      <c r="KN224" s="5" t="str">
        <f t="shared" si="765"/>
        <v>NO APLICA</v>
      </c>
      <c r="KO224" s="5"/>
      <c r="KP224" s="6"/>
      <c r="KQ224" s="6"/>
      <c r="KR224" s="6"/>
      <c r="KS224" s="5" t="str">
        <f t="shared" si="785"/>
        <v>NO APLICA</v>
      </c>
      <c r="KT224" s="6"/>
      <c r="KU224" s="6"/>
      <c r="KV224" s="6"/>
      <c r="KW224" s="6"/>
      <c r="KX224" s="5" t="str">
        <f t="shared" si="791"/>
        <v>NO APLICA</v>
      </c>
      <c r="KY224" s="5"/>
      <c r="KZ224" s="6"/>
      <c r="LA224" s="6"/>
      <c r="LB224" s="6"/>
      <c r="LC224" s="5" t="str">
        <f t="shared" si="786"/>
        <v>NO APLICA</v>
      </c>
      <c r="LD224" s="6"/>
      <c r="LE224" s="6"/>
      <c r="LF224" s="6"/>
      <c r="LG224" s="6"/>
      <c r="LH224" s="5" t="str">
        <f t="shared" si="619"/>
        <v>NO APLICA</v>
      </c>
      <c r="LI224" s="5"/>
      <c r="LJ224" s="5"/>
      <c r="LK224" s="4"/>
      <c r="LL224" s="8"/>
      <c r="LM224" s="5" t="str">
        <f t="shared" si="792"/>
        <v>NO APLICA</v>
      </c>
      <c r="LN224" s="6"/>
      <c r="LO224" s="6"/>
      <c r="LP224" s="6"/>
      <c r="LQ224" s="6"/>
      <c r="LR224" s="5" t="str">
        <f t="shared" si="787"/>
        <v>NO APLICA</v>
      </c>
      <c r="LS224" s="6"/>
      <c r="LT224" s="6"/>
      <c r="LU224" s="6"/>
      <c r="LV224" s="6"/>
      <c r="LW224" s="5" t="str">
        <f t="shared" si="788"/>
        <v>NO APLICA</v>
      </c>
      <c r="LX224" s="6"/>
      <c r="LY224" s="6"/>
      <c r="LZ224" s="6"/>
      <c r="MA224" s="6"/>
      <c r="MB224" s="5" t="str">
        <f t="shared" si="789"/>
        <v>NO APLICA</v>
      </c>
      <c r="MC224" s="6"/>
      <c r="MD224" s="6"/>
      <c r="ME224" s="6"/>
      <c r="MF224" s="6"/>
      <c r="MG224" s="5" t="str">
        <f t="shared" si="766"/>
        <v>NO APLICA</v>
      </c>
      <c r="MH224" s="6"/>
      <c r="MI224" s="6"/>
      <c r="MJ224" s="6"/>
      <c r="MK224" s="6"/>
      <c r="ML224" s="5" t="str">
        <f t="shared" si="767"/>
        <v>NO APLICA</v>
      </c>
      <c r="MM224" s="5"/>
      <c r="MN224" s="6"/>
      <c r="MO224" s="6"/>
      <c r="MP224" s="6"/>
      <c r="MQ224" s="5" t="str">
        <f t="shared" si="768"/>
        <v>NO APLICA</v>
      </c>
      <c r="MR224" s="5"/>
      <c r="MS224" s="6"/>
      <c r="MT224" s="6"/>
      <c r="MU224" s="6"/>
      <c r="MV224" s="5" t="str">
        <f t="shared" si="769"/>
        <v>NO APLICA</v>
      </c>
      <c r="MW224" s="6"/>
      <c r="MX224" s="6"/>
      <c r="MY224" s="6"/>
      <c r="MZ224" s="6"/>
      <c r="NA224" s="5" t="str">
        <f t="shared" si="770"/>
        <v>NO APLICA</v>
      </c>
      <c r="NB224" s="6"/>
      <c r="NC224" s="6"/>
      <c r="ND224" s="6"/>
      <c r="NE224" s="6"/>
      <c r="NF224" s="5" t="str">
        <f t="shared" si="771"/>
        <v>NO APLICA</v>
      </c>
      <c r="NG224" s="6"/>
      <c r="NH224" s="6"/>
      <c r="NI224" s="6"/>
      <c r="NJ224" s="6"/>
      <c r="NK224" s="5" t="str">
        <f t="shared" si="772"/>
        <v>NO APLICA</v>
      </c>
      <c r="NL224" s="6"/>
      <c r="NM224" s="6"/>
      <c r="NN224" s="6"/>
      <c r="NO224" s="6"/>
      <c r="NP224" s="5" t="str">
        <f t="shared" si="773"/>
        <v>NO APLICA</v>
      </c>
      <c r="NQ224" s="6"/>
      <c r="NR224" s="6"/>
      <c r="NS224" s="6"/>
      <c r="NT224" s="6"/>
      <c r="NU224" s="5" t="str">
        <f t="shared" si="774"/>
        <v>NO APLICA</v>
      </c>
      <c r="NV224" s="6"/>
      <c r="NW224" s="6"/>
      <c r="NX224" s="6"/>
      <c r="NY224" s="6"/>
      <c r="NZ224" s="5" t="str">
        <f t="shared" si="775"/>
        <v>NO APLICA</v>
      </c>
      <c r="OA224" s="6"/>
      <c r="OB224" s="6"/>
      <c r="OC224" s="6"/>
      <c r="OD224" s="6"/>
      <c r="OE224" s="5" t="str">
        <f t="shared" si="776"/>
        <v>NO APLICA</v>
      </c>
      <c r="OF224" s="6"/>
      <c r="OG224" s="6"/>
      <c r="OH224" s="6"/>
      <c r="OI224" s="6"/>
      <c r="OJ224" s="5" t="str">
        <f t="shared" si="777"/>
        <v>NO APLICA</v>
      </c>
      <c r="OK224" s="6"/>
      <c r="OL224" s="6"/>
      <c r="OM224" s="6"/>
      <c r="ON224" s="6"/>
      <c r="OO224" s="5" t="str">
        <f t="shared" si="778"/>
        <v>NO APLICA</v>
      </c>
      <c r="OP224" s="6"/>
      <c r="OQ224" s="6"/>
      <c r="OR224" s="6"/>
      <c r="OS224" s="6"/>
      <c r="OT224" s="5" t="str">
        <f t="shared" si="779"/>
        <v>NO APLICA</v>
      </c>
      <c r="OU224" s="6"/>
      <c r="OV224" s="6"/>
      <c r="OW224" s="6"/>
      <c r="OX224" s="6"/>
      <c r="OY224" s="5" t="str">
        <f t="shared" si="793"/>
        <v>NO APLICA</v>
      </c>
      <c r="OZ224" s="6"/>
      <c r="PA224" s="6"/>
      <c r="PB224" s="6"/>
      <c r="PC224" s="6"/>
      <c r="PD224" s="5" t="str">
        <f t="shared" si="780"/>
        <v>NO APLICA</v>
      </c>
      <c r="PE224" s="6"/>
      <c r="PF224" s="6"/>
      <c r="PG224" s="6"/>
      <c r="PH224" s="6"/>
      <c r="PI224" s="5" t="str">
        <f t="shared" si="781"/>
        <v>NO APLICA</v>
      </c>
      <c r="PJ224" s="5"/>
      <c r="PK224" s="6"/>
      <c r="PL224" s="6"/>
      <c r="PM224" s="6"/>
      <c r="PN224" s="5" t="str">
        <f t="shared" si="790"/>
        <v>NO APLICA</v>
      </c>
      <c r="PO224" s="6"/>
      <c r="PP224" s="6"/>
      <c r="PQ224" s="6"/>
      <c r="PR224" s="6"/>
      <c r="PS224" s="5" t="str">
        <f t="shared" si="782"/>
        <v>NO APLICA</v>
      </c>
      <c r="PT224" s="5"/>
      <c r="PU224" s="6"/>
      <c r="PV224" s="6"/>
      <c r="PW224" s="6"/>
      <c r="PX224" s="5" t="str">
        <f t="shared" si="783"/>
        <v>NO APLICA</v>
      </c>
    </row>
    <row r="225" spans="1:440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2"/>
      <c r="V225" s="4"/>
      <c r="W225" s="4"/>
      <c r="X225" s="8"/>
      <c r="Y225" s="5" t="str">
        <f t="shared" si="624"/>
        <v>NO APLICA</v>
      </c>
      <c r="Z225" s="2"/>
      <c r="AA225" s="6"/>
      <c r="AB225" s="4"/>
      <c r="AC225" s="8"/>
      <c r="AD225" s="5" t="str">
        <f t="shared" si="627"/>
        <v>NO APLICA</v>
      </c>
      <c r="AE225" s="2"/>
      <c r="AF225" s="4"/>
      <c r="AG225" s="4"/>
      <c r="AH225" s="8"/>
      <c r="AI225" s="5" t="str">
        <f t="shared" si="621"/>
        <v>NO APLICA</v>
      </c>
      <c r="AJ225" s="2"/>
      <c r="AK225" s="4"/>
      <c r="AL225" s="4"/>
      <c r="AM225" s="8"/>
      <c r="AN225" s="5" t="str">
        <f t="shared" si="720"/>
        <v>NO APLICA</v>
      </c>
      <c r="AO225" s="2"/>
      <c r="AP225" s="4"/>
      <c r="AQ225" s="4"/>
      <c r="AR225" s="8"/>
      <c r="AS225" s="5" t="str">
        <f t="shared" si="721"/>
        <v>NO APLICA</v>
      </c>
      <c r="AT225" s="2"/>
      <c r="AU225" s="4"/>
      <c r="AV225" s="4"/>
      <c r="AW225" s="8"/>
      <c r="AX225" s="5" t="str">
        <f t="shared" si="722"/>
        <v>NO APLICA</v>
      </c>
      <c r="AY225" s="3"/>
      <c r="AZ225" s="4"/>
      <c r="BA225" s="4"/>
      <c r="BB225" s="8"/>
      <c r="BC225" s="5" t="str">
        <f t="shared" si="723"/>
        <v>NO APLICA</v>
      </c>
      <c r="BD225" s="2"/>
      <c r="BE225" s="4"/>
      <c r="BF225" s="4"/>
      <c r="BG225" s="8"/>
      <c r="BH225" s="5" t="str">
        <f t="shared" si="724"/>
        <v>NO APLICA</v>
      </c>
      <c r="BI225" s="3"/>
      <c r="BJ225" s="4"/>
      <c r="BK225" s="4"/>
      <c r="BL225" s="8"/>
      <c r="BM225" s="5" t="str">
        <f t="shared" si="725"/>
        <v>NO APLICA</v>
      </c>
      <c r="BN225" s="3"/>
      <c r="BO225" s="4"/>
      <c r="BP225" s="4"/>
      <c r="BQ225" s="8"/>
      <c r="BR225" s="5" t="str">
        <f t="shared" si="726"/>
        <v>NO APLICA</v>
      </c>
      <c r="BS225" s="2"/>
      <c r="BT225" s="4"/>
      <c r="BU225" s="4"/>
      <c r="BV225" s="8"/>
      <c r="BW225" s="5" t="str">
        <f t="shared" si="727"/>
        <v>NO APLICA</v>
      </c>
      <c r="BX225" s="2"/>
      <c r="BY225" s="4"/>
      <c r="BZ225" s="4"/>
      <c r="CA225" s="8"/>
      <c r="CB225" s="5" t="str">
        <f t="shared" si="728"/>
        <v>NO APLICA</v>
      </c>
      <c r="CC225" s="6"/>
      <c r="CD225" s="4"/>
      <c r="CE225" s="4"/>
      <c r="CF225" s="8"/>
      <c r="CG225" s="5" t="str">
        <f t="shared" si="794"/>
        <v>NO APLICA</v>
      </c>
      <c r="CH225" s="6"/>
      <c r="CI225" s="4"/>
      <c r="CJ225" s="4"/>
      <c r="CK225" s="8"/>
      <c r="CL225" s="5" t="str">
        <f t="shared" si="729"/>
        <v>NO APLICA</v>
      </c>
      <c r="CM225" s="2"/>
      <c r="CN225" s="4"/>
      <c r="CO225" s="4"/>
      <c r="CP225" s="8"/>
      <c r="CQ225" s="5" t="str">
        <f t="shared" si="730"/>
        <v>NO APLICA</v>
      </c>
      <c r="CR225" s="2"/>
      <c r="CS225" s="4"/>
      <c r="CT225" s="4"/>
      <c r="CU225" s="8"/>
      <c r="CV225" s="5" t="str">
        <f t="shared" si="731"/>
        <v>NO APLICA</v>
      </c>
      <c r="CW225" s="3"/>
      <c r="CX225" s="4"/>
      <c r="CY225" s="4"/>
      <c r="CZ225" s="8"/>
      <c r="DA225" s="5" t="str">
        <f t="shared" si="732"/>
        <v>NO APLICA</v>
      </c>
      <c r="DB225" s="3"/>
      <c r="DC225" s="4"/>
      <c r="DD225" s="4"/>
      <c r="DE225" s="8"/>
      <c r="DF225" s="5" t="str">
        <f t="shared" si="733"/>
        <v>NO APLICA</v>
      </c>
      <c r="DG225" s="2"/>
      <c r="DH225" s="4"/>
      <c r="DI225" s="4"/>
      <c r="DJ225" s="8"/>
      <c r="DK225" s="5" t="str">
        <f t="shared" si="734"/>
        <v>NO APLICA</v>
      </c>
      <c r="DL225" s="3"/>
      <c r="DM225" s="4"/>
      <c r="DN225" s="4"/>
      <c r="DO225" s="8"/>
      <c r="DP225" s="5" t="str">
        <f t="shared" si="735"/>
        <v>NO APLICA</v>
      </c>
      <c r="DQ225" s="2"/>
      <c r="DR225" s="4"/>
      <c r="DS225" s="4"/>
      <c r="DT225" s="8"/>
      <c r="DU225" s="5" t="str">
        <f t="shared" si="736"/>
        <v>NO APLICA</v>
      </c>
      <c r="DV225" s="3"/>
      <c r="DW225" s="4"/>
      <c r="DX225" s="4"/>
      <c r="DY225" s="8"/>
      <c r="DZ225" s="5" t="str">
        <f t="shared" si="737"/>
        <v>NO APLICA</v>
      </c>
      <c r="EA225" s="3"/>
      <c r="EB225" s="4"/>
      <c r="EC225" s="4"/>
      <c r="ED225" s="8"/>
      <c r="EE225" s="5" t="str">
        <f t="shared" si="738"/>
        <v>NO APLICA</v>
      </c>
      <c r="EF225" s="2"/>
      <c r="EG225" s="4"/>
      <c r="EH225" s="4"/>
      <c r="EI225" s="8"/>
      <c r="EJ225" s="5" t="str">
        <f t="shared" si="739"/>
        <v>NO APLICA</v>
      </c>
      <c r="EK225" s="3"/>
      <c r="EL225" s="4"/>
      <c r="EM225" s="4"/>
      <c r="EN225" s="8"/>
      <c r="EO225" s="5" t="str">
        <f t="shared" si="740"/>
        <v>NO APLICA</v>
      </c>
      <c r="EP225" s="2"/>
      <c r="EQ225" s="4"/>
      <c r="ER225" s="4"/>
      <c r="ES225" s="8"/>
      <c r="ET225" s="5" t="str">
        <f t="shared" si="741"/>
        <v>NO APLICA</v>
      </c>
      <c r="EU225" s="2"/>
      <c r="EV225" s="4"/>
      <c r="EW225" s="4"/>
      <c r="EX225" s="8"/>
      <c r="EY225" s="5" t="str">
        <f t="shared" si="742"/>
        <v>NO APLICA</v>
      </c>
      <c r="EZ225" s="2"/>
      <c r="FA225" s="4"/>
      <c r="FB225" s="4"/>
      <c r="FC225" s="8"/>
      <c r="FD225" s="5" t="str">
        <f t="shared" si="743"/>
        <v>NO APLICA</v>
      </c>
      <c r="FE225" s="2"/>
      <c r="FF225" s="4"/>
      <c r="FG225" s="4"/>
      <c r="FH225" s="8"/>
      <c r="FI225" s="5" t="str">
        <f t="shared" si="744"/>
        <v>NO APLICA</v>
      </c>
      <c r="FJ225" s="3"/>
      <c r="FK225" s="4"/>
      <c r="FL225" s="4"/>
      <c r="FM225" s="8"/>
      <c r="FN225" s="5" t="str">
        <f t="shared" si="745"/>
        <v>NO APLICA</v>
      </c>
      <c r="FO225" s="3"/>
      <c r="FP225" s="4"/>
      <c r="FQ225" s="4"/>
      <c r="FR225" s="8"/>
      <c r="FS225" s="5" t="str">
        <f t="shared" si="746"/>
        <v>NO APLICA</v>
      </c>
      <c r="FT225" s="3"/>
      <c r="FU225" s="4"/>
      <c r="FV225" s="4"/>
      <c r="FW225" s="8"/>
      <c r="FX225" s="5" t="str">
        <f t="shared" si="747"/>
        <v>NO APLICA</v>
      </c>
      <c r="FY225" s="3"/>
      <c r="FZ225" s="4"/>
      <c r="GA225" s="4"/>
      <c r="GB225" s="8"/>
      <c r="GC225" s="5" t="str">
        <f t="shared" si="748"/>
        <v>NO APLICA</v>
      </c>
      <c r="GD225" s="3"/>
      <c r="GE225" s="4"/>
      <c r="GF225" s="4"/>
      <c r="GG225" s="8"/>
      <c r="GH225" s="5" t="str">
        <f t="shared" si="749"/>
        <v>NO APLICA</v>
      </c>
      <c r="GI225" s="3"/>
      <c r="GJ225" s="4"/>
      <c r="GK225" s="4"/>
      <c r="GL225" s="8"/>
      <c r="GM225" s="5" t="str">
        <f t="shared" si="750"/>
        <v>NO APLICA</v>
      </c>
      <c r="GN225" s="4"/>
      <c r="GO225" s="4"/>
      <c r="GP225" s="4"/>
      <c r="GQ225" s="8"/>
      <c r="GR225" s="5" t="str">
        <f t="shared" si="630"/>
        <v>NO APLICA</v>
      </c>
      <c r="GS225" s="3"/>
      <c r="GT225" s="4"/>
      <c r="GU225" s="4"/>
      <c r="GV225" s="8"/>
      <c r="GW225" s="5" t="str">
        <f t="shared" si="631"/>
        <v>NO APLICA</v>
      </c>
      <c r="GX225" s="2"/>
      <c r="GY225" s="4"/>
      <c r="GZ225" s="4"/>
      <c r="HA225" s="8"/>
      <c r="HB225" s="5" t="str">
        <f t="shared" si="632"/>
        <v>NO APLICA</v>
      </c>
      <c r="HC225" s="6"/>
      <c r="HD225" s="6"/>
      <c r="HE225" s="4"/>
      <c r="HF225" s="8"/>
      <c r="HG225" s="5" t="str">
        <f t="shared" si="718"/>
        <v>NO APLICA</v>
      </c>
      <c r="HH225" s="2"/>
      <c r="HI225" s="6"/>
      <c r="HJ225" s="4"/>
      <c r="HK225" s="8"/>
      <c r="HL225" s="5" t="str">
        <f t="shared" si="714"/>
        <v>NO APLICA</v>
      </c>
      <c r="HM225" s="2"/>
      <c r="HN225" s="2"/>
      <c r="HO225" s="4"/>
      <c r="HP225" s="2"/>
      <c r="HQ225" s="5" t="str">
        <f t="shared" si="751"/>
        <v>NO APLICA</v>
      </c>
      <c r="HR225" s="2"/>
      <c r="HS225" s="6"/>
      <c r="HT225" s="4"/>
      <c r="HU225" s="8"/>
      <c r="HV225" s="5" t="str">
        <f t="shared" si="752"/>
        <v>NO APLICA</v>
      </c>
      <c r="HW225" s="2"/>
      <c r="HX225" s="6"/>
      <c r="HY225" s="4"/>
      <c r="HZ225" s="8"/>
      <c r="IA225" s="5" t="str">
        <f t="shared" si="753"/>
        <v>NO APLICA</v>
      </c>
      <c r="IB225" s="2"/>
      <c r="IC225" s="6"/>
      <c r="ID225" s="4"/>
      <c r="IE225" s="8"/>
      <c r="IF225" s="5" t="str">
        <f t="shared" si="754"/>
        <v>NO APLICA</v>
      </c>
      <c r="IG225" s="6"/>
      <c r="IH225" s="6"/>
      <c r="II225" s="4"/>
      <c r="IJ225" s="8"/>
      <c r="IK225" s="5" t="str">
        <f t="shared" si="755"/>
        <v>NO APLICA</v>
      </c>
      <c r="IL225" s="2"/>
      <c r="IM225" s="6"/>
      <c r="IN225" s="4"/>
      <c r="IO225" s="8"/>
      <c r="IP225" s="5" t="str">
        <f t="shared" si="756"/>
        <v>NO APLICA</v>
      </c>
      <c r="IQ225" s="2"/>
      <c r="IR225" s="6"/>
      <c r="IS225" s="4"/>
      <c r="IT225" s="8"/>
      <c r="IU225" s="5" t="str">
        <f t="shared" si="757"/>
        <v>NO APLICA</v>
      </c>
      <c r="IV225" s="2"/>
      <c r="IW225" s="6"/>
      <c r="IX225" s="4"/>
      <c r="IY225" s="8"/>
      <c r="IZ225" s="5" t="str">
        <f t="shared" si="758"/>
        <v>NO APLICA</v>
      </c>
      <c r="JA225" s="3"/>
      <c r="JB225" s="3"/>
      <c r="JC225" s="4"/>
      <c r="JD225" s="8"/>
      <c r="JE225" s="5" t="str">
        <f t="shared" si="759"/>
        <v>NO APLICA</v>
      </c>
      <c r="JF225" s="6"/>
      <c r="JG225" s="6"/>
      <c r="JH225" s="6"/>
      <c r="JI225" s="6"/>
      <c r="JJ225" s="5" t="str">
        <f t="shared" si="760"/>
        <v>NO APLICA</v>
      </c>
      <c r="JK225" s="6"/>
      <c r="JL225" s="6"/>
      <c r="JM225" s="6"/>
      <c r="JN225" s="6"/>
      <c r="JO225" s="5" t="str">
        <f t="shared" si="761"/>
        <v>NO APLICA</v>
      </c>
      <c r="JP225" s="6"/>
      <c r="JQ225" s="6"/>
      <c r="JR225" s="6"/>
      <c r="JS225" s="6"/>
      <c r="JT225" s="5" t="str">
        <f t="shared" si="762"/>
        <v>NO APLICA</v>
      </c>
      <c r="JU225" s="5"/>
      <c r="JV225" s="5"/>
      <c r="JW225" s="5"/>
      <c r="JX225" s="5"/>
      <c r="JY225" s="5" t="str">
        <f t="shared" si="763"/>
        <v>NO APLICA</v>
      </c>
      <c r="JZ225" s="5"/>
      <c r="KA225" s="2"/>
      <c r="KB225" s="4"/>
      <c r="KC225" s="8"/>
      <c r="KD225" s="5" t="str">
        <f t="shared" si="764"/>
        <v>NO APLICA</v>
      </c>
      <c r="KE225" s="5"/>
      <c r="KF225" s="2"/>
      <c r="KG225" s="4"/>
      <c r="KH225" s="8"/>
      <c r="KI225" s="5" t="str">
        <f t="shared" si="784"/>
        <v>NO APLICA</v>
      </c>
      <c r="KJ225" s="5"/>
      <c r="KK225" s="2"/>
      <c r="KL225" s="4"/>
      <c r="KM225" s="8"/>
      <c r="KN225" s="5" t="str">
        <f t="shared" si="765"/>
        <v>NO APLICA</v>
      </c>
      <c r="KO225" s="5"/>
      <c r="KP225" s="2"/>
      <c r="KQ225" s="4"/>
      <c r="KR225" s="8"/>
      <c r="KS225" s="5" t="str">
        <f t="shared" si="785"/>
        <v>NO APLICA</v>
      </c>
      <c r="KT225" s="2"/>
      <c r="KU225" s="6"/>
      <c r="KV225" s="4"/>
      <c r="KW225" s="8"/>
      <c r="KX225" s="5" t="str">
        <f t="shared" si="791"/>
        <v>NO APLICA</v>
      </c>
      <c r="KY225" s="5"/>
      <c r="KZ225" s="6"/>
      <c r="LA225" s="4"/>
      <c r="LB225" s="8"/>
      <c r="LC225" s="5" t="str">
        <f t="shared" si="786"/>
        <v>NO APLICA</v>
      </c>
      <c r="LD225" s="6"/>
      <c r="LE225" s="6"/>
      <c r="LF225" s="4"/>
      <c r="LG225" s="8"/>
      <c r="LH225" s="5" t="str">
        <f t="shared" si="619"/>
        <v>NO APLICA</v>
      </c>
      <c r="LI225" s="5"/>
      <c r="LJ225" s="5"/>
      <c r="LK225" s="4"/>
      <c r="LL225" s="8"/>
      <c r="LM225" s="5" t="str">
        <f t="shared" si="792"/>
        <v>NO APLICA</v>
      </c>
      <c r="LN225" s="2"/>
      <c r="LO225" s="6"/>
      <c r="LP225" s="4"/>
      <c r="LQ225" s="8"/>
      <c r="LR225" s="5" t="str">
        <f t="shared" si="787"/>
        <v>NO APLICA</v>
      </c>
      <c r="LS225" s="6"/>
      <c r="LT225" s="6"/>
      <c r="LU225" s="4"/>
      <c r="LV225" s="8"/>
      <c r="LW225" s="5" t="str">
        <f t="shared" si="788"/>
        <v>NO APLICA</v>
      </c>
      <c r="LX225" s="6"/>
      <c r="LY225" s="6"/>
      <c r="LZ225" s="4"/>
      <c r="MA225" s="8"/>
      <c r="MB225" s="5" t="str">
        <f t="shared" si="789"/>
        <v>NO APLICA</v>
      </c>
      <c r="MC225" s="2"/>
      <c r="MD225" s="2"/>
      <c r="ME225" s="4"/>
      <c r="MF225" s="8"/>
      <c r="MG225" s="5" t="str">
        <f t="shared" si="766"/>
        <v>NO APLICA</v>
      </c>
      <c r="MH225" s="2"/>
      <c r="MI225" s="2"/>
      <c r="MJ225" s="4"/>
      <c r="MK225" s="8"/>
      <c r="ML225" s="5" t="str">
        <f t="shared" si="767"/>
        <v>NO APLICA</v>
      </c>
      <c r="MM225" s="5"/>
      <c r="MN225" s="2"/>
      <c r="MO225" s="4"/>
      <c r="MP225" s="8"/>
      <c r="MQ225" s="5" t="str">
        <f t="shared" si="768"/>
        <v>NO APLICA</v>
      </c>
      <c r="MR225" s="5"/>
      <c r="MS225" s="2"/>
      <c r="MT225" s="4"/>
      <c r="MU225" s="2"/>
      <c r="MV225" s="5" t="str">
        <f t="shared" si="769"/>
        <v>NO APLICA</v>
      </c>
      <c r="MW225" s="2"/>
      <c r="MX225" s="6"/>
      <c r="MY225" s="4"/>
      <c r="MZ225" s="8"/>
      <c r="NA225" s="5" t="str">
        <f t="shared" si="770"/>
        <v>NO APLICA</v>
      </c>
      <c r="NB225" s="2"/>
      <c r="NC225" s="6"/>
      <c r="ND225" s="4"/>
      <c r="NE225" s="8"/>
      <c r="NF225" s="5" t="str">
        <f t="shared" si="771"/>
        <v>NO APLICA</v>
      </c>
      <c r="NG225" s="2"/>
      <c r="NH225" s="6"/>
      <c r="NI225" s="4"/>
      <c r="NJ225" s="8"/>
      <c r="NK225" s="5" t="str">
        <f t="shared" si="772"/>
        <v>NO APLICA</v>
      </c>
      <c r="NL225" s="2"/>
      <c r="NM225" s="2"/>
      <c r="NN225" s="4"/>
      <c r="NO225" s="8"/>
      <c r="NP225" s="5" t="str">
        <f t="shared" si="773"/>
        <v>NO APLICA</v>
      </c>
      <c r="NQ225" s="2"/>
      <c r="NR225" s="2"/>
      <c r="NS225" s="4"/>
      <c r="NT225" s="2"/>
      <c r="NU225" s="5" t="str">
        <f t="shared" si="774"/>
        <v>NO APLICA</v>
      </c>
      <c r="NV225" s="6"/>
      <c r="NW225" s="6"/>
      <c r="NX225" s="4"/>
      <c r="NY225" s="8"/>
      <c r="NZ225" s="5" t="str">
        <f t="shared" si="775"/>
        <v>NO APLICA</v>
      </c>
      <c r="OA225" s="6"/>
      <c r="OB225" s="6"/>
      <c r="OC225" s="6"/>
      <c r="OD225" s="6"/>
      <c r="OE225" s="5" t="str">
        <f t="shared" si="776"/>
        <v>NO APLICA</v>
      </c>
      <c r="OF225" s="6"/>
      <c r="OG225" s="6"/>
      <c r="OH225" s="4"/>
      <c r="OI225" s="8"/>
      <c r="OJ225" s="5" t="str">
        <f t="shared" si="777"/>
        <v>NO APLICA</v>
      </c>
      <c r="OK225" s="6"/>
      <c r="OL225" s="6"/>
      <c r="OM225" s="6"/>
      <c r="ON225" s="6"/>
      <c r="OO225" s="5" t="str">
        <f t="shared" si="778"/>
        <v>NO APLICA</v>
      </c>
      <c r="OP225" s="6"/>
      <c r="OQ225" s="6"/>
      <c r="OR225" s="6"/>
      <c r="OS225" s="6"/>
      <c r="OT225" s="5" t="str">
        <f t="shared" si="779"/>
        <v>NO APLICA</v>
      </c>
      <c r="OU225" s="6"/>
      <c r="OV225" s="6"/>
      <c r="OW225" s="6"/>
      <c r="OX225" s="6"/>
      <c r="OY225" s="5" t="str">
        <f t="shared" si="793"/>
        <v>NO APLICA</v>
      </c>
      <c r="OZ225" s="6"/>
      <c r="PA225" s="6"/>
      <c r="PB225" s="6"/>
      <c r="PC225" s="6"/>
      <c r="PD225" s="5" t="str">
        <f t="shared" si="780"/>
        <v>NO APLICA</v>
      </c>
      <c r="PE225" s="6"/>
      <c r="PF225" s="6"/>
      <c r="PG225" s="6"/>
      <c r="PH225" s="6"/>
      <c r="PI225" s="5" t="str">
        <f t="shared" si="781"/>
        <v>NO APLICA</v>
      </c>
      <c r="PJ225" s="5"/>
      <c r="PK225" s="6"/>
      <c r="PL225" s="4"/>
      <c r="PM225" s="8"/>
      <c r="PN225" s="5" t="str">
        <f t="shared" si="790"/>
        <v>NO APLICA</v>
      </c>
      <c r="PO225" s="6"/>
      <c r="PP225" s="6"/>
      <c r="PQ225" s="6"/>
      <c r="PR225" s="6"/>
      <c r="PS225" s="5" t="str">
        <f t="shared" si="782"/>
        <v>NO APLICA</v>
      </c>
      <c r="PT225" s="5"/>
      <c r="PU225" s="4">
        <v>46126</v>
      </c>
      <c r="PV225" s="4">
        <f>DATE(YEAR(PU225)+1,MONTH(PU225),DAY(PU225))</f>
        <v>46491</v>
      </c>
      <c r="PW225" s="8">
        <f ca="1">PV225-TODAY()</f>
        <v>357</v>
      </c>
      <c r="PX225" s="5" t="str">
        <f t="shared" ca="1" si="783"/>
        <v>VIGENTE</v>
      </c>
    </row>
    <row r="226" spans="1:440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2"/>
      <c r="V226" s="4"/>
      <c r="W226" s="4"/>
      <c r="X226" s="8"/>
      <c r="Y226" s="5" t="str">
        <f t="shared" si="624"/>
        <v>NO APLICA</v>
      </c>
      <c r="Z226" s="2"/>
      <c r="AA226" s="6"/>
      <c r="AB226" s="4"/>
      <c r="AC226" s="8"/>
      <c r="AD226" s="5" t="str">
        <f t="shared" si="627"/>
        <v>NO APLICA</v>
      </c>
      <c r="AE226" s="2"/>
      <c r="AF226" s="4"/>
      <c r="AG226" s="4"/>
      <c r="AH226" s="8"/>
      <c r="AI226" s="5" t="str">
        <f t="shared" si="621"/>
        <v>NO APLICA</v>
      </c>
      <c r="AJ226" s="2"/>
      <c r="AK226" s="4"/>
      <c r="AL226" s="4"/>
      <c r="AM226" s="8"/>
      <c r="AN226" s="5" t="str">
        <f t="shared" si="720"/>
        <v>NO APLICA</v>
      </c>
      <c r="AO226" s="2"/>
      <c r="AP226" s="4"/>
      <c r="AQ226" s="4"/>
      <c r="AR226" s="8"/>
      <c r="AS226" s="5" t="str">
        <f t="shared" si="721"/>
        <v>NO APLICA</v>
      </c>
      <c r="AT226" s="2"/>
      <c r="AU226" s="4"/>
      <c r="AV226" s="4"/>
      <c r="AW226" s="8"/>
      <c r="AX226" s="5" t="str">
        <f t="shared" si="722"/>
        <v>NO APLICA</v>
      </c>
      <c r="AY226" s="3"/>
      <c r="AZ226" s="4"/>
      <c r="BA226" s="4"/>
      <c r="BB226" s="8"/>
      <c r="BC226" s="5" t="str">
        <f t="shared" si="723"/>
        <v>NO APLICA</v>
      </c>
      <c r="BD226" s="2"/>
      <c r="BE226" s="4"/>
      <c r="BF226" s="4"/>
      <c r="BG226" s="8"/>
      <c r="BH226" s="5" t="str">
        <f t="shared" si="724"/>
        <v>NO APLICA</v>
      </c>
      <c r="BI226" s="3"/>
      <c r="BJ226" s="4"/>
      <c r="BK226" s="4"/>
      <c r="BL226" s="8"/>
      <c r="BM226" s="5" t="str">
        <f t="shared" si="725"/>
        <v>NO APLICA</v>
      </c>
      <c r="BN226" s="3"/>
      <c r="BO226" s="4"/>
      <c r="BP226" s="4"/>
      <c r="BQ226" s="8"/>
      <c r="BR226" s="5" t="str">
        <f t="shared" si="726"/>
        <v>NO APLICA</v>
      </c>
      <c r="BS226" s="2"/>
      <c r="BT226" s="4"/>
      <c r="BU226" s="4"/>
      <c r="BV226" s="8"/>
      <c r="BW226" s="5" t="str">
        <f t="shared" si="727"/>
        <v>NO APLICA</v>
      </c>
      <c r="BX226" s="2"/>
      <c r="BY226" s="4"/>
      <c r="BZ226" s="4"/>
      <c r="CA226" s="8"/>
      <c r="CB226" s="5" t="str">
        <f t="shared" si="728"/>
        <v>NO APLICA</v>
      </c>
      <c r="CC226" s="6"/>
      <c r="CD226" s="4"/>
      <c r="CE226" s="4"/>
      <c r="CF226" s="8"/>
      <c r="CG226" s="5" t="str">
        <f t="shared" si="794"/>
        <v>NO APLICA</v>
      </c>
      <c r="CH226" s="6"/>
      <c r="CI226" s="4"/>
      <c r="CJ226" s="4"/>
      <c r="CK226" s="8"/>
      <c r="CL226" s="5" t="str">
        <f t="shared" si="729"/>
        <v>NO APLICA</v>
      </c>
      <c r="CM226" s="2"/>
      <c r="CN226" s="4"/>
      <c r="CO226" s="4"/>
      <c r="CP226" s="8"/>
      <c r="CQ226" s="5" t="str">
        <f t="shared" si="730"/>
        <v>NO APLICA</v>
      </c>
      <c r="CR226" s="2"/>
      <c r="CS226" s="4"/>
      <c r="CT226" s="4"/>
      <c r="CU226" s="8"/>
      <c r="CV226" s="5" t="str">
        <f t="shared" si="731"/>
        <v>NO APLICA</v>
      </c>
      <c r="CW226" s="3"/>
      <c r="CX226" s="4"/>
      <c r="CY226" s="4"/>
      <c r="CZ226" s="8"/>
      <c r="DA226" s="5" t="str">
        <f t="shared" si="732"/>
        <v>NO APLICA</v>
      </c>
      <c r="DB226" s="3"/>
      <c r="DC226" s="4"/>
      <c r="DD226" s="4"/>
      <c r="DE226" s="8"/>
      <c r="DF226" s="5" t="str">
        <f t="shared" si="733"/>
        <v>NO APLICA</v>
      </c>
      <c r="DG226" s="2"/>
      <c r="DH226" s="4"/>
      <c r="DI226" s="4"/>
      <c r="DJ226" s="8"/>
      <c r="DK226" s="5" t="str">
        <f t="shared" si="734"/>
        <v>NO APLICA</v>
      </c>
      <c r="DL226" s="3"/>
      <c r="DM226" s="4"/>
      <c r="DN226" s="4"/>
      <c r="DO226" s="8"/>
      <c r="DP226" s="5" t="str">
        <f t="shared" si="735"/>
        <v>NO APLICA</v>
      </c>
      <c r="DQ226" s="2"/>
      <c r="DR226" s="4"/>
      <c r="DS226" s="4"/>
      <c r="DT226" s="8"/>
      <c r="DU226" s="5" t="str">
        <f t="shared" si="736"/>
        <v>NO APLICA</v>
      </c>
      <c r="DV226" s="3"/>
      <c r="DW226" s="4"/>
      <c r="DX226" s="4"/>
      <c r="DY226" s="8"/>
      <c r="DZ226" s="5" t="str">
        <f t="shared" si="737"/>
        <v>NO APLICA</v>
      </c>
      <c r="EA226" s="3"/>
      <c r="EB226" s="4"/>
      <c r="EC226" s="4"/>
      <c r="ED226" s="8"/>
      <c r="EE226" s="5" t="str">
        <f t="shared" si="738"/>
        <v>NO APLICA</v>
      </c>
      <c r="EF226" s="2"/>
      <c r="EG226" s="4"/>
      <c r="EH226" s="4"/>
      <c r="EI226" s="8"/>
      <c r="EJ226" s="5" t="str">
        <f t="shared" si="739"/>
        <v>NO APLICA</v>
      </c>
      <c r="EK226" s="3"/>
      <c r="EL226" s="4"/>
      <c r="EM226" s="4"/>
      <c r="EN226" s="8"/>
      <c r="EO226" s="5" t="str">
        <f t="shared" si="740"/>
        <v>NO APLICA</v>
      </c>
      <c r="EP226" s="2"/>
      <c r="EQ226" s="4"/>
      <c r="ER226" s="4"/>
      <c r="ES226" s="8"/>
      <c r="ET226" s="5" t="str">
        <f t="shared" si="741"/>
        <v>NO APLICA</v>
      </c>
      <c r="EU226" s="2"/>
      <c r="EV226" s="4"/>
      <c r="EW226" s="4"/>
      <c r="EX226" s="8"/>
      <c r="EY226" s="5" t="str">
        <f t="shared" si="742"/>
        <v>NO APLICA</v>
      </c>
      <c r="EZ226" s="2"/>
      <c r="FA226" s="4"/>
      <c r="FB226" s="4"/>
      <c r="FC226" s="8"/>
      <c r="FD226" s="5" t="str">
        <f t="shared" si="743"/>
        <v>NO APLICA</v>
      </c>
      <c r="FE226" s="2"/>
      <c r="FF226" s="4"/>
      <c r="FG226" s="4"/>
      <c r="FH226" s="8"/>
      <c r="FI226" s="5" t="str">
        <f t="shared" si="744"/>
        <v>NO APLICA</v>
      </c>
      <c r="FJ226" s="3"/>
      <c r="FK226" s="4"/>
      <c r="FL226" s="4"/>
      <c r="FM226" s="8"/>
      <c r="FN226" s="5" t="str">
        <f t="shared" si="745"/>
        <v>NO APLICA</v>
      </c>
      <c r="FO226" s="3"/>
      <c r="FP226" s="4"/>
      <c r="FQ226" s="4"/>
      <c r="FR226" s="8"/>
      <c r="FS226" s="5" t="str">
        <f t="shared" si="746"/>
        <v>NO APLICA</v>
      </c>
      <c r="FT226" s="3"/>
      <c r="FU226" s="4"/>
      <c r="FV226" s="4"/>
      <c r="FW226" s="8"/>
      <c r="FX226" s="5" t="str">
        <f t="shared" si="747"/>
        <v>NO APLICA</v>
      </c>
      <c r="FY226" s="3"/>
      <c r="FZ226" s="4"/>
      <c r="GA226" s="4"/>
      <c r="GB226" s="8"/>
      <c r="GC226" s="5" t="str">
        <f t="shared" si="748"/>
        <v>NO APLICA</v>
      </c>
      <c r="GD226" s="3"/>
      <c r="GE226" s="4"/>
      <c r="GF226" s="4"/>
      <c r="GG226" s="8"/>
      <c r="GH226" s="5" t="str">
        <f t="shared" si="749"/>
        <v>NO APLICA</v>
      </c>
      <c r="GI226" s="3"/>
      <c r="GJ226" s="4"/>
      <c r="GK226" s="4"/>
      <c r="GL226" s="8"/>
      <c r="GM226" s="5" t="str">
        <f t="shared" si="750"/>
        <v>NO APLICA</v>
      </c>
      <c r="GN226" s="4"/>
      <c r="GO226" s="4"/>
      <c r="GP226" s="4"/>
      <c r="GQ226" s="8"/>
      <c r="GR226" s="5" t="str">
        <f t="shared" si="630"/>
        <v>NO APLICA</v>
      </c>
      <c r="GS226" s="3"/>
      <c r="GT226" s="4"/>
      <c r="GU226" s="4"/>
      <c r="GV226" s="8"/>
      <c r="GW226" s="5" t="str">
        <f t="shared" si="631"/>
        <v>NO APLICA</v>
      </c>
      <c r="GX226" s="2"/>
      <c r="GY226" s="4"/>
      <c r="GZ226" s="4"/>
      <c r="HA226" s="8"/>
      <c r="HB226" s="5" t="str">
        <f t="shared" si="632"/>
        <v>NO APLICA</v>
      </c>
      <c r="HC226" s="6"/>
      <c r="HD226" s="6"/>
      <c r="HE226" s="4"/>
      <c r="HF226" s="8"/>
      <c r="HG226" s="5" t="str">
        <f t="shared" si="718"/>
        <v>NO APLICA</v>
      </c>
      <c r="HH226" s="2"/>
      <c r="HI226" s="6"/>
      <c r="HJ226" s="4"/>
      <c r="HK226" s="8"/>
      <c r="HL226" s="5" t="str">
        <f t="shared" si="714"/>
        <v>NO APLICA</v>
      </c>
      <c r="HM226" s="2"/>
      <c r="HN226" s="2"/>
      <c r="HO226" s="4"/>
      <c r="HP226" s="2"/>
      <c r="HQ226" s="5" t="str">
        <f t="shared" si="751"/>
        <v>NO APLICA</v>
      </c>
      <c r="HR226" s="2"/>
      <c r="HS226" s="6"/>
      <c r="HT226" s="4"/>
      <c r="HU226" s="8"/>
      <c r="HV226" s="5" t="str">
        <f t="shared" si="752"/>
        <v>NO APLICA</v>
      </c>
      <c r="HW226" s="2"/>
      <c r="HX226" s="6"/>
      <c r="HY226" s="4"/>
      <c r="HZ226" s="8"/>
      <c r="IA226" s="5" t="str">
        <f t="shared" si="753"/>
        <v>NO APLICA</v>
      </c>
      <c r="IB226" s="2"/>
      <c r="IC226" s="6"/>
      <c r="ID226" s="4"/>
      <c r="IE226" s="8"/>
      <c r="IF226" s="5" t="str">
        <f t="shared" si="754"/>
        <v>NO APLICA</v>
      </c>
      <c r="IG226" s="6"/>
      <c r="IH226" s="6"/>
      <c r="II226" s="4"/>
      <c r="IJ226" s="8"/>
      <c r="IK226" s="5" t="str">
        <f t="shared" si="755"/>
        <v>NO APLICA</v>
      </c>
      <c r="IL226" s="2"/>
      <c r="IM226" s="6"/>
      <c r="IN226" s="4"/>
      <c r="IO226" s="8"/>
      <c r="IP226" s="5" t="str">
        <f t="shared" si="756"/>
        <v>NO APLICA</v>
      </c>
      <c r="IQ226" s="2"/>
      <c r="IR226" s="6"/>
      <c r="IS226" s="4"/>
      <c r="IT226" s="8"/>
      <c r="IU226" s="5" t="str">
        <f t="shared" si="757"/>
        <v>NO APLICA</v>
      </c>
      <c r="IV226" s="2"/>
      <c r="IW226" s="6"/>
      <c r="IX226" s="4"/>
      <c r="IY226" s="8"/>
      <c r="IZ226" s="5" t="str">
        <f t="shared" si="758"/>
        <v>NO APLICA</v>
      </c>
      <c r="JA226" s="3"/>
      <c r="JB226" s="3"/>
      <c r="JC226" s="4"/>
      <c r="JD226" s="8"/>
      <c r="JE226" s="5" t="str">
        <f t="shared" si="759"/>
        <v>NO APLICA</v>
      </c>
      <c r="JF226" s="6"/>
      <c r="JG226" s="6"/>
      <c r="JH226" s="6"/>
      <c r="JI226" s="6"/>
      <c r="JJ226" s="5" t="str">
        <f t="shared" si="760"/>
        <v>NO APLICA</v>
      </c>
      <c r="JK226" s="6"/>
      <c r="JL226" s="6"/>
      <c r="JM226" s="6"/>
      <c r="JN226" s="6"/>
      <c r="JO226" s="5" t="str">
        <f t="shared" si="761"/>
        <v>NO APLICA</v>
      </c>
      <c r="JP226" s="6"/>
      <c r="JQ226" s="6"/>
      <c r="JR226" s="6"/>
      <c r="JS226" s="6"/>
      <c r="JT226" s="5" t="str">
        <f t="shared" si="762"/>
        <v>NO APLICA</v>
      </c>
      <c r="JU226" s="5"/>
      <c r="JV226" s="5"/>
      <c r="JW226" s="5"/>
      <c r="JX226" s="5"/>
      <c r="JY226" s="5" t="str">
        <f t="shared" si="763"/>
        <v>NO APLICA</v>
      </c>
      <c r="JZ226" s="5"/>
      <c r="KA226" s="2"/>
      <c r="KB226" s="4"/>
      <c r="KC226" s="8"/>
      <c r="KD226" s="5" t="str">
        <f t="shared" si="764"/>
        <v>NO APLICA</v>
      </c>
      <c r="KE226" s="5"/>
      <c r="KF226" s="2"/>
      <c r="KG226" s="4"/>
      <c r="KH226" s="8"/>
      <c r="KI226" s="5" t="str">
        <f t="shared" si="784"/>
        <v>NO APLICA</v>
      </c>
      <c r="KJ226" s="5"/>
      <c r="KK226" s="2"/>
      <c r="KL226" s="4"/>
      <c r="KM226" s="8"/>
      <c r="KN226" s="5" t="str">
        <f t="shared" si="765"/>
        <v>NO APLICA</v>
      </c>
      <c r="KO226" s="5"/>
      <c r="KP226" s="2"/>
      <c r="KQ226" s="4"/>
      <c r="KR226" s="8"/>
      <c r="KS226" s="5" t="str">
        <f t="shared" si="785"/>
        <v>NO APLICA</v>
      </c>
      <c r="KT226" s="2"/>
      <c r="KU226" s="6"/>
      <c r="KV226" s="4"/>
      <c r="KW226" s="8"/>
      <c r="KX226" s="5" t="str">
        <f t="shared" si="791"/>
        <v>NO APLICA</v>
      </c>
      <c r="KY226" s="5"/>
      <c r="KZ226" s="6"/>
      <c r="LA226" s="4"/>
      <c r="LB226" s="8"/>
      <c r="LC226" s="5" t="str">
        <f t="shared" si="786"/>
        <v>NO APLICA</v>
      </c>
      <c r="LD226" s="6"/>
      <c r="LE226" s="6"/>
      <c r="LF226" s="4"/>
      <c r="LG226" s="8"/>
      <c r="LH226" s="5" t="str">
        <f t="shared" si="619"/>
        <v>NO APLICA</v>
      </c>
      <c r="LI226" s="5"/>
      <c r="LJ226" s="5"/>
      <c r="LK226" s="4"/>
      <c r="LL226" s="8"/>
      <c r="LM226" s="5" t="str">
        <f t="shared" si="792"/>
        <v>NO APLICA</v>
      </c>
      <c r="LN226" s="2"/>
      <c r="LO226" s="6"/>
      <c r="LP226" s="4"/>
      <c r="LQ226" s="8"/>
      <c r="LR226" s="5" t="str">
        <f t="shared" si="787"/>
        <v>NO APLICA</v>
      </c>
      <c r="LS226" s="6"/>
      <c r="LT226" s="6"/>
      <c r="LU226" s="4"/>
      <c r="LV226" s="8"/>
      <c r="LW226" s="5" t="str">
        <f t="shared" si="788"/>
        <v>NO APLICA</v>
      </c>
      <c r="LX226" s="6"/>
      <c r="LY226" s="6"/>
      <c r="LZ226" s="4"/>
      <c r="MA226" s="8"/>
      <c r="MB226" s="5" t="str">
        <f t="shared" si="789"/>
        <v>NO APLICA</v>
      </c>
      <c r="MC226" s="2"/>
      <c r="MD226" s="2"/>
      <c r="ME226" s="4"/>
      <c r="MF226" s="8"/>
      <c r="MG226" s="5" t="str">
        <f t="shared" si="766"/>
        <v>NO APLICA</v>
      </c>
      <c r="MH226" s="2"/>
      <c r="MI226" s="2"/>
      <c r="MJ226" s="4"/>
      <c r="MK226" s="8"/>
      <c r="ML226" s="5" t="str">
        <f t="shared" si="767"/>
        <v>NO APLICA</v>
      </c>
      <c r="MM226" s="5"/>
      <c r="MN226" s="2"/>
      <c r="MO226" s="4"/>
      <c r="MP226" s="8"/>
      <c r="MQ226" s="5" t="str">
        <f t="shared" si="768"/>
        <v>NO APLICA</v>
      </c>
      <c r="MR226" s="5"/>
      <c r="MS226" s="2"/>
      <c r="MT226" s="4"/>
      <c r="MU226" s="2"/>
      <c r="MV226" s="5" t="str">
        <f t="shared" si="769"/>
        <v>NO APLICA</v>
      </c>
      <c r="MW226" s="2"/>
      <c r="MX226" s="6"/>
      <c r="MY226" s="4"/>
      <c r="MZ226" s="8"/>
      <c r="NA226" s="5" t="str">
        <f t="shared" si="770"/>
        <v>NO APLICA</v>
      </c>
      <c r="NB226" s="2"/>
      <c r="NC226" s="6"/>
      <c r="ND226" s="4"/>
      <c r="NE226" s="8"/>
      <c r="NF226" s="5" t="str">
        <f t="shared" si="771"/>
        <v>NO APLICA</v>
      </c>
      <c r="NG226" s="2"/>
      <c r="NH226" s="6"/>
      <c r="NI226" s="4"/>
      <c r="NJ226" s="8"/>
      <c r="NK226" s="5" t="str">
        <f t="shared" si="772"/>
        <v>NO APLICA</v>
      </c>
      <c r="NL226" s="2"/>
      <c r="NM226" s="2"/>
      <c r="NN226" s="4"/>
      <c r="NO226" s="8"/>
      <c r="NP226" s="5" t="str">
        <f t="shared" si="773"/>
        <v>NO APLICA</v>
      </c>
      <c r="NQ226" s="2"/>
      <c r="NR226" s="2"/>
      <c r="NS226" s="4"/>
      <c r="NT226" s="2"/>
      <c r="NU226" s="5" t="str">
        <f t="shared" si="774"/>
        <v>NO APLICA</v>
      </c>
      <c r="NV226" s="6"/>
      <c r="NW226" s="6"/>
      <c r="NX226" s="4"/>
      <c r="NY226" s="8"/>
      <c r="NZ226" s="5" t="str">
        <f t="shared" si="775"/>
        <v>NO APLICA</v>
      </c>
      <c r="OA226" s="6"/>
      <c r="OB226" s="6"/>
      <c r="OC226" s="6"/>
      <c r="OD226" s="6"/>
      <c r="OE226" s="5" t="str">
        <f t="shared" si="776"/>
        <v>NO APLICA</v>
      </c>
      <c r="OF226" s="6"/>
      <c r="OG226" s="6"/>
      <c r="OH226" s="4"/>
      <c r="OI226" s="8"/>
      <c r="OJ226" s="5" t="str">
        <f t="shared" si="777"/>
        <v>NO APLICA</v>
      </c>
      <c r="OK226" s="6"/>
      <c r="OL226" s="6"/>
      <c r="OM226" s="6"/>
      <c r="ON226" s="6"/>
      <c r="OO226" s="5" t="str">
        <f t="shared" si="778"/>
        <v>NO APLICA</v>
      </c>
      <c r="OP226" s="6"/>
      <c r="OQ226" s="6"/>
      <c r="OR226" s="6"/>
      <c r="OS226" s="6"/>
      <c r="OT226" s="5" t="str">
        <f t="shared" si="779"/>
        <v>NO APLICA</v>
      </c>
      <c r="OU226" s="4"/>
      <c r="OV226" s="4">
        <v>44770</v>
      </c>
      <c r="OW226" s="4">
        <f>DATE(YEAR(OV226)+5,MONTH(OV226),DAY(OV226))</f>
        <v>46596</v>
      </c>
      <c r="OX226" s="8">
        <f ca="1">OW226-TODAY()</f>
        <v>462</v>
      </c>
      <c r="OY226" s="5" t="str">
        <f ca="1">IF(OX226&gt;=61,"VIGENTE",IF(OX226&gt;=1,"POR VENCER",IF(OX226&lt;=-1,"VENCIDA",IF(OV226=0,"NO APLICA"))))</f>
        <v>VIGENTE</v>
      </c>
      <c r="OZ226" s="6"/>
      <c r="PA226" s="6"/>
      <c r="PB226" s="6"/>
      <c r="PC226" s="6"/>
      <c r="PD226" s="5" t="str">
        <f t="shared" si="780"/>
        <v>NO APLICA</v>
      </c>
      <c r="PE226" s="6"/>
      <c r="PF226" s="6"/>
      <c r="PG226" s="6"/>
      <c r="PH226" s="6"/>
      <c r="PI226" s="5" t="str">
        <f t="shared" si="781"/>
        <v>NO APLICA</v>
      </c>
      <c r="PJ226" s="5"/>
      <c r="PK226" s="6"/>
      <c r="PL226" s="4"/>
      <c r="PM226" s="8"/>
      <c r="PN226" s="5" t="str">
        <f t="shared" si="790"/>
        <v>NO APLICA</v>
      </c>
      <c r="PO226" s="6"/>
      <c r="PP226" s="6"/>
      <c r="PQ226" s="6"/>
      <c r="PR226" s="6"/>
      <c r="PS226" s="5" t="str">
        <f t="shared" si="782"/>
        <v>NO APLICA</v>
      </c>
      <c r="PT226" s="5"/>
      <c r="PU226" s="6"/>
      <c r="PV226" s="6"/>
      <c r="PW226" s="6"/>
      <c r="PX226" s="5" t="str">
        <f t="shared" si="783"/>
        <v>NO APLICA</v>
      </c>
    </row>
    <row r="227" spans="1:440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2"/>
      <c r="V227" s="4"/>
      <c r="W227" s="4"/>
      <c r="X227" s="8"/>
      <c r="Y227" s="5" t="str">
        <f t="shared" si="624"/>
        <v>NO APLICA</v>
      </c>
      <c r="Z227" s="2"/>
      <c r="AA227" s="6"/>
      <c r="AB227" s="4"/>
      <c r="AC227" s="8"/>
      <c r="AD227" s="5" t="str">
        <f t="shared" si="627"/>
        <v>NO APLICA</v>
      </c>
      <c r="AE227" s="2"/>
      <c r="AF227" s="4"/>
      <c r="AG227" s="4"/>
      <c r="AH227" s="8"/>
      <c r="AI227" s="5" t="str">
        <f t="shared" si="621"/>
        <v>NO APLICA</v>
      </c>
      <c r="AJ227" s="2"/>
      <c r="AK227" s="4"/>
      <c r="AL227" s="4"/>
      <c r="AM227" s="8"/>
      <c r="AN227" s="5" t="str">
        <f t="shared" si="720"/>
        <v>NO APLICA</v>
      </c>
      <c r="AO227" s="2"/>
      <c r="AP227" s="4"/>
      <c r="AQ227" s="4"/>
      <c r="AR227" s="8"/>
      <c r="AS227" s="5" t="str">
        <f t="shared" si="721"/>
        <v>NO APLICA</v>
      </c>
      <c r="AT227" s="2"/>
      <c r="AU227" s="4"/>
      <c r="AV227" s="4"/>
      <c r="AW227" s="8"/>
      <c r="AX227" s="5" t="str">
        <f t="shared" si="722"/>
        <v>NO APLICA</v>
      </c>
      <c r="AY227" s="3"/>
      <c r="AZ227" s="4"/>
      <c r="BA227" s="4"/>
      <c r="BB227" s="8"/>
      <c r="BC227" s="5" t="str">
        <f t="shared" si="723"/>
        <v>NO APLICA</v>
      </c>
      <c r="BD227" s="2"/>
      <c r="BE227" s="4"/>
      <c r="BF227" s="4"/>
      <c r="BG227" s="8"/>
      <c r="BH227" s="5" t="str">
        <f t="shared" si="724"/>
        <v>NO APLICA</v>
      </c>
      <c r="BI227" s="3"/>
      <c r="BJ227" s="4"/>
      <c r="BK227" s="4"/>
      <c r="BL227" s="8"/>
      <c r="BM227" s="5" t="str">
        <f t="shared" si="725"/>
        <v>NO APLICA</v>
      </c>
      <c r="BN227" s="3"/>
      <c r="BO227" s="4"/>
      <c r="BP227" s="4"/>
      <c r="BQ227" s="8"/>
      <c r="BR227" s="5" t="str">
        <f t="shared" si="726"/>
        <v>NO APLICA</v>
      </c>
      <c r="BS227" s="2"/>
      <c r="BT227" s="4"/>
      <c r="BU227" s="4"/>
      <c r="BV227" s="8"/>
      <c r="BW227" s="5" t="str">
        <f t="shared" si="727"/>
        <v>NO APLICA</v>
      </c>
      <c r="BX227" s="2"/>
      <c r="BY227" s="4"/>
      <c r="BZ227" s="4"/>
      <c r="CA227" s="8"/>
      <c r="CB227" s="5" t="str">
        <f t="shared" si="728"/>
        <v>NO APLICA</v>
      </c>
      <c r="CC227" s="6"/>
      <c r="CD227" s="4"/>
      <c r="CE227" s="4"/>
      <c r="CF227" s="8"/>
      <c r="CG227" s="5" t="str">
        <f t="shared" si="794"/>
        <v>NO APLICA</v>
      </c>
      <c r="CH227" s="6"/>
      <c r="CI227" s="4"/>
      <c r="CJ227" s="4"/>
      <c r="CK227" s="8"/>
      <c r="CL227" s="5" t="str">
        <f t="shared" si="729"/>
        <v>NO APLICA</v>
      </c>
      <c r="CM227" s="2"/>
      <c r="CN227" s="4"/>
      <c r="CO227" s="4"/>
      <c r="CP227" s="8"/>
      <c r="CQ227" s="5" t="str">
        <f t="shared" si="730"/>
        <v>NO APLICA</v>
      </c>
      <c r="CR227" s="2"/>
      <c r="CS227" s="4"/>
      <c r="CT227" s="4"/>
      <c r="CU227" s="8"/>
      <c r="CV227" s="5" t="str">
        <f t="shared" si="731"/>
        <v>NO APLICA</v>
      </c>
      <c r="CW227" s="3"/>
      <c r="CX227" s="4"/>
      <c r="CY227" s="4"/>
      <c r="CZ227" s="8"/>
      <c r="DA227" s="5" t="str">
        <f t="shared" si="732"/>
        <v>NO APLICA</v>
      </c>
      <c r="DB227" s="3"/>
      <c r="DC227" s="4"/>
      <c r="DD227" s="4"/>
      <c r="DE227" s="8"/>
      <c r="DF227" s="5" t="str">
        <f t="shared" si="733"/>
        <v>NO APLICA</v>
      </c>
      <c r="DG227" s="2"/>
      <c r="DH227" s="4"/>
      <c r="DI227" s="4"/>
      <c r="DJ227" s="8"/>
      <c r="DK227" s="5" t="str">
        <f t="shared" si="734"/>
        <v>NO APLICA</v>
      </c>
      <c r="DL227" s="3"/>
      <c r="DM227" s="4"/>
      <c r="DN227" s="4"/>
      <c r="DO227" s="8"/>
      <c r="DP227" s="5" t="str">
        <f t="shared" si="735"/>
        <v>NO APLICA</v>
      </c>
      <c r="DQ227" s="2"/>
      <c r="DR227" s="4"/>
      <c r="DS227" s="4"/>
      <c r="DT227" s="8"/>
      <c r="DU227" s="5" t="str">
        <f t="shared" si="736"/>
        <v>NO APLICA</v>
      </c>
      <c r="DV227" s="3"/>
      <c r="DW227" s="4"/>
      <c r="DX227" s="4"/>
      <c r="DY227" s="8"/>
      <c r="DZ227" s="5" t="str">
        <f t="shared" si="737"/>
        <v>NO APLICA</v>
      </c>
      <c r="EA227" s="3"/>
      <c r="EB227" s="4"/>
      <c r="EC227" s="4"/>
      <c r="ED227" s="8"/>
      <c r="EE227" s="5" t="str">
        <f t="shared" si="738"/>
        <v>NO APLICA</v>
      </c>
      <c r="EF227" s="2"/>
      <c r="EG227" s="4"/>
      <c r="EH227" s="4"/>
      <c r="EI227" s="8"/>
      <c r="EJ227" s="5" t="str">
        <f t="shared" si="739"/>
        <v>NO APLICA</v>
      </c>
      <c r="EK227" s="3"/>
      <c r="EL227" s="4"/>
      <c r="EM227" s="4"/>
      <c r="EN227" s="8"/>
      <c r="EO227" s="5" t="str">
        <f t="shared" si="740"/>
        <v>NO APLICA</v>
      </c>
      <c r="EP227" s="2"/>
      <c r="EQ227" s="4"/>
      <c r="ER227" s="4"/>
      <c r="ES227" s="8"/>
      <c r="ET227" s="5" t="str">
        <f t="shared" si="741"/>
        <v>NO APLICA</v>
      </c>
      <c r="EU227" s="2"/>
      <c r="EV227" s="4"/>
      <c r="EW227" s="4"/>
      <c r="EX227" s="8"/>
      <c r="EY227" s="5" t="str">
        <f t="shared" si="742"/>
        <v>NO APLICA</v>
      </c>
      <c r="EZ227" s="2"/>
      <c r="FA227" s="4"/>
      <c r="FB227" s="4"/>
      <c r="FC227" s="8"/>
      <c r="FD227" s="5" t="str">
        <f t="shared" si="743"/>
        <v>NO APLICA</v>
      </c>
      <c r="FE227" s="2"/>
      <c r="FF227" s="4"/>
      <c r="FG227" s="4"/>
      <c r="FH227" s="8"/>
      <c r="FI227" s="5" t="str">
        <f t="shared" si="744"/>
        <v>NO APLICA</v>
      </c>
      <c r="FJ227" s="3"/>
      <c r="FK227" s="4"/>
      <c r="FL227" s="4"/>
      <c r="FM227" s="8"/>
      <c r="FN227" s="5" t="str">
        <f t="shared" si="745"/>
        <v>NO APLICA</v>
      </c>
      <c r="FO227" s="3"/>
      <c r="FP227" s="4"/>
      <c r="FQ227" s="4"/>
      <c r="FR227" s="8"/>
      <c r="FS227" s="5" t="str">
        <f t="shared" si="746"/>
        <v>NO APLICA</v>
      </c>
      <c r="FT227" s="3"/>
      <c r="FU227" s="4"/>
      <c r="FV227" s="4"/>
      <c r="FW227" s="8"/>
      <c r="FX227" s="5" t="str">
        <f t="shared" si="747"/>
        <v>NO APLICA</v>
      </c>
      <c r="FY227" s="3"/>
      <c r="FZ227" s="4"/>
      <c r="GA227" s="4"/>
      <c r="GB227" s="8"/>
      <c r="GC227" s="5" t="str">
        <f t="shared" si="748"/>
        <v>NO APLICA</v>
      </c>
      <c r="GD227" s="3"/>
      <c r="GE227" s="4"/>
      <c r="GF227" s="4"/>
      <c r="GG227" s="8"/>
      <c r="GH227" s="5" t="str">
        <f t="shared" si="749"/>
        <v>NO APLICA</v>
      </c>
      <c r="GI227" s="3"/>
      <c r="GJ227" s="4"/>
      <c r="GK227" s="4"/>
      <c r="GL227" s="8"/>
      <c r="GM227" s="5" t="str">
        <f t="shared" si="750"/>
        <v>NO APLICA</v>
      </c>
      <c r="GN227" s="4"/>
      <c r="GO227" s="4"/>
      <c r="GP227" s="4"/>
      <c r="GQ227" s="8"/>
      <c r="GR227" s="5" t="str">
        <f t="shared" si="630"/>
        <v>NO APLICA</v>
      </c>
      <c r="GS227" s="3"/>
      <c r="GT227" s="4"/>
      <c r="GU227" s="4"/>
      <c r="GV227" s="8"/>
      <c r="GW227" s="5" t="str">
        <f t="shared" si="631"/>
        <v>NO APLICA</v>
      </c>
      <c r="GX227" s="2"/>
      <c r="GY227" s="4"/>
      <c r="GZ227" s="4"/>
      <c r="HA227" s="8"/>
      <c r="HB227" s="5" t="str">
        <f t="shared" si="632"/>
        <v>NO APLICA</v>
      </c>
      <c r="HC227" s="6"/>
      <c r="HD227" s="6"/>
      <c r="HE227" s="4"/>
      <c r="HF227" s="8"/>
      <c r="HG227" s="5" t="str">
        <f t="shared" si="718"/>
        <v>NO APLICA</v>
      </c>
      <c r="HH227" s="2"/>
      <c r="HI227" s="6"/>
      <c r="HJ227" s="4"/>
      <c r="HK227" s="8"/>
      <c r="HL227" s="5" t="str">
        <f t="shared" si="714"/>
        <v>NO APLICA</v>
      </c>
      <c r="HM227" s="2"/>
      <c r="HN227" s="2"/>
      <c r="HO227" s="4"/>
      <c r="HP227" s="2"/>
      <c r="HQ227" s="5" t="str">
        <f t="shared" si="751"/>
        <v>NO APLICA</v>
      </c>
      <c r="HR227" s="2"/>
      <c r="HS227" s="6"/>
      <c r="HT227" s="4"/>
      <c r="HU227" s="8"/>
      <c r="HV227" s="5" t="str">
        <f t="shared" si="752"/>
        <v>NO APLICA</v>
      </c>
      <c r="HW227" s="2"/>
      <c r="HX227" s="6"/>
      <c r="HY227" s="4"/>
      <c r="HZ227" s="8"/>
      <c r="IA227" s="5" t="str">
        <f t="shared" si="753"/>
        <v>NO APLICA</v>
      </c>
      <c r="IB227" s="2"/>
      <c r="IC227" s="6"/>
      <c r="ID227" s="4"/>
      <c r="IE227" s="8"/>
      <c r="IF227" s="5" t="str">
        <f t="shared" si="754"/>
        <v>NO APLICA</v>
      </c>
      <c r="IG227" s="6"/>
      <c r="IH227" s="6"/>
      <c r="II227" s="4"/>
      <c r="IJ227" s="8"/>
      <c r="IK227" s="5" t="str">
        <f t="shared" si="755"/>
        <v>NO APLICA</v>
      </c>
      <c r="IL227" s="2"/>
      <c r="IM227" s="6"/>
      <c r="IN227" s="4"/>
      <c r="IO227" s="8"/>
      <c r="IP227" s="5" t="str">
        <f t="shared" si="756"/>
        <v>NO APLICA</v>
      </c>
      <c r="IQ227" s="2"/>
      <c r="IR227" s="6"/>
      <c r="IS227" s="4"/>
      <c r="IT227" s="8"/>
      <c r="IU227" s="5" t="str">
        <f t="shared" si="757"/>
        <v>NO APLICA</v>
      </c>
      <c r="IV227" s="2"/>
      <c r="IW227" s="6"/>
      <c r="IX227" s="4"/>
      <c r="IY227" s="8"/>
      <c r="IZ227" s="5" t="str">
        <f t="shared" si="758"/>
        <v>NO APLICA</v>
      </c>
      <c r="JA227" s="3"/>
      <c r="JB227" s="3"/>
      <c r="JC227" s="4"/>
      <c r="JD227" s="8"/>
      <c r="JE227" s="5" t="str">
        <f t="shared" si="759"/>
        <v>NO APLICA</v>
      </c>
      <c r="JF227" s="6"/>
      <c r="JG227" s="6"/>
      <c r="JH227" s="6"/>
      <c r="JI227" s="6"/>
      <c r="JJ227" s="5" t="str">
        <f t="shared" si="760"/>
        <v>NO APLICA</v>
      </c>
      <c r="JK227" s="6"/>
      <c r="JL227" s="6"/>
      <c r="JM227" s="6"/>
      <c r="JN227" s="6"/>
      <c r="JO227" s="5" t="str">
        <f t="shared" si="761"/>
        <v>NO APLICA</v>
      </c>
      <c r="JP227" s="6"/>
      <c r="JQ227" s="6"/>
      <c r="JR227" s="6"/>
      <c r="JS227" s="6"/>
      <c r="JT227" s="5" t="str">
        <f t="shared" si="762"/>
        <v>NO APLICA</v>
      </c>
      <c r="JU227" s="5"/>
      <c r="JV227" s="3"/>
      <c r="JW227" s="4"/>
      <c r="JX227" s="8"/>
      <c r="JY227" s="5" t="str">
        <f>IF(JX227&gt;=61,"VIGENTE",IF(JX227&gt;=1,"POR VENCER",IF(JX227&lt;=-1,"VENCIDA",IF(JV227=0,"NO APLICA"))))</f>
        <v>NO APLICA</v>
      </c>
      <c r="JZ227" s="5"/>
      <c r="KA227" s="2"/>
      <c r="KB227" s="4"/>
      <c r="KC227" s="8"/>
      <c r="KD227" s="5" t="str">
        <f t="shared" si="764"/>
        <v>NO APLICA</v>
      </c>
      <c r="KE227" s="5"/>
      <c r="KF227" s="2"/>
      <c r="KG227" s="4"/>
      <c r="KH227" s="8"/>
      <c r="KI227" s="5" t="str">
        <f t="shared" si="784"/>
        <v>NO APLICA</v>
      </c>
      <c r="KJ227" s="5"/>
      <c r="KK227" s="2"/>
      <c r="KL227" s="4"/>
      <c r="KM227" s="8"/>
      <c r="KN227" s="5" t="str">
        <f t="shared" si="765"/>
        <v>NO APLICA</v>
      </c>
      <c r="KO227" s="5"/>
      <c r="KP227" s="2"/>
      <c r="KQ227" s="4"/>
      <c r="KR227" s="8"/>
      <c r="KS227" s="5" t="str">
        <f t="shared" si="785"/>
        <v>NO APLICA</v>
      </c>
      <c r="KT227" s="2"/>
      <c r="KU227" s="6"/>
      <c r="KV227" s="4"/>
      <c r="KW227" s="8"/>
      <c r="KX227" s="5" t="str">
        <f t="shared" si="791"/>
        <v>NO APLICA</v>
      </c>
      <c r="KY227" s="5"/>
      <c r="KZ227" s="6"/>
      <c r="LA227" s="4"/>
      <c r="LB227" s="8"/>
      <c r="LC227" s="5" t="str">
        <f t="shared" si="786"/>
        <v>NO APLICA</v>
      </c>
      <c r="LD227" s="6"/>
      <c r="LE227" s="6"/>
      <c r="LF227" s="4"/>
      <c r="LG227" s="8"/>
      <c r="LH227" s="5" t="str">
        <f t="shared" si="619"/>
        <v>NO APLICA</v>
      </c>
      <c r="LI227" s="5"/>
      <c r="LJ227" s="5"/>
      <c r="LK227" s="4"/>
      <c r="LL227" s="8"/>
      <c r="LM227" s="5" t="str">
        <f t="shared" si="792"/>
        <v>NO APLICA</v>
      </c>
      <c r="LN227" s="2"/>
      <c r="LO227" s="6"/>
      <c r="LP227" s="4"/>
      <c r="LQ227" s="8"/>
      <c r="LR227" s="5" t="str">
        <f t="shared" si="787"/>
        <v>NO APLICA</v>
      </c>
      <c r="LS227" s="6"/>
      <c r="LT227" s="6"/>
      <c r="LU227" s="4"/>
      <c r="LV227" s="8"/>
      <c r="LW227" s="5" t="str">
        <f t="shared" si="788"/>
        <v>NO APLICA</v>
      </c>
      <c r="LX227" s="6"/>
      <c r="LY227" s="6"/>
      <c r="LZ227" s="4"/>
      <c r="MA227" s="8"/>
      <c r="MB227" s="5" t="str">
        <f t="shared" si="789"/>
        <v>NO APLICA</v>
      </c>
      <c r="MC227" s="2"/>
      <c r="MD227" s="2"/>
      <c r="ME227" s="4"/>
      <c r="MF227" s="8"/>
      <c r="MG227" s="5" t="str">
        <f t="shared" si="766"/>
        <v>NO APLICA</v>
      </c>
      <c r="MH227" s="2"/>
      <c r="MI227" s="2"/>
      <c r="MJ227" s="4"/>
      <c r="MK227" s="8"/>
      <c r="ML227" s="5" t="str">
        <f t="shared" si="767"/>
        <v>NO APLICA</v>
      </c>
      <c r="MM227" s="5"/>
      <c r="MN227" s="2"/>
      <c r="MO227" s="4"/>
      <c r="MP227" s="8"/>
      <c r="MQ227" s="5" t="str">
        <f t="shared" si="768"/>
        <v>NO APLICA</v>
      </c>
      <c r="MR227" s="5"/>
      <c r="MS227" s="2"/>
      <c r="MT227" s="4"/>
      <c r="MU227" s="2"/>
      <c r="MV227" s="5" t="str">
        <f t="shared" si="769"/>
        <v>NO APLICA</v>
      </c>
      <c r="MW227" s="2"/>
      <c r="MX227" s="6"/>
      <c r="MY227" s="4"/>
      <c r="MZ227" s="8"/>
      <c r="NA227" s="5" t="str">
        <f t="shared" si="770"/>
        <v>NO APLICA</v>
      </c>
      <c r="NB227" s="2"/>
      <c r="NC227" s="6"/>
      <c r="ND227" s="4"/>
      <c r="NE227" s="8"/>
      <c r="NF227" s="5" t="str">
        <f t="shared" si="771"/>
        <v>NO APLICA</v>
      </c>
      <c r="NG227" s="2"/>
      <c r="NH227" s="6"/>
      <c r="NI227" s="4"/>
      <c r="NJ227" s="8"/>
      <c r="NK227" s="5" t="str">
        <f t="shared" si="772"/>
        <v>NO APLICA</v>
      </c>
      <c r="NL227" s="2"/>
      <c r="NM227" s="2"/>
      <c r="NN227" s="4"/>
      <c r="NO227" s="8"/>
      <c r="NP227" s="5" t="str">
        <f t="shared" si="773"/>
        <v>NO APLICA</v>
      </c>
      <c r="NQ227" s="2"/>
      <c r="NR227" s="2"/>
      <c r="NS227" s="4"/>
      <c r="NT227" s="2"/>
      <c r="NU227" s="5" t="str">
        <f t="shared" si="774"/>
        <v>NO APLICA</v>
      </c>
      <c r="NV227" s="6"/>
      <c r="NW227" s="6"/>
      <c r="NX227" s="4"/>
      <c r="NY227" s="8"/>
      <c r="NZ227" s="5" t="str">
        <f t="shared" si="775"/>
        <v>NO APLICA</v>
      </c>
      <c r="OA227" s="6"/>
      <c r="OB227" s="6"/>
      <c r="OC227" s="6"/>
      <c r="OD227" s="6"/>
      <c r="OE227" s="5" t="str">
        <f t="shared" si="776"/>
        <v>NO APLICA</v>
      </c>
      <c r="OF227" s="6"/>
      <c r="OG227" s="6"/>
      <c r="OH227" s="4"/>
      <c r="OI227" s="8"/>
      <c r="OJ227" s="5" t="str">
        <f t="shared" si="777"/>
        <v>NO APLICA</v>
      </c>
      <c r="OK227" s="6"/>
      <c r="OL227" s="6"/>
      <c r="OM227" s="6"/>
      <c r="ON227" s="6"/>
      <c r="OO227" s="5" t="str">
        <f t="shared" si="778"/>
        <v>NO APLICA</v>
      </c>
      <c r="OP227" s="6"/>
      <c r="OQ227" s="6"/>
      <c r="OR227" s="6"/>
      <c r="OS227" s="6"/>
      <c r="OT227" s="5" t="str">
        <f t="shared" si="779"/>
        <v>NO APLICA</v>
      </c>
      <c r="OU227" s="6"/>
      <c r="OV227" s="6"/>
      <c r="OW227" s="6"/>
      <c r="OX227" s="6"/>
      <c r="OY227" s="5" t="str">
        <f t="shared" si="793"/>
        <v>NO APLICA</v>
      </c>
      <c r="OZ227" s="6"/>
      <c r="PA227" s="6"/>
      <c r="PB227" s="6"/>
      <c r="PC227" s="6"/>
      <c r="PD227" s="5" t="str">
        <f t="shared" si="780"/>
        <v>NO APLICA</v>
      </c>
      <c r="PE227" s="6"/>
      <c r="PF227" s="6"/>
      <c r="PG227" s="6"/>
      <c r="PH227" s="6"/>
      <c r="PI227" s="5" t="str">
        <f t="shared" si="781"/>
        <v>NO APLICA</v>
      </c>
      <c r="PJ227" s="5"/>
      <c r="PK227" s="6"/>
      <c r="PL227" s="4"/>
      <c r="PM227" s="8"/>
      <c r="PN227" s="5" t="str">
        <f t="shared" si="790"/>
        <v>NO APLICA</v>
      </c>
      <c r="PO227" s="6"/>
      <c r="PP227" s="6"/>
      <c r="PQ227" s="6"/>
      <c r="PR227" s="6"/>
      <c r="PS227" s="5" t="str">
        <f t="shared" si="782"/>
        <v>NO APLICA</v>
      </c>
      <c r="PT227" s="5"/>
      <c r="PU227" s="6"/>
      <c r="PV227" s="6"/>
      <c r="PW227" s="6"/>
      <c r="PX227" s="5" t="str">
        <f t="shared" si="783"/>
        <v>NO APLICA</v>
      </c>
    </row>
    <row r="228" spans="1:440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649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2"/>
      <c r="V228" s="4"/>
      <c r="W228" s="4"/>
      <c r="X228" s="8"/>
      <c r="Y228" s="5" t="str">
        <f t="shared" si="624"/>
        <v>NO APLICA</v>
      </c>
      <c r="Z228" s="2"/>
      <c r="AA228" s="6"/>
      <c r="AB228" s="4"/>
      <c r="AC228" s="8"/>
      <c r="AD228" s="5" t="str">
        <f t="shared" si="627"/>
        <v>NO APLICA</v>
      </c>
      <c r="AE228" s="2"/>
      <c r="AF228" s="4"/>
      <c r="AG228" s="4"/>
      <c r="AH228" s="8"/>
      <c r="AI228" s="5" t="str">
        <f t="shared" si="621"/>
        <v>NO APLICA</v>
      </c>
      <c r="AJ228" s="2"/>
      <c r="AK228" s="4"/>
      <c r="AL228" s="4"/>
      <c r="AM228" s="8"/>
      <c r="AN228" s="5" t="str">
        <f t="shared" si="720"/>
        <v>NO APLICA</v>
      </c>
      <c r="AO228" s="2"/>
      <c r="AP228" s="4"/>
      <c r="AQ228" s="4"/>
      <c r="AR228" s="8"/>
      <c r="AS228" s="5" t="str">
        <f t="shared" si="721"/>
        <v>NO APLICA</v>
      </c>
      <c r="AT228" s="2"/>
      <c r="AU228" s="4"/>
      <c r="AV228" s="4"/>
      <c r="AW228" s="8"/>
      <c r="AX228" s="5" t="str">
        <f t="shared" si="722"/>
        <v>NO APLICA</v>
      </c>
      <c r="AY228" s="3"/>
      <c r="AZ228" s="4"/>
      <c r="BA228" s="4"/>
      <c r="BB228" s="8"/>
      <c r="BC228" s="5" t="str">
        <f t="shared" si="723"/>
        <v>NO APLICA</v>
      </c>
      <c r="BD228" s="2"/>
      <c r="BE228" s="4"/>
      <c r="BF228" s="4"/>
      <c r="BG228" s="8"/>
      <c r="BH228" s="5" t="str">
        <f t="shared" si="724"/>
        <v>NO APLICA</v>
      </c>
      <c r="BI228" s="3"/>
      <c r="BJ228" s="4"/>
      <c r="BK228" s="4"/>
      <c r="BL228" s="8"/>
      <c r="BM228" s="5" t="str">
        <f t="shared" si="725"/>
        <v>NO APLICA</v>
      </c>
      <c r="BN228" s="3"/>
      <c r="BO228" s="4"/>
      <c r="BP228" s="4"/>
      <c r="BQ228" s="8"/>
      <c r="BR228" s="5" t="str">
        <f t="shared" si="726"/>
        <v>NO APLICA</v>
      </c>
      <c r="BS228" s="2"/>
      <c r="BT228" s="4"/>
      <c r="BU228" s="4"/>
      <c r="BV228" s="8"/>
      <c r="BW228" s="5" t="str">
        <f t="shared" si="727"/>
        <v>NO APLICA</v>
      </c>
      <c r="BX228" s="2"/>
      <c r="BY228" s="4"/>
      <c r="BZ228" s="4"/>
      <c r="CA228" s="8"/>
      <c r="CB228" s="5" t="str">
        <f t="shared" si="728"/>
        <v>NO APLICA</v>
      </c>
      <c r="CC228" s="6"/>
      <c r="CD228" s="4"/>
      <c r="CE228" s="4"/>
      <c r="CF228" s="8"/>
      <c r="CG228" s="5" t="str">
        <f t="shared" si="794"/>
        <v>NO APLICA</v>
      </c>
      <c r="CH228" s="6"/>
      <c r="CI228" s="4"/>
      <c r="CJ228" s="4"/>
      <c r="CK228" s="8"/>
      <c r="CL228" s="5" t="str">
        <f t="shared" si="729"/>
        <v>NO APLICA</v>
      </c>
      <c r="CM228" s="2"/>
      <c r="CN228" s="4"/>
      <c r="CO228" s="4"/>
      <c r="CP228" s="8"/>
      <c r="CQ228" s="5" t="str">
        <f t="shared" si="730"/>
        <v>NO APLICA</v>
      </c>
      <c r="CR228" s="2"/>
      <c r="CS228" s="4"/>
      <c r="CT228" s="4"/>
      <c r="CU228" s="8"/>
      <c r="CV228" s="5" t="str">
        <f t="shared" si="731"/>
        <v>NO APLICA</v>
      </c>
      <c r="CW228" s="3"/>
      <c r="CX228" s="4"/>
      <c r="CY228" s="4"/>
      <c r="CZ228" s="8"/>
      <c r="DA228" s="5" t="str">
        <f t="shared" si="732"/>
        <v>NO APLICA</v>
      </c>
      <c r="DB228" s="3"/>
      <c r="DC228" s="4"/>
      <c r="DD228" s="4"/>
      <c r="DE228" s="8"/>
      <c r="DF228" s="5" t="str">
        <f t="shared" si="733"/>
        <v>NO APLICA</v>
      </c>
      <c r="DG228" s="2"/>
      <c r="DH228" s="4"/>
      <c r="DI228" s="4"/>
      <c r="DJ228" s="8"/>
      <c r="DK228" s="5" t="str">
        <f t="shared" si="734"/>
        <v>NO APLICA</v>
      </c>
      <c r="DL228" s="3"/>
      <c r="DM228" s="4"/>
      <c r="DN228" s="4"/>
      <c r="DO228" s="8"/>
      <c r="DP228" s="5" t="str">
        <f t="shared" si="735"/>
        <v>NO APLICA</v>
      </c>
      <c r="DQ228" s="2"/>
      <c r="DR228" s="4"/>
      <c r="DS228" s="4"/>
      <c r="DT228" s="8"/>
      <c r="DU228" s="5" t="str">
        <f t="shared" si="736"/>
        <v>NO APLICA</v>
      </c>
      <c r="DV228" s="3"/>
      <c r="DW228" s="4"/>
      <c r="DX228" s="4"/>
      <c r="DY228" s="8"/>
      <c r="DZ228" s="5" t="str">
        <f t="shared" si="737"/>
        <v>NO APLICA</v>
      </c>
      <c r="EA228" s="3"/>
      <c r="EB228" s="4"/>
      <c r="EC228" s="4"/>
      <c r="ED228" s="8"/>
      <c r="EE228" s="5" t="str">
        <f t="shared" si="738"/>
        <v>NO APLICA</v>
      </c>
      <c r="EF228" s="2"/>
      <c r="EG228" s="4"/>
      <c r="EH228" s="4"/>
      <c r="EI228" s="8"/>
      <c r="EJ228" s="5" t="str">
        <f t="shared" si="739"/>
        <v>NO APLICA</v>
      </c>
      <c r="EK228" s="3"/>
      <c r="EL228" s="4"/>
      <c r="EM228" s="4"/>
      <c r="EN228" s="8"/>
      <c r="EO228" s="5" t="str">
        <f t="shared" si="740"/>
        <v>NO APLICA</v>
      </c>
      <c r="EP228" s="2"/>
      <c r="EQ228" s="4"/>
      <c r="ER228" s="4"/>
      <c r="ES228" s="8"/>
      <c r="ET228" s="5" t="str">
        <f t="shared" si="741"/>
        <v>NO APLICA</v>
      </c>
      <c r="EU228" s="2"/>
      <c r="EV228" s="4"/>
      <c r="EW228" s="4"/>
      <c r="EX228" s="8"/>
      <c r="EY228" s="5" t="str">
        <f t="shared" si="742"/>
        <v>NO APLICA</v>
      </c>
      <c r="EZ228" s="2"/>
      <c r="FA228" s="4"/>
      <c r="FB228" s="4"/>
      <c r="FC228" s="8"/>
      <c r="FD228" s="5" t="str">
        <f t="shared" si="743"/>
        <v>NO APLICA</v>
      </c>
      <c r="FE228" s="2"/>
      <c r="FF228" s="4"/>
      <c r="FG228" s="4"/>
      <c r="FH228" s="8"/>
      <c r="FI228" s="5" t="str">
        <f t="shared" si="744"/>
        <v>NO APLICA</v>
      </c>
      <c r="FJ228" s="3"/>
      <c r="FK228" s="4"/>
      <c r="FL228" s="4"/>
      <c r="FM228" s="8"/>
      <c r="FN228" s="5" t="str">
        <f t="shared" si="745"/>
        <v>NO APLICA</v>
      </c>
      <c r="FO228" s="3"/>
      <c r="FP228" s="4"/>
      <c r="FQ228" s="4"/>
      <c r="FR228" s="8"/>
      <c r="FS228" s="5" t="str">
        <f t="shared" si="746"/>
        <v>NO APLICA</v>
      </c>
      <c r="FT228" s="3"/>
      <c r="FU228" s="4"/>
      <c r="FV228" s="4"/>
      <c r="FW228" s="8"/>
      <c r="FX228" s="5" t="str">
        <f t="shared" si="747"/>
        <v>NO APLICA</v>
      </c>
      <c r="FY228" s="3"/>
      <c r="FZ228" s="4"/>
      <c r="GA228" s="4"/>
      <c r="GB228" s="8"/>
      <c r="GC228" s="5" t="str">
        <f t="shared" si="748"/>
        <v>NO APLICA</v>
      </c>
      <c r="GD228" s="3"/>
      <c r="GE228" s="4"/>
      <c r="GF228" s="4"/>
      <c r="GG228" s="8"/>
      <c r="GH228" s="5" t="str">
        <f t="shared" si="749"/>
        <v>NO APLICA</v>
      </c>
      <c r="GI228" s="3"/>
      <c r="GJ228" s="4"/>
      <c r="GK228" s="4"/>
      <c r="GL228" s="8"/>
      <c r="GM228" s="5" t="str">
        <f t="shared" si="750"/>
        <v>NO APLICA</v>
      </c>
      <c r="GN228" s="4"/>
      <c r="GO228" s="4"/>
      <c r="GP228" s="4"/>
      <c r="GQ228" s="8"/>
      <c r="GR228" s="5" t="str">
        <f t="shared" si="630"/>
        <v>NO APLICA</v>
      </c>
      <c r="GS228" s="3"/>
      <c r="GT228" s="4"/>
      <c r="GU228" s="4"/>
      <c r="GV228" s="8"/>
      <c r="GW228" s="5" t="str">
        <f t="shared" si="631"/>
        <v>NO APLICA</v>
      </c>
      <c r="GX228" s="2"/>
      <c r="GY228" s="4"/>
      <c r="GZ228" s="4"/>
      <c r="HA228" s="8"/>
      <c r="HB228" s="5" t="str">
        <f t="shared" si="632"/>
        <v>NO APLICA</v>
      </c>
      <c r="HC228" s="6"/>
      <c r="HD228" s="6"/>
      <c r="HE228" s="4"/>
      <c r="HF228" s="8"/>
      <c r="HG228" s="5" t="str">
        <f t="shared" si="718"/>
        <v>NO APLICA</v>
      </c>
      <c r="HH228" s="2"/>
      <c r="HI228" s="6"/>
      <c r="HJ228" s="4"/>
      <c r="HK228" s="8"/>
      <c r="HL228" s="5" t="str">
        <f t="shared" si="714"/>
        <v>NO APLICA</v>
      </c>
      <c r="HM228" s="2"/>
      <c r="HN228" s="2"/>
      <c r="HO228" s="4"/>
      <c r="HP228" s="2"/>
      <c r="HQ228" s="5" t="str">
        <f t="shared" si="751"/>
        <v>NO APLICA</v>
      </c>
      <c r="HR228" s="2"/>
      <c r="HS228" s="6"/>
      <c r="HT228" s="4"/>
      <c r="HU228" s="8"/>
      <c r="HV228" s="5" t="str">
        <f t="shared" si="752"/>
        <v>NO APLICA</v>
      </c>
      <c r="HW228" s="2"/>
      <c r="HX228" s="6"/>
      <c r="HY228" s="4"/>
      <c r="HZ228" s="8"/>
      <c r="IA228" s="5" t="str">
        <f t="shared" si="753"/>
        <v>NO APLICA</v>
      </c>
      <c r="IB228" s="2"/>
      <c r="IC228" s="6"/>
      <c r="ID228" s="4"/>
      <c r="IE228" s="8"/>
      <c r="IF228" s="5" t="str">
        <f t="shared" si="754"/>
        <v>NO APLICA</v>
      </c>
      <c r="IG228" s="6"/>
      <c r="IH228" s="6"/>
      <c r="II228" s="4"/>
      <c r="IJ228" s="8"/>
      <c r="IK228" s="5" t="str">
        <f t="shared" si="755"/>
        <v>NO APLICA</v>
      </c>
      <c r="IL228" s="2"/>
      <c r="IM228" s="6"/>
      <c r="IN228" s="4"/>
      <c r="IO228" s="8"/>
      <c r="IP228" s="5" t="str">
        <f t="shared" si="756"/>
        <v>NO APLICA</v>
      </c>
      <c r="IQ228" s="2"/>
      <c r="IR228" s="6"/>
      <c r="IS228" s="4"/>
      <c r="IT228" s="8"/>
      <c r="IU228" s="5" t="str">
        <f t="shared" si="757"/>
        <v>NO APLICA</v>
      </c>
      <c r="IV228" s="2"/>
      <c r="IW228" s="6"/>
      <c r="IX228" s="4"/>
      <c r="IY228" s="8"/>
      <c r="IZ228" s="5" t="str">
        <f t="shared" si="758"/>
        <v>NO APLICA</v>
      </c>
      <c r="JA228" s="3"/>
      <c r="JB228" s="3"/>
      <c r="JC228" s="4"/>
      <c r="JD228" s="8"/>
      <c r="JE228" s="5" t="str">
        <f t="shared" si="759"/>
        <v>NO APLICA</v>
      </c>
      <c r="JF228" s="6"/>
      <c r="JG228" s="6"/>
      <c r="JH228" s="6"/>
      <c r="JI228" s="6"/>
      <c r="JJ228" s="5" t="str">
        <f t="shared" si="760"/>
        <v>NO APLICA</v>
      </c>
      <c r="JK228" s="6"/>
      <c r="JL228" s="6"/>
      <c r="JM228" s="6"/>
      <c r="JN228" s="6"/>
      <c r="JO228" s="5" t="str">
        <f t="shared" si="761"/>
        <v>NO APLICA</v>
      </c>
      <c r="JP228" s="6"/>
      <c r="JQ228" s="6"/>
      <c r="JR228" s="6"/>
      <c r="JS228" s="6"/>
      <c r="JT228" s="5" t="str">
        <f t="shared" si="762"/>
        <v>NO APLICA</v>
      </c>
      <c r="JU228" s="5"/>
      <c r="JV228" s="3"/>
      <c r="JW228" s="4"/>
      <c r="JX228" s="8"/>
      <c r="JY228" s="5" t="str">
        <f>IF(JX228&gt;=61,"VIGENTE",IF(JX228&gt;=1,"POR VENCER",IF(JX228&lt;=-1,"VENCIDA",IF(JV228=0,"NO APLICA"))))</f>
        <v>NO APLICA</v>
      </c>
      <c r="JZ228" s="5"/>
      <c r="KA228" s="2"/>
      <c r="KB228" s="4"/>
      <c r="KC228" s="8"/>
      <c r="KD228" s="5" t="str">
        <f t="shared" si="764"/>
        <v>NO APLICA</v>
      </c>
      <c r="KE228" s="5"/>
      <c r="KF228" s="2"/>
      <c r="KG228" s="4"/>
      <c r="KH228" s="8"/>
      <c r="KI228" s="5" t="str">
        <f t="shared" si="784"/>
        <v>NO APLICA</v>
      </c>
      <c r="KJ228" s="5"/>
      <c r="KK228" s="2"/>
      <c r="KL228" s="4"/>
      <c r="KM228" s="8"/>
      <c r="KN228" s="5" t="str">
        <f t="shared" si="765"/>
        <v>NO APLICA</v>
      </c>
      <c r="KO228" s="5"/>
      <c r="KP228" s="2"/>
      <c r="KQ228" s="4"/>
      <c r="KR228" s="8"/>
      <c r="KS228" s="5" t="str">
        <f t="shared" si="785"/>
        <v>NO APLICA</v>
      </c>
      <c r="KT228" s="2"/>
      <c r="KU228" s="6"/>
      <c r="KV228" s="4"/>
      <c r="KW228" s="8"/>
      <c r="KX228" s="5" t="str">
        <f t="shared" si="791"/>
        <v>NO APLICA</v>
      </c>
      <c r="KY228" s="5"/>
      <c r="KZ228" s="6"/>
      <c r="LA228" s="4"/>
      <c r="LB228" s="8"/>
      <c r="LC228" s="5" t="str">
        <f t="shared" si="786"/>
        <v>NO APLICA</v>
      </c>
      <c r="LD228" s="6"/>
      <c r="LE228" s="6"/>
      <c r="LF228" s="4"/>
      <c r="LG228" s="8"/>
      <c r="LH228" s="5" t="str">
        <f t="shared" si="619"/>
        <v>NO APLICA</v>
      </c>
      <c r="LI228" s="5"/>
      <c r="LJ228" s="5"/>
      <c r="LK228" s="4"/>
      <c r="LL228" s="8"/>
      <c r="LM228" s="5" t="str">
        <f t="shared" si="792"/>
        <v>NO APLICA</v>
      </c>
      <c r="LN228" s="2"/>
      <c r="LO228" s="6"/>
      <c r="LP228" s="4"/>
      <c r="LQ228" s="8"/>
      <c r="LR228" s="5" t="str">
        <f t="shared" si="787"/>
        <v>NO APLICA</v>
      </c>
      <c r="LS228" s="6"/>
      <c r="LT228" s="6"/>
      <c r="LU228" s="4"/>
      <c r="LV228" s="8"/>
      <c r="LW228" s="5" t="str">
        <f t="shared" si="788"/>
        <v>NO APLICA</v>
      </c>
      <c r="LX228" s="6"/>
      <c r="LY228" s="6"/>
      <c r="LZ228" s="4"/>
      <c r="MA228" s="8"/>
      <c r="MB228" s="5" t="str">
        <f t="shared" si="789"/>
        <v>NO APLICA</v>
      </c>
      <c r="MC228" s="2"/>
      <c r="MD228" s="2"/>
      <c r="ME228" s="4"/>
      <c r="MF228" s="8"/>
      <c r="MG228" s="5" t="str">
        <f t="shared" si="766"/>
        <v>NO APLICA</v>
      </c>
      <c r="MH228" s="2"/>
      <c r="MI228" s="2"/>
      <c r="MJ228" s="4"/>
      <c r="MK228" s="8"/>
      <c r="ML228" s="5" t="str">
        <f t="shared" si="767"/>
        <v>NO APLICA</v>
      </c>
      <c r="MM228" s="5"/>
      <c r="MN228" s="2"/>
      <c r="MO228" s="4"/>
      <c r="MP228" s="8"/>
      <c r="MQ228" s="5" t="str">
        <f t="shared" si="768"/>
        <v>NO APLICA</v>
      </c>
      <c r="MR228" s="5"/>
      <c r="MS228" s="2"/>
      <c r="MT228" s="4"/>
      <c r="MU228" s="2"/>
      <c r="MV228" s="5" t="str">
        <f t="shared" si="769"/>
        <v>NO APLICA</v>
      </c>
      <c r="MW228" s="2"/>
      <c r="MX228" s="6"/>
      <c r="MY228" s="4"/>
      <c r="MZ228" s="8"/>
      <c r="NA228" s="5" t="str">
        <f t="shared" si="770"/>
        <v>NO APLICA</v>
      </c>
      <c r="NB228" s="2"/>
      <c r="NC228" s="6"/>
      <c r="ND228" s="4"/>
      <c r="NE228" s="8"/>
      <c r="NF228" s="5" t="str">
        <f t="shared" si="771"/>
        <v>NO APLICA</v>
      </c>
      <c r="NG228" s="2"/>
      <c r="NH228" s="6"/>
      <c r="NI228" s="4"/>
      <c r="NJ228" s="8"/>
      <c r="NK228" s="5" t="str">
        <f t="shared" si="772"/>
        <v>NO APLICA</v>
      </c>
      <c r="NL228" s="2"/>
      <c r="NM228" s="2"/>
      <c r="NN228" s="4"/>
      <c r="NO228" s="8"/>
      <c r="NP228" s="5" t="str">
        <f t="shared" si="773"/>
        <v>NO APLICA</v>
      </c>
      <c r="NQ228" s="2"/>
      <c r="NR228" s="2"/>
      <c r="NS228" s="4"/>
      <c r="NT228" s="2"/>
      <c r="NU228" s="5" t="str">
        <f t="shared" si="774"/>
        <v>NO APLICA</v>
      </c>
      <c r="NV228" s="6"/>
      <c r="NW228" s="6"/>
      <c r="NX228" s="4"/>
      <c r="NY228" s="8"/>
      <c r="NZ228" s="5" t="str">
        <f t="shared" si="775"/>
        <v>NO APLICA</v>
      </c>
      <c r="OA228" s="6"/>
      <c r="OB228" s="6"/>
      <c r="OC228" s="6"/>
      <c r="OD228" s="6"/>
      <c r="OE228" s="5" t="str">
        <f t="shared" si="776"/>
        <v>NO APLICA</v>
      </c>
      <c r="OF228" s="6"/>
      <c r="OG228" s="6"/>
      <c r="OH228" s="4"/>
      <c r="OI228" s="8"/>
      <c r="OJ228" s="5" t="str">
        <f t="shared" si="777"/>
        <v>NO APLICA</v>
      </c>
      <c r="OK228" s="6"/>
      <c r="OL228" s="6"/>
      <c r="OM228" s="6"/>
      <c r="ON228" s="6"/>
      <c r="OO228" s="5" t="str">
        <f t="shared" si="778"/>
        <v>NO APLICA</v>
      </c>
      <c r="OP228" s="6"/>
      <c r="OQ228" s="6"/>
      <c r="OR228" s="6"/>
      <c r="OS228" s="6"/>
      <c r="OT228" s="5" t="str">
        <f t="shared" si="779"/>
        <v>NO APLICA</v>
      </c>
      <c r="OU228" s="6"/>
      <c r="OV228" s="6"/>
      <c r="OW228" s="6"/>
      <c r="OX228" s="6"/>
      <c r="OY228" s="5" t="str">
        <f t="shared" si="793"/>
        <v>NO APLICA</v>
      </c>
      <c r="OZ228" s="6"/>
      <c r="PA228" s="6"/>
      <c r="PB228" s="6"/>
      <c r="PC228" s="6"/>
      <c r="PD228" s="5" t="str">
        <f t="shared" si="780"/>
        <v>NO APLICA</v>
      </c>
      <c r="PE228" s="6"/>
      <c r="PF228" s="6"/>
      <c r="PG228" s="6"/>
      <c r="PH228" s="6"/>
      <c r="PI228" s="5" t="str">
        <f t="shared" si="781"/>
        <v>NO APLICA</v>
      </c>
      <c r="PJ228" s="5"/>
      <c r="PK228" s="6"/>
      <c r="PL228" s="4"/>
      <c r="PM228" s="8"/>
      <c r="PN228" s="5" t="str">
        <f t="shared" si="790"/>
        <v>NO APLICA</v>
      </c>
      <c r="PO228" s="6"/>
      <c r="PP228" s="6"/>
      <c r="PQ228" s="6"/>
      <c r="PR228" s="6"/>
      <c r="PS228" s="5" t="str">
        <f t="shared" si="782"/>
        <v>NO APLICA</v>
      </c>
      <c r="PT228" s="5"/>
      <c r="PU228" s="6"/>
      <c r="PV228" s="6"/>
      <c r="PW228" s="6"/>
      <c r="PX228" s="5" t="str">
        <f t="shared" si="783"/>
        <v>NO APLICA</v>
      </c>
    </row>
    <row r="229" spans="1:440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6"/>
      <c r="V229" s="4"/>
      <c r="W229" s="4"/>
      <c r="X229" s="8"/>
      <c r="Y229" s="5" t="str">
        <f t="shared" si="624"/>
        <v>NO APLICA</v>
      </c>
      <c r="Z229" s="6"/>
      <c r="AA229" s="6"/>
      <c r="AB229" s="6"/>
      <c r="AC229" s="6"/>
      <c r="AD229" s="5" t="str">
        <f t="shared" si="627"/>
        <v>NO APLICA</v>
      </c>
      <c r="AE229" s="4"/>
      <c r="AF229" s="4"/>
      <c r="AG229" s="4"/>
      <c r="AH229" s="6"/>
      <c r="AI229" s="5" t="str">
        <f t="shared" si="621"/>
        <v>NO APLICA</v>
      </c>
      <c r="AJ229" s="4"/>
      <c r="AK229" s="4"/>
      <c r="AL229" s="4"/>
      <c r="AM229" s="6"/>
      <c r="AN229" s="5" t="str">
        <f t="shared" si="720"/>
        <v>NO APLICA</v>
      </c>
      <c r="AO229" s="4"/>
      <c r="AP229" s="4"/>
      <c r="AQ229" s="4"/>
      <c r="AR229" s="6"/>
      <c r="AS229" s="5" t="str">
        <f t="shared" si="721"/>
        <v>NO APLICA</v>
      </c>
      <c r="AT229" s="4"/>
      <c r="AU229" s="4"/>
      <c r="AV229" s="4"/>
      <c r="AW229" s="6"/>
      <c r="AX229" s="5" t="str">
        <f t="shared" si="722"/>
        <v>NO APLICA</v>
      </c>
      <c r="AY229" s="4"/>
      <c r="AZ229" s="4"/>
      <c r="BA229" s="4"/>
      <c r="BB229" s="6"/>
      <c r="BC229" s="5" t="str">
        <f t="shared" si="723"/>
        <v>NO APLICA</v>
      </c>
      <c r="BD229" s="4"/>
      <c r="BE229" s="4"/>
      <c r="BF229" s="4"/>
      <c r="BG229" s="6"/>
      <c r="BH229" s="5" t="str">
        <f t="shared" si="724"/>
        <v>NO APLICA</v>
      </c>
      <c r="BI229" s="4"/>
      <c r="BJ229" s="4"/>
      <c r="BK229" s="4"/>
      <c r="BL229" s="6"/>
      <c r="BM229" s="5" t="str">
        <f t="shared" si="725"/>
        <v>NO APLICA</v>
      </c>
      <c r="BN229" s="4"/>
      <c r="BO229" s="4"/>
      <c r="BP229" s="4"/>
      <c r="BQ229" s="6"/>
      <c r="BR229" s="5" t="str">
        <f t="shared" si="726"/>
        <v>NO APLICA</v>
      </c>
      <c r="BS229" s="4"/>
      <c r="BT229" s="4"/>
      <c r="BU229" s="4"/>
      <c r="BV229" s="6"/>
      <c r="BW229" s="5" t="str">
        <f t="shared" si="727"/>
        <v>NO APLICA</v>
      </c>
      <c r="BX229" s="4"/>
      <c r="BY229" s="4"/>
      <c r="BZ229" s="4"/>
      <c r="CA229" s="6"/>
      <c r="CB229" s="5" t="str">
        <f t="shared" si="728"/>
        <v>NO APLICA</v>
      </c>
      <c r="CC229" s="6"/>
      <c r="CD229" s="6"/>
      <c r="CE229" s="6"/>
      <c r="CF229" s="6"/>
      <c r="CG229" s="5" t="str">
        <f t="shared" si="794"/>
        <v>NO APLICA</v>
      </c>
      <c r="CH229" s="4"/>
      <c r="CI229" s="4"/>
      <c r="CJ229" s="4"/>
      <c r="CK229" s="6"/>
      <c r="CL229" s="5" t="str">
        <f t="shared" si="729"/>
        <v>NO APLICA</v>
      </c>
      <c r="CM229" s="4"/>
      <c r="CN229" s="4"/>
      <c r="CO229" s="4"/>
      <c r="CP229" s="6"/>
      <c r="CQ229" s="5" t="str">
        <f t="shared" si="730"/>
        <v>NO APLICA</v>
      </c>
      <c r="CR229" s="4"/>
      <c r="CS229" s="4"/>
      <c r="CT229" s="4"/>
      <c r="CU229" s="6"/>
      <c r="CV229" s="5" t="str">
        <f t="shared" si="731"/>
        <v>NO APLICA</v>
      </c>
      <c r="CW229" s="4"/>
      <c r="CX229" s="4"/>
      <c r="CY229" s="4"/>
      <c r="CZ229" s="6"/>
      <c r="DA229" s="5" t="str">
        <f t="shared" si="732"/>
        <v>NO APLICA</v>
      </c>
      <c r="DB229" s="4"/>
      <c r="DC229" s="4"/>
      <c r="DD229" s="4"/>
      <c r="DE229" s="6"/>
      <c r="DF229" s="5" t="str">
        <f t="shared" si="733"/>
        <v>NO APLICA</v>
      </c>
      <c r="DG229" s="4"/>
      <c r="DH229" s="4"/>
      <c r="DI229" s="4"/>
      <c r="DJ229" s="6"/>
      <c r="DK229" s="5" t="str">
        <f t="shared" si="734"/>
        <v>NO APLICA</v>
      </c>
      <c r="DL229" s="4"/>
      <c r="DM229" s="4"/>
      <c r="DN229" s="4"/>
      <c r="DO229" s="6"/>
      <c r="DP229" s="5" t="str">
        <f t="shared" si="735"/>
        <v>NO APLICA</v>
      </c>
      <c r="DQ229" s="4"/>
      <c r="DR229" s="4"/>
      <c r="DS229" s="4"/>
      <c r="DT229" s="6"/>
      <c r="DU229" s="5" t="str">
        <f t="shared" si="736"/>
        <v>NO APLICA</v>
      </c>
      <c r="DV229" s="4"/>
      <c r="DW229" s="4"/>
      <c r="DX229" s="4"/>
      <c r="DY229" s="6"/>
      <c r="DZ229" s="5" t="str">
        <f t="shared" si="737"/>
        <v>NO APLICA</v>
      </c>
      <c r="EA229" s="4"/>
      <c r="EB229" s="4"/>
      <c r="EC229" s="4"/>
      <c r="ED229" s="6"/>
      <c r="EE229" s="5" t="str">
        <f t="shared" si="738"/>
        <v>NO APLICA</v>
      </c>
      <c r="EF229" s="4"/>
      <c r="EG229" s="4"/>
      <c r="EH229" s="4"/>
      <c r="EI229" s="8"/>
      <c r="EJ229" s="5" t="str">
        <f t="shared" si="739"/>
        <v>NO APLICA</v>
      </c>
      <c r="EK229" s="4"/>
      <c r="EL229" s="4"/>
      <c r="EM229" s="4"/>
      <c r="EN229" s="8"/>
      <c r="EO229" s="5" t="str">
        <f t="shared" si="740"/>
        <v>NO APLICA</v>
      </c>
      <c r="EP229" s="4"/>
      <c r="EQ229" s="4"/>
      <c r="ER229" s="4"/>
      <c r="ES229" s="8"/>
      <c r="ET229" s="5" t="str">
        <f t="shared" si="741"/>
        <v>NO APLICA</v>
      </c>
      <c r="EU229" s="4"/>
      <c r="EV229" s="4"/>
      <c r="EW229" s="4"/>
      <c r="EX229" s="6"/>
      <c r="EY229" s="5" t="str">
        <f t="shared" si="742"/>
        <v>NO APLICA</v>
      </c>
      <c r="EZ229" s="4"/>
      <c r="FA229" s="4"/>
      <c r="FB229" s="4"/>
      <c r="FC229" s="6"/>
      <c r="FD229" s="5" t="str">
        <f t="shared" si="743"/>
        <v>NO APLICA</v>
      </c>
      <c r="FE229" s="4"/>
      <c r="FF229" s="4"/>
      <c r="FG229" s="4"/>
      <c r="FH229" s="6"/>
      <c r="FI229" s="5" t="str">
        <f t="shared" si="744"/>
        <v>NO APLICA</v>
      </c>
      <c r="FJ229" s="4"/>
      <c r="FK229" s="4"/>
      <c r="FL229" s="4"/>
      <c r="FM229" s="6"/>
      <c r="FN229" s="5" t="str">
        <f t="shared" si="745"/>
        <v>NO APLICA</v>
      </c>
      <c r="FO229" s="4"/>
      <c r="FP229" s="4"/>
      <c r="FQ229" s="4"/>
      <c r="FR229" s="6"/>
      <c r="FS229" s="5" t="str">
        <f t="shared" si="746"/>
        <v>NO APLICA</v>
      </c>
      <c r="FT229" s="4"/>
      <c r="FU229" s="4"/>
      <c r="FV229" s="4"/>
      <c r="FW229" s="6"/>
      <c r="FX229" s="5" t="str">
        <f t="shared" si="747"/>
        <v>NO APLICA</v>
      </c>
      <c r="FY229" s="4"/>
      <c r="FZ229" s="4"/>
      <c r="GA229" s="4"/>
      <c r="GB229" s="6"/>
      <c r="GC229" s="5" t="str">
        <f t="shared" si="748"/>
        <v>NO APLICA</v>
      </c>
      <c r="GD229" s="4"/>
      <c r="GE229" s="4"/>
      <c r="GF229" s="4"/>
      <c r="GG229" s="8"/>
      <c r="GH229" s="5" t="str">
        <f t="shared" si="749"/>
        <v>NO APLICA</v>
      </c>
      <c r="GI229" s="4"/>
      <c r="GJ229" s="6"/>
      <c r="GK229" s="6"/>
      <c r="GL229" s="6"/>
      <c r="GM229" s="5" t="str">
        <f t="shared" si="750"/>
        <v>NO APLICA</v>
      </c>
      <c r="GN229" s="4"/>
      <c r="GO229" s="6"/>
      <c r="GP229" s="6"/>
      <c r="GQ229" s="6"/>
      <c r="GR229" s="5" t="str">
        <f t="shared" si="630"/>
        <v>NO APLICA</v>
      </c>
      <c r="GS229" s="4"/>
      <c r="GT229" s="6"/>
      <c r="GU229" s="6"/>
      <c r="GV229" s="6"/>
      <c r="GW229" s="5" t="str">
        <f t="shared" si="631"/>
        <v>NO APLICA</v>
      </c>
      <c r="GX229" s="6"/>
      <c r="GY229" s="6"/>
      <c r="GZ229" s="6"/>
      <c r="HA229" s="6"/>
      <c r="HB229" s="5" t="str">
        <f t="shared" si="632"/>
        <v>NO APLICA</v>
      </c>
      <c r="HC229" s="6"/>
      <c r="HD229" s="6"/>
      <c r="HE229" s="4"/>
      <c r="HF229" s="8"/>
      <c r="HG229" s="5" t="str">
        <f t="shared" si="718"/>
        <v>NO APLICA</v>
      </c>
      <c r="HH229" s="6"/>
      <c r="HI229" s="6"/>
      <c r="HJ229" s="6"/>
      <c r="HK229" s="6"/>
      <c r="HL229" s="5" t="str">
        <f t="shared" si="714"/>
        <v>NO APLICA</v>
      </c>
      <c r="HM229" s="6"/>
      <c r="HN229" s="6"/>
      <c r="HO229" s="6"/>
      <c r="HP229" s="6"/>
      <c r="HQ229" s="5" t="str">
        <f t="shared" si="751"/>
        <v>NO APLICA</v>
      </c>
      <c r="HR229" s="6"/>
      <c r="HS229" s="6"/>
      <c r="HT229" s="6"/>
      <c r="HU229" s="6"/>
      <c r="HV229" s="5" t="str">
        <f t="shared" si="752"/>
        <v>NO APLICA</v>
      </c>
      <c r="HW229" s="6"/>
      <c r="HX229" s="6"/>
      <c r="HY229" s="6"/>
      <c r="HZ229" s="6"/>
      <c r="IA229" s="5" t="str">
        <f t="shared" si="753"/>
        <v>NO APLICA</v>
      </c>
      <c r="IB229" s="6"/>
      <c r="IC229" s="6"/>
      <c r="ID229" s="6"/>
      <c r="IE229" s="6"/>
      <c r="IF229" s="5" t="str">
        <f t="shared" si="754"/>
        <v>NO APLICA</v>
      </c>
      <c r="IG229" s="6"/>
      <c r="IH229" s="6"/>
      <c r="II229" s="6"/>
      <c r="IJ229" s="6"/>
      <c r="IK229" s="5" t="str">
        <f t="shared" si="755"/>
        <v>NO APLICA</v>
      </c>
      <c r="IL229" s="6"/>
      <c r="IM229" s="6"/>
      <c r="IN229" s="6"/>
      <c r="IO229" s="6"/>
      <c r="IP229" s="5" t="str">
        <f t="shared" si="756"/>
        <v>NO APLICA</v>
      </c>
      <c r="IQ229" s="6"/>
      <c r="IR229" s="6"/>
      <c r="IS229" s="6"/>
      <c r="IT229" s="6"/>
      <c r="IU229" s="5" t="str">
        <f t="shared" si="757"/>
        <v>NO APLICA</v>
      </c>
      <c r="IV229" s="6"/>
      <c r="IW229" s="6"/>
      <c r="IX229" s="6"/>
      <c r="IY229" s="6"/>
      <c r="IZ229" s="5" t="str">
        <f t="shared" si="758"/>
        <v>NO APLICA</v>
      </c>
      <c r="JA229" s="6"/>
      <c r="JB229" s="6"/>
      <c r="JC229" s="6"/>
      <c r="JD229" s="6"/>
      <c r="JE229" s="5" t="str">
        <f t="shared" si="759"/>
        <v>NO APLICA</v>
      </c>
      <c r="JF229" s="6"/>
      <c r="JG229" s="6"/>
      <c r="JH229" s="6"/>
      <c r="JI229" s="6"/>
      <c r="JJ229" s="5" t="str">
        <f t="shared" si="760"/>
        <v>NO APLICA</v>
      </c>
      <c r="JK229" s="6"/>
      <c r="JL229" s="6"/>
      <c r="JM229" s="6"/>
      <c r="JN229" s="6"/>
      <c r="JO229" s="5" t="str">
        <f t="shared" si="761"/>
        <v>NO APLICA</v>
      </c>
      <c r="JP229" s="6"/>
      <c r="JQ229" s="6"/>
      <c r="JR229" s="6"/>
      <c r="JS229" s="6"/>
      <c r="JT229" s="5" t="str">
        <f t="shared" si="762"/>
        <v>NO APLICA</v>
      </c>
      <c r="JU229" s="5"/>
      <c r="JV229" s="5"/>
      <c r="JW229" s="5"/>
      <c r="JX229" s="5"/>
      <c r="JY229" s="5" t="str">
        <f t="shared" si="763"/>
        <v>NO APLICA</v>
      </c>
      <c r="JZ229" s="5"/>
      <c r="KA229" s="6"/>
      <c r="KB229" s="6"/>
      <c r="KC229" s="6"/>
      <c r="KD229" s="5" t="str">
        <f t="shared" si="764"/>
        <v>NO APLICA</v>
      </c>
      <c r="KE229" s="5"/>
      <c r="KF229" s="6"/>
      <c r="KG229" s="6"/>
      <c r="KH229" s="6"/>
      <c r="KI229" s="5" t="str">
        <f t="shared" si="784"/>
        <v>NO APLICA</v>
      </c>
      <c r="KJ229" s="5"/>
      <c r="KK229" s="6"/>
      <c r="KL229" s="6"/>
      <c r="KM229" s="6"/>
      <c r="KN229" s="5" t="str">
        <f t="shared" si="765"/>
        <v>NO APLICA</v>
      </c>
      <c r="KO229" s="5"/>
      <c r="KP229" s="6"/>
      <c r="KQ229" s="6"/>
      <c r="KR229" s="6"/>
      <c r="KS229" s="5" t="str">
        <f t="shared" si="785"/>
        <v>NO APLICA</v>
      </c>
      <c r="KT229" s="6"/>
      <c r="KU229" s="6"/>
      <c r="KV229" s="6"/>
      <c r="KW229" s="6"/>
      <c r="KX229" s="5" t="str">
        <f t="shared" si="791"/>
        <v>NO APLICA</v>
      </c>
      <c r="KY229" s="5"/>
      <c r="KZ229" s="6"/>
      <c r="LA229" s="6"/>
      <c r="LB229" s="6"/>
      <c r="LC229" s="5" t="str">
        <f t="shared" si="786"/>
        <v>NO APLICA</v>
      </c>
      <c r="LD229" s="6"/>
      <c r="LE229" s="6"/>
      <c r="LF229" s="6"/>
      <c r="LG229" s="6"/>
      <c r="LH229" s="5" t="str">
        <f t="shared" si="619"/>
        <v>NO APLICA</v>
      </c>
      <c r="LI229" s="5"/>
      <c r="LJ229" s="5"/>
      <c r="LK229" s="4"/>
      <c r="LL229" s="8"/>
      <c r="LM229" s="5" t="str">
        <f t="shared" si="792"/>
        <v>NO APLICA</v>
      </c>
      <c r="LN229" s="6"/>
      <c r="LO229" s="6"/>
      <c r="LP229" s="6"/>
      <c r="LQ229" s="6"/>
      <c r="LR229" s="5" t="str">
        <f t="shared" si="787"/>
        <v>NO APLICA</v>
      </c>
      <c r="LS229" s="6"/>
      <c r="LT229" s="6"/>
      <c r="LU229" s="6"/>
      <c r="LV229" s="6"/>
      <c r="LW229" s="5" t="str">
        <f t="shared" si="788"/>
        <v>NO APLICA</v>
      </c>
      <c r="LX229" s="6"/>
      <c r="LY229" s="6"/>
      <c r="LZ229" s="6"/>
      <c r="MA229" s="6"/>
      <c r="MB229" s="5" t="str">
        <f t="shared" si="789"/>
        <v>NO APLICA</v>
      </c>
      <c r="MC229" s="6"/>
      <c r="MD229" s="6"/>
      <c r="ME229" s="6"/>
      <c r="MF229" s="6"/>
      <c r="MG229" s="5" t="str">
        <f t="shared" si="766"/>
        <v>NO APLICA</v>
      </c>
      <c r="MH229" s="6"/>
      <c r="MI229" s="6"/>
      <c r="MJ229" s="6"/>
      <c r="MK229" s="6"/>
      <c r="ML229" s="5" t="str">
        <f t="shared" si="767"/>
        <v>NO APLICA</v>
      </c>
      <c r="MM229" s="5"/>
      <c r="MN229" s="6"/>
      <c r="MO229" s="6"/>
      <c r="MP229" s="6"/>
      <c r="MQ229" s="5" t="str">
        <f t="shared" si="768"/>
        <v>NO APLICA</v>
      </c>
      <c r="MR229" s="5"/>
      <c r="MS229" s="6"/>
      <c r="MT229" s="6"/>
      <c r="MU229" s="6"/>
      <c r="MV229" s="5" t="str">
        <f t="shared" si="769"/>
        <v>NO APLICA</v>
      </c>
      <c r="MW229" s="6"/>
      <c r="MX229" s="6"/>
      <c r="MY229" s="6"/>
      <c r="MZ229" s="6"/>
      <c r="NA229" s="5" t="str">
        <f t="shared" si="770"/>
        <v>NO APLICA</v>
      </c>
      <c r="NB229" s="6"/>
      <c r="NC229" s="6"/>
      <c r="ND229" s="6"/>
      <c r="NE229" s="6"/>
      <c r="NF229" s="5" t="str">
        <f t="shared" si="771"/>
        <v>NO APLICA</v>
      </c>
      <c r="NG229" s="6"/>
      <c r="NH229" s="6"/>
      <c r="NI229" s="6"/>
      <c r="NJ229" s="6"/>
      <c r="NK229" s="5" t="str">
        <f t="shared" si="772"/>
        <v>NO APLICA</v>
      </c>
      <c r="NL229" s="6"/>
      <c r="NM229" s="6"/>
      <c r="NN229" s="6"/>
      <c r="NO229" s="6"/>
      <c r="NP229" s="5" t="str">
        <f t="shared" si="773"/>
        <v>NO APLICA</v>
      </c>
      <c r="NQ229" s="6"/>
      <c r="NR229" s="6"/>
      <c r="NS229" s="6"/>
      <c r="NT229" s="6"/>
      <c r="NU229" s="5" t="str">
        <f t="shared" si="774"/>
        <v>NO APLICA</v>
      </c>
      <c r="NV229" s="6"/>
      <c r="NW229" s="6"/>
      <c r="NX229" s="6"/>
      <c r="NY229" s="6"/>
      <c r="NZ229" s="5" t="str">
        <f t="shared" si="775"/>
        <v>NO APLICA</v>
      </c>
      <c r="OA229" s="6"/>
      <c r="OB229" s="6"/>
      <c r="OC229" s="6"/>
      <c r="OD229" s="6"/>
      <c r="OE229" s="5" t="str">
        <f t="shared" si="776"/>
        <v>NO APLICA</v>
      </c>
      <c r="OF229" s="6"/>
      <c r="OG229" s="6"/>
      <c r="OH229" s="6"/>
      <c r="OI229" s="6"/>
      <c r="OJ229" s="5" t="str">
        <f t="shared" si="777"/>
        <v>NO APLICA</v>
      </c>
      <c r="OK229" s="6"/>
      <c r="OL229" s="6"/>
      <c r="OM229" s="6"/>
      <c r="ON229" s="6"/>
      <c r="OO229" s="5" t="str">
        <f t="shared" si="778"/>
        <v>NO APLICA</v>
      </c>
      <c r="OP229" s="6"/>
      <c r="OQ229" s="6"/>
      <c r="OR229" s="6"/>
      <c r="OS229" s="6"/>
      <c r="OT229" s="5" t="str">
        <f t="shared" si="779"/>
        <v>NO APLICA</v>
      </c>
      <c r="OU229" s="6"/>
      <c r="OV229" s="6"/>
      <c r="OW229" s="6"/>
      <c r="OX229" s="6"/>
      <c r="OY229" s="5" t="str">
        <f t="shared" si="793"/>
        <v>NO APLICA</v>
      </c>
      <c r="OZ229" s="6"/>
      <c r="PA229" s="6"/>
      <c r="PB229" s="6"/>
      <c r="PC229" s="6"/>
      <c r="PD229" s="5" t="str">
        <f t="shared" si="780"/>
        <v>NO APLICA</v>
      </c>
      <c r="PE229" s="6"/>
      <c r="PF229" s="6"/>
      <c r="PG229" s="6"/>
      <c r="PH229" s="6"/>
      <c r="PI229" s="5" t="str">
        <f t="shared" si="781"/>
        <v>NO APLICA</v>
      </c>
      <c r="PJ229" s="5"/>
      <c r="PK229" s="6"/>
      <c r="PL229" s="6"/>
      <c r="PM229" s="6"/>
      <c r="PN229" s="5" t="str">
        <f t="shared" si="790"/>
        <v>NO APLICA</v>
      </c>
      <c r="PO229" s="6"/>
      <c r="PP229" s="6"/>
      <c r="PQ229" s="6"/>
      <c r="PR229" s="6"/>
      <c r="PS229" s="5" t="str">
        <f t="shared" si="782"/>
        <v>NO APLICA</v>
      </c>
      <c r="PT229" s="5"/>
      <c r="PU229" s="6"/>
      <c r="PV229" s="6"/>
      <c r="PW229" s="6"/>
      <c r="PX229" s="5" t="str">
        <f t="shared" si="783"/>
        <v>NO APLICA</v>
      </c>
    </row>
    <row r="230" spans="1:440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6"/>
      <c r="V230" s="4"/>
      <c r="W230" s="4"/>
      <c r="X230" s="8"/>
      <c r="Y230" s="5" t="str">
        <f t="shared" si="624"/>
        <v>NO APLICA</v>
      </c>
      <c r="Z230" s="6"/>
      <c r="AA230" s="6"/>
      <c r="AB230" s="6"/>
      <c r="AC230" s="6"/>
      <c r="AD230" s="5" t="str">
        <f t="shared" si="627"/>
        <v>NO APLICA</v>
      </c>
      <c r="AE230" s="4"/>
      <c r="AF230" s="4"/>
      <c r="AG230" s="4"/>
      <c r="AH230" s="6"/>
      <c r="AI230" s="5" t="str">
        <f t="shared" si="621"/>
        <v>NO APLICA</v>
      </c>
      <c r="AJ230" s="4"/>
      <c r="AK230" s="4"/>
      <c r="AL230" s="4"/>
      <c r="AM230" s="6"/>
      <c r="AN230" s="5" t="str">
        <f t="shared" si="720"/>
        <v>NO APLICA</v>
      </c>
      <c r="AO230" s="4"/>
      <c r="AP230" s="4"/>
      <c r="AQ230" s="4"/>
      <c r="AR230" s="6"/>
      <c r="AS230" s="5" t="str">
        <f t="shared" si="721"/>
        <v>NO APLICA</v>
      </c>
      <c r="AT230" s="4"/>
      <c r="AU230" s="4"/>
      <c r="AV230" s="4"/>
      <c r="AW230" s="6"/>
      <c r="AX230" s="5" t="str">
        <f t="shared" si="722"/>
        <v>NO APLICA</v>
      </c>
      <c r="AY230" s="4"/>
      <c r="AZ230" s="4"/>
      <c r="BA230" s="4"/>
      <c r="BB230" s="6"/>
      <c r="BC230" s="5" t="str">
        <f t="shared" si="723"/>
        <v>NO APLICA</v>
      </c>
      <c r="BD230" s="4"/>
      <c r="BE230" s="4"/>
      <c r="BF230" s="4"/>
      <c r="BG230" s="6"/>
      <c r="BH230" s="5" t="str">
        <f t="shared" si="724"/>
        <v>NO APLICA</v>
      </c>
      <c r="BI230" s="4"/>
      <c r="BJ230" s="4"/>
      <c r="BK230" s="4"/>
      <c r="BL230" s="6"/>
      <c r="BM230" s="5" t="str">
        <f t="shared" si="725"/>
        <v>NO APLICA</v>
      </c>
      <c r="BN230" s="4"/>
      <c r="BO230" s="4"/>
      <c r="BP230" s="4"/>
      <c r="BQ230" s="6"/>
      <c r="BR230" s="5" t="str">
        <f t="shared" si="726"/>
        <v>NO APLICA</v>
      </c>
      <c r="BS230" s="4"/>
      <c r="BT230" s="4"/>
      <c r="BU230" s="4"/>
      <c r="BV230" s="6"/>
      <c r="BW230" s="5" t="str">
        <f t="shared" si="727"/>
        <v>NO APLICA</v>
      </c>
      <c r="BX230" s="4"/>
      <c r="BY230" s="4"/>
      <c r="BZ230" s="4"/>
      <c r="CA230" s="6"/>
      <c r="CB230" s="5" t="str">
        <f t="shared" si="728"/>
        <v>NO APLICA</v>
      </c>
      <c r="CC230" s="6"/>
      <c r="CD230" s="6"/>
      <c r="CE230" s="6"/>
      <c r="CF230" s="6"/>
      <c r="CG230" s="5" t="str">
        <f t="shared" si="794"/>
        <v>NO APLICA</v>
      </c>
      <c r="CH230" s="4"/>
      <c r="CI230" s="4"/>
      <c r="CJ230" s="4"/>
      <c r="CK230" s="6"/>
      <c r="CL230" s="5" t="str">
        <f t="shared" si="729"/>
        <v>NO APLICA</v>
      </c>
      <c r="CM230" s="4"/>
      <c r="CN230" s="4"/>
      <c r="CO230" s="4"/>
      <c r="CP230" s="6"/>
      <c r="CQ230" s="5" t="str">
        <f t="shared" si="730"/>
        <v>NO APLICA</v>
      </c>
      <c r="CR230" s="4"/>
      <c r="CS230" s="4"/>
      <c r="CT230" s="4"/>
      <c r="CU230" s="6"/>
      <c r="CV230" s="5" t="str">
        <f t="shared" si="731"/>
        <v>NO APLICA</v>
      </c>
      <c r="CW230" s="4"/>
      <c r="CX230" s="4"/>
      <c r="CY230" s="4"/>
      <c r="CZ230" s="6"/>
      <c r="DA230" s="5" t="str">
        <f t="shared" si="732"/>
        <v>NO APLICA</v>
      </c>
      <c r="DB230" s="4"/>
      <c r="DC230" s="4"/>
      <c r="DD230" s="4"/>
      <c r="DE230" s="6"/>
      <c r="DF230" s="5" t="str">
        <f t="shared" si="733"/>
        <v>NO APLICA</v>
      </c>
      <c r="DG230" s="4"/>
      <c r="DH230" s="4"/>
      <c r="DI230" s="4"/>
      <c r="DJ230" s="6"/>
      <c r="DK230" s="5" t="str">
        <f t="shared" si="734"/>
        <v>NO APLICA</v>
      </c>
      <c r="DL230" s="4"/>
      <c r="DM230" s="4"/>
      <c r="DN230" s="4"/>
      <c r="DO230" s="6"/>
      <c r="DP230" s="5" t="str">
        <f t="shared" si="735"/>
        <v>NO APLICA</v>
      </c>
      <c r="DQ230" s="4"/>
      <c r="DR230" s="4"/>
      <c r="DS230" s="4"/>
      <c r="DT230" s="6"/>
      <c r="DU230" s="5" t="str">
        <f t="shared" si="736"/>
        <v>NO APLICA</v>
      </c>
      <c r="DV230" s="4"/>
      <c r="DW230" s="4"/>
      <c r="DX230" s="4"/>
      <c r="DY230" s="6"/>
      <c r="DZ230" s="5" t="str">
        <f t="shared" si="737"/>
        <v>NO APLICA</v>
      </c>
      <c r="EA230" s="4"/>
      <c r="EB230" s="4"/>
      <c r="EC230" s="4"/>
      <c r="ED230" s="6"/>
      <c r="EE230" s="5" t="str">
        <f t="shared" si="738"/>
        <v>NO APLICA</v>
      </c>
      <c r="EF230" s="4"/>
      <c r="EG230" s="4"/>
      <c r="EH230" s="4"/>
      <c r="EI230" s="8"/>
      <c r="EJ230" s="5" t="str">
        <f t="shared" si="739"/>
        <v>NO APLICA</v>
      </c>
      <c r="EK230" s="4"/>
      <c r="EL230" s="4"/>
      <c r="EM230" s="4"/>
      <c r="EN230" s="8"/>
      <c r="EO230" s="5" t="str">
        <f t="shared" si="740"/>
        <v>NO APLICA</v>
      </c>
      <c r="EP230" s="4"/>
      <c r="EQ230" s="4"/>
      <c r="ER230" s="4"/>
      <c r="ES230" s="8"/>
      <c r="ET230" s="5" t="str">
        <f t="shared" si="741"/>
        <v>NO APLICA</v>
      </c>
      <c r="EU230" s="4"/>
      <c r="EV230" s="4"/>
      <c r="EW230" s="4"/>
      <c r="EX230" s="6"/>
      <c r="EY230" s="5" t="str">
        <f t="shared" si="742"/>
        <v>NO APLICA</v>
      </c>
      <c r="EZ230" s="4"/>
      <c r="FA230" s="4"/>
      <c r="FB230" s="4"/>
      <c r="FC230" s="6"/>
      <c r="FD230" s="5" t="str">
        <f t="shared" si="743"/>
        <v>NO APLICA</v>
      </c>
      <c r="FE230" s="4"/>
      <c r="FF230" s="4"/>
      <c r="FG230" s="4"/>
      <c r="FH230" s="6"/>
      <c r="FI230" s="5" t="str">
        <f t="shared" si="744"/>
        <v>NO APLICA</v>
      </c>
      <c r="FJ230" s="4"/>
      <c r="FK230" s="4"/>
      <c r="FL230" s="4"/>
      <c r="FM230" s="6"/>
      <c r="FN230" s="5" t="str">
        <f t="shared" si="745"/>
        <v>NO APLICA</v>
      </c>
      <c r="FO230" s="4"/>
      <c r="FP230" s="4"/>
      <c r="FQ230" s="4"/>
      <c r="FR230" s="6"/>
      <c r="FS230" s="5" t="str">
        <f t="shared" si="746"/>
        <v>NO APLICA</v>
      </c>
      <c r="FT230" s="4"/>
      <c r="FU230" s="4"/>
      <c r="FV230" s="4"/>
      <c r="FW230" s="6"/>
      <c r="FX230" s="5" t="str">
        <f t="shared" si="747"/>
        <v>NO APLICA</v>
      </c>
      <c r="FY230" s="4"/>
      <c r="FZ230" s="4"/>
      <c r="GA230" s="4"/>
      <c r="GB230" s="6"/>
      <c r="GC230" s="5" t="str">
        <f t="shared" si="748"/>
        <v>NO APLICA</v>
      </c>
      <c r="GD230" s="4"/>
      <c r="GE230" s="4"/>
      <c r="GF230" s="4"/>
      <c r="GG230" s="8"/>
      <c r="GH230" s="5" t="str">
        <f t="shared" si="749"/>
        <v>NO APLICA</v>
      </c>
      <c r="GI230" s="4"/>
      <c r="GJ230" s="6"/>
      <c r="GK230" s="6"/>
      <c r="GL230" s="6"/>
      <c r="GM230" s="5" t="str">
        <f t="shared" si="750"/>
        <v>NO APLICA</v>
      </c>
      <c r="GN230" s="4"/>
      <c r="GO230" s="6"/>
      <c r="GP230" s="6"/>
      <c r="GQ230" s="6"/>
      <c r="GR230" s="5" t="str">
        <f t="shared" si="630"/>
        <v>NO APLICA</v>
      </c>
      <c r="GS230" s="4"/>
      <c r="GT230" s="6"/>
      <c r="GU230" s="6"/>
      <c r="GV230" s="6"/>
      <c r="GW230" s="5" t="str">
        <f t="shared" si="631"/>
        <v>NO APLICA</v>
      </c>
      <c r="GX230" s="6"/>
      <c r="GY230" s="6"/>
      <c r="GZ230" s="6"/>
      <c r="HA230" s="6"/>
      <c r="HB230" s="5" t="str">
        <f t="shared" si="632"/>
        <v>NO APLICA</v>
      </c>
      <c r="HC230" s="6"/>
      <c r="HD230" s="6"/>
      <c r="HE230" s="4"/>
      <c r="HF230" s="8"/>
      <c r="HG230" s="5" t="str">
        <f t="shared" si="718"/>
        <v>NO APLICA</v>
      </c>
      <c r="HH230" s="6"/>
      <c r="HI230" s="6"/>
      <c r="HJ230" s="6"/>
      <c r="HK230" s="6"/>
      <c r="HL230" s="5" t="str">
        <f t="shared" si="714"/>
        <v>NO APLICA</v>
      </c>
      <c r="HM230" s="6"/>
      <c r="HN230" s="6"/>
      <c r="HO230" s="6"/>
      <c r="HP230" s="6"/>
      <c r="HQ230" s="5" t="str">
        <f t="shared" si="751"/>
        <v>NO APLICA</v>
      </c>
      <c r="HR230" s="6"/>
      <c r="HS230" s="6"/>
      <c r="HT230" s="6"/>
      <c r="HU230" s="6"/>
      <c r="HV230" s="5" t="str">
        <f t="shared" si="752"/>
        <v>NO APLICA</v>
      </c>
      <c r="HW230" s="6"/>
      <c r="HX230" s="6"/>
      <c r="HY230" s="6"/>
      <c r="HZ230" s="6"/>
      <c r="IA230" s="5" t="str">
        <f t="shared" si="753"/>
        <v>NO APLICA</v>
      </c>
      <c r="IB230" s="6"/>
      <c r="IC230" s="6"/>
      <c r="ID230" s="6"/>
      <c r="IE230" s="6"/>
      <c r="IF230" s="5" t="str">
        <f t="shared" si="754"/>
        <v>NO APLICA</v>
      </c>
      <c r="IG230" s="6"/>
      <c r="IH230" s="6"/>
      <c r="II230" s="6"/>
      <c r="IJ230" s="6"/>
      <c r="IK230" s="5" t="str">
        <f t="shared" si="755"/>
        <v>NO APLICA</v>
      </c>
      <c r="IL230" s="6"/>
      <c r="IM230" s="6"/>
      <c r="IN230" s="6"/>
      <c r="IO230" s="6"/>
      <c r="IP230" s="5" t="str">
        <f t="shared" si="756"/>
        <v>NO APLICA</v>
      </c>
      <c r="IQ230" s="6"/>
      <c r="IR230" s="6"/>
      <c r="IS230" s="6"/>
      <c r="IT230" s="6"/>
      <c r="IU230" s="5" t="str">
        <f t="shared" si="757"/>
        <v>NO APLICA</v>
      </c>
      <c r="IV230" s="6"/>
      <c r="IW230" s="6"/>
      <c r="IX230" s="6"/>
      <c r="IY230" s="6"/>
      <c r="IZ230" s="5" t="str">
        <f t="shared" si="758"/>
        <v>NO APLICA</v>
      </c>
      <c r="JA230" s="6"/>
      <c r="JB230" s="6"/>
      <c r="JC230" s="6"/>
      <c r="JD230" s="6"/>
      <c r="JE230" s="5" t="str">
        <f t="shared" si="759"/>
        <v>NO APLICA</v>
      </c>
      <c r="JF230" s="6"/>
      <c r="JG230" s="6"/>
      <c r="JH230" s="6"/>
      <c r="JI230" s="6"/>
      <c r="JJ230" s="5" t="str">
        <f t="shared" si="760"/>
        <v>NO APLICA</v>
      </c>
      <c r="JK230" s="6"/>
      <c r="JL230" s="6"/>
      <c r="JM230" s="6"/>
      <c r="JN230" s="6"/>
      <c r="JO230" s="5" t="str">
        <f t="shared" si="761"/>
        <v>NO APLICA</v>
      </c>
      <c r="JP230" s="6"/>
      <c r="JQ230" s="6"/>
      <c r="JR230" s="6"/>
      <c r="JS230" s="6"/>
      <c r="JT230" s="5" t="str">
        <f t="shared" si="762"/>
        <v>NO APLICA</v>
      </c>
      <c r="JU230" s="5"/>
      <c r="JV230" s="5"/>
      <c r="JW230" s="5"/>
      <c r="JX230" s="5"/>
      <c r="JY230" s="5" t="str">
        <f t="shared" si="763"/>
        <v>NO APLICA</v>
      </c>
      <c r="JZ230" s="5"/>
      <c r="KA230" s="6"/>
      <c r="KB230" s="6"/>
      <c r="KC230" s="6"/>
      <c r="KD230" s="5" t="str">
        <f t="shared" si="764"/>
        <v>NO APLICA</v>
      </c>
      <c r="KE230" s="5"/>
      <c r="KF230" s="6"/>
      <c r="KG230" s="6"/>
      <c r="KH230" s="6"/>
      <c r="KI230" s="5" t="str">
        <f t="shared" si="784"/>
        <v>NO APLICA</v>
      </c>
      <c r="KJ230" s="5"/>
      <c r="KK230" s="6"/>
      <c r="KL230" s="6"/>
      <c r="KM230" s="6"/>
      <c r="KN230" s="5" t="str">
        <f t="shared" si="765"/>
        <v>NO APLICA</v>
      </c>
      <c r="KO230" s="5"/>
      <c r="KP230" s="6"/>
      <c r="KQ230" s="6"/>
      <c r="KR230" s="6"/>
      <c r="KS230" s="5" t="str">
        <f t="shared" si="785"/>
        <v>NO APLICA</v>
      </c>
      <c r="KT230" s="6"/>
      <c r="KU230" s="6"/>
      <c r="KV230" s="6"/>
      <c r="KW230" s="6"/>
      <c r="KX230" s="5" t="str">
        <f t="shared" si="791"/>
        <v>NO APLICA</v>
      </c>
      <c r="KY230" s="5"/>
      <c r="KZ230" s="6"/>
      <c r="LA230" s="6"/>
      <c r="LB230" s="6"/>
      <c r="LC230" s="5" t="str">
        <f t="shared" si="786"/>
        <v>NO APLICA</v>
      </c>
      <c r="LD230" s="6"/>
      <c r="LE230" s="6"/>
      <c r="LF230" s="6"/>
      <c r="LG230" s="6"/>
      <c r="LH230" s="5" t="str">
        <f t="shared" si="619"/>
        <v>NO APLICA</v>
      </c>
      <c r="LI230" s="5"/>
      <c r="LJ230" s="5"/>
      <c r="LK230" s="4"/>
      <c r="LL230" s="8"/>
      <c r="LM230" s="5" t="str">
        <f t="shared" si="792"/>
        <v>NO APLICA</v>
      </c>
      <c r="LN230" s="6"/>
      <c r="LO230" s="6"/>
      <c r="LP230" s="6"/>
      <c r="LQ230" s="6"/>
      <c r="LR230" s="5" t="str">
        <f t="shared" si="787"/>
        <v>NO APLICA</v>
      </c>
      <c r="LS230" s="6"/>
      <c r="LT230" s="6"/>
      <c r="LU230" s="6"/>
      <c r="LV230" s="6"/>
      <c r="LW230" s="5" t="str">
        <f t="shared" si="788"/>
        <v>NO APLICA</v>
      </c>
      <c r="LX230" s="6"/>
      <c r="LY230" s="6"/>
      <c r="LZ230" s="6"/>
      <c r="MA230" s="6"/>
      <c r="MB230" s="5" t="str">
        <f t="shared" si="789"/>
        <v>NO APLICA</v>
      </c>
      <c r="MC230" s="6"/>
      <c r="MD230" s="6"/>
      <c r="ME230" s="6"/>
      <c r="MF230" s="6"/>
      <c r="MG230" s="5" t="str">
        <f t="shared" si="766"/>
        <v>NO APLICA</v>
      </c>
      <c r="MH230" s="6"/>
      <c r="MI230" s="6"/>
      <c r="MJ230" s="6"/>
      <c r="MK230" s="6"/>
      <c r="ML230" s="5" t="str">
        <f t="shared" si="767"/>
        <v>NO APLICA</v>
      </c>
      <c r="MM230" s="5"/>
      <c r="MN230" s="6"/>
      <c r="MO230" s="6"/>
      <c r="MP230" s="6"/>
      <c r="MQ230" s="5" t="str">
        <f t="shared" si="768"/>
        <v>NO APLICA</v>
      </c>
      <c r="MR230" s="5"/>
      <c r="MS230" s="6"/>
      <c r="MT230" s="6"/>
      <c r="MU230" s="6"/>
      <c r="MV230" s="5" t="str">
        <f t="shared" si="769"/>
        <v>NO APLICA</v>
      </c>
      <c r="MW230" s="6"/>
      <c r="MX230" s="6"/>
      <c r="MY230" s="6"/>
      <c r="MZ230" s="6"/>
      <c r="NA230" s="5" t="str">
        <f t="shared" si="770"/>
        <v>NO APLICA</v>
      </c>
      <c r="NB230" s="6"/>
      <c r="NC230" s="6"/>
      <c r="ND230" s="6"/>
      <c r="NE230" s="6"/>
      <c r="NF230" s="5" t="str">
        <f t="shared" si="771"/>
        <v>NO APLICA</v>
      </c>
      <c r="NG230" s="6"/>
      <c r="NH230" s="6"/>
      <c r="NI230" s="6"/>
      <c r="NJ230" s="6"/>
      <c r="NK230" s="5" t="str">
        <f t="shared" si="772"/>
        <v>NO APLICA</v>
      </c>
      <c r="NL230" s="6"/>
      <c r="NM230" s="6"/>
      <c r="NN230" s="6"/>
      <c r="NO230" s="6"/>
      <c r="NP230" s="5" t="str">
        <f t="shared" si="773"/>
        <v>NO APLICA</v>
      </c>
      <c r="NQ230" s="6"/>
      <c r="NR230" s="6"/>
      <c r="NS230" s="6"/>
      <c r="NT230" s="6"/>
      <c r="NU230" s="5" t="str">
        <f t="shared" si="774"/>
        <v>NO APLICA</v>
      </c>
      <c r="NV230" s="6"/>
      <c r="NW230" s="6"/>
      <c r="NX230" s="6"/>
      <c r="NY230" s="6"/>
      <c r="NZ230" s="5" t="str">
        <f t="shared" si="775"/>
        <v>NO APLICA</v>
      </c>
      <c r="OA230" s="6"/>
      <c r="OB230" s="6"/>
      <c r="OC230" s="6"/>
      <c r="OD230" s="6"/>
      <c r="OE230" s="5" t="str">
        <f t="shared" si="776"/>
        <v>NO APLICA</v>
      </c>
      <c r="OF230" s="6"/>
      <c r="OG230" s="6"/>
      <c r="OH230" s="6"/>
      <c r="OI230" s="6"/>
      <c r="OJ230" s="5" t="str">
        <f t="shared" si="777"/>
        <v>NO APLICA</v>
      </c>
      <c r="OK230" s="6"/>
      <c r="OL230" s="6"/>
      <c r="OM230" s="6"/>
      <c r="ON230" s="6"/>
      <c r="OO230" s="5" t="str">
        <f t="shared" si="778"/>
        <v>NO APLICA</v>
      </c>
      <c r="OP230" s="6"/>
      <c r="OQ230" s="6"/>
      <c r="OR230" s="6"/>
      <c r="OS230" s="6"/>
      <c r="OT230" s="5" t="str">
        <f t="shared" si="779"/>
        <v>NO APLICA</v>
      </c>
      <c r="OU230" s="6"/>
      <c r="OV230" s="6"/>
      <c r="OW230" s="6"/>
      <c r="OX230" s="6"/>
      <c r="OY230" s="5" t="str">
        <f t="shared" si="793"/>
        <v>NO APLICA</v>
      </c>
      <c r="OZ230" s="6"/>
      <c r="PA230" s="6"/>
      <c r="PB230" s="6"/>
      <c r="PC230" s="6"/>
      <c r="PD230" s="5" t="str">
        <f t="shared" si="780"/>
        <v>NO APLICA</v>
      </c>
      <c r="PE230" s="6"/>
      <c r="PF230" s="6"/>
      <c r="PG230" s="6"/>
      <c r="PH230" s="6"/>
      <c r="PI230" s="5" t="str">
        <f t="shared" si="781"/>
        <v>NO APLICA</v>
      </c>
      <c r="PJ230" s="5"/>
      <c r="PK230" s="6"/>
      <c r="PL230" s="6"/>
      <c r="PM230" s="6"/>
      <c r="PN230" s="5" t="str">
        <f t="shared" si="790"/>
        <v>NO APLICA</v>
      </c>
      <c r="PO230" s="6"/>
      <c r="PP230" s="6"/>
      <c r="PQ230" s="6"/>
      <c r="PR230" s="6"/>
      <c r="PS230" s="5" t="str">
        <f t="shared" si="782"/>
        <v>NO APLICA</v>
      </c>
      <c r="PT230" s="5"/>
      <c r="PU230" s="4">
        <v>46126</v>
      </c>
      <c r="PV230" s="4">
        <f>DATE(YEAR(PU230)+1,MONTH(PU230),DAY(PU230))</f>
        <v>46491</v>
      </c>
      <c r="PW230" s="8">
        <f ca="1">PV230-TODAY()</f>
        <v>357</v>
      </c>
      <c r="PX230" s="5" t="str">
        <f t="shared" ca="1" si="783"/>
        <v>VIGENTE</v>
      </c>
    </row>
    <row r="231" spans="1:440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6" t="s">
        <v>686</v>
      </c>
      <c r="V231" s="4">
        <v>45426</v>
      </c>
      <c r="W231" s="4">
        <f>DATE(YEAR(V231)+5,MONTH(V231),DAY(V231))</f>
        <v>47252</v>
      </c>
      <c r="X231" s="8">
        <f ca="1">W231-TODAY()</f>
        <v>1118</v>
      </c>
      <c r="Y231" s="5" t="str">
        <f ca="1">IF(X231&gt;=90,"VIGENTE",IF(X231&gt;=1,"POR VENCER",IF(X231&lt;=-1,"VENCIDA",IF(V231=0,"NO APLICA"))))</f>
        <v>VIGENTE</v>
      </c>
      <c r="Z231" s="6"/>
      <c r="AA231" s="6"/>
      <c r="AB231" s="6"/>
      <c r="AC231" s="6"/>
      <c r="AD231" s="5" t="str">
        <f t="shared" si="627"/>
        <v>NO APLICA</v>
      </c>
      <c r="AE231" s="4"/>
      <c r="AF231" s="4">
        <v>45721</v>
      </c>
      <c r="AG231" s="4">
        <f>DATE(YEAR(AF231)+2,MONTH(AF231),DAY(AF231)-1)</f>
        <v>46450</v>
      </c>
      <c r="AH231" s="8">
        <f ca="1">AG231-TODAY()</f>
        <v>316</v>
      </c>
      <c r="AI231" s="5" t="str">
        <f ca="1">IF(AH231&gt;=91,"VIGENTE",IF(AH231&gt;=1,"POR VENCER",IF(AH231&lt;=-1,"VENCIDA",IF(AF231=0,"NO APLICA"))))</f>
        <v>VIGENTE</v>
      </c>
      <c r="AJ231" s="4"/>
      <c r="AK231" s="4">
        <v>45710</v>
      </c>
      <c r="AL231" s="4">
        <f>DATE(YEAR(AK231)+2,MONTH(AK231),DAY(AK231)-1)</f>
        <v>46439</v>
      </c>
      <c r="AM231" s="8">
        <f ca="1">AL231-TODAY()</f>
        <v>305</v>
      </c>
      <c r="AN231" s="5" t="str">
        <f ca="1">IF(AM231&gt;=91,"VIGENTE",IF(AM231&gt;=1,"POR VENCER",IF(AM231&lt;=-1,"VENCIDA",IF(AK231=0,"NO APLICA"))))</f>
        <v>VIGENTE</v>
      </c>
      <c r="AO231" s="4"/>
      <c r="AP231" s="4">
        <v>45775</v>
      </c>
      <c r="AQ231" s="4">
        <f>DATE(YEAR(AP231)+2,MONTH(AP231),DAY(AP231))</f>
        <v>46505</v>
      </c>
      <c r="AR231" s="8">
        <f ca="1">AQ231-TODAY()</f>
        <v>371</v>
      </c>
      <c r="AS231" s="5" t="str">
        <f ca="1">IF(AR231&gt;=91,"VIGENTE",IF(AR231&gt;=1,"POR VENCER",IF(AR231&lt;=-1,"VENCIDA",IF(AP231=0,"NO APLICA"))))</f>
        <v>VIGENTE</v>
      </c>
      <c r="AT231" s="4"/>
      <c r="AU231" s="4">
        <v>45745</v>
      </c>
      <c r="AV231" s="4">
        <f>DATE(YEAR(AU231)+2,MONTH(AU231),DAY(AU231)-1)</f>
        <v>46474</v>
      </c>
      <c r="AW231" s="8">
        <f ca="1">AV231-TODAY()</f>
        <v>340</v>
      </c>
      <c r="AX231" s="5" t="str">
        <f ca="1">IF(AW231&gt;=91,"VIGENTE",IF(AW231&gt;=1,"POR VENCER",IF(AW231&lt;=-1,"VENCIDA",IF(AU231=0,"NO APLICA"))))</f>
        <v>VIGENTE</v>
      </c>
      <c r="AY231" s="4"/>
      <c r="AZ231" s="4">
        <v>45687</v>
      </c>
      <c r="BA231" s="4">
        <f>DATE(YEAR(AZ231)+2,MONTH(AZ231),DAY(AZ231)-1)</f>
        <v>46416</v>
      </c>
      <c r="BB231" s="8">
        <f ca="1">BA231-TODAY()</f>
        <v>282</v>
      </c>
      <c r="BC231" s="5" t="str">
        <f ca="1">IF(BB231&gt;=91,"VIGENTE",IF(BB231&gt;=1,"POR VENCER",IF(BB231&lt;=-1,"VENCIDA",IF(AZ231=0,"NO APLICA"))))</f>
        <v>VIGENTE</v>
      </c>
      <c r="BD231" s="4"/>
      <c r="BE231" s="4">
        <v>45692</v>
      </c>
      <c r="BF231" s="4">
        <f>DATE(YEAR(BE231)+2,MONTH(BE231),DAY(BE231)-1)</f>
        <v>46421</v>
      </c>
      <c r="BG231" s="8">
        <f ca="1">BF231-TODAY()</f>
        <v>287</v>
      </c>
      <c r="BH231" s="5" t="str">
        <f ca="1">IF(BG231&gt;=91,"VIGENTE",IF(BG231&gt;=1,"POR VENCER",IF(BG231&lt;=-1,"VENCIDA",IF(BE231=0,"NO APLICA"))))</f>
        <v>VIGENTE</v>
      </c>
      <c r="BI231" s="4"/>
      <c r="BJ231" s="4">
        <v>45652</v>
      </c>
      <c r="BK231" s="4">
        <f>DATE(YEAR(BJ231)+2,MONTH(BJ231),DAY(BJ231)-1)</f>
        <v>46381</v>
      </c>
      <c r="BL231" s="8">
        <f ca="1">BK231-TODAY()</f>
        <v>247</v>
      </c>
      <c r="BM231" s="5" t="str">
        <f ca="1">IF(BL231&gt;=91,"VIGENTE",IF(BL231&gt;=1,"POR VENCER",IF(BL231&lt;=-1,"VENCIDA",IF(BJ231=0,"NO APLICA"))))</f>
        <v>VIGENTE</v>
      </c>
      <c r="BN231" s="4"/>
      <c r="BO231" s="4">
        <v>45701</v>
      </c>
      <c r="BP231" s="4">
        <f>DATE(YEAR(BO231)+2,MONTH(BO231),DAY(BO231)-1)</f>
        <v>46430</v>
      </c>
      <c r="BQ231" s="8">
        <f ca="1">BP231-TODAY()</f>
        <v>296</v>
      </c>
      <c r="BR231" s="5" t="str">
        <f ca="1">IF(BQ231&gt;=91,"VIGENTE",IF(BQ231&gt;=1,"POR VENCER",IF(BQ231&lt;=-1,"VENCIDA",IF(BO231=0,"NO APLICA"))))</f>
        <v>VIGENTE</v>
      </c>
      <c r="BS231" s="4"/>
      <c r="BT231" s="4">
        <v>45695</v>
      </c>
      <c r="BU231" s="4">
        <f>DATE(YEAR(BT231)+2,MONTH(BT231),DAY(BT231)-1)</f>
        <v>46424</v>
      </c>
      <c r="BV231" s="8">
        <f ca="1">BU231-TODAY()</f>
        <v>290</v>
      </c>
      <c r="BW231" s="5" t="str">
        <f ca="1">IF(BV231&gt;=91,"VIGENTE",IF(BV231&gt;=1,"POR VENCER",IF(BV231&lt;=-1,"VENCIDA",IF(BT231=0,"NO APLICA"))))</f>
        <v>VIGENTE</v>
      </c>
      <c r="BX231" s="4"/>
      <c r="BY231" s="4">
        <v>45672</v>
      </c>
      <c r="BZ231" s="4">
        <f>DATE(YEAR(BY231)+2,MONTH(BY231),DAY(BY231)-1)</f>
        <v>46401</v>
      </c>
      <c r="CA231" s="8">
        <f ca="1">BZ231-TODAY()</f>
        <v>267</v>
      </c>
      <c r="CB231" s="5" t="str">
        <f ca="1">IF(CA231&gt;=91,"VIGENTE",IF(CA231&gt;=1,"POR VENCER",IF(CA231&lt;=-1,"VENCIDA",IF(BY231=0,"NO APLICA"))))</f>
        <v>VIGENTE</v>
      </c>
      <c r="CC231" s="6" t="s">
        <v>146</v>
      </c>
      <c r="CD231" s="4">
        <v>44690</v>
      </c>
      <c r="CE231" s="4">
        <f>DATE(YEAR(CD231)+4,MONTH(CD231),DAY(CD231))</f>
        <v>46151</v>
      </c>
      <c r="CF231" s="8">
        <f ca="1">CE231-TODAY()</f>
        <v>17</v>
      </c>
      <c r="CG231" s="5" t="str">
        <f ca="1">IF(CF231&gt;=90,"VIGENTE",IF(CF231&gt;=1,"POR VENCER",IF(CF231&lt;=-1,"VENCIDA",IF(CF231=0,"NO APLICA"))))</f>
        <v>POR VENCER</v>
      </c>
      <c r="CH231" s="4"/>
      <c r="CI231" s="4">
        <v>45688</v>
      </c>
      <c r="CJ231" s="4">
        <f>DATE(YEAR(CI231)+2,MONTH(CI231),DAY(CI231)-1)</f>
        <v>46417</v>
      </c>
      <c r="CK231" s="8">
        <f ca="1">CJ231-TODAY()</f>
        <v>283</v>
      </c>
      <c r="CL231" s="5" t="str">
        <f ca="1">IF(CK231&gt;=91,"VIGENTE",IF(CK231&gt;=1,"POR VENCER",IF(CK231&lt;=-1,"VENCIDA",IF(CI231=0,"NO APLICA"))))</f>
        <v>VIGENTE</v>
      </c>
      <c r="CM231" s="4"/>
      <c r="CN231" s="4">
        <v>45769</v>
      </c>
      <c r="CO231" s="4">
        <f>DATE(YEAR(CN231)+2,MONTH(CN231),DAY(CN231))</f>
        <v>46499</v>
      </c>
      <c r="CP231" s="8">
        <f ca="1">CO231-TODAY()</f>
        <v>365</v>
      </c>
      <c r="CQ231" s="5" t="str">
        <f ca="1">IF(CP231&gt;=91,"VIGENTE",IF(CP231&gt;=1,"POR VENCER",IF(CP231&lt;=-1,"VENCIDA",IF(CN231=0,"NO APLICA"))))</f>
        <v>VIGENTE</v>
      </c>
      <c r="CR231" s="4"/>
      <c r="CS231" s="4">
        <v>45805</v>
      </c>
      <c r="CT231" s="4">
        <f>DATE(YEAR(CS231)+2,MONTH(CS231),DAY(CS231))</f>
        <v>46535</v>
      </c>
      <c r="CU231" s="8">
        <f ca="1">CT231-TODAY()</f>
        <v>401</v>
      </c>
      <c r="CV231" s="5" t="str">
        <f ca="1">IF(CU231&gt;=91,"VIGENTE",IF(CU231&gt;=1,"POR VENCER",IF(CU231&lt;=-1,"VENCIDA",IF(CS231=0,"NO APLICA"))))</f>
        <v>VIGENTE</v>
      </c>
      <c r="CW231" s="4"/>
      <c r="CX231" s="4">
        <v>45744</v>
      </c>
      <c r="CY231" s="4">
        <f>DATE(YEAR(CX231)+2,MONTH(CX231),DAY(CX231)-1)</f>
        <v>46473</v>
      </c>
      <c r="CZ231" s="8">
        <f ca="1">CY231-TODAY()</f>
        <v>339</v>
      </c>
      <c r="DA231" s="5" t="str">
        <f ca="1">IF(CZ231&gt;=91,"VIGENTE",IF(CZ231&gt;=1,"POR VENCER",IF(CZ231&lt;=-1,"VENCIDA",IF(CX231=0,"NO APLICA"))))</f>
        <v>VIGENTE</v>
      </c>
      <c r="DB231" s="4"/>
      <c r="DC231" s="4">
        <v>45689</v>
      </c>
      <c r="DD231" s="4">
        <f>DATE(YEAR(DC231)+2,MONTH(DC231),DAY(DC231)-1)</f>
        <v>46418</v>
      </c>
      <c r="DE231" s="8">
        <f ca="1">DD231-TODAY()</f>
        <v>284</v>
      </c>
      <c r="DF231" s="5" t="str">
        <f ca="1">IF(DE231&gt;=91,"VIGENTE",IF(DE231&gt;=1,"POR VENCER",IF(DE231&lt;=-1,"VENCIDA",IF(DC231=0,"NO APLICA"))))</f>
        <v>VIGENTE</v>
      </c>
      <c r="DG231" s="4"/>
      <c r="DH231" s="4">
        <v>45734</v>
      </c>
      <c r="DI231" s="4">
        <f>DATE(YEAR(DH231)+2,MONTH(DH231),DAY(DH231)-1)</f>
        <v>46463</v>
      </c>
      <c r="DJ231" s="8">
        <f ca="1">DI231-TODAY()</f>
        <v>329</v>
      </c>
      <c r="DK231" s="5" t="str">
        <f ca="1">IF(DJ231&gt;=91,"VIGENTE",IF(DJ231&gt;=1,"POR VENCER",IF(DJ231&lt;=-1,"VENCIDA",IF(DH231=0,"NO APLICA"))))</f>
        <v>VIGENTE</v>
      </c>
      <c r="DL231" s="4"/>
      <c r="DM231" s="4">
        <v>45731</v>
      </c>
      <c r="DN231" s="4">
        <f>DATE(YEAR(DM231)+2,MONTH(DM231),DAY(DM231)-1)</f>
        <v>46460</v>
      </c>
      <c r="DO231" s="8">
        <f ca="1">DN231-TODAY()</f>
        <v>326</v>
      </c>
      <c r="DP231" s="5" t="str">
        <f ca="1">IF(DO231&gt;=91,"VIGENTE",IF(DO231&gt;=1,"POR VENCER",IF(DO231&lt;=-1,"VENCIDA",IF(DM231=0,"NO APLICA"))))</f>
        <v>VIGENTE</v>
      </c>
      <c r="DQ231" s="4"/>
      <c r="DR231" s="4">
        <v>45770</v>
      </c>
      <c r="DS231" s="4">
        <f>DATE(YEAR(DR231)+2,MONTH(DR231),DAY(DR231))</f>
        <v>46500</v>
      </c>
      <c r="DT231" s="8">
        <f ca="1">DS231-TODAY()</f>
        <v>366</v>
      </c>
      <c r="DU231" s="5" t="str">
        <f ca="1">IF(DT231&gt;=91,"VIGENTE",IF(DT231&gt;=1,"POR VENCER",IF(DT231&lt;=-1,"VENCIDA",IF(DR231=0,"NO APLICA"))))</f>
        <v>VIGENTE</v>
      </c>
      <c r="DV231" s="4"/>
      <c r="DW231" s="4">
        <v>45804</v>
      </c>
      <c r="DX231" s="4">
        <f>DATE(YEAR(DW231)+2,MONTH(DW231),DAY(DW231))</f>
        <v>46534</v>
      </c>
      <c r="DY231" s="8">
        <f ca="1">DX231-TODAY()</f>
        <v>400</v>
      </c>
      <c r="DZ231" s="5" t="str">
        <f ca="1">IF(DY231&gt;=91,"VIGENTE",IF(DY231&gt;=1,"POR VENCER",IF(DY231&lt;=-1,"VENCIDA",IF(DW231=0,"NO APLICA"))))</f>
        <v>VIGENTE</v>
      </c>
      <c r="EA231" s="4"/>
      <c r="EB231" s="4">
        <v>45674</v>
      </c>
      <c r="EC231" s="4">
        <f>DATE(YEAR(EB231)+2,MONTH(EB231),DAY(EB231)-1)</f>
        <v>46403</v>
      </c>
      <c r="ED231" s="8">
        <f ca="1">EC231-TODAY()</f>
        <v>269</v>
      </c>
      <c r="EE231" s="5" t="str">
        <f ca="1">IF(ED231&gt;=91,"VIGENTE",IF(ED231&gt;=1,"POR VENCER",IF(ED231&lt;=-1,"VENCIDA",IF(EB231=0,"NO APLICA"))))</f>
        <v>VIGENTE</v>
      </c>
      <c r="EF231" s="3"/>
      <c r="EG231" s="3">
        <v>46015</v>
      </c>
      <c r="EH231" s="4">
        <f t="shared" si="795"/>
        <v>46380</v>
      </c>
      <c r="EI231" s="8">
        <f ca="1">EH231-TODAY()</f>
        <v>246</v>
      </c>
      <c r="EJ231" s="5" t="str">
        <f ca="1">IF(EI231&gt;=91,"VIGENTE",IF(EI231&gt;=1,"POR VENCER",IF(EI231&lt;=-1,"VENCIDA",IF(EG231=0,"NO APLICA"))))</f>
        <v>VIGENTE</v>
      </c>
      <c r="EK231" s="4"/>
      <c r="EL231" s="4">
        <v>45705</v>
      </c>
      <c r="EM231" s="4">
        <f>DATE(YEAR(EL231)+2,MONTH(EL231),DAY(EL231)-1)</f>
        <v>46434</v>
      </c>
      <c r="EN231" s="8">
        <f ca="1">EM231-TODAY()</f>
        <v>300</v>
      </c>
      <c r="EO231" s="5" t="str">
        <f ca="1">IF(EN231&gt;=91,"VIGENTE",IF(EN231&gt;=1,"POR VENCER",IF(EN231&lt;=-1,"VENCIDA",IF(EL231=0,"NO APLICA"))))</f>
        <v>VIGENTE</v>
      </c>
      <c r="EP231" s="4"/>
      <c r="EQ231" s="4">
        <v>45735</v>
      </c>
      <c r="ER231" s="4">
        <f>DATE(YEAR(EQ231)+2,MONTH(EQ231),DAY(EQ231)-1)</f>
        <v>46464</v>
      </c>
      <c r="ES231" s="8">
        <f ca="1">ER231-TODAY()</f>
        <v>330</v>
      </c>
      <c r="ET231" s="5" t="str">
        <f ca="1">IF(ES231&gt;=91,"VIGENTE",IF(ES231&gt;=1,"POR VENCER",IF(ES231&lt;=-1,"VENCIDA",IF(EQ231=0,"NO APLICA"))))</f>
        <v>VIGENTE</v>
      </c>
      <c r="EU231" s="4"/>
      <c r="EV231" s="4">
        <v>45630</v>
      </c>
      <c r="EW231" s="4">
        <f>DATE(YEAR(EV231)+2,MONTH(EV231),DAY(EV231)-1)</f>
        <v>46359</v>
      </c>
      <c r="EX231" s="6">
        <v>593</v>
      </c>
      <c r="EY231" s="5" t="str">
        <f t="shared" si="742"/>
        <v>VIGENTE</v>
      </c>
      <c r="EZ231" s="4"/>
      <c r="FA231" s="4">
        <v>45729</v>
      </c>
      <c r="FB231" s="4">
        <f>DATE(YEAR(FA231)+2,MONTH(FA231),DAY(FA231)-1)</f>
        <v>46458</v>
      </c>
      <c r="FC231" s="6">
        <v>692</v>
      </c>
      <c r="FD231" s="5" t="str">
        <f t="shared" si="743"/>
        <v>VIGENTE</v>
      </c>
      <c r="FE231" s="4"/>
      <c r="FF231" s="4">
        <v>45722</v>
      </c>
      <c r="FG231" s="4">
        <f>DATE(YEAR(FF231)+2,MONTH(FF231),DAY(FF231))</f>
        <v>46452</v>
      </c>
      <c r="FH231" s="8">
        <f ca="1">FG231-TODAY()</f>
        <v>318</v>
      </c>
      <c r="FI231" s="5" t="str">
        <f ca="1">IF(FH231&gt;=91,"VIGENTE",IF(FH231&gt;=1,"POR VENCER",IF(FH231&lt;=-1,"VENCIDA",IF(FF231=0,"NO APLICA"))))</f>
        <v>VIGENTE</v>
      </c>
      <c r="FJ231" s="4"/>
      <c r="FK231" s="4">
        <v>45637</v>
      </c>
      <c r="FL231" s="4">
        <f>DATE(YEAR(FK231)+2,MONTH(FK231),DAY(FK231)-1)</f>
        <v>46366</v>
      </c>
      <c r="FM231" s="6">
        <v>600</v>
      </c>
      <c r="FN231" s="5" t="str">
        <f t="shared" si="745"/>
        <v>VIGENTE</v>
      </c>
      <c r="FO231" s="4"/>
      <c r="FP231" s="4">
        <v>45724</v>
      </c>
      <c r="FQ231" s="4">
        <f>DATE(YEAR(FP231)+2,MONTH(FP231),DAY(FP231)-1)</f>
        <v>46453</v>
      </c>
      <c r="FR231" s="8">
        <f ca="1">FQ231-TODAY()</f>
        <v>319</v>
      </c>
      <c r="FS231" s="5" t="str">
        <f ca="1">IF(FR231&gt;=91,"VIGENTE",IF(FR231&gt;=1,"POR VENCER",IF(FR231&lt;=-1,"VENCIDA",IF(FP231=0,"NO APLICA"))))</f>
        <v>VIGENTE</v>
      </c>
      <c r="FT231" s="4"/>
      <c r="FU231" s="4">
        <v>45700</v>
      </c>
      <c r="FV231" s="4">
        <f>DATE(YEAR(FU231)+2,MONTH(FU231),DAY(FU231)-1)</f>
        <v>46429</v>
      </c>
      <c r="FW231" s="6">
        <v>663</v>
      </c>
      <c r="FX231" s="5" t="str">
        <f t="shared" si="747"/>
        <v>VIGENTE</v>
      </c>
      <c r="FY231" s="4"/>
      <c r="FZ231" s="4">
        <v>45715</v>
      </c>
      <c r="GA231" s="4">
        <f>DATE(YEAR(FZ231)+2,MONTH(FZ231),DAY(FZ231)-1)</f>
        <v>46444</v>
      </c>
      <c r="GB231" s="6">
        <v>678</v>
      </c>
      <c r="GC231" s="5" t="str">
        <f t="shared" si="748"/>
        <v>VIGENTE</v>
      </c>
      <c r="GD231" s="4"/>
      <c r="GE231" s="4">
        <v>45712</v>
      </c>
      <c r="GF231" s="4">
        <f>DATE(YEAR(GE231)+2,MONTH(GE231),DAY(GE231)-1)</f>
        <v>46441</v>
      </c>
      <c r="GG231" s="8">
        <f ca="1">GF231-TODAY()</f>
        <v>307</v>
      </c>
      <c r="GH231" s="5" t="str">
        <f ca="1">IF(GG231&gt;=91,"VIGENTE",IF(GG231&gt;=1,"POR VENCER",IF(GG231&lt;=-1,"VENCIDA",IF(GE231=0,"NO APLICA"))))</f>
        <v>VIGENTE</v>
      </c>
      <c r="GI231" s="4"/>
      <c r="GJ231" s="4">
        <v>45764</v>
      </c>
      <c r="GK231" s="4">
        <f>DATE(YEAR(GJ231)+2,MONTH(GJ231),DAY(GJ231))</f>
        <v>46494</v>
      </c>
      <c r="GL231" s="8">
        <f ca="1">GK231-TODAY()</f>
        <v>360</v>
      </c>
      <c r="GM231" s="5" t="str">
        <f ca="1">IF(GL231&gt;=61,"VIGENTE",IF(GL231&gt;=1,"POR VENCER",IF(GL231&lt;=-1,"VENCIDA",IF(GJ231=0,"NO APLICA"))))</f>
        <v>VIGENTE</v>
      </c>
      <c r="GN231" s="4"/>
      <c r="GO231" s="6"/>
      <c r="GP231" s="6"/>
      <c r="GQ231" s="6"/>
      <c r="GR231" s="5" t="str">
        <f t="shared" si="630"/>
        <v>NO APLICA</v>
      </c>
      <c r="GS231" s="4"/>
      <c r="GT231" s="6"/>
      <c r="GU231" s="6"/>
      <c r="GV231" s="6"/>
      <c r="GW231" s="5" t="str">
        <f t="shared" si="631"/>
        <v>NO APLICA</v>
      </c>
      <c r="GX231" s="6"/>
      <c r="GY231" s="6"/>
      <c r="GZ231" s="6"/>
      <c r="HA231" s="6"/>
      <c r="HB231" s="5" t="str">
        <f t="shared" si="632"/>
        <v>NO APLICA</v>
      </c>
      <c r="HC231" s="6"/>
      <c r="HD231" s="6"/>
      <c r="HE231" s="4"/>
      <c r="HF231" s="8"/>
      <c r="HG231" s="5" t="str">
        <f t="shared" si="718"/>
        <v>NO APLICA</v>
      </c>
      <c r="HH231" s="6"/>
      <c r="HI231" s="6"/>
      <c r="HJ231" s="6"/>
      <c r="HK231" s="6"/>
      <c r="HL231" s="5" t="str">
        <f t="shared" si="714"/>
        <v>NO APLICA</v>
      </c>
      <c r="HM231" s="6"/>
      <c r="HN231" s="6"/>
      <c r="HO231" s="6"/>
      <c r="HP231" s="6"/>
      <c r="HQ231" s="5" t="str">
        <f t="shared" si="751"/>
        <v>NO APLICA</v>
      </c>
      <c r="HR231" s="6"/>
      <c r="HS231" s="6"/>
      <c r="HT231" s="6"/>
      <c r="HU231" s="6"/>
      <c r="HV231" s="5" t="str">
        <f t="shared" si="752"/>
        <v>NO APLICA</v>
      </c>
      <c r="HW231" s="6"/>
      <c r="HX231" s="6"/>
      <c r="HY231" s="6"/>
      <c r="HZ231" s="6"/>
      <c r="IA231" s="5" t="str">
        <f t="shared" si="753"/>
        <v>NO APLICA</v>
      </c>
      <c r="IB231" s="6"/>
      <c r="IC231" s="6"/>
      <c r="ID231" s="6"/>
      <c r="IE231" s="6"/>
      <c r="IF231" s="5" t="str">
        <f t="shared" si="754"/>
        <v>NO APLICA</v>
      </c>
      <c r="IG231" s="6"/>
      <c r="IH231" s="6"/>
      <c r="II231" s="6"/>
      <c r="IJ231" s="6"/>
      <c r="IK231" s="5" t="str">
        <f t="shared" si="755"/>
        <v>NO APLICA</v>
      </c>
      <c r="IL231" s="6"/>
      <c r="IM231" s="6"/>
      <c r="IN231" s="6"/>
      <c r="IO231" s="6"/>
      <c r="IP231" s="5" t="str">
        <f t="shared" si="756"/>
        <v>NO APLICA</v>
      </c>
      <c r="IQ231" s="6"/>
      <c r="IR231" s="6"/>
      <c r="IS231" s="6"/>
      <c r="IT231" s="6"/>
      <c r="IU231" s="5" t="str">
        <f t="shared" si="757"/>
        <v>NO APLICA</v>
      </c>
      <c r="IV231" s="6"/>
      <c r="IW231" s="6"/>
      <c r="IX231" s="6"/>
      <c r="IY231" s="6"/>
      <c r="IZ231" s="5" t="str">
        <f t="shared" si="758"/>
        <v>NO APLICA</v>
      </c>
      <c r="JA231" s="6"/>
      <c r="JB231" s="6"/>
      <c r="JC231" s="6"/>
      <c r="JD231" s="6"/>
      <c r="JE231" s="5" t="str">
        <f t="shared" si="759"/>
        <v>NO APLICA</v>
      </c>
      <c r="JF231" s="6"/>
      <c r="JG231" s="6"/>
      <c r="JH231" s="6"/>
      <c r="JI231" s="6"/>
      <c r="JJ231" s="5" t="str">
        <f t="shared" si="760"/>
        <v>NO APLICA</v>
      </c>
      <c r="JK231" s="6"/>
      <c r="JL231" s="6"/>
      <c r="JM231" s="6"/>
      <c r="JN231" s="6"/>
      <c r="JO231" s="5" t="str">
        <f t="shared" si="761"/>
        <v>NO APLICA</v>
      </c>
      <c r="JP231" s="6"/>
      <c r="JQ231" s="6"/>
      <c r="JR231" s="6"/>
      <c r="JS231" s="6"/>
      <c r="JT231" s="5" t="str">
        <f t="shared" si="762"/>
        <v>NO APLICA</v>
      </c>
      <c r="JU231" s="5"/>
      <c r="JV231" s="5"/>
      <c r="JW231" s="5"/>
      <c r="JX231" s="5"/>
      <c r="JY231" s="5" t="str">
        <f t="shared" si="763"/>
        <v>NO APLICA</v>
      </c>
      <c r="JZ231" s="5"/>
      <c r="KA231" s="4">
        <v>45362</v>
      </c>
      <c r="KB231" s="4">
        <f>DATE(YEAR(KA231)+5,MONTH(KA231),DAY(KA231))</f>
        <v>47188</v>
      </c>
      <c r="KC231" s="8">
        <f ca="1">KB231-TODAY()</f>
        <v>1054</v>
      </c>
      <c r="KD231" s="5" t="str">
        <f ca="1">IF(KC231&gt;=61,"VIGENTE",IF(KC231&gt;=1,"POR VENCER",IF(KC231&lt;=-1,"VENCIDA",IF(KA231=0,"NO APLICA"))))</f>
        <v>VIGENTE</v>
      </c>
      <c r="KE231" s="5"/>
      <c r="KF231" s="6"/>
      <c r="KG231" s="6"/>
      <c r="KH231" s="6"/>
      <c r="KI231" s="5" t="str">
        <f t="shared" si="784"/>
        <v>NO APLICA</v>
      </c>
      <c r="KJ231" s="5"/>
      <c r="KK231" s="4">
        <v>45364</v>
      </c>
      <c r="KL231" s="4">
        <f>DATE(YEAR(KK231)+5,MONTH(KK231),DAY(KK231))</f>
        <v>47190</v>
      </c>
      <c r="KM231" s="8">
        <f ca="1">KL231-TODAY()</f>
        <v>1056</v>
      </c>
      <c r="KN231" s="5" t="str">
        <f ca="1">IF(KM231&gt;=61,"VIGENTE",IF(KM231&gt;=1,"POR VENCER",IF(KM231&lt;=-1,"VENCIDA",IF(KK231=0,"NO APLICA"))))</f>
        <v>VIGENTE</v>
      </c>
      <c r="KO231" s="5"/>
      <c r="KP231" s="4">
        <v>45346</v>
      </c>
      <c r="KQ231" s="4">
        <f>DATE(YEAR(KP231)+5,MONTH(KP231),DAY(KP231))</f>
        <v>47173</v>
      </c>
      <c r="KR231" s="8">
        <f ca="1">KQ231-TODAY()</f>
        <v>1039</v>
      </c>
      <c r="KS231" s="5" t="str">
        <f ca="1">IF(KR231&gt;=61,"VIGENTE",IF(KR231&gt;=1,"POR VENCER",IF(KR231&lt;=-1,"VENCIDA",IF(KP231=0,"NO APLICA"))))</f>
        <v>VIGENTE</v>
      </c>
      <c r="KT231" s="6"/>
      <c r="KU231" s="6"/>
      <c r="KV231" s="6"/>
      <c r="KW231" s="6"/>
      <c r="KX231" s="5" t="str">
        <f t="shared" si="791"/>
        <v>NO APLICA</v>
      </c>
      <c r="KY231" s="5"/>
      <c r="KZ231" s="4">
        <v>44545</v>
      </c>
      <c r="LA231" s="4">
        <f>DATE(YEAR(KZ231)+5,MONTH(KZ231),DAY(KZ231))</f>
        <v>46371</v>
      </c>
      <c r="LB231" s="8">
        <f ca="1">LA231-TODAY()</f>
        <v>237</v>
      </c>
      <c r="LC231" s="5" t="str">
        <f ca="1">IF(LB231&gt;=61,"VIGENTE",IF(LB231&gt;=1,"POR VENCER",IF(LB231&lt;=-1,"VENCIDA",IF(KZ231=0,"NO APLICA"))))</f>
        <v>VIGENTE</v>
      </c>
      <c r="LD231" s="6"/>
      <c r="LE231" s="6"/>
      <c r="LF231" s="6"/>
      <c r="LG231" s="6"/>
      <c r="LH231" s="5" t="str">
        <f t="shared" si="619"/>
        <v>NO APLICA</v>
      </c>
      <c r="LI231" s="5"/>
      <c r="LJ231" s="5"/>
      <c r="LK231" s="4"/>
      <c r="LL231" s="8"/>
      <c r="LM231" s="5" t="str">
        <f t="shared" si="792"/>
        <v>NO APLICA</v>
      </c>
      <c r="LN231" s="6"/>
      <c r="LO231" s="6"/>
      <c r="LP231" s="6"/>
      <c r="LQ231" s="6"/>
      <c r="LR231" s="5" t="str">
        <f t="shared" si="787"/>
        <v>NO APLICA</v>
      </c>
      <c r="LS231" s="6"/>
      <c r="LT231" s="6"/>
      <c r="LU231" s="6"/>
      <c r="LV231" s="6"/>
      <c r="LW231" s="5" t="str">
        <f t="shared" si="788"/>
        <v>NO APLICA</v>
      </c>
      <c r="LX231" s="6"/>
      <c r="LY231" s="6"/>
      <c r="LZ231" s="6"/>
      <c r="MA231" s="6"/>
      <c r="MB231" s="5" t="str">
        <f t="shared" si="789"/>
        <v>NO APLICA</v>
      </c>
      <c r="MC231" s="6"/>
      <c r="MD231" s="6"/>
      <c r="ME231" s="6"/>
      <c r="MF231" s="6"/>
      <c r="MG231" s="5" t="str">
        <f t="shared" si="766"/>
        <v>NO APLICA</v>
      </c>
      <c r="MH231" s="6"/>
      <c r="MI231" s="6"/>
      <c r="MJ231" s="6"/>
      <c r="MK231" s="6"/>
      <c r="ML231" s="5" t="str">
        <f t="shared" si="767"/>
        <v>NO APLICA</v>
      </c>
      <c r="MM231" s="5"/>
      <c r="MN231" s="6"/>
      <c r="MO231" s="6"/>
      <c r="MP231" s="6"/>
      <c r="MQ231" s="5" t="str">
        <f t="shared" si="768"/>
        <v>NO APLICA</v>
      </c>
      <c r="MR231" s="5"/>
      <c r="MS231" s="6"/>
      <c r="MT231" s="6"/>
      <c r="MU231" s="6"/>
      <c r="MV231" s="5" t="str">
        <f t="shared" si="769"/>
        <v>NO APLICA</v>
      </c>
      <c r="MW231" s="6"/>
      <c r="MX231" s="4">
        <v>44834</v>
      </c>
      <c r="MY231" s="4">
        <f>DATE(YEAR(MX231)+5,MONTH(MX231),DAY(MX231))</f>
        <v>46660</v>
      </c>
      <c r="MZ231" s="8">
        <f ca="1">MY231-TODAY()</f>
        <v>526</v>
      </c>
      <c r="NA231" s="5" t="str">
        <f ca="1">IF(MZ231&gt;=61,"VIGENTE",IF(MZ231&gt;=1,"POR VENCER",IF(MZ231&lt;=-1,"VENCIDA",IF(MX231=0,"NO APLICA"))))</f>
        <v>VIGENTE</v>
      </c>
      <c r="NB231" s="6"/>
      <c r="NC231" s="4">
        <v>44835</v>
      </c>
      <c r="ND231" s="4">
        <f>DATE(YEAR(NC231)+5,MONTH(NC231),DAY(NC231))</f>
        <v>46661</v>
      </c>
      <c r="NE231" s="8">
        <f ca="1">ND231-TODAY()</f>
        <v>527</v>
      </c>
      <c r="NF231" s="5" t="str">
        <f ca="1">IF(NE231&gt;=61,"VIGENTE",IF(NE231&gt;=1,"POR VENCER",IF(NE231&lt;=-1,"VENCIDA",IF(NC231=0,"NO APLICA"))))</f>
        <v>VIGENTE</v>
      </c>
      <c r="NG231" s="4"/>
      <c r="NH231" s="4">
        <v>44751</v>
      </c>
      <c r="NI231" s="4">
        <f>DATE(YEAR(NH231)+5,MONTH(NH231),DAY(NH231))</f>
        <v>46577</v>
      </c>
      <c r="NJ231" s="8">
        <f ca="1">NI231-TODAY()</f>
        <v>443</v>
      </c>
      <c r="NK231" s="5" t="str">
        <f ca="1">IF(NJ231&gt;=61,"VIGENTE",IF(NJ231&gt;=1,"POR VENCER",IF(NJ231&lt;=-1,"VENCIDA",IF(NH231=0,"NO APLICA"))))</f>
        <v>VIGENTE</v>
      </c>
      <c r="NL231" s="4"/>
      <c r="NM231" s="4">
        <v>45001</v>
      </c>
      <c r="NN231" s="4">
        <f>DATE(YEAR(NM231)+5,MONTH(NM231),DAY(NM231))</f>
        <v>46828</v>
      </c>
      <c r="NO231" s="8">
        <f ca="1">NN231-TODAY()</f>
        <v>694</v>
      </c>
      <c r="NP231" s="5" t="str">
        <f ca="1">IF(NO231&gt;=61,"VIGENTE",IF(NO231&gt;=1,"POR VENCER",IF(NO231&lt;=-1,"VENCIDA",IF(NM231=0,"NO APLICA"))))</f>
        <v>VIGENTE</v>
      </c>
      <c r="NQ231" s="6"/>
      <c r="NR231" s="6"/>
      <c r="NS231" s="6"/>
      <c r="NT231" s="6"/>
      <c r="NU231" s="5" t="str">
        <f t="shared" si="774"/>
        <v>NO APLICA</v>
      </c>
      <c r="NV231" s="6"/>
      <c r="NW231" s="6"/>
      <c r="NX231" s="6"/>
      <c r="NY231" s="6"/>
      <c r="NZ231" s="5" t="str">
        <f t="shared" si="775"/>
        <v>NO APLICA</v>
      </c>
      <c r="OA231" s="6"/>
      <c r="OB231" s="6"/>
      <c r="OC231" s="6"/>
      <c r="OD231" s="6"/>
      <c r="OE231" s="5" t="str">
        <f t="shared" si="776"/>
        <v>NO APLICA</v>
      </c>
      <c r="OF231" s="6"/>
      <c r="OG231" s="6"/>
      <c r="OH231" s="6"/>
      <c r="OI231" s="6"/>
      <c r="OJ231" s="5" t="str">
        <f t="shared" si="777"/>
        <v>NO APLICA</v>
      </c>
      <c r="OK231" s="6"/>
      <c r="OL231" s="6"/>
      <c r="OM231" s="6"/>
      <c r="ON231" s="6"/>
      <c r="OO231" s="5" t="str">
        <f t="shared" si="778"/>
        <v>NO APLICA</v>
      </c>
      <c r="OP231" s="4"/>
      <c r="OQ231" s="4"/>
      <c r="OR231" s="4"/>
      <c r="OS231" s="8"/>
      <c r="OT231" s="5" t="str">
        <f t="shared" si="779"/>
        <v>NO APLICA</v>
      </c>
      <c r="OU231" s="4"/>
      <c r="OV231" s="4">
        <v>44770</v>
      </c>
      <c r="OW231" s="4">
        <f>DATE(YEAR(OV231)+5,MONTH(OV231),DAY(OV231))</f>
        <v>46596</v>
      </c>
      <c r="OX231" s="8">
        <f ca="1">OW231-TODAY()</f>
        <v>462</v>
      </c>
      <c r="OY231" s="5" t="str">
        <f ca="1">IF(OX231&gt;=61,"VIGENTE",IF(OX231&gt;=1,"POR VENCER",IF(OX231&lt;=-1,"VENCIDA",IF(OV231=0,"NO APLICA"))))</f>
        <v>VIGENTE</v>
      </c>
      <c r="OZ231" s="4"/>
      <c r="PA231" s="4">
        <v>45009</v>
      </c>
      <c r="PB231" s="4">
        <f>DATE(YEAR(PA231)+5,MONTH(PA231),DAY(PA231))</f>
        <v>46836</v>
      </c>
      <c r="PC231" s="8">
        <f ca="1">PB231-TODAY()</f>
        <v>702</v>
      </c>
      <c r="PD231" s="5" t="str">
        <f ca="1">IF(PC231&gt;=61,"VIGENTE",IF(PC231&gt;=1,"POR VENCER",IF(PC231&lt;=-1,"VENCIDA",IF(PA231=0,"NO APLICA"))))</f>
        <v>VIGENTE</v>
      </c>
      <c r="PE231" s="4"/>
      <c r="PF231" s="4">
        <v>44979</v>
      </c>
      <c r="PG231" s="4">
        <f>DATE(YEAR(PF231)+5,MONTH(PF231),DAY(PF231))</f>
        <v>46805</v>
      </c>
      <c r="PH231" s="8">
        <f ca="1">PG231-TODAY()</f>
        <v>671</v>
      </c>
      <c r="PI231" s="5" t="str">
        <f ca="1">IF(PH231&gt;=61,"VIGENTE",IF(PH231&gt;=1,"POR VENCER",IF(PH231&lt;=-1,"VENCIDA",IF(PF231=0,"NO APLICA"))))</f>
        <v>VIGENTE</v>
      </c>
      <c r="PJ231" s="5"/>
      <c r="PK231" s="4">
        <v>44627</v>
      </c>
      <c r="PL231" s="4">
        <f>DATE(YEAR(PK231)+5,MONTH(PK231),DAY(PK231))</f>
        <v>46453</v>
      </c>
      <c r="PM231" s="8">
        <f ca="1">PL231-TODAY()</f>
        <v>319</v>
      </c>
      <c r="PN231" s="5" t="str">
        <f ca="1">IF(PM231&gt;=61,"VIGENTE",IF(PM231&gt;=1,"POR VENCER",IF(PM231&lt;=-1,"VENCIDA",IF(PK231=0,"NO APLICA"))))</f>
        <v>VIGENTE</v>
      </c>
      <c r="PO231" s="4"/>
      <c r="PP231" s="4">
        <v>44981</v>
      </c>
      <c r="PQ231" s="4">
        <f>DATE(YEAR(PP231)+5,MONTH(PP231),DAY(PP231))</f>
        <v>46807</v>
      </c>
      <c r="PR231" s="8">
        <f ca="1">PQ231-TODAY()</f>
        <v>673</v>
      </c>
      <c r="PS231" s="5" t="str">
        <f ca="1">IF(PR231&gt;=61,"VIGENTE",IF(PR231&gt;=1,"POR VENCER",IF(PR231&lt;=-1,"VENCIDA",IF(PP231=0,"NO APLICA"))))</f>
        <v>VIGENTE</v>
      </c>
      <c r="PT231" s="5"/>
      <c r="PU231" s="6"/>
      <c r="PV231" s="6"/>
      <c r="PW231" s="6"/>
      <c r="PX231" s="5" t="str">
        <f t="shared" si="783"/>
        <v>NO APLICA</v>
      </c>
    </row>
    <row r="232" spans="1:440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2"/>
      <c r="V232" s="4"/>
      <c r="W232" s="4"/>
      <c r="X232" s="8"/>
      <c r="Y232" s="5" t="str">
        <f t="shared" si="624"/>
        <v>NO APLICA</v>
      </c>
      <c r="Z232" s="2"/>
      <c r="AA232" s="6"/>
      <c r="AB232" s="4"/>
      <c r="AC232" s="8"/>
      <c r="AD232" s="5" t="str">
        <f t="shared" si="627"/>
        <v>NO APLICA</v>
      </c>
      <c r="AE232" s="2"/>
      <c r="AF232" s="4"/>
      <c r="AG232" s="4"/>
      <c r="AH232" s="8"/>
      <c r="AI232" s="5" t="str">
        <f t="shared" ref="AI232:AI239" si="796">IF(AH232&gt;=91,"VIGENTE",IF(AH232&gt;=1,"POR VENCER",IF(AH232&lt;=-1,"VENCIDA",IF(AF232=0,"NO APLICA"))))</f>
        <v>NO APLICA</v>
      </c>
      <c r="AJ232" s="2"/>
      <c r="AK232" s="4"/>
      <c r="AL232" s="4"/>
      <c r="AM232" s="8"/>
      <c r="AN232" s="5" t="str">
        <f t="shared" si="720"/>
        <v>NO APLICA</v>
      </c>
      <c r="AO232" s="2"/>
      <c r="AP232" s="4"/>
      <c r="AQ232" s="4"/>
      <c r="AR232" s="8"/>
      <c r="AS232" s="5" t="str">
        <f t="shared" si="721"/>
        <v>NO APLICA</v>
      </c>
      <c r="AT232" s="2"/>
      <c r="AU232" s="4"/>
      <c r="AV232" s="4"/>
      <c r="AW232" s="8"/>
      <c r="AX232" s="5" t="str">
        <f t="shared" si="722"/>
        <v>NO APLICA</v>
      </c>
      <c r="AY232" s="3"/>
      <c r="AZ232" s="4"/>
      <c r="BA232" s="4"/>
      <c r="BB232" s="8"/>
      <c r="BC232" s="5" t="str">
        <f t="shared" si="723"/>
        <v>NO APLICA</v>
      </c>
      <c r="BD232" s="2"/>
      <c r="BE232" s="4"/>
      <c r="BF232" s="4"/>
      <c r="BG232" s="8"/>
      <c r="BH232" s="5" t="str">
        <f t="shared" si="724"/>
        <v>NO APLICA</v>
      </c>
      <c r="BI232" s="3"/>
      <c r="BJ232" s="4"/>
      <c r="BK232" s="4"/>
      <c r="BL232" s="8"/>
      <c r="BM232" s="5" t="str">
        <f t="shared" si="725"/>
        <v>NO APLICA</v>
      </c>
      <c r="BN232" s="3"/>
      <c r="BO232" s="4"/>
      <c r="BP232" s="4"/>
      <c r="BQ232" s="8"/>
      <c r="BR232" s="5" t="str">
        <f t="shared" si="726"/>
        <v>NO APLICA</v>
      </c>
      <c r="BS232" s="2"/>
      <c r="BT232" s="4"/>
      <c r="BU232" s="4"/>
      <c r="BV232" s="8"/>
      <c r="BW232" s="5" t="str">
        <f t="shared" si="727"/>
        <v>NO APLICA</v>
      </c>
      <c r="BX232" s="2"/>
      <c r="BY232" s="4"/>
      <c r="BZ232" s="4"/>
      <c r="CA232" s="8"/>
      <c r="CB232" s="5" t="str">
        <f t="shared" si="728"/>
        <v>NO APLICA</v>
      </c>
      <c r="CC232" s="6"/>
      <c r="CD232" s="4"/>
      <c r="CE232" s="4"/>
      <c r="CF232" s="8"/>
      <c r="CG232" s="5" t="str">
        <f t="shared" si="794"/>
        <v>NO APLICA</v>
      </c>
      <c r="CH232" s="6"/>
      <c r="CI232" s="4"/>
      <c r="CJ232" s="4"/>
      <c r="CK232" s="8"/>
      <c r="CL232" s="5" t="str">
        <f t="shared" si="729"/>
        <v>NO APLICA</v>
      </c>
      <c r="CM232" s="2"/>
      <c r="CN232" s="4"/>
      <c r="CO232" s="4"/>
      <c r="CP232" s="8"/>
      <c r="CQ232" s="5" t="str">
        <f t="shared" si="730"/>
        <v>NO APLICA</v>
      </c>
      <c r="CR232" s="2"/>
      <c r="CS232" s="4"/>
      <c r="CT232" s="4"/>
      <c r="CU232" s="8"/>
      <c r="CV232" s="5" t="str">
        <f t="shared" si="731"/>
        <v>NO APLICA</v>
      </c>
      <c r="CW232" s="3"/>
      <c r="CX232" s="4"/>
      <c r="CY232" s="4"/>
      <c r="CZ232" s="8"/>
      <c r="DA232" s="5" t="str">
        <f t="shared" si="732"/>
        <v>NO APLICA</v>
      </c>
      <c r="DB232" s="3"/>
      <c r="DC232" s="4"/>
      <c r="DD232" s="4"/>
      <c r="DE232" s="8"/>
      <c r="DF232" s="5" t="str">
        <f t="shared" si="733"/>
        <v>NO APLICA</v>
      </c>
      <c r="DG232" s="2"/>
      <c r="DH232" s="4"/>
      <c r="DI232" s="4"/>
      <c r="DJ232" s="8"/>
      <c r="DK232" s="5" t="str">
        <f t="shared" si="734"/>
        <v>NO APLICA</v>
      </c>
      <c r="DL232" s="3"/>
      <c r="DM232" s="4"/>
      <c r="DN232" s="4"/>
      <c r="DO232" s="8"/>
      <c r="DP232" s="5" t="str">
        <f t="shared" si="735"/>
        <v>NO APLICA</v>
      </c>
      <c r="DQ232" s="2"/>
      <c r="DR232" s="4"/>
      <c r="DS232" s="4"/>
      <c r="DT232" s="8"/>
      <c r="DU232" s="5" t="str">
        <f t="shared" si="736"/>
        <v>NO APLICA</v>
      </c>
      <c r="DV232" s="3"/>
      <c r="DW232" s="4"/>
      <c r="DX232" s="4"/>
      <c r="DY232" s="8"/>
      <c r="DZ232" s="5" t="str">
        <f t="shared" si="737"/>
        <v>NO APLICA</v>
      </c>
      <c r="EA232" s="3"/>
      <c r="EB232" s="4"/>
      <c r="EC232" s="4"/>
      <c r="ED232" s="8"/>
      <c r="EE232" s="5" t="str">
        <f t="shared" si="738"/>
        <v>NO APLICA</v>
      </c>
      <c r="EF232" s="2"/>
      <c r="EG232" s="4"/>
      <c r="EH232" s="4"/>
      <c r="EI232" s="8"/>
      <c r="EJ232" s="5" t="str">
        <f t="shared" si="739"/>
        <v>NO APLICA</v>
      </c>
      <c r="EK232" s="3"/>
      <c r="EL232" s="4"/>
      <c r="EM232" s="4"/>
      <c r="EN232" s="8"/>
      <c r="EO232" s="5" t="str">
        <f t="shared" si="740"/>
        <v>NO APLICA</v>
      </c>
      <c r="EP232" s="2"/>
      <c r="EQ232" s="4"/>
      <c r="ER232" s="4"/>
      <c r="ES232" s="8"/>
      <c r="ET232" s="5" t="str">
        <f t="shared" si="741"/>
        <v>NO APLICA</v>
      </c>
      <c r="EU232" s="2"/>
      <c r="EV232" s="4"/>
      <c r="EW232" s="4"/>
      <c r="EX232" s="8"/>
      <c r="EY232" s="5" t="str">
        <f t="shared" si="742"/>
        <v>NO APLICA</v>
      </c>
      <c r="EZ232" s="2"/>
      <c r="FA232" s="4"/>
      <c r="FB232" s="4"/>
      <c r="FC232" s="8"/>
      <c r="FD232" s="5" t="str">
        <f t="shared" si="743"/>
        <v>NO APLICA</v>
      </c>
      <c r="FE232" s="2"/>
      <c r="FF232" s="4"/>
      <c r="FG232" s="4"/>
      <c r="FH232" s="8"/>
      <c r="FI232" s="5" t="str">
        <f t="shared" si="744"/>
        <v>NO APLICA</v>
      </c>
      <c r="FJ232" s="3"/>
      <c r="FK232" s="4"/>
      <c r="FL232" s="4"/>
      <c r="FM232" s="8"/>
      <c r="FN232" s="5" t="str">
        <f t="shared" si="745"/>
        <v>NO APLICA</v>
      </c>
      <c r="FO232" s="3"/>
      <c r="FP232" s="4"/>
      <c r="FQ232" s="4"/>
      <c r="FR232" s="8"/>
      <c r="FS232" s="5" t="str">
        <f t="shared" si="746"/>
        <v>NO APLICA</v>
      </c>
      <c r="FT232" s="3"/>
      <c r="FU232" s="4"/>
      <c r="FV232" s="4"/>
      <c r="FW232" s="8"/>
      <c r="FX232" s="5" t="str">
        <f t="shared" si="747"/>
        <v>NO APLICA</v>
      </c>
      <c r="FY232" s="3"/>
      <c r="FZ232" s="4"/>
      <c r="GA232" s="4"/>
      <c r="GB232" s="8"/>
      <c r="GC232" s="5" t="str">
        <f t="shared" si="748"/>
        <v>NO APLICA</v>
      </c>
      <c r="GD232" s="3"/>
      <c r="GE232" s="4"/>
      <c r="GF232" s="4"/>
      <c r="GG232" s="8"/>
      <c r="GH232" s="5" t="str">
        <f t="shared" si="749"/>
        <v>NO APLICA</v>
      </c>
      <c r="GI232" s="3"/>
      <c r="GJ232" s="4"/>
      <c r="GK232" s="4"/>
      <c r="GL232" s="8"/>
      <c r="GM232" s="5" t="str">
        <f t="shared" si="750"/>
        <v>NO APLICA</v>
      </c>
      <c r="GN232" s="4"/>
      <c r="GO232" s="4"/>
      <c r="GP232" s="4"/>
      <c r="GQ232" s="8"/>
      <c r="GR232" s="5" t="str">
        <f t="shared" si="630"/>
        <v>NO APLICA</v>
      </c>
      <c r="GS232" s="3"/>
      <c r="GT232" s="4"/>
      <c r="GU232" s="4"/>
      <c r="GV232" s="8"/>
      <c r="GW232" s="5" t="str">
        <f t="shared" si="631"/>
        <v>NO APLICA</v>
      </c>
      <c r="GX232" s="2"/>
      <c r="GY232" s="4"/>
      <c r="GZ232" s="4"/>
      <c r="HA232" s="8"/>
      <c r="HB232" s="5" t="str">
        <f t="shared" si="632"/>
        <v>NO APLICA</v>
      </c>
      <c r="HC232" s="6"/>
      <c r="HD232" s="6"/>
      <c r="HE232" s="4"/>
      <c r="HF232" s="8"/>
      <c r="HG232" s="5" t="str">
        <f t="shared" si="718"/>
        <v>NO APLICA</v>
      </c>
      <c r="HH232" s="2"/>
      <c r="HI232" s="6"/>
      <c r="HJ232" s="4"/>
      <c r="HK232" s="8"/>
      <c r="HL232" s="5" t="str">
        <f t="shared" si="714"/>
        <v>NO APLICA</v>
      </c>
      <c r="HM232" s="2"/>
      <c r="HN232" s="2"/>
      <c r="HO232" s="4"/>
      <c r="HP232" s="2"/>
      <c r="HQ232" s="5" t="str">
        <f t="shared" si="751"/>
        <v>NO APLICA</v>
      </c>
      <c r="HR232" s="2"/>
      <c r="HS232" s="6"/>
      <c r="HT232" s="4"/>
      <c r="HU232" s="8"/>
      <c r="HV232" s="5" t="str">
        <f t="shared" si="752"/>
        <v>NO APLICA</v>
      </c>
      <c r="HW232" s="2"/>
      <c r="HX232" s="6"/>
      <c r="HY232" s="4"/>
      <c r="HZ232" s="8"/>
      <c r="IA232" s="5" t="str">
        <f t="shared" si="753"/>
        <v>NO APLICA</v>
      </c>
      <c r="IB232" s="2"/>
      <c r="IC232" s="6"/>
      <c r="ID232" s="4"/>
      <c r="IE232" s="8"/>
      <c r="IF232" s="5" t="str">
        <f t="shared" si="754"/>
        <v>NO APLICA</v>
      </c>
      <c r="IG232" s="6"/>
      <c r="IH232" s="6"/>
      <c r="II232" s="4"/>
      <c r="IJ232" s="8"/>
      <c r="IK232" s="5" t="str">
        <f t="shared" si="755"/>
        <v>NO APLICA</v>
      </c>
      <c r="IL232" s="2"/>
      <c r="IM232" s="6"/>
      <c r="IN232" s="4"/>
      <c r="IO232" s="8"/>
      <c r="IP232" s="5" t="str">
        <f t="shared" si="756"/>
        <v>NO APLICA</v>
      </c>
      <c r="IQ232" s="2"/>
      <c r="IR232" s="6"/>
      <c r="IS232" s="4"/>
      <c r="IT232" s="8"/>
      <c r="IU232" s="5" t="str">
        <f t="shared" si="757"/>
        <v>NO APLICA</v>
      </c>
      <c r="IV232" s="2"/>
      <c r="IW232" s="6"/>
      <c r="IX232" s="4"/>
      <c r="IY232" s="8"/>
      <c r="IZ232" s="5" t="str">
        <f t="shared" si="758"/>
        <v>NO APLICA</v>
      </c>
      <c r="JA232" s="3"/>
      <c r="JB232" s="3"/>
      <c r="JC232" s="4"/>
      <c r="JD232" s="8"/>
      <c r="JE232" s="5" t="str">
        <f t="shared" si="759"/>
        <v>NO APLICA</v>
      </c>
      <c r="JF232" s="6"/>
      <c r="JG232" s="6"/>
      <c r="JH232" s="6"/>
      <c r="JI232" s="6"/>
      <c r="JJ232" s="5" t="str">
        <f t="shared" si="760"/>
        <v>NO APLICA</v>
      </c>
      <c r="JK232" s="6"/>
      <c r="JL232" s="6"/>
      <c r="JM232" s="6"/>
      <c r="JN232" s="6"/>
      <c r="JO232" s="5" t="str">
        <f t="shared" si="761"/>
        <v>NO APLICA</v>
      </c>
      <c r="JP232" s="6"/>
      <c r="JQ232" s="6"/>
      <c r="JR232" s="6"/>
      <c r="JS232" s="6"/>
      <c r="JT232" s="5" t="str">
        <f t="shared" si="762"/>
        <v>NO APLICA</v>
      </c>
      <c r="JU232" s="5"/>
      <c r="JV232" s="5"/>
      <c r="JW232" s="5"/>
      <c r="JX232" s="5"/>
      <c r="JY232" s="5" t="str">
        <f t="shared" si="763"/>
        <v>NO APLICA</v>
      </c>
      <c r="JZ232" s="5"/>
      <c r="KA232" s="2"/>
      <c r="KB232" s="4"/>
      <c r="KC232" s="8"/>
      <c r="KD232" s="5" t="str">
        <f t="shared" si="764"/>
        <v>NO APLICA</v>
      </c>
      <c r="KE232" s="5"/>
      <c r="KF232" s="2"/>
      <c r="KG232" s="4"/>
      <c r="KH232" s="8"/>
      <c r="KI232" s="5" t="str">
        <f t="shared" si="784"/>
        <v>NO APLICA</v>
      </c>
      <c r="KJ232" s="5"/>
      <c r="KK232" s="2"/>
      <c r="KL232" s="4"/>
      <c r="KM232" s="8"/>
      <c r="KN232" s="5" t="str">
        <f t="shared" si="765"/>
        <v>NO APLICA</v>
      </c>
      <c r="KO232" s="5"/>
      <c r="KP232" s="2"/>
      <c r="KQ232" s="4"/>
      <c r="KR232" s="8"/>
      <c r="KS232" s="5" t="str">
        <f t="shared" si="785"/>
        <v>NO APLICA</v>
      </c>
      <c r="KT232" s="2"/>
      <c r="KU232" s="6"/>
      <c r="KV232" s="4"/>
      <c r="KW232" s="8"/>
      <c r="KX232" s="5" t="str">
        <f t="shared" si="791"/>
        <v>NO APLICA</v>
      </c>
      <c r="KY232" s="5"/>
      <c r="KZ232" s="6"/>
      <c r="LA232" s="4"/>
      <c r="LB232" s="8"/>
      <c r="LC232" s="5" t="str">
        <f t="shared" si="786"/>
        <v>NO APLICA</v>
      </c>
      <c r="LD232" s="6"/>
      <c r="LE232" s="6"/>
      <c r="LF232" s="4"/>
      <c r="LG232" s="8"/>
      <c r="LH232" s="5" t="str">
        <f t="shared" ref="LH232:LH240" si="797">IF(LG232&gt;=61,"VIGENTE",IF(LG232&gt;=1,"POR VENCER",IF(LG232&lt;=-1,"VENCIDA",IF(LE232=0,"NO APLICA"))))</f>
        <v>NO APLICA</v>
      </c>
      <c r="LI232" s="5"/>
      <c r="LJ232" s="5"/>
      <c r="LK232" s="4"/>
      <c r="LL232" s="8"/>
      <c r="LM232" s="5" t="str">
        <f t="shared" si="792"/>
        <v>NO APLICA</v>
      </c>
      <c r="LN232" s="2"/>
      <c r="LO232" s="6"/>
      <c r="LP232" s="4"/>
      <c r="LQ232" s="8"/>
      <c r="LR232" s="5" t="str">
        <f t="shared" si="787"/>
        <v>NO APLICA</v>
      </c>
      <c r="LS232" s="6"/>
      <c r="LT232" s="6"/>
      <c r="LU232" s="4"/>
      <c r="LV232" s="8"/>
      <c r="LW232" s="5" t="str">
        <f t="shared" si="788"/>
        <v>NO APLICA</v>
      </c>
      <c r="LX232" s="6"/>
      <c r="LY232" s="6"/>
      <c r="LZ232" s="4"/>
      <c r="MA232" s="8"/>
      <c r="MB232" s="5" t="str">
        <f t="shared" si="789"/>
        <v>NO APLICA</v>
      </c>
      <c r="MC232" s="2"/>
      <c r="MD232" s="2"/>
      <c r="ME232" s="4"/>
      <c r="MF232" s="8"/>
      <c r="MG232" s="5" t="str">
        <f t="shared" si="766"/>
        <v>NO APLICA</v>
      </c>
      <c r="MH232" s="2"/>
      <c r="MI232" s="2"/>
      <c r="MJ232" s="4"/>
      <c r="MK232" s="8"/>
      <c r="ML232" s="5" t="str">
        <f t="shared" si="767"/>
        <v>NO APLICA</v>
      </c>
      <c r="MM232" s="5"/>
      <c r="MN232" s="2"/>
      <c r="MO232" s="4"/>
      <c r="MP232" s="8"/>
      <c r="MQ232" s="5" t="str">
        <f t="shared" si="768"/>
        <v>NO APLICA</v>
      </c>
      <c r="MR232" s="5"/>
      <c r="MS232" s="2"/>
      <c r="MT232" s="4"/>
      <c r="MU232" s="2"/>
      <c r="MV232" s="5" t="str">
        <f t="shared" si="769"/>
        <v>NO APLICA</v>
      </c>
      <c r="MW232" s="2"/>
      <c r="MX232" s="6"/>
      <c r="MY232" s="4"/>
      <c r="MZ232" s="8"/>
      <c r="NA232" s="5" t="str">
        <f t="shared" si="770"/>
        <v>NO APLICA</v>
      </c>
      <c r="NB232" s="2"/>
      <c r="NC232" s="6"/>
      <c r="ND232" s="4"/>
      <c r="NE232" s="8"/>
      <c r="NF232" s="5" t="str">
        <f t="shared" si="771"/>
        <v>NO APLICA</v>
      </c>
      <c r="NG232" s="2"/>
      <c r="NH232" s="6"/>
      <c r="NI232" s="4"/>
      <c r="NJ232" s="8"/>
      <c r="NK232" s="5" t="str">
        <f t="shared" si="772"/>
        <v>NO APLICA</v>
      </c>
      <c r="NL232" s="2"/>
      <c r="NM232" s="2"/>
      <c r="NN232" s="4"/>
      <c r="NO232" s="8"/>
      <c r="NP232" s="5" t="str">
        <f t="shared" si="773"/>
        <v>NO APLICA</v>
      </c>
      <c r="NQ232" s="2"/>
      <c r="NR232" s="2"/>
      <c r="NS232" s="4"/>
      <c r="NT232" s="2"/>
      <c r="NU232" s="5" t="str">
        <f t="shared" si="774"/>
        <v>NO APLICA</v>
      </c>
      <c r="NV232" s="6"/>
      <c r="NW232" s="6"/>
      <c r="NX232" s="4"/>
      <c r="NY232" s="8"/>
      <c r="NZ232" s="5" t="str">
        <f t="shared" si="775"/>
        <v>NO APLICA</v>
      </c>
      <c r="OA232" s="6"/>
      <c r="OB232" s="6"/>
      <c r="OC232" s="6"/>
      <c r="OD232" s="6"/>
      <c r="OE232" s="5" t="str">
        <f t="shared" si="776"/>
        <v>NO APLICA</v>
      </c>
      <c r="OF232" s="6"/>
      <c r="OG232" s="6"/>
      <c r="OH232" s="4"/>
      <c r="OI232" s="8"/>
      <c r="OJ232" s="5" t="str">
        <f t="shared" si="777"/>
        <v>NO APLICA</v>
      </c>
      <c r="OK232" s="6"/>
      <c r="OL232" s="6"/>
      <c r="OM232" s="6"/>
      <c r="ON232" s="6"/>
      <c r="OO232" s="5" t="str">
        <f t="shared" si="778"/>
        <v>NO APLICA</v>
      </c>
      <c r="OP232" s="6"/>
      <c r="OQ232" s="6"/>
      <c r="OR232" s="6"/>
      <c r="OS232" s="6"/>
      <c r="OT232" s="5" t="str">
        <f t="shared" si="779"/>
        <v>NO APLICA</v>
      </c>
      <c r="OU232" s="6"/>
      <c r="OV232" s="6"/>
      <c r="OW232" s="6"/>
      <c r="OX232" s="6"/>
      <c r="OY232" s="5" t="str">
        <f t="shared" si="793"/>
        <v>NO APLICA</v>
      </c>
      <c r="OZ232" s="6"/>
      <c r="PA232" s="6"/>
      <c r="PB232" s="6"/>
      <c r="PC232" s="6"/>
      <c r="PD232" s="5" t="str">
        <f t="shared" si="780"/>
        <v>NO APLICA</v>
      </c>
      <c r="PE232" s="6"/>
      <c r="PF232" s="6"/>
      <c r="PG232" s="6"/>
      <c r="PH232" s="6"/>
      <c r="PI232" s="5" t="str">
        <f t="shared" si="781"/>
        <v>NO APLICA</v>
      </c>
      <c r="PJ232" s="5"/>
      <c r="PK232" s="6"/>
      <c r="PL232" s="4"/>
      <c r="PM232" s="8"/>
      <c r="PN232" s="5" t="str">
        <f t="shared" si="790"/>
        <v>NO APLICA</v>
      </c>
      <c r="PO232" s="6"/>
      <c r="PP232" s="6"/>
      <c r="PQ232" s="6"/>
      <c r="PR232" s="6"/>
      <c r="PS232" s="5" t="str">
        <f t="shared" si="782"/>
        <v>NO APLICA</v>
      </c>
      <c r="PT232" s="5"/>
      <c r="PU232" s="6"/>
      <c r="PV232" s="6"/>
      <c r="PW232" s="6"/>
      <c r="PX232" s="5" t="str">
        <f t="shared" si="783"/>
        <v>NO APLICA</v>
      </c>
    </row>
    <row r="233" spans="1:440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6" t="s">
        <v>689</v>
      </c>
      <c r="V233" s="4">
        <v>43880</v>
      </c>
      <c r="W233" s="4"/>
      <c r="X233" s="8"/>
      <c r="Y233" s="5" t="str">
        <f>IF(X233&gt;=90,"VIGENTE",IF(X233&gt;=1,"POR VENCER",IF(X233&lt;=-1,"VENCIDA",IF(X233=0,"NO APLICA"))))</f>
        <v>NO APLICA</v>
      </c>
      <c r="Z233" s="6"/>
      <c r="AA233" s="6"/>
      <c r="AB233" s="6"/>
      <c r="AC233" s="6"/>
      <c r="AD233" s="5" t="str">
        <f t="shared" si="627"/>
        <v>NO APLICA</v>
      </c>
      <c r="AE233" s="4"/>
      <c r="AF233" s="4">
        <v>46085</v>
      </c>
      <c r="AG233" s="4">
        <f>DATE(YEAR(AF233)+2,MONTH(AF233),DAY(AF233))</f>
        <v>46816</v>
      </c>
      <c r="AH233" s="8">
        <f ca="1">AG233-TODAY()</f>
        <v>682</v>
      </c>
      <c r="AI233" s="5" t="str">
        <f ca="1">IF(AH233&gt;=91,"VIGENTE",IF(AH233&gt;=1,"POR VENCER",IF(AH233&lt;=-1,"VENCIDA",IF(AF233=0,"NO APLICA"))))</f>
        <v>VIGENTE</v>
      </c>
      <c r="AJ233" s="4"/>
      <c r="AK233" s="4">
        <v>46062</v>
      </c>
      <c r="AL233" s="4">
        <f>DATE(YEAR(AK233)+2,MONTH(AK233),DAY(AK233))</f>
        <v>46792</v>
      </c>
      <c r="AM233" s="8">
        <f ca="1">AL233-TODAY()</f>
        <v>658</v>
      </c>
      <c r="AN233" s="5" t="str">
        <f ca="1">IF(AM233&gt;=91,"VIGENTE",IF(AM233&gt;=1,"POR VENCER",IF(AM233&lt;=-1,"VENCIDA",IF(AK233=0,"NO APLICA"))))</f>
        <v>VIGENTE</v>
      </c>
      <c r="AO233" s="4"/>
      <c r="AP233" s="4">
        <v>46048</v>
      </c>
      <c r="AQ233" s="4">
        <f>DATE(YEAR(AP233)+2,MONTH(AP233),DAY(AP233))</f>
        <v>46778</v>
      </c>
      <c r="AR233" s="8">
        <f ca="1">AQ233-TODAY()</f>
        <v>644</v>
      </c>
      <c r="AS233" s="5" t="str">
        <f ca="1">IF(AR233&gt;=91,"VIGENTE",IF(AR233&gt;=1,"POR VENCER",IF(AR233&lt;=-1,"VENCIDA",IF(AP233=0,"NO APLICA"))))</f>
        <v>VIGENTE</v>
      </c>
      <c r="AT233" s="4"/>
      <c r="AU233" s="4">
        <v>46070</v>
      </c>
      <c r="AV233" s="4">
        <f>DATE(YEAR(AU233)+2,MONTH(AU233),DAY(AU233))</f>
        <v>46800</v>
      </c>
      <c r="AW233" s="8">
        <f ca="1">AV233-TODAY()</f>
        <v>666</v>
      </c>
      <c r="AX233" s="5" t="str">
        <f ca="1">IF(AW233&gt;=91,"VIGENTE",IF(AW233&gt;=1,"POR VENCER",IF(AW233&lt;=-1,"VENCIDA",IF(AU233=0,"NO APLICA"))))</f>
        <v>VIGENTE</v>
      </c>
      <c r="AY233" s="3"/>
      <c r="AZ233" s="4">
        <v>46041</v>
      </c>
      <c r="BA233" s="4">
        <f>DATE(YEAR(AZ233)+2,MONTH(AZ233),DAY(AZ233))</f>
        <v>46771</v>
      </c>
      <c r="BB233" s="8">
        <f ca="1">BA233-TODAY()</f>
        <v>637</v>
      </c>
      <c r="BC233" s="5" t="str">
        <f ca="1">IF(BB233&gt;=91,"VIGENTE",IF(BB233&gt;=1,"POR VENCER",IF(BB233&lt;=-1,"VENCIDA",IF(AZ233=0,"NO APLICA"))))</f>
        <v>VIGENTE</v>
      </c>
      <c r="BD233" s="4"/>
      <c r="BE233" s="4">
        <v>46027</v>
      </c>
      <c r="BF233" s="4">
        <f>DATE(YEAR(BE233)+2,MONTH(BE233),DAY(BE233))</f>
        <v>46757</v>
      </c>
      <c r="BG233" s="8">
        <f ca="1">BF233-TODAY()</f>
        <v>623</v>
      </c>
      <c r="BH233" s="5" t="str">
        <f ca="1">IF(BG233&gt;=91,"VIGENTE",IF(BG233&gt;=1,"POR VENCER",IF(BG233&lt;=-1,"VENCIDA",IF(BE233=0,"NO APLICA"))))</f>
        <v>VIGENTE</v>
      </c>
      <c r="BI233" s="4"/>
      <c r="BJ233" s="4">
        <v>46035</v>
      </c>
      <c r="BK233" s="4">
        <f>DATE(YEAR(BJ233)+2,MONTH(BJ233),DAY(BJ233))</f>
        <v>46765</v>
      </c>
      <c r="BL233" s="8">
        <f ca="1">BK233-TODAY()</f>
        <v>631</v>
      </c>
      <c r="BM233" s="5" t="str">
        <f ca="1">IF(BL233&gt;=91,"VIGENTE",IF(BL233&gt;=1,"POR VENCER",IF(BL233&lt;=-1,"VENCIDA",IF(BJ233=0,"NO APLICA"))))</f>
        <v>VIGENTE</v>
      </c>
      <c r="BN233" s="4"/>
      <c r="BO233" s="4">
        <v>46050</v>
      </c>
      <c r="BP233" s="4">
        <f>DATE(YEAR(BO233)+2,MONTH(BO233),DAY(BO233))</f>
        <v>46780</v>
      </c>
      <c r="BQ233" s="8">
        <f ca="1">BP233-TODAY()</f>
        <v>646</v>
      </c>
      <c r="BR233" s="5" t="str">
        <f ca="1">IF(BQ233&gt;=91,"VIGENTE",IF(BQ233&gt;=1,"POR VENCER",IF(BQ233&lt;=-1,"VENCIDA",IF(BO233=0,"NO APLICA"))))</f>
        <v>VIGENTE</v>
      </c>
      <c r="BS233" s="4"/>
      <c r="BT233" s="4">
        <v>46063</v>
      </c>
      <c r="BU233" s="4">
        <f>DATE(YEAR(BT233)+2,MONTH(BT233),DAY(BT233))</f>
        <v>46793</v>
      </c>
      <c r="BV233" s="8">
        <f ca="1">BU233-TODAY()</f>
        <v>659</v>
      </c>
      <c r="BW233" s="5" t="str">
        <f ca="1">IF(BV233&gt;=91,"VIGENTE",IF(BV233&gt;=1,"POR VENCER",IF(BV233&lt;=-1,"VENCIDA",IF(BT233=0,"NO APLICA"))))</f>
        <v>VIGENTE</v>
      </c>
      <c r="BX233" s="4"/>
      <c r="BY233" s="4">
        <v>45818</v>
      </c>
      <c r="BZ233" s="4">
        <f>DATE(YEAR(BY233)+2,MONTH(BY233),DAY(BY233))</f>
        <v>46548</v>
      </c>
      <c r="CA233" s="8">
        <f ca="1">BZ233-TODAY()</f>
        <v>414</v>
      </c>
      <c r="CB233" s="5" t="str">
        <f ca="1">IF(CA233&gt;=91,"VIGENTE",IF(CA233&gt;=1,"POR VENCER",IF(CA233&lt;=-1,"VENCIDA",IF(BY233=0,"NO APLICA"))))</f>
        <v>VIGENTE</v>
      </c>
      <c r="CC233" s="6" t="s">
        <v>471</v>
      </c>
      <c r="CD233" s="4">
        <v>45126</v>
      </c>
      <c r="CE233" s="4">
        <f>DATE(YEAR(CD233)+4,MONTH(CD233),DAY(CD233))</f>
        <v>46587</v>
      </c>
      <c r="CF233" s="8">
        <f ca="1">CE233-TODAY()</f>
        <v>453</v>
      </c>
      <c r="CG233" s="5" t="str">
        <f ca="1">IF(CF233&gt;=90,"VIGENTE",IF(CF233&gt;=1,"POR VENCER",IF(CF233&lt;=-1,"VENCIDA",IF(CF233=0,"NO APLICA"))))</f>
        <v>VIGENTE</v>
      </c>
      <c r="CH233" s="4"/>
      <c r="CI233" s="4">
        <v>45787</v>
      </c>
      <c r="CJ233" s="4">
        <f>DATE(YEAR(CI233)+2,MONTH(CI233),DAY(CI233)-1)</f>
        <v>46516</v>
      </c>
      <c r="CK233" s="8">
        <f ca="1">CJ233-TODAY()</f>
        <v>382</v>
      </c>
      <c r="CL233" s="5" t="str">
        <f ca="1">IF(CK233&gt;=91,"VIGENTE",IF(CK233&gt;=1,"POR VENCER",IF(CK233&lt;=-1,"VENCIDA",IF(CI233=0,"NO APLICA"))))</f>
        <v>VIGENTE</v>
      </c>
      <c r="CM233" s="4"/>
      <c r="CN233" s="4">
        <v>45882</v>
      </c>
      <c r="CO233" s="4">
        <f>DATE(YEAR(CN233)+2,MONTH(CN233),DAY(CN233))</f>
        <v>46612</v>
      </c>
      <c r="CP233" s="8">
        <f ca="1">CO233-TODAY()</f>
        <v>478</v>
      </c>
      <c r="CQ233" s="5" t="str">
        <f ca="1">IF(CP233&gt;=91,"VIGENTE",IF(CP233&gt;=1,"POR VENCER",IF(CP233&lt;=-1,"VENCIDA",IF(CN233=0,"NO APLICA"))))</f>
        <v>VIGENTE</v>
      </c>
      <c r="CR233" s="4"/>
      <c r="CS233" s="4">
        <v>46043</v>
      </c>
      <c r="CT233" s="4">
        <f>DATE(YEAR(CS233)+2,MONTH(CS233),DAY(CS233))</f>
        <v>46773</v>
      </c>
      <c r="CU233" s="8">
        <f ca="1">CT233-TODAY()</f>
        <v>639</v>
      </c>
      <c r="CV233" s="5" t="str">
        <f ca="1">IF(CU233&gt;=91,"VIGENTE",IF(CU233&gt;=1,"POR VENCER",IF(CU233&lt;=-1,"VENCIDA",IF(CS233=0,"NO APLICA"))))</f>
        <v>VIGENTE</v>
      </c>
      <c r="CW233" s="4"/>
      <c r="CX233" s="4">
        <v>45835</v>
      </c>
      <c r="CY233" s="4">
        <f>DATE(YEAR(CX233)+2,MONTH(CX233),DAY(CX233))</f>
        <v>46565</v>
      </c>
      <c r="CZ233" s="8">
        <f ca="1">CY233-TODAY()</f>
        <v>431</v>
      </c>
      <c r="DA233" s="5" t="str">
        <f ca="1">IF(CZ233&gt;=91,"VIGENTE",IF(CZ233&gt;=1,"POR VENCER",IF(CZ233&lt;=-1,"VENCIDA",IF(CX233=0,"NO APLICA"))))</f>
        <v>VIGENTE</v>
      </c>
      <c r="DB233" s="4"/>
      <c r="DC233" s="4">
        <v>46045</v>
      </c>
      <c r="DD233" s="4">
        <f>DATE(YEAR(DC233)+2,MONTH(DC233),DAY(DC233))</f>
        <v>46775</v>
      </c>
      <c r="DE233" s="8">
        <f ca="1">DD233-TODAY()</f>
        <v>641</v>
      </c>
      <c r="DF233" s="5" t="str">
        <f ca="1">IF(DE233&gt;=91,"VIGENTE",IF(DE233&gt;=1,"POR VENCER",IF(DE233&lt;=-1,"VENCIDA",IF(DC233=0,"NO APLICA"))))</f>
        <v>VIGENTE</v>
      </c>
      <c r="DG233" s="4"/>
      <c r="DH233" s="4">
        <v>46029</v>
      </c>
      <c r="DI233" s="4">
        <f>DATE(YEAR(DH233)+2,MONTH(DH233),DAY(DH233))</f>
        <v>46759</v>
      </c>
      <c r="DJ233" s="8">
        <f ca="1">DI233-TODAY()</f>
        <v>625</v>
      </c>
      <c r="DK233" s="5" t="str">
        <f ca="1">IF(DJ233&gt;=91,"VIGENTE",IF(DJ233&gt;=1,"POR VENCER",IF(DJ233&lt;=-1,"VENCIDA",IF(DH233=0,"NO APLICA"))))</f>
        <v>VIGENTE</v>
      </c>
      <c r="DL233" s="4"/>
      <c r="DM233" s="4">
        <v>46046</v>
      </c>
      <c r="DN233" s="4">
        <f>DATE(YEAR(DM233)+2,MONTH(DM233),DAY(DM233))</f>
        <v>46776</v>
      </c>
      <c r="DO233" s="8">
        <f ca="1">DN233-TODAY()</f>
        <v>642</v>
      </c>
      <c r="DP233" s="5" t="str">
        <f ca="1">IF(DO233&gt;=91,"VIGENTE",IF(DO233&gt;=1,"POR VENCER",IF(DO233&lt;=-1,"VENCIDA",IF(DM233=0,"NO APLICA"))))</f>
        <v>VIGENTE</v>
      </c>
      <c r="DQ233" s="4"/>
      <c r="DR233" s="4">
        <v>46053</v>
      </c>
      <c r="DS233" s="4">
        <f>DATE(YEAR(DR233)+2,MONTH(DR233),DAY(DR233))</f>
        <v>46783</v>
      </c>
      <c r="DT233" s="8">
        <f ca="1">DS233-TODAY()</f>
        <v>649</v>
      </c>
      <c r="DU233" s="5" t="str">
        <f ca="1">IF(DT233&gt;=91,"VIGENTE",IF(DT233&gt;=1,"POR VENCER",IF(DT233&lt;=-1,"VENCIDA",IF(DR233=0,"NO APLICA"))))</f>
        <v>VIGENTE</v>
      </c>
      <c r="DV233" s="4"/>
      <c r="DW233" s="4">
        <v>45847</v>
      </c>
      <c r="DX233" s="4">
        <f>DATE(YEAR(DW233)+2,MONTH(DW233),DAY(DW233))</f>
        <v>46577</v>
      </c>
      <c r="DY233" s="8">
        <f ca="1">DX233-TODAY()</f>
        <v>443</v>
      </c>
      <c r="DZ233" s="5" t="str">
        <f ca="1">IF(DY233&gt;=91,"VIGENTE",IF(DY233&gt;=1,"POR VENCER",IF(DY233&lt;=-1,"VENCIDA",IF(DW233=0,"NO APLICA"))))</f>
        <v>VIGENTE</v>
      </c>
      <c r="EA233" s="4"/>
      <c r="EB233" s="4">
        <v>45829</v>
      </c>
      <c r="EC233" s="4">
        <f>DATE(YEAR(EB233)+2,MONTH(EB233),DAY(EB233))</f>
        <v>46559</v>
      </c>
      <c r="ED233" s="8">
        <f ca="1">EC233-TODAY()</f>
        <v>425</v>
      </c>
      <c r="EE233" s="5" t="str">
        <f ca="1">IF(ED233&gt;=91,"VIGENTE",IF(ED233&gt;=1,"POR VENCER",IF(ED233&lt;=-1,"VENCIDA",IF(EB233=0,"NO APLICA"))))</f>
        <v>VIGENTE</v>
      </c>
      <c r="EF233" s="3"/>
      <c r="EG233" s="3">
        <v>46060</v>
      </c>
      <c r="EH233" s="4">
        <f t="shared" si="795"/>
        <v>46425</v>
      </c>
      <c r="EI233" s="8">
        <f ca="1">EH233-TODAY()</f>
        <v>291</v>
      </c>
      <c r="EJ233" s="5" t="str">
        <f ca="1">IF(EI233&gt;=91,"VIGENTE",IF(EI233&gt;=1,"POR VENCER",IF(EI233&lt;=-1,"VENCIDA",IF(EG233=0,"NO APLICA"))))</f>
        <v>VIGENTE</v>
      </c>
      <c r="EK233" s="4"/>
      <c r="EL233" s="4"/>
      <c r="EM233" s="4"/>
      <c r="EN233" s="8"/>
      <c r="EO233" s="5" t="str">
        <f t="shared" si="740"/>
        <v>NO APLICA</v>
      </c>
      <c r="EP233" s="4"/>
      <c r="EQ233" s="4"/>
      <c r="ER233" s="4"/>
      <c r="ES233" s="8"/>
      <c r="ET233" s="5" t="str">
        <f t="shared" si="741"/>
        <v>NO APLICA</v>
      </c>
      <c r="EU233" s="4"/>
      <c r="EV233" s="4"/>
      <c r="EW233" s="4"/>
      <c r="EX233" s="6"/>
      <c r="EY233" s="5" t="str">
        <f t="shared" si="742"/>
        <v>NO APLICA</v>
      </c>
      <c r="EZ233" s="4"/>
      <c r="FA233" s="4">
        <v>46091</v>
      </c>
      <c r="FB233" s="4">
        <f>DATE(YEAR(FA233)+2,MONTH(FA233),DAY(FA233))</f>
        <v>46822</v>
      </c>
      <c r="FC233" s="8">
        <f ca="1">FB233-TODAY()</f>
        <v>688</v>
      </c>
      <c r="FD233" s="5" t="str">
        <f ca="1">IF(FC233&gt;=91,"VIGENTE",IF(FC233&gt;=1,"POR VENCER",IF(FC233&lt;=-1,"VENCIDA",IF(FA233=0,"NO APLICA"))))</f>
        <v>VIGENTE</v>
      </c>
      <c r="FE233" s="4"/>
      <c r="FF233" s="4"/>
      <c r="FG233" s="4"/>
      <c r="FH233" s="6"/>
      <c r="FI233" s="5" t="str">
        <f t="shared" si="744"/>
        <v>NO APLICA</v>
      </c>
      <c r="FJ233" s="4"/>
      <c r="FK233" s="4">
        <v>46039</v>
      </c>
      <c r="FL233" s="4">
        <f>DATE(YEAR(FK233)+2,MONTH(FK233),DAY(FK233))</f>
        <v>46769</v>
      </c>
      <c r="FM233" s="8">
        <f ca="1">FL233-TODAY()</f>
        <v>635</v>
      </c>
      <c r="FN233" s="5" t="str">
        <f ca="1">IF(FM233&gt;=91,"VIGENTE",IF(FM233&gt;=1,"POR VENCER",IF(FM233&lt;=-1,"VENCIDA",IF(FK233=0,"NO APLICA"))))</f>
        <v>VIGENTE</v>
      </c>
      <c r="FO233" s="4"/>
      <c r="FP233" s="4"/>
      <c r="FQ233" s="4"/>
      <c r="FR233" s="6"/>
      <c r="FS233" s="5" t="str">
        <f t="shared" si="746"/>
        <v>NO APLICA</v>
      </c>
      <c r="FT233" s="4"/>
      <c r="FU233" s="4"/>
      <c r="FV233" s="4"/>
      <c r="FW233" s="6"/>
      <c r="FX233" s="5" t="str">
        <f t="shared" si="747"/>
        <v>NO APLICA</v>
      </c>
      <c r="FY233" s="4"/>
      <c r="FZ233" s="4">
        <v>46030</v>
      </c>
      <c r="GA233" s="4">
        <f>DATE(YEAR(FZ233)+2,MONTH(FZ233),DAY(FZ233))</f>
        <v>46760</v>
      </c>
      <c r="GB233" s="8">
        <f ca="1">GA233-TODAY()</f>
        <v>626</v>
      </c>
      <c r="GC233" s="5" t="str">
        <f ca="1">IF(GB233&gt;=91,"VIGENTE",IF(GB233&gt;=1,"POR VENCER",IF(GB233&lt;=-1,"VENCIDA",IF(FZ233=0,"NO APLICA"))))</f>
        <v>VIGENTE</v>
      </c>
      <c r="GD233" s="4"/>
      <c r="GE233" s="4">
        <v>46036</v>
      </c>
      <c r="GF233" s="4">
        <f>DATE(YEAR(GE233)+2,MONTH(GE233),DAY(GE233))</f>
        <v>46766</v>
      </c>
      <c r="GG233" s="8">
        <f ca="1">GF233-TODAY()</f>
        <v>632</v>
      </c>
      <c r="GH233" s="5" t="str">
        <f ca="1">IF(GG233&gt;=91,"VIGENTE",IF(GG233&gt;=1,"POR VENCER",IF(GG233&lt;=-1,"VENCIDA",IF(GE233=0,"NO APLICA"))))</f>
        <v>VIGENTE</v>
      </c>
      <c r="GI233" s="4"/>
      <c r="GJ233" s="6"/>
      <c r="GK233" s="6"/>
      <c r="GL233" s="6"/>
      <c r="GM233" s="5" t="str">
        <f t="shared" si="750"/>
        <v>NO APLICA</v>
      </c>
      <c r="GN233" s="4"/>
      <c r="GO233" s="6"/>
      <c r="GP233" s="6"/>
      <c r="GQ233" s="6"/>
      <c r="GR233" s="5" t="str">
        <f t="shared" si="630"/>
        <v>NO APLICA</v>
      </c>
      <c r="GS233" s="4"/>
      <c r="GT233" s="6"/>
      <c r="GU233" s="6"/>
      <c r="GV233" s="6"/>
      <c r="GW233" s="5" t="str">
        <f t="shared" si="631"/>
        <v>NO APLICA</v>
      </c>
      <c r="GX233" s="6"/>
      <c r="GY233" s="6"/>
      <c r="GZ233" s="6"/>
      <c r="HA233" s="6"/>
      <c r="HB233" s="5" t="str">
        <f t="shared" si="632"/>
        <v>NO APLICA</v>
      </c>
      <c r="HC233" s="6"/>
      <c r="HD233" s="6"/>
      <c r="HE233" s="4"/>
      <c r="HF233" s="8"/>
      <c r="HG233" s="5" t="str">
        <f t="shared" si="718"/>
        <v>NO APLICA</v>
      </c>
      <c r="HH233" s="6"/>
      <c r="HI233" s="6"/>
      <c r="HJ233" s="6"/>
      <c r="HK233" s="6"/>
      <c r="HL233" s="5" t="str">
        <f t="shared" si="714"/>
        <v>NO APLICA</v>
      </c>
      <c r="HM233" s="6"/>
      <c r="HN233" s="6"/>
      <c r="HO233" s="6"/>
      <c r="HP233" s="6"/>
      <c r="HQ233" s="5" t="str">
        <f t="shared" si="751"/>
        <v>NO APLICA</v>
      </c>
      <c r="HR233" s="6"/>
      <c r="HS233" s="6"/>
      <c r="HT233" s="6"/>
      <c r="HU233" s="6"/>
      <c r="HV233" s="5" t="str">
        <f t="shared" si="752"/>
        <v>NO APLICA</v>
      </c>
      <c r="HW233" s="6"/>
      <c r="HX233" s="6"/>
      <c r="HY233" s="6"/>
      <c r="HZ233" s="6"/>
      <c r="IA233" s="5" t="str">
        <f t="shared" si="753"/>
        <v>NO APLICA</v>
      </c>
      <c r="IB233" s="6"/>
      <c r="IC233" s="6"/>
      <c r="ID233" s="6"/>
      <c r="IE233" s="6"/>
      <c r="IF233" s="5" t="str">
        <f t="shared" si="754"/>
        <v>NO APLICA</v>
      </c>
      <c r="IG233" s="6"/>
      <c r="IH233" s="6"/>
      <c r="II233" s="6"/>
      <c r="IJ233" s="6"/>
      <c r="IK233" s="5" t="str">
        <f t="shared" si="755"/>
        <v>NO APLICA</v>
      </c>
      <c r="IL233" s="6"/>
      <c r="IM233" s="6"/>
      <c r="IN233" s="6"/>
      <c r="IO233" s="6"/>
      <c r="IP233" s="5" t="str">
        <f t="shared" si="756"/>
        <v>NO APLICA</v>
      </c>
      <c r="IQ233" s="6"/>
      <c r="IR233" s="6"/>
      <c r="IS233" s="6"/>
      <c r="IT233" s="6"/>
      <c r="IU233" s="5" t="str">
        <f t="shared" si="757"/>
        <v>NO APLICA</v>
      </c>
      <c r="IV233" s="6"/>
      <c r="IW233" s="6"/>
      <c r="IX233" s="6"/>
      <c r="IY233" s="6"/>
      <c r="IZ233" s="5" t="str">
        <f t="shared" si="758"/>
        <v>NO APLICA</v>
      </c>
      <c r="JA233" s="6"/>
      <c r="JB233" s="6"/>
      <c r="JC233" s="6"/>
      <c r="JD233" s="6"/>
      <c r="JE233" s="5" t="str">
        <f t="shared" si="759"/>
        <v>NO APLICA</v>
      </c>
      <c r="JF233" s="6"/>
      <c r="JG233" s="6"/>
      <c r="JH233" s="6"/>
      <c r="JI233" s="6"/>
      <c r="JJ233" s="5" t="str">
        <f t="shared" si="760"/>
        <v>NO APLICA</v>
      </c>
      <c r="JK233" s="6"/>
      <c r="JL233" s="6"/>
      <c r="JM233" s="6"/>
      <c r="JN233" s="6"/>
      <c r="JO233" s="5" t="str">
        <f t="shared" si="761"/>
        <v>NO APLICA</v>
      </c>
      <c r="JP233" s="6"/>
      <c r="JQ233" s="6"/>
      <c r="JR233" s="6"/>
      <c r="JS233" s="6"/>
      <c r="JT233" s="5" t="str">
        <f t="shared" si="762"/>
        <v>NO APLICA</v>
      </c>
      <c r="JU233" s="5"/>
      <c r="JV233" s="5"/>
      <c r="JW233" s="5"/>
      <c r="JX233" s="5"/>
      <c r="JY233" s="5" t="str">
        <f t="shared" si="763"/>
        <v>NO APLICA</v>
      </c>
      <c r="JZ233" s="5"/>
      <c r="KA233" s="6"/>
      <c r="KB233" s="6"/>
      <c r="KC233" s="6"/>
      <c r="KD233" s="5" t="str">
        <f t="shared" si="764"/>
        <v>NO APLICA</v>
      </c>
      <c r="KE233" s="5"/>
      <c r="KF233" s="6"/>
      <c r="KG233" s="6"/>
      <c r="KH233" s="6"/>
      <c r="KI233" s="5" t="str">
        <f t="shared" si="784"/>
        <v>NO APLICA</v>
      </c>
      <c r="KJ233" s="5"/>
      <c r="KK233" s="6"/>
      <c r="KL233" s="6"/>
      <c r="KM233" s="6"/>
      <c r="KN233" s="5" t="str">
        <f t="shared" si="765"/>
        <v>NO APLICA</v>
      </c>
      <c r="KO233" s="5"/>
      <c r="KP233" s="6"/>
      <c r="KQ233" s="6"/>
      <c r="KR233" s="6"/>
      <c r="KS233" s="5" t="str">
        <f t="shared" si="785"/>
        <v>NO APLICA</v>
      </c>
      <c r="KT233" s="6"/>
      <c r="KU233" s="6"/>
      <c r="KV233" s="6"/>
      <c r="KW233" s="6"/>
      <c r="KX233" s="5" t="str">
        <f t="shared" si="791"/>
        <v>NO APLICA</v>
      </c>
      <c r="KY233" s="5"/>
      <c r="KZ233" s="6"/>
      <c r="LA233" s="6"/>
      <c r="LB233" s="6"/>
      <c r="LC233" s="5" t="str">
        <f t="shared" si="786"/>
        <v>NO APLICA</v>
      </c>
      <c r="LD233" s="6"/>
      <c r="LE233" s="6"/>
      <c r="LF233" s="6"/>
      <c r="LG233" s="6"/>
      <c r="LH233" s="5" t="str">
        <f t="shared" si="797"/>
        <v>NO APLICA</v>
      </c>
      <c r="LI233" s="5"/>
      <c r="LJ233" s="5"/>
      <c r="LK233" s="4"/>
      <c r="LL233" s="8"/>
      <c r="LM233" s="5" t="str">
        <f t="shared" si="792"/>
        <v>NO APLICA</v>
      </c>
      <c r="LN233" s="6"/>
      <c r="LO233" s="6"/>
      <c r="LP233" s="6"/>
      <c r="LQ233" s="6"/>
      <c r="LR233" s="5" t="str">
        <f t="shared" si="787"/>
        <v>NO APLICA</v>
      </c>
      <c r="LS233" s="6"/>
      <c r="LT233" s="6"/>
      <c r="LU233" s="6"/>
      <c r="LV233" s="6"/>
      <c r="LW233" s="5" t="str">
        <f t="shared" si="788"/>
        <v>NO APLICA</v>
      </c>
      <c r="LX233" s="6"/>
      <c r="LY233" s="6"/>
      <c r="LZ233" s="6"/>
      <c r="MA233" s="6"/>
      <c r="MB233" s="5" t="str">
        <f t="shared" si="789"/>
        <v>NO APLICA</v>
      </c>
      <c r="MC233" s="6"/>
      <c r="MD233" s="6"/>
      <c r="ME233" s="6"/>
      <c r="MF233" s="6"/>
      <c r="MG233" s="5" t="str">
        <f t="shared" si="766"/>
        <v>NO APLICA</v>
      </c>
      <c r="MH233" s="6"/>
      <c r="MI233" s="6"/>
      <c r="MJ233" s="6"/>
      <c r="MK233" s="6"/>
      <c r="ML233" s="5" t="str">
        <f t="shared" si="767"/>
        <v>NO APLICA</v>
      </c>
      <c r="MM233" s="5"/>
      <c r="MN233" s="6"/>
      <c r="MO233" s="6"/>
      <c r="MP233" s="6"/>
      <c r="MQ233" s="5" t="str">
        <f t="shared" si="768"/>
        <v>NO APLICA</v>
      </c>
      <c r="MR233" s="5"/>
      <c r="MS233" s="6"/>
      <c r="MT233" s="6"/>
      <c r="MU233" s="6"/>
      <c r="MV233" s="5" t="str">
        <f t="shared" si="769"/>
        <v>NO APLICA</v>
      </c>
      <c r="MW233" s="6"/>
      <c r="MX233" s="6"/>
      <c r="MY233" s="6"/>
      <c r="MZ233" s="6"/>
      <c r="NA233" s="5" t="str">
        <f t="shared" si="770"/>
        <v>NO APLICA</v>
      </c>
      <c r="NB233" s="6"/>
      <c r="NC233" s="6"/>
      <c r="ND233" s="6"/>
      <c r="NE233" s="6"/>
      <c r="NF233" s="5" t="str">
        <f t="shared" si="771"/>
        <v>NO APLICA</v>
      </c>
      <c r="NG233" s="6"/>
      <c r="NH233" s="6"/>
      <c r="NI233" s="6"/>
      <c r="NJ233" s="6"/>
      <c r="NK233" s="5" t="str">
        <f t="shared" si="772"/>
        <v>NO APLICA</v>
      </c>
      <c r="NL233" s="6"/>
      <c r="NM233" s="6"/>
      <c r="NN233" s="6"/>
      <c r="NO233" s="6"/>
      <c r="NP233" s="5" t="str">
        <f t="shared" si="773"/>
        <v>NO APLICA</v>
      </c>
      <c r="NQ233" s="6"/>
      <c r="NR233" s="6"/>
      <c r="NS233" s="6"/>
      <c r="NT233" s="6"/>
      <c r="NU233" s="5" t="str">
        <f t="shared" si="774"/>
        <v>NO APLICA</v>
      </c>
      <c r="NV233" s="6"/>
      <c r="NW233" s="6"/>
      <c r="NX233" s="6"/>
      <c r="NY233" s="6"/>
      <c r="NZ233" s="5" t="str">
        <f t="shared" si="775"/>
        <v>NO APLICA</v>
      </c>
      <c r="OA233" s="6"/>
      <c r="OB233" s="6"/>
      <c r="OC233" s="6"/>
      <c r="OD233" s="6"/>
      <c r="OE233" s="5" t="str">
        <f t="shared" si="776"/>
        <v>NO APLICA</v>
      </c>
      <c r="OF233" s="6"/>
      <c r="OG233" s="6"/>
      <c r="OH233" s="6"/>
      <c r="OI233" s="6"/>
      <c r="OJ233" s="5" t="str">
        <f t="shared" si="777"/>
        <v>NO APLICA</v>
      </c>
      <c r="OK233" s="6"/>
      <c r="OL233" s="6"/>
      <c r="OM233" s="6"/>
      <c r="ON233" s="6"/>
      <c r="OO233" s="5" t="str">
        <f t="shared" si="778"/>
        <v>NO APLICA</v>
      </c>
      <c r="OP233" s="6"/>
      <c r="OQ233" s="6"/>
      <c r="OR233" s="6"/>
      <c r="OS233" s="6"/>
      <c r="OT233" s="5" t="str">
        <f t="shared" si="779"/>
        <v>NO APLICA</v>
      </c>
      <c r="OU233" s="6"/>
      <c r="OV233" s="6"/>
      <c r="OW233" s="6"/>
      <c r="OX233" s="6"/>
      <c r="OY233" s="5" t="str">
        <f t="shared" si="793"/>
        <v>NO APLICA</v>
      </c>
      <c r="OZ233" s="6"/>
      <c r="PA233" s="6"/>
      <c r="PB233" s="6"/>
      <c r="PC233" s="6"/>
      <c r="PD233" s="5" t="str">
        <f t="shared" si="780"/>
        <v>NO APLICA</v>
      </c>
      <c r="PE233" s="6"/>
      <c r="PF233" s="6"/>
      <c r="PG233" s="6"/>
      <c r="PH233" s="6"/>
      <c r="PI233" s="5" t="str">
        <f t="shared" si="781"/>
        <v>NO APLICA</v>
      </c>
      <c r="PJ233" s="5"/>
      <c r="PK233" s="6"/>
      <c r="PL233" s="6"/>
      <c r="PM233" s="6"/>
      <c r="PN233" s="5" t="str">
        <f t="shared" si="790"/>
        <v>NO APLICA</v>
      </c>
      <c r="PO233" s="6"/>
      <c r="PP233" s="6"/>
      <c r="PQ233" s="6"/>
      <c r="PR233" s="6"/>
      <c r="PS233" s="5" t="str">
        <f t="shared" si="782"/>
        <v>NO APLICA</v>
      </c>
      <c r="PT233" s="5"/>
      <c r="PU233" s="6"/>
      <c r="PV233" s="6"/>
      <c r="PW233" s="6"/>
      <c r="PX233" s="5" t="str">
        <f t="shared" si="783"/>
        <v>NO APLICA</v>
      </c>
    </row>
    <row r="234" spans="1:440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6"/>
      <c r="V234" s="4"/>
      <c r="W234" s="4"/>
      <c r="X234" s="8"/>
      <c r="Y234" s="5" t="str">
        <f>IF(X234&gt;=90,"VIGENTE",IF(X234&gt;=1,"POR VENCER",IF(X234&lt;=-1,"VENCIDA",IF(V234=0,"NO APLICA"))))</f>
        <v>NO APLICA</v>
      </c>
      <c r="Z234" s="6"/>
      <c r="AA234" s="6"/>
      <c r="AB234" s="6"/>
      <c r="AC234" s="6"/>
      <c r="AD234" s="5" t="str">
        <f t="shared" si="627"/>
        <v>NO APLICA</v>
      </c>
      <c r="AE234" s="4"/>
      <c r="AF234" s="4"/>
      <c r="AG234" s="4"/>
      <c r="AH234" s="6"/>
      <c r="AI234" s="5" t="str">
        <f t="shared" si="796"/>
        <v>NO APLICA</v>
      </c>
      <c r="AJ234" s="4"/>
      <c r="AK234" s="4"/>
      <c r="AL234" s="4"/>
      <c r="AM234" s="6"/>
      <c r="AN234" s="5" t="str">
        <f t="shared" si="720"/>
        <v>NO APLICA</v>
      </c>
      <c r="AO234" s="4"/>
      <c r="AP234" s="4"/>
      <c r="AQ234" s="4"/>
      <c r="AR234" s="6"/>
      <c r="AS234" s="5" t="str">
        <f t="shared" si="721"/>
        <v>NO APLICA</v>
      </c>
      <c r="AT234" s="4"/>
      <c r="AU234" s="4"/>
      <c r="AV234" s="4"/>
      <c r="AW234" s="6"/>
      <c r="AX234" s="5" t="str">
        <f t="shared" si="722"/>
        <v>NO APLICA</v>
      </c>
      <c r="AY234" s="4"/>
      <c r="AZ234" s="4"/>
      <c r="BA234" s="4"/>
      <c r="BB234" s="6"/>
      <c r="BC234" s="5" t="str">
        <f t="shared" si="723"/>
        <v>NO APLICA</v>
      </c>
      <c r="BD234" s="4"/>
      <c r="BE234" s="4"/>
      <c r="BF234" s="4"/>
      <c r="BG234" s="6"/>
      <c r="BH234" s="5" t="str">
        <f t="shared" si="724"/>
        <v>NO APLICA</v>
      </c>
      <c r="BI234" s="4"/>
      <c r="BJ234" s="4"/>
      <c r="BK234" s="4"/>
      <c r="BL234" s="6"/>
      <c r="BM234" s="5" t="str">
        <f t="shared" si="725"/>
        <v>NO APLICA</v>
      </c>
      <c r="BN234" s="4"/>
      <c r="BO234" s="4"/>
      <c r="BP234" s="4"/>
      <c r="BQ234" s="6"/>
      <c r="BR234" s="5" t="str">
        <f t="shared" si="726"/>
        <v>NO APLICA</v>
      </c>
      <c r="BS234" s="4"/>
      <c r="BT234" s="4"/>
      <c r="BU234" s="4"/>
      <c r="BV234" s="6"/>
      <c r="BW234" s="5" t="str">
        <f t="shared" si="727"/>
        <v>NO APLICA</v>
      </c>
      <c r="BX234" s="4"/>
      <c r="BY234" s="4"/>
      <c r="BZ234" s="4"/>
      <c r="CA234" s="6"/>
      <c r="CB234" s="5" t="str">
        <f t="shared" si="728"/>
        <v>NO APLICA</v>
      </c>
      <c r="CC234" s="6"/>
      <c r="CD234" s="6"/>
      <c r="CE234" s="6"/>
      <c r="CF234" s="6"/>
      <c r="CG234" s="5" t="str">
        <f t="shared" si="794"/>
        <v>NO APLICA</v>
      </c>
      <c r="CH234" s="4"/>
      <c r="CI234" s="4"/>
      <c r="CJ234" s="4"/>
      <c r="CK234" s="6"/>
      <c r="CL234" s="5" t="str">
        <f t="shared" si="729"/>
        <v>NO APLICA</v>
      </c>
      <c r="CM234" s="4"/>
      <c r="CN234" s="4"/>
      <c r="CO234" s="4"/>
      <c r="CP234" s="6"/>
      <c r="CQ234" s="5" t="str">
        <f t="shared" si="730"/>
        <v>NO APLICA</v>
      </c>
      <c r="CR234" s="4"/>
      <c r="CS234" s="4"/>
      <c r="CT234" s="4"/>
      <c r="CU234" s="6"/>
      <c r="CV234" s="5" t="str">
        <f t="shared" si="731"/>
        <v>NO APLICA</v>
      </c>
      <c r="CW234" s="4"/>
      <c r="CX234" s="4"/>
      <c r="CY234" s="4"/>
      <c r="CZ234" s="6"/>
      <c r="DA234" s="5" t="str">
        <f t="shared" si="732"/>
        <v>NO APLICA</v>
      </c>
      <c r="DB234" s="4"/>
      <c r="DC234" s="4"/>
      <c r="DD234" s="4"/>
      <c r="DE234" s="6"/>
      <c r="DF234" s="5" t="str">
        <f t="shared" si="733"/>
        <v>NO APLICA</v>
      </c>
      <c r="DG234" s="4"/>
      <c r="DH234" s="4"/>
      <c r="DI234" s="4"/>
      <c r="DJ234" s="6"/>
      <c r="DK234" s="5" t="str">
        <f t="shared" si="734"/>
        <v>NO APLICA</v>
      </c>
      <c r="DL234" s="4"/>
      <c r="DM234" s="4"/>
      <c r="DN234" s="4"/>
      <c r="DO234" s="6"/>
      <c r="DP234" s="5" t="str">
        <f t="shared" si="735"/>
        <v>NO APLICA</v>
      </c>
      <c r="DQ234" s="4"/>
      <c r="DR234" s="4"/>
      <c r="DS234" s="4"/>
      <c r="DT234" s="6"/>
      <c r="DU234" s="5" t="str">
        <f t="shared" si="736"/>
        <v>NO APLICA</v>
      </c>
      <c r="DV234" s="4"/>
      <c r="DW234" s="4"/>
      <c r="DX234" s="4"/>
      <c r="DY234" s="6"/>
      <c r="DZ234" s="5" t="str">
        <f t="shared" si="737"/>
        <v>NO APLICA</v>
      </c>
      <c r="EA234" s="4"/>
      <c r="EB234" s="4"/>
      <c r="EC234" s="4"/>
      <c r="ED234" s="6"/>
      <c r="EE234" s="5" t="str">
        <f t="shared" si="738"/>
        <v>NO APLICA</v>
      </c>
      <c r="EF234" s="4"/>
      <c r="EG234" s="4"/>
      <c r="EH234" s="4"/>
      <c r="EI234" s="8"/>
      <c r="EJ234" s="5" t="str">
        <f t="shared" si="739"/>
        <v>NO APLICA</v>
      </c>
      <c r="EK234" s="4"/>
      <c r="EL234" s="4"/>
      <c r="EM234" s="4"/>
      <c r="EN234" s="8"/>
      <c r="EO234" s="5" t="str">
        <f t="shared" si="740"/>
        <v>NO APLICA</v>
      </c>
      <c r="EP234" s="4"/>
      <c r="EQ234" s="4"/>
      <c r="ER234" s="4"/>
      <c r="ES234" s="8"/>
      <c r="ET234" s="5" t="str">
        <f t="shared" si="741"/>
        <v>NO APLICA</v>
      </c>
      <c r="EU234" s="4"/>
      <c r="EV234" s="4"/>
      <c r="EW234" s="4"/>
      <c r="EX234" s="6"/>
      <c r="EY234" s="5" t="str">
        <f t="shared" si="742"/>
        <v>NO APLICA</v>
      </c>
      <c r="EZ234" s="4"/>
      <c r="FA234" s="4"/>
      <c r="FB234" s="4"/>
      <c r="FC234" s="6"/>
      <c r="FD234" s="5" t="str">
        <f t="shared" si="743"/>
        <v>NO APLICA</v>
      </c>
      <c r="FE234" s="4"/>
      <c r="FF234" s="4"/>
      <c r="FG234" s="4"/>
      <c r="FH234" s="6"/>
      <c r="FI234" s="5" t="str">
        <f t="shared" si="744"/>
        <v>NO APLICA</v>
      </c>
      <c r="FJ234" s="4"/>
      <c r="FK234" s="4"/>
      <c r="FL234" s="4"/>
      <c r="FM234" s="6"/>
      <c r="FN234" s="5" t="str">
        <f t="shared" si="745"/>
        <v>NO APLICA</v>
      </c>
      <c r="FO234" s="4"/>
      <c r="FP234" s="4"/>
      <c r="FQ234" s="4"/>
      <c r="FR234" s="6"/>
      <c r="FS234" s="5" t="str">
        <f t="shared" si="746"/>
        <v>NO APLICA</v>
      </c>
      <c r="FT234" s="4"/>
      <c r="FU234" s="4"/>
      <c r="FV234" s="4"/>
      <c r="FW234" s="6"/>
      <c r="FX234" s="5" t="str">
        <f t="shared" si="747"/>
        <v>NO APLICA</v>
      </c>
      <c r="FY234" s="4"/>
      <c r="FZ234" s="4"/>
      <c r="GA234" s="4"/>
      <c r="GB234" s="6"/>
      <c r="GC234" s="5" t="str">
        <f t="shared" si="748"/>
        <v>NO APLICA</v>
      </c>
      <c r="GD234" s="4"/>
      <c r="GE234" s="4"/>
      <c r="GF234" s="4"/>
      <c r="GG234" s="8"/>
      <c r="GH234" s="5" t="str">
        <f t="shared" si="749"/>
        <v>NO APLICA</v>
      </c>
      <c r="GI234" s="4"/>
      <c r="GJ234" s="6"/>
      <c r="GK234" s="6"/>
      <c r="GL234" s="6"/>
      <c r="GM234" s="5" t="str">
        <f t="shared" si="750"/>
        <v>NO APLICA</v>
      </c>
      <c r="GN234" s="4"/>
      <c r="GO234" s="6"/>
      <c r="GP234" s="6"/>
      <c r="GQ234" s="6"/>
      <c r="GR234" s="5" t="str">
        <f t="shared" si="630"/>
        <v>NO APLICA</v>
      </c>
      <c r="GS234" s="4"/>
      <c r="GT234" s="6"/>
      <c r="GU234" s="6"/>
      <c r="GV234" s="6"/>
      <c r="GW234" s="5" t="str">
        <f t="shared" si="631"/>
        <v>NO APLICA</v>
      </c>
      <c r="GX234" s="6"/>
      <c r="GY234" s="6"/>
      <c r="GZ234" s="6"/>
      <c r="HA234" s="6"/>
      <c r="HB234" s="5" t="str">
        <f t="shared" si="632"/>
        <v>NO APLICA</v>
      </c>
      <c r="HC234" s="6"/>
      <c r="HD234" s="6"/>
      <c r="HE234" s="4"/>
      <c r="HF234" s="8"/>
      <c r="HG234" s="5" t="str">
        <f t="shared" si="718"/>
        <v>NO APLICA</v>
      </c>
      <c r="HH234" s="6"/>
      <c r="HI234" s="6"/>
      <c r="HJ234" s="6"/>
      <c r="HK234" s="6"/>
      <c r="HL234" s="5" t="str">
        <f t="shared" si="714"/>
        <v>NO APLICA</v>
      </c>
      <c r="HM234" s="6"/>
      <c r="HN234" s="6"/>
      <c r="HO234" s="6"/>
      <c r="HP234" s="6"/>
      <c r="HQ234" s="5" t="str">
        <f t="shared" si="751"/>
        <v>NO APLICA</v>
      </c>
      <c r="HR234" s="6"/>
      <c r="HS234" s="6"/>
      <c r="HT234" s="6"/>
      <c r="HU234" s="6"/>
      <c r="HV234" s="5" t="str">
        <f t="shared" si="752"/>
        <v>NO APLICA</v>
      </c>
      <c r="HW234" s="6"/>
      <c r="HX234" s="6"/>
      <c r="HY234" s="6"/>
      <c r="HZ234" s="6"/>
      <c r="IA234" s="5" t="str">
        <f t="shared" si="753"/>
        <v>NO APLICA</v>
      </c>
      <c r="IB234" s="6"/>
      <c r="IC234" s="6"/>
      <c r="ID234" s="6"/>
      <c r="IE234" s="6"/>
      <c r="IF234" s="5" t="str">
        <f t="shared" si="754"/>
        <v>NO APLICA</v>
      </c>
      <c r="IG234" s="6"/>
      <c r="IH234" s="6"/>
      <c r="II234" s="6"/>
      <c r="IJ234" s="6"/>
      <c r="IK234" s="5" t="str">
        <f t="shared" si="755"/>
        <v>NO APLICA</v>
      </c>
      <c r="IL234" s="6"/>
      <c r="IM234" s="6"/>
      <c r="IN234" s="6"/>
      <c r="IO234" s="6"/>
      <c r="IP234" s="5" t="str">
        <f t="shared" si="756"/>
        <v>NO APLICA</v>
      </c>
      <c r="IQ234" s="6"/>
      <c r="IR234" s="6"/>
      <c r="IS234" s="6"/>
      <c r="IT234" s="6"/>
      <c r="IU234" s="5" t="str">
        <f t="shared" si="757"/>
        <v>NO APLICA</v>
      </c>
      <c r="IV234" s="6"/>
      <c r="IW234" s="6"/>
      <c r="IX234" s="6"/>
      <c r="IY234" s="6"/>
      <c r="IZ234" s="5" t="str">
        <f t="shared" si="758"/>
        <v>NO APLICA</v>
      </c>
      <c r="JA234" s="10"/>
      <c r="JB234" s="10"/>
      <c r="JC234" s="4"/>
      <c r="JD234" s="8"/>
      <c r="JE234" s="5" t="str">
        <f>IF(JD234&gt;=61,"VIGENTE",IF(JD234&gt;=1,"POR VENCER",IF(JD234&lt;=-1,"VENCIDA",IF(JB234=0,"NO APLICA"))))</f>
        <v>NO APLICA</v>
      </c>
      <c r="JF234" s="10"/>
      <c r="JG234" s="10"/>
      <c r="JH234" s="4"/>
      <c r="JI234" s="8"/>
      <c r="JJ234" s="5" t="str">
        <f>IF(JI234&gt;=61,"VIGENTE",IF(JI234&gt;=1,"POR VENCER",IF(JI234&lt;=-1,"VENCIDA",IF(JF234=0,"NO APLICA"))))</f>
        <v>NO APLICA</v>
      </c>
      <c r="JK234" s="6"/>
      <c r="JL234" s="6"/>
      <c r="JM234" s="6"/>
      <c r="JN234" s="6"/>
      <c r="JO234" s="5" t="str">
        <f t="shared" si="761"/>
        <v>NO APLICA</v>
      </c>
      <c r="JP234" s="10"/>
      <c r="JQ234" s="10"/>
      <c r="JR234" s="4"/>
      <c r="JS234" s="8"/>
      <c r="JT234" s="5" t="str">
        <f>IF(JS234&gt;=61,"VIGENTE",IF(JS234&gt;=1,"POR VENCER",IF(JS234&lt;=-1,"VENCIDA",IF(JQ234=0,"NO APLICA"))))</f>
        <v>NO APLICA</v>
      </c>
      <c r="JU234" s="21"/>
      <c r="JV234" s="26"/>
      <c r="JW234" s="4"/>
      <c r="JX234" s="8"/>
      <c r="JY234" s="5" t="str">
        <f>IF(JX234&gt;=61,"VIGENTE",IF(JX234&gt;=1,"POR VENCER",IF(JX234&lt;=-1,"VENCIDA",IF(JV234=0,"NO APLICA"))))</f>
        <v>NO APLICA</v>
      </c>
      <c r="JZ234" s="5"/>
      <c r="KA234" s="6"/>
      <c r="KB234" s="6"/>
      <c r="KC234" s="6"/>
      <c r="KD234" s="5" t="str">
        <f t="shared" si="764"/>
        <v>NO APLICA</v>
      </c>
      <c r="KE234" s="5"/>
      <c r="KF234" s="6"/>
      <c r="KG234" s="6"/>
      <c r="KH234" s="6"/>
      <c r="KI234" s="5" t="str">
        <f t="shared" si="784"/>
        <v>NO APLICA</v>
      </c>
      <c r="KJ234" s="5"/>
      <c r="KK234" s="6"/>
      <c r="KL234" s="6"/>
      <c r="KM234" s="6"/>
      <c r="KN234" s="5" t="str">
        <f t="shared" si="765"/>
        <v>NO APLICA</v>
      </c>
      <c r="KO234" s="5"/>
      <c r="KP234" s="6"/>
      <c r="KQ234" s="6"/>
      <c r="KR234" s="6"/>
      <c r="KS234" s="5" t="str">
        <f t="shared" si="785"/>
        <v>NO APLICA</v>
      </c>
      <c r="KT234" s="6"/>
      <c r="KU234" s="6"/>
      <c r="KV234" s="6"/>
      <c r="KW234" s="6"/>
      <c r="KX234" s="5" t="str">
        <f t="shared" si="791"/>
        <v>NO APLICA</v>
      </c>
      <c r="KY234" s="5"/>
      <c r="KZ234" s="6"/>
      <c r="LA234" s="6"/>
      <c r="LB234" s="6"/>
      <c r="LC234" s="5" t="str">
        <f t="shared" si="786"/>
        <v>NO APLICA</v>
      </c>
      <c r="LD234" s="6"/>
      <c r="LE234" s="6"/>
      <c r="LF234" s="6"/>
      <c r="LG234" s="6"/>
      <c r="LH234" s="5" t="str">
        <f t="shared" si="797"/>
        <v>NO APLICA</v>
      </c>
      <c r="LI234" s="5"/>
      <c r="LJ234" s="5"/>
      <c r="LK234" s="4"/>
      <c r="LL234" s="8"/>
      <c r="LM234" s="5" t="str">
        <f t="shared" si="792"/>
        <v>NO APLICA</v>
      </c>
      <c r="LN234" s="6"/>
      <c r="LO234" s="6"/>
      <c r="LP234" s="6"/>
      <c r="LQ234" s="6"/>
      <c r="LR234" s="5" t="str">
        <f t="shared" si="787"/>
        <v>NO APLICA</v>
      </c>
      <c r="LS234" s="6"/>
      <c r="LT234" s="6"/>
      <c r="LU234" s="6"/>
      <c r="LV234" s="6"/>
      <c r="LW234" s="5" t="str">
        <f t="shared" si="788"/>
        <v>NO APLICA</v>
      </c>
      <c r="LX234" s="6"/>
      <c r="LY234" s="6"/>
      <c r="LZ234" s="6"/>
      <c r="MA234" s="6"/>
      <c r="MB234" s="5" t="str">
        <f t="shared" si="789"/>
        <v>NO APLICA</v>
      </c>
      <c r="MC234" s="6"/>
      <c r="MD234" s="6"/>
      <c r="ME234" s="6"/>
      <c r="MF234" s="6"/>
      <c r="MG234" s="5" t="str">
        <f t="shared" si="766"/>
        <v>NO APLICA</v>
      </c>
      <c r="MH234" s="6"/>
      <c r="MI234" s="6"/>
      <c r="MJ234" s="6"/>
      <c r="MK234" s="6"/>
      <c r="ML234" s="5" t="str">
        <f t="shared" si="767"/>
        <v>NO APLICA</v>
      </c>
      <c r="MM234" s="5"/>
      <c r="MN234" s="6"/>
      <c r="MO234" s="6"/>
      <c r="MP234" s="6"/>
      <c r="MQ234" s="5" t="str">
        <f t="shared" si="768"/>
        <v>NO APLICA</v>
      </c>
      <c r="MR234" s="5"/>
      <c r="MS234" s="6"/>
      <c r="MT234" s="6"/>
      <c r="MU234" s="6"/>
      <c r="MV234" s="5" t="str">
        <f t="shared" si="769"/>
        <v>NO APLICA</v>
      </c>
      <c r="MW234" s="6"/>
      <c r="MX234" s="6"/>
      <c r="MY234" s="6"/>
      <c r="MZ234" s="6"/>
      <c r="NA234" s="5" t="str">
        <f t="shared" si="770"/>
        <v>NO APLICA</v>
      </c>
      <c r="NB234" s="6"/>
      <c r="NC234" s="6"/>
      <c r="ND234" s="6"/>
      <c r="NE234" s="6"/>
      <c r="NF234" s="5" t="str">
        <f t="shared" si="771"/>
        <v>NO APLICA</v>
      </c>
      <c r="NG234" s="6"/>
      <c r="NH234" s="6"/>
      <c r="NI234" s="6"/>
      <c r="NJ234" s="6"/>
      <c r="NK234" s="5" t="str">
        <f t="shared" si="772"/>
        <v>NO APLICA</v>
      </c>
      <c r="NL234" s="6"/>
      <c r="NM234" s="6"/>
      <c r="NN234" s="6"/>
      <c r="NO234" s="6"/>
      <c r="NP234" s="5" t="str">
        <f t="shared" si="773"/>
        <v>NO APLICA</v>
      </c>
      <c r="NQ234" s="6"/>
      <c r="NR234" s="6"/>
      <c r="NS234" s="6"/>
      <c r="NT234" s="6"/>
      <c r="NU234" s="5" t="str">
        <f t="shared" si="774"/>
        <v>NO APLICA</v>
      </c>
      <c r="NV234" s="6"/>
      <c r="NW234" s="6"/>
      <c r="NX234" s="6"/>
      <c r="NY234" s="6"/>
      <c r="NZ234" s="5" t="str">
        <f t="shared" si="775"/>
        <v>NO APLICA</v>
      </c>
      <c r="OA234" s="6"/>
      <c r="OB234" s="6"/>
      <c r="OC234" s="6"/>
      <c r="OD234" s="6"/>
      <c r="OE234" s="5" t="str">
        <f t="shared" si="776"/>
        <v>NO APLICA</v>
      </c>
      <c r="OF234" s="6"/>
      <c r="OG234" s="6"/>
      <c r="OH234" s="6"/>
      <c r="OI234" s="6"/>
      <c r="OJ234" s="5" t="str">
        <f t="shared" si="777"/>
        <v>NO APLICA</v>
      </c>
      <c r="OK234" s="6"/>
      <c r="OL234" s="6"/>
      <c r="OM234" s="6"/>
      <c r="ON234" s="6"/>
      <c r="OO234" s="5" t="str">
        <f t="shared" si="778"/>
        <v>NO APLICA</v>
      </c>
      <c r="OP234" s="6"/>
      <c r="OQ234" s="6"/>
      <c r="OR234" s="6"/>
      <c r="OS234" s="6"/>
      <c r="OT234" s="5" t="str">
        <f t="shared" si="779"/>
        <v>NO APLICA</v>
      </c>
      <c r="OU234" s="6"/>
      <c r="OV234" s="6"/>
      <c r="OW234" s="6"/>
      <c r="OX234" s="6"/>
      <c r="OY234" s="5" t="str">
        <f t="shared" si="793"/>
        <v>NO APLICA</v>
      </c>
      <c r="OZ234" s="6"/>
      <c r="PA234" s="6"/>
      <c r="PB234" s="6"/>
      <c r="PC234" s="6"/>
      <c r="PD234" s="5" t="str">
        <f t="shared" si="780"/>
        <v>NO APLICA</v>
      </c>
      <c r="PE234" s="6"/>
      <c r="PF234" s="6"/>
      <c r="PG234" s="6"/>
      <c r="PH234" s="6"/>
      <c r="PI234" s="5" t="str">
        <f t="shared" si="781"/>
        <v>NO APLICA</v>
      </c>
      <c r="PJ234" s="5"/>
      <c r="PK234" s="4">
        <v>44627</v>
      </c>
      <c r="PL234" s="4">
        <f>DATE(YEAR(PK234)+5,MONTH(PK234),DAY(PK234))</f>
        <v>46453</v>
      </c>
      <c r="PM234" s="8">
        <f ca="1">PL234-TODAY()</f>
        <v>319</v>
      </c>
      <c r="PN234" s="5" t="str">
        <f ca="1">IF(PM234&gt;=61,"VIGENTE",IF(PM234&gt;=1,"POR VENCER",IF(PM234&lt;=-1,"VENCIDA",IF(PK234=0,"NO APLICA"))))</f>
        <v>VIGENTE</v>
      </c>
      <c r="PO234" s="6"/>
      <c r="PP234" s="6"/>
      <c r="PQ234" s="6"/>
      <c r="PR234" s="6"/>
      <c r="PS234" s="5" t="str">
        <f t="shared" si="782"/>
        <v>NO APLICA</v>
      </c>
      <c r="PT234" s="5"/>
      <c r="PU234" s="6"/>
      <c r="PV234" s="6"/>
      <c r="PW234" s="6"/>
      <c r="PX234" s="5" t="str">
        <f t="shared" si="783"/>
        <v>NO APLICA</v>
      </c>
    </row>
    <row r="235" spans="1:440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649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6"/>
      <c r="V235" s="4"/>
      <c r="W235" s="4"/>
      <c r="X235" s="8"/>
      <c r="Y235" s="5" t="str">
        <f>IF(X235&gt;=90,"VIGENTE",IF(X235&gt;=1,"POR VENCER",IF(X235&lt;=-1,"VENCIDA",IF(V235=0,"NO APLICA"))))</f>
        <v>NO APLICA</v>
      </c>
      <c r="Z235" s="2"/>
      <c r="AA235" s="2"/>
      <c r="AB235" s="2"/>
      <c r="AC235" s="2"/>
      <c r="AD235" s="5" t="str">
        <f t="shared" si="627"/>
        <v>NO APLICA</v>
      </c>
      <c r="AE235" s="4"/>
      <c r="AF235" s="4"/>
      <c r="AG235" s="4"/>
      <c r="AH235" s="6"/>
      <c r="AI235" s="5" t="str">
        <f t="shared" si="796"/>
        <v>NO APLICA</v>
      </c>
      <c r="AJ235" s="4"/>
      <c r="AK235" s="4"/>
      <c r="AL235" s="4"/>
      <c r="AM235" s="8"/>
      <c r="AN235" s="5" t="str">
        <f t="shared" si="720"/>
        <v>NO APLICA</v>
      </c>
      <c r="AO235" s="4"/>
      <c r="AP235" s="4"/>
      <c r="AQ235" s="4"/>
      <c r="AR235" s="8"/>
      <c r="AS235" s="5" t="str">
        <f t="shared" si="721"/>
        <v>NO APLICA</v>
      </c>
      <c r="AT235" s="4"/>
      <c r="AU235" s="4"/>
      <c r="AV235" s="4"/>
      <c r="AW235" s="8"/>
      <c r="AX235" s="5" t="str">
        <f t="shared" si="722"/>
        <v>NO APLICA</v>
      </c>
      <c r="AY235" s="4"/>
      <c r="AZ235" s="4"/>
      <c r="BA235" s="4"/>
      <c r="BB235" s="8"/>
      <c r="BC235" s="5" t="str">
        <f t="shared" si="723"/>
        <v>NO APLICA</v>
      </c>
      <c r="BD235" s="4"/>
      <c r="BE235" s="4"/>
      <c r="BF235" s="4"/>
      <c r="BG235" s="8"/>
      <c r="BH235" s="5" t="str">
        <f t="shared" si="724"/>
        <v>NO APLICA</v>
      </c>
      <c r="BI235" s="4"/>
      <c r="BJ235" s="4"/>
      <c r="BK235" s="4"/>
      <c r="BL235" s="8"/>
      <c r="BM235" s="5" t="str">
        <f t="shared" si="725"/>
        <v>NO APLICA</v>
      </c>
      <c r="BN235" s="4"/>
      <c r="BO235" s="4"/>
      <c r="BP235" s="4"/>
      <c r="BQ235" s="8"/>
      <c r="BR235" s="5" t="str">
        <f t="shared" si="726"/>
        <v>NO APLICA</v>
      </c>
      <c r="BS235" s="4"/>
      <c r="BT235" s="4"/>
      <c r="BU235" s="4"/>
      <c r="BV235" s="8"/>
      <c r="BW235" s="5" t="str">
        <f t="shared" si="727"/>
        <v>NO APLICA</v>
      </c>
      <c r="BX235" s="4"/>
      <c r="BY235" s="4"/>
      <c r="BZ235" s="4"/>
      <c r="CA235" s="8"/>
      <c r="CB235" s="5" t="str">
        <f t="shared" si="728"/>
        <v>NO APLICA</v>
      </c>
      <c r="CC235" s="2"/>
      <c r="CD235" s="2"/>
      <c r="CE235" s="2"/>
      <c r="CF235" s="2"/>
      <c r="CG235" s="5" t="str">
        <f t="shared" si="794"/>
        <v>NO APLICA</v>
      </c>
      <c r="CH235" s="4"/>
      <c r="CI235" s="4"/>
      <c r="CJ235" s="4"/>
      <c r="CK235" s="8"/>
      <c r="CL235" s="5" t="str">
        <f t="shared" si="729"/>
        <v>NO APLICA</v>
      </c>
      <c r="CM235" s="4"/>
      <c r="CN235" s="4"/>
      <c r="CO235" s="4"/>
      <c r="CP235" s="8"/>
      <c r="CQ235" s="5" t="str">
        <f t="shared" si="730"/>
        <v>NO APLICA</v>
      </c>
      <c r="CR235" s="4"/>
      <c r="CS235" s="4"/>
      <c r="CT235" s="4"/>
      <c r="CU235" s="8"/>
      <c r="CV235" s="5" t="str">
        <f t="shared" si="731"/>
        <v>NO APLICA</v>
      </c>
      <c r="CW235" s="4"/>
      <c r="CX235" s="4"/>
      <c r="CY235" s="4"/>
      <c r="CZ235" s="8"/>
      <c r="DA235" s="5" t="str">
        <f t="shared" si="732"/>
        <v>NO APLICA</v>
      </c>
      <c r="DB235" s="4"/>
      <c r="DC235" s="4"/>
      <c r="DD235" s="4"/>
      <c r="DE235" s="8"/>
      <c r="DF235" s="5" t="str">
        <f t="shared" si="733"/>
        <v>NO APLICA</v>
      </c>
      <c r="DG235" s="4"/>
      <c r="DH235" s="4"/>
      <c r="DI235" s="4"/>
      <c r="DJ235" s="8"/>
      <c r="DK235" s="5" t="str">
        <f t="shared" si="734"/>
        <v>NO APLICA</v>
      </c>
      <c r="DL235" s="4"/>
      <c r="DM235" s="4"/>
      <c r="DN235" s="4"/>
      <c r="DO235" s="8"/>
      <c r="DP235" s="5" t="str">
        <f t="shared" si="735"/>
        <v>NO APLICA</v>
      </c>
      <c r="DQ235" s="4"/>
      <c r="DR235" s="4"/>
      <c r="DS235" s="4"/>
      <c r="DT235" s="8"/>
      <c r="DU235" s="5" t="str">
        <f t="shared" si="736"/>
        <v>NO APLICA</v>
      </c>
      <c r="DV235" s="4"/>
      <c r="DW235" s="4"/>
      <c r="DX235" s="4"/>
      <c r="DY235" s="8"/>
      <c r="DZ235" s="5" t="str">
        <f t="shared" si="737"/>
        <v>NO APLICA</v>
      </c>
      <c r="EA235" s="4"/>
      <c r="EB235" s="4"/>
      <c r="EC235" s="4"/>
      <c r="ED235" s="8"/>
      <c r="EE235" s="5" t="str">
        <f t="shared" si="738"/>
        <v>NO APLICA</v>
      </c>
      <c r="EF235" s="4"/>
      <c r="EG235" s="4"/>
      <c r="EH235" s="4"/>
      <c r="EI235" s="8"/>
      <c r="EJ235" s="5" t="str">
        <f t="shared" si="739"/>
        <v>NO APLICA</v>
      </c>
      <c r="EK235" s="4"/>
      <c r="EL235" s="6"/>
      <c r="EM235" s="4"/>
      <c r="EN235" s="8"/>
      <c r="EO235" s="5" t="str">
        <f t="shared" si="740"/>
        <v>NO APLICA</v>
      </c>
      <c r="EP235" s="4"/>
      <c r="EQ235" s="4"/>
      <c r="ER235" s="4"/>
      <c r="ES235" s="8"/>
      <c r="ET235" s="5" t="str">
        <f t="shared" si="741"/>
        <v>NO APLICA</v>
      </c>
      <c r="EU235" s="4"/>
      <c r="EV235" s="4"/>
      <c r="EW235" s="4"/>
      <c r="EX235" s="8"/>
      <c r="EY235" s="5" t="str">
        <f t="shared" si="742"/>
        <v>NO APLICA</v>
      </c>
      <c r="EZ235" s="4"/>
      <c r="FA235" s="4"/>
      <c r="FB235" s="4"/>
      <c r="FC235" s="8"/>
      <c r="FD235" s="5" t="str">
        <f t="shared" si="743"/>
        <v>NO APLICA</v>
      </c>
      <c r="FE235" s="4"/>
      <c r="FF235" s="4"/>
      <c r="FG235" s="4"/>
      <c r="FH235" s="8"/>
      <c r="FI235" s="5" t="str">
        <f t="shared" si="744"/>
        <v>NO APLICA</v>
      </c>
      <c r="FJ235" s="4"/>
      <c r="FK235" s="4"/>
      <c r="FL235" s="4"/>
      <c r="FM235" s="8"/>
      <c r="FN235" s="5" t="str">
        <f t="shared" si="745"/>
        <v>NO APLICA</v>
      </c>
      <c r="FO235" s="4"/>
      <c r="FP235" s="4"/>
      <c r="FQ235" s="4"/>
      <c r="FR235" s="8"/>
      <c r="FS235" s="5" t="str">
        <f t="shared" si="746"/>
        <v>NO APLICA</v>
      </c>
      <c r="FT235" s="4"/>
      <c r="FU235" s="4"/>
      <c r="FV235" s="4"/>
      <c r="FW235" s="8"/>
      <c r="FX235" s="5" t="str">
        <f t="shared" si="747"/>
        <v>NO APLICA</v>
      </c>
      <c r="FY235" s="4"/>
      <c r="FZ235" s="4"/>
      <c r="GA235" s="4"/>
      <c r="GB235" s="8"/>
      <c r="GC235" s="5" t="str">
        <f t="shared" si="748"/>
        <v>NO APLICA</v>
      </c>
      <c r="GD235" s="4"/>
      <c r="GE235" s="4"/>
      <c r="GF235" s="4"/>
      <c r="GG235" s="8"/>
      <c r="GH235" s="5" t="str">
        <f t="shared" si="749"/>
        <v>NO APLICA</v>
      </c>
      <c r="GI235" s="4"/>
      <c r="GJ235" s="6"/>
      <c r="GK235" s="4"/>
      <c r="GL235" s="8"/>
      <c r="GM235" s="5" t="str">
        <f t="shared" si="750"/>
        <v>NO APLICA</v>
      </c>
      <c r="GN235" s="4"/>
      <c r="GO235" s="6"/>
      <c r="GP235" s="4"/>
      <c r="GQ235" s="8"/>
      <c r="GR235" s="5" t="str">
        <f t="shared" si="630"/>
        <v>NO APLICA</v>
      </c>
      <c r="GS235" s="4"/>
      <c r="GT235" s="6"/>
      <c r="GU235" s="4"/>
      <c r="GV235" s="8"/>
      <c r="GW235" s="5" t="str">
        <f t="shared" si="631"/>
        <v>NO APLICA</v>
      </c>
      <c r="GX235" s="6"/>
      <c r="GY235" s="6"/>
      <c r="GZ235" s="4"/>
      <c r="HA235" s="8"/>
      <c r="HB235" s="5" t="str">
        <f t="shared" si="632"/>
        <v>NO APLICA</v>
      </c>
      <c r="HC235" s="6"/>
      <c r="HD235" s="6"/>
      <c r="HE235" s="4"/>
      <c r="HF235" s="8"/>
      <c r="HG235" s="5" t="str">
        <f t="shared" si="718"/>
        <v>NO APLICA</v>
      </c>
      <c r="HH235" s="6"/>
      <c r="HI235" s="6"/>
      <c r="HJ235" s="6"/>
      <c r="HK235" s="6"/>
      <c r="HL235" s="5" t="str">
        <f t="shared" si="714"/>
        <v>NO APLICA</v>
      </c>
      <c r="HM235" s="6"/>
      <c r="HN235" s="6"/>
      <c r="HO235" s="6"/>
      <c r="HP235" s="6"/>
      <c r="HQ235" s="5" t="str">
        <f t="shared" si="751"/>
        <v>NO APLICA</v>
      </c>
      <c r="HR235" s="6"/>
      <c r="HS235" s="6"/>
      <c r="HT235" s="6"/>
      <c r="HU235" s="6"/>
      <c r="HV235" s="5" t="str">
        <f t="shared" si="752"/>
        <v>NO APLICA</v>
      </c>
      <c r="HW235" s="6"/>
      <c r="HX235" s="6"/>
      <c r="HY235" s="6"/>
      <c r="HZ235" s="6"/>
      <c r="IA235" s="5" t="str">
        <f t="shared" si="753"/>
        <v>NO APLICA</v>
      </c>
      <c r="IB235" s="6"/>
      <c r="IC235" s="6"/>
      <c r="ID235" s="6"/>
      <c r="IE235" s="6"/>
      <c r="IF235" s="5" t="str">
        <f t="shared" si="754"/>
        <v>NO APLICA</v>
      </c>
      <c r="IG235" s="6"/>
      <c r="IH235" s="6"/>
      <c r="II235" s="6"/>
      <c r="IJ235" s="6"/>
      <c r="IK235" s="5" t="str">
        <f t="shared" si="755"/>
        <v>NO APLICA</v>
      </c>
      <c r="IL235" s="6"/>
      <c r="IM235" s="6"/>
      <c r="IN235" s="6"/>
      <c r="IO235" s="6"/>
      <c r="IP235" s="5" t="str">
        <f t="shared" si="756"/>
        <v>NO APLICA</v>
      </c>
      <c r="IQ235" s="6"/>
      <c r="IR235" s="6"/>
      <c r="IS235" s="6"/>
      <c r="IT235" s="6"/>
      <c r="IU235" s="5" t="str">
        <f t="shared" si="757"/>
        <v>NO APLICA</v>
      </c>
      <c r="IV235" s="6"/>
      <c r="IW235" s="6"/>
      <c r="IX235" s="6"/>
      <c r="IY235" s="6"/>
      <c r="IZ235" s="5" t="str">
        <f t="shared" si="758"/>
        <v>NO APLICA</v>
      </c>
      <c r="JA235" s="6"/>
      <c r="JB235" s="6"/>
      <c r="JC235" s="6"/>
      <c r="JD235" s="6"/>
      <c r="JE235" s="5" t="str">
        <f t="shared" si="759"/>
        <v>NO APLICA</v>
      </c>
      <c r="JF235" s="6"/>
      <c r="JG235" s="6"/>
      <c r="JH235" s="6"/>
      <c r="JI235" s="6"/>
      <c r="JJ235" s="5" t="str">
        <f t="shared" si="760"/>
        <v>NO APLICA</v>
      </c>
      <c r="JK235" s="6"/>
      <c r="JL235" s="6"/>
      <c r="JM235" s="6"/>
      <c r="JN235" s="6"/>
      <c r="JO235" s="5" t="str">
        <f t="shared" si="761"/>
        <v>NO APLICA</v>
      </c>
      <c r="JP235" s="6"/>
      <c r="JQ235" s="6"/>
      <c r="JR235" s="6"/>
      <c r="JS235" s="6"/>
      <c r="JT235" s="5" t="str">
        <f t="shared" si="762"/>
        <v>NO APLICA</v>
      </c>
      <c r="JU235" s="5"/>
      <c r="JV235" s="3"/>
      <c r="JW235" s="4"/>
      <c r="JX235" s="8"/>
      <c r="JY235" s="5" t="str">
        <f>IF(JX235&gt;=61,"VIGENTE",IF(JX235&gt;=1,"POR VENCER",IF(JX235&lt;=-1,"VENCIDA",IF(JV235=0,"NO APLICA"))))</f>
        <v>NO APLICA</v>
      </c>
      <c r="JZ235" s="5"/>
      <c r="KA235" s="6"/>
      <c r="KB235" s="6"/>
      <c r="KC235" s="6"/>
      <c r="KD235" s="5" t="str">
        <f t="shared" si="764"/>
        <v>NO APLICA</v>
      </c>
      <c r="KE235" s="5"/>
      <c r="KF235" s="6"/>
      <c r="KG235" s="6"/>
      <c r="KH235" s="6"/>
      <c r="KI235" s="5" t="str">
        <f t="shared" si="784"/>
        <v>NO APLICA</v>
      </c>
      <c r="KJ235" s="5"/>
      <c r="KK235" s="6"/>
      <c r="KL235" s="6"/>
      <c r="KM235" s="6"/>
      <c r="KN235" s="5" t="str">
        <f t="shared" si="765"/>
        <v>NO APLICA</v>
      </c>
      <c r="KO235" s="5"/>
      <c r="KP235" s="2"/>
      <c r="KQ235" s="2"/>
      <c r="KR235" s="2"/>
      <c r="KS235" s="5" t="str">
        <f t="shared" si="785"/>
        <v>NO APLICA</v>
      </c>
      <c r="KT235" s="6"/>
      <c r="KU235" s="6"/>
      <c r="KV235" s="6"/>
      <c r="KW235" s="6"/>
      <c r="KX235" s="5" t="str">
        <f t="shared" si="791"/>
        <v>NO APLICA</v>
      </c>
      <c r="KY235" s="5"/>
      <c r="KZ235" s="6"/>
      <c r="LA235" s="6"/>
      <c r="LB235" s="6"/>
      <c r="LC235" s="5" t="str">
        <f t="shared" si="786"/>
        <v>NO APLICA</v>
      </c>
      <c r="LD235" s="2"/>
      <c r="LE235" s="6"/>
      <c r="LF235" s="6"/>
      <c r="LG235" s="6"/>
      <c r="LH235" s="5" t="str">
        <f t="shared" si="797"/>
        <v>NO APLICA</v>
      </c>
      <c r="LI235" s="5"/>
      <c r="LJ235" s="5"/>
      <c r="LK235" s="4"/>
      <c r="LL235" s="8"/>
      <c r="LM235" s="5" t="str">
        <f t="shared" si="792"/>
        <v>NO APLICA</v>
      </c>
      <c r="LN235" s="6"/>
      <c r="LO235" s="6"/>
      <c r="LP235" s="6"/>
      <c r="LQ235" s="6"/>
      <c r="LR235" s="5" t="str">
        <f t="shared" si="787"/>
        <v>NO APLICA</v>
      </c>
      <c r="LS235" s="6"/>
      <c r="LT235" s="6"/>
      <c r="LU235" s="6"/>
      <c r="LV235" s="6"/>
      <c r="LW235" s="5" t="str">
        <f t="shared" si="788"/>
        <v>NO APLICA</v>
      </c>
      <c r="LX235" s="6"/>
      <c r="LY235" s="6"/>
      <c r="LZ235" s="6"/>
      <c r="MA235" s="6"/>
      <c r="MB235" s="5" t="str">
        <f t="shared" si="789"/>
        <v>NO APLICA</v>
      </c>
      <c r="MC235" s="6"/>
      <c r="MD235" s="6"/>
      <c r="ME235" s="6"/>
      <c r="MF235" s="6"/>
      <c r="MG235" s="5" t="str">
        <f t="shared" si="766"/>
        <v>NO APLICA</v>
      </c>
      <c r="MH235" s="6"/>
      <c r="MI235" s="6"/>
      <c r="MJ235" s="6"/>
      <c r="MK235" s="6"/>
      <c r="ML235" s="5" t="str">
        <f t="shared" si="767"/>
        <v>NO APLICA</v>
      </c>
      <c r="MM235" s="5"/>
      <c r="MN235" s="6"/>
      <c r="MO235" s="6"/>
      <c r="MP235" s="6"/>
      <c r="MQ235" s="5" t="str">
        <f t="shared" si="768"/>
        <v>NO APLICA</v>
      </c>
      <c r="MR235" s="5"/>
      <c r="MS235" s="6"/>
      <c r="MT235" s="6"/>
      <c r="MU235" s="6"/>
      <c r="MV235" s="5" t="str">
        <f t="shared" si="769"/>
        <v>NO APLICA</v>
      </c>
      <c r="MW235" s="6"/>
      <c r="MX235" s="6"/>
      <c r="MY235" s="6"/>
      <c r="MZ235" s="6"/>
      <c r="NA235" s="5" t="str">
        <f t="shared" si="770"/>
        <v>NO APLICA</v>
      </c>
      <c r="NB235" s="6"/>
      <c r="NC235" s="6"/>
      <c r="ND235" s="6"/>
      <c r="NE235" s="6"/>
      <c r="NF235" s="5" t="str">
        <f t="shared" si="771"/>
        <v>NO APLICA</v>
      </c>
      <c r="NG235" s="6"/>
      <c r="NH235" s="6"/>
      <c r="NI235" s="6"/>
      <c r="NJ235" s="6"/>
      <c r="NK235" s="5" t="str">
        <f t="shared" si="772"/>
        <v>NO APLICA</v>
      </c>
      <c r="NL235" s="6"/>
      <c r="NM235" s="6"/>
      <c r="NN235" s="6"/>
      <c r="NO235" s="6"/>
      <c r="NP235" s="5" t="str">
        <f t="shared" si="773"/>
        <v>NO APLICA</v>
      </c>
      <c r="NQ235" s="6"/>
      <c r="NR235" s="6"/>
      <c r="NS235" s="6"/>
      <c r="NT235" s="6"/>
      <c r="NU235" s="5" t="str">
        <f t="shared" si="774"/>
        <v>NO APLICA</v>
      </c>
      <c r="NV235" s="6"/>
      <c r="NW235" s="6"/>
      <c r="NX235" s="6"/>
      <c r="NY235" s="6"/>
      <c r="NZ235" s="5" t="str">
        <f t="shared" si="775"/>
        <v>NO APLICA</v>
      </c>
      <c r="OA235" s="6"/>
      <c r="OB235" s="6"/>
      <c r="OC235" s="6"/>
      <c r="OD235" s="6"/>
      <c r="OE235" s="5" t="str">
        <f t="shared" si="776"/>
        <v>NO APLICA</v>
      </c>
      <c r="OF235" s="6"/>
      <c r="OG235" s="6"/>
      <c r="OH235" s="6"/>
      <c r="OI235" s="6"/>
      <c r="OJ235" s="5" t="str">
        <f t="shared" si="777"/>
        <v>NO APLICA</v>
      </c>
      <c r="OK235" s="6"/>
      <c r="OL235" s="6"/>
      <c r="OM235" s="6"/>
      <c r="ON235" s="6"/>
      <c r="OO235" s="5" t="str">
        <f t="shared" si="778"/>
        <v>NO APLICA</v>
      </c>
      <c r="OP235" s="4"/>
      <c r="OQ235" s="4"/>
      <c r="OR235" s="4"/>
      <c r="OS235" s="8"/>
      <c r="OT235" s="5" t="str">
        <f t="shared" si="779"/>
        <v>NO APLICA</v>
      </c>
      <c r="OU235" s="6"/>
      <c r="OV235" s="6"/>
      <c r="OW235" s="6"/>
      <c r="OX235" s="6"/>
      <c r="OY235" s="5" t="str">
        <f t="shared" si="793"/>
        <v>NO APLICA</v>
      </c>
      <c r="OZ235" s="6"/>
      <c r="PA235" s="6"/>
      <c r="PB235" s="6"/>
      <c r="PC235" s="6"/>
      <c r="PD235" s="5" t="str">
        <f t="shared" si="780"/>
        <v>NO APLICA</v>
      </c>
      <c r="PE235" s="6"/>
      <c r="PF235" s="6"/>
      <c r="PG235" s="6"/>
      <c r="PH235" s="6"/>
      <c r="PI235" s="5" t="str">
        <f t="shared" si="781"/>
        <v>NO APLICA</v>
      </c>
      <c r="PJ235" s="5"/>
      <c r="PK235" s="4">
        <v>44627</v>
      </c>
      <c r="PL235" s="4">
        <f>DATE(YEAR(PK235)+5,MONTH(PK235),DAY(PK235))</f>
        <v>46453</v>
      </c>
      <c r="PM235" s="8">
        <f ca="1">PL235-TODAY()</f>
        <v>319</v>
      </c>
      <c r="PN235" s="5" t="str">
        <f ca="1">IF(PM235&gt;=61,"VIGENTE",IF(PM235&gt;=1,"POR VENCER",IF(PM235&lt;=-1,"VENCIDA",IF(PK235=0,"NO APLICA"))))</f>
        <v>VIGENTE</v>
      </c>
      <c r="PO235" s="6"/>
      <c r="PP235" s="6"/>
      <c r="PQ235" s="6"/>
      <c r="PR235" s="6"/>
      <c r="PS235" s="5" t="str">
        <f t="shared" si="782"/>
        <v>NO APLICA</v>
      </c>
      <c r="PT235" s="5"/>
      <c r="PU235" s="6"/>
      <c r="PV235" s="6"/>
      <c r="PW235" s="6"/>
      <c r="PX235" s="5" t="str">
        <f t="shared" si="783"/>
        <v>NO APLICA</v>
      </c>
    </row>
    <row r="236" spans="1:440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6" t="s">
        <v>695</v>
      </c>
      <c r="V236" s="4">
        <v>45309</v>
      </c>
      <c r="W236" s="4">
        <f>DATE(YEAR(V236)+5,MONTH(V236),DAY(V236))</f>
        <v>47136</v>
      </c>
      <c r="X236" s="8">
        <f ca="1">W236-TODAY()</f>
        <v>1002</v>
      </c>
      <c r="Y236" s="5" t="str">
        <f ca="1">IF(X236&gt;=90,"VIGENTE",IF(X236&gt;=1,"POR VENCER",IF(X236&lt;=-1,"VENCIDA",IF(V236=0,"NO APLICA"))))</f>
        <v>VIGENTE</v>
      </c>
      <c r="Z236" s="6"/>
      <c r="AA236" s="6"/>
      <c r="AB236" s="6"/>
      <c r="AC236" s="6"/>
      <c r="AD236" s="5" t="str">
        <f t="shared" si="627"/>
        <v>NO APLICA</v>
      </c>
      <c r="AE236" s="4"/>
      <c r="AF236" s="4"/>
      <c r="AG236" s="4"/>
      <c r="AH236" s="6"/>
      <c r="AI236" s="5" t="str">
        <f t="shared" si="796"/>
        <v>NO APLICA</v>
      </c>
      <c r="AJ236" s="4"/>
      <c r="AK236" s="4"/>
      <c r="AL236" s="4"/>
      <c r="AM236" s="6"/>
      <c r="AN236" s="5" t="str">
        <f t="shared" si="720"/>
        <v>NO APLICA</v>
      </c>
      <c r="AO236" s="4"/>
      <c r="AP236" s="4"/>
      <c r="AQ236" s="4"/>
      <c r="AR236" s="6"/>
      <c r="AS236" s="5" t="str">
        <f t="shared" si="721"/>
        <v>NO APLICA</v>
      </c>
      <c r="AT236" s="4"/>
      <c r="AU236" s="4"/>
      <c r="AV236" s="4"/>
      <c r="AW236" s="6"/>
      <c r="AX236" s="5" t="str">
        <f t="shared" si="722"/>
        <v>NO APLICA</v>
      </c>
      <c r="AY236" s="4"/>
      <c r="AZ236" s="4"/>
      <c r="BA236" s="4"/>
      <c r="BB236" s="6"/>
      <c r="BC236" s="5" t="str">
        <f t="shared" si="723"/>
        <v>NO APLICA</v>
      </c>
      <c r="BD236" s="4"/>
      <c r="BE236" s="4"/>
      <c r="BF236" s="4"/>
      <c r="BG236" s="6"/>
      <c r="BH236" s="5" t="str">
        <f t="shared" si="724"/>
        <v>NO APLICA</v>
      </c>
      <c r="BI236" s="4"/>
      <c r="BJ236" s="4"/>
      <c r="BK236" s="4"/>
      <c r="BL236" s="6"/>
      <c r="BM236" s="5" t="str">
        <f t="shared" si="725"/>
        <v>NO APLICA</v>
      </c>
      <c r="BN236" s="4"/>
      <c r="BO236" s="4"/>
      <c r="BP236" s="4"/>
      <c r="BQ236" s="6"/>
      <c r="BR236" s="5" t="str">
        <f t="shared" si="726"/>
        <v>NO APLICA</v>
      </c>
      <c r="BS236" s="4"/>
      <c r="BT236" s="4"/>
      <c r="BU236" s="4"/>
      <c r="BV236" s="6"/>
      <c r="BW236" s="5" t="str">
        <f t="shared" si="727"/>
        <v>NO APLICA</v>
      </c>
      <c r="BX236" s="4"/>
      <c r="BY236" s="4"/>
      <c r="BZ236" s="4"/>
      <c r="CA236" s="6"/>
      <c r="CB236" s="5" t="str">
        <f t="shared" si="728"/>
        <v>NO APLICA</v>
      </c>
      <c r="CC236" s="6"/>
      <c r="CD236" s="6"/>
      <c r="CE236" s="6"/>
      <c r="CF236" s="6"/>
      <c r="CG236" s="5" t="str">
        <f t="shared" si="794"/>
        <v>NO APLICA</v>
      </c>
      <c r="CH236" s="4"/>
      <c r="CI236" s="4"/>
      <c r="CJ236" s="4"/>
      <c r="CK236" s="6"/>
      <c r="CL236" s="5" t="str">
        <f t="shared" si="729"/>
        <v>NO APLICA</v>
      </c>
      <c r="CM236" s="4"/>
      <c r="CN236" s="4"/>
      <c r="CO236" s="4"/>
      <c r="CP236" s="6"/>
      <c r="CQ236" s="5" t="str">
        <f t="shared" si="730"/>
        <v>NO APLICA</v>
      </c>
      <c r="CR236" s="4"/>
      <c r="CS236" s="4"/>
      <c r="CT236" s="4"/>
      <c r="CU236" s="6"/>
      <c r="CV236" s="5" t="str">
        <f t="shared" si="731"/>
        <v>NO APLICA</v>
      </c>
      <c r="CW236" s="4"/>
      <c r="CX236" s="4"/>
      <c r="CY236" s="4"/>
      <c r="CZ236" s="6"/>
      <c r="DA236" s="5" t="str">
        <f t="shared" si="732"/>
        <v>NO APLICA</v>
      </c>
      <c r="DB236" s="4"/>
      <c r="DC236" s="4"/>
      <c r="DD236" s="4"/>
      <c r="DE236" s="6"/>
      <c r="DF236" s="5" t="str">
        <f t="shared" si="733"/>
        <v>NO APLICA</v>
      </c>
      <c r="DG236" s="4"/>
      <c r="DH236" s="4"/>
      <c r="DI236" s="4"/>
      <c r="DJ236" s="6"/>
      <c r="DK236" s="5" t="str">
        <f t="shared" si="734"/>
        <v>NO APLICA</v>
      </c>
      <c r="DL236" s="4"/>
      <c r="DM236" s="4"/>
      <c r="DN236" s="4"/>
      <c r="DO236" s="6"/>
      <c r="DP236" s="5" t="str">
        <f t="shared" si="735"/>
        <v>NO APLICA</v>
      </c>
      <c r="DQ236" s="4"/>
      <c r="DR236" s="4"/>
      <c r="DS236" s="4"/>
      <c r="DT236" s="6"/>
      <c r="DU236" s="5" t="str">
        <f t="shared" si="736"/>
        <v>NO APLICA</v>
      </c>
      <c r="DV236" s="4"/>
      <c r="DW236" s="4"/>
      <c r="DX236" s="4"/>
      <c r="DY236" s="6"/>
      <c r="DZ236" s="5" t="str">
        <f t="shared" si="737"/>
        <v>NO APLICA</v>
      </c>
      <c r="EA236" s="4"/>
      <c r="EB236" s="4"/>
      <c r="EC236" s="4"/>
      <c r="ED236" s="6"/>
      <c r="EE236" s="5" t="str">
        <f t="shared" si="738"/>
        <v>NO APLICA</v>
      </c>
      <c r="EF236" s="4"/>
      <c r="EG236" s="4"/>
      <c r="EH236" s="4"/>
      <c r="EI236" s="8"/>
      <c r="EJ236" s="5" t="str">
        <f t="shared" si="739"/>
        <v>NO APLICA</v>
      </c>
      <c r="EK236" s="4"/>
      <c r="EL236" s="4"/>
      <c r="EM236" s="4"/>
      <c r="EN236" s="8"/>
      <c r="EO236" s="5" t="str">
        <f t="shared" si="740"/>
        <v>NO APLICA</v>
      </c>
      <c r="EP236" s="4"/>
      <c r="EQ236" s="4"/>
      <c r="ER236" s="4"/>
      <c r="ES236" s="8"/>
      <c r="ET236" s="5" t="str">
        <f t="shared" si="741"/>
        <v>NO APLICA</v>
      </c>
      <c r="EU236" s="4"/>
      <c r="EV236" s="4"/>
      <c r="EW236" s="4"/>
      <c r="EX236" s="6"/>
      <c r="EY236" s="5" t="str">
        <f t="shared" si="742"/>
        <v>NO APLICA</v>
      </c>
      <c r="EZ236" s="4"/>
      <c r="FA236" s="4"/>
      <c r="FB236" s="4"/>
      <c r="FC236" s="6"/>
      <c r="FD236" s="5" t="str">
        <f t="shared" si="743"/>
        <v>NO APLICA</v>
      </c>
      <c r="FE236" s="4"/>
      <c r="FF236" s="4"/>
      <c r="FG236" s="4"/>
      <c r="FH236" s="6"/>
      <c r="FI236" s="5" t="str">
        <f t="shared" si="744"/>
        <v>NO APLICA</v>
      </c>
      <c r="FJ236" s="4"/>
      <c r="FK236" s="4"/>
      <c r="FL236" s="4"/>
      <c r="FM236" s="6"/>
      <c r="FN236" s="5" t="str">
        <f t="shared" si="745"/>
        <v>NO APLICA</v>
      </c>
      <c r="FO236" s="4"/>
      <c r="FP236" s="4"/>
      <c r="FQ236" s="4"/>
      <c r="FR236" s="6"/>
      <c r="FS236" s="5" t="str">
        <f t="shared" si="746"/>
        <v>NO APLICA</v>
      </c>
      <c r="FT236" s="4"/>
      <c r="FU236" s="4"/>
      <c r="FV236" s="4"/>
      <c r="FW236" s="6"/>
      <c r="FX236" s="5" t="str">
        <f t="shared" si="747"/>
        <v>NO APLICA</v>
      </c>
      <c r="FY236" s="4"/>
      <c r="FZ236" s="4"/>
      <c r="GA236" s="4"/>
      <c r="GB236" s="6"/>
      <c r="GC236" s="5" t="str">
        <f t="shared" si="748"/>
        <v>NO APLICA</v>
      </c>
      <c r="GD236" s="4"/>
      <c r="GE236" s="4"/>
      <c r="GF236" s="4"/>
      <c r="GG236" s="8"/>
      <c r="GH236" s="5" t="str">
        <f t="shared" si="749"/>
        <v>NO APLICA</v>
      </c>
      <c r="GI236" s="4"/>
      <c r="GJ236" s="6"/>
      <c r="GK236" s="6"/>
      <c r="GL236" s="6"/>
      <c r="GM236" s="5" t="str">
        <f t="shared" si="750"/>
        <v>NO APLICA</v>
      </c>
      <c r="GN236" s="4"/>
      <c r="GO236" s="6"/>
      <c r="GP236" s="6"/>
      <c r="GQ236" s="6"/>
      <c r="GR236" s="5" t="str">
        <f t="shared" si="630"/>
        <v>NO APLICA</v>
      </c>
      <c r="GS236" s="4"/>
      <c r="GT236" s="6"/>
      <c r="GU236" s="6"/>
      <c r="GV236" s="6"/>
      <c r="GW236" s="5" t="str">
        <f t="shared" si="631"/>
        <v>NO APLICA</v>
      </c>
      <c r="GX236" s="6"/>
      <c r="GY236" s="6"/>
      <c r="GZ236" s="6"/>
      <c r="HA236" s="6"/>
      <c r="HB236" s="5" t="str">
        <f t="shared" si="632"/>
        <v>NO APLICA</v>
      </c>
      <c r="HC236" s="6"/>
      <c r="HD236" s="6"/>
      <c r="HE236" s="4"/>
      <c r="HF236" s="8"/>
      <c r="HG236" s="5" t="str">
        <f t="shared" si="718"/>
        <v>NO APLICA</v>
      </c>
      <c r="HH236" s="6"/>
      <c r="HI236" s="6"/>
      <c r="HJ236" s="6"/>
      <c r="HK236" s="6"/>
      <c r="HL236" s="5" t="str">
        <f t="shared" si="714"/>
        <v>NO APLICA</v>
      </c>
      <c r="HM236" s="6"/>
      <c r="HN236" s="6"/>
      <c r="HO236" s="6"/>
      <c r="HP236" s="6"/>
      <c r="HQ236" s="5" t="str">
        <f t="shared" si="751"/>
        <v>NO APLICA</v>
      </c>
      <c r="HR236" s="6"/>
      <c r="HS236" s="6"/>
      <c r="HT236" s="6"/>
      <c r="HU236" s="6"/>
      <c r="HV236" s="5" t="str">
        <f t="shared" si="752"/>
        <v>NO APLICA</v>
      </c>
      <c r="HW236" s="6"/>
      <c r="HX236" s="6"/>
      <c r="HY236" s="6"/>
      <c r="HZ236" s="6"/>
      <c r="IA236" s="5" t="str">
        <f t="shared" si="753"/>
        <v>NO APLICA</v>
      </c>
      <c r="IB236" s="6"/>
      <c r="IC236" s="6"/>
      <c r="ID236" s="6"/>
      <c r="IE236" s="6"/>
      <c r="IF236" s="5" t="str">
        <f t="shared" si="754"/>
        <v>NO APLICA</v>
      </c>
      <c r="IG236" s="6"/>
      <c r="IH236" s="6"/>
      <c r="II236" s="6"/>
      <c r="IJ236" s="6"/>
      <c r="IK236" s="5" t="str">
        <f t="shared" si="755"/>
        <v>NO APLICA</v>
      </c>
      <c r="IL236" s="6"/>
      <c r="IM236" s="6"/>
      <c r="IN236" s="6"/>
      <c r="IO236" s="6"/>
      <c r="IP236" s="5" t="str">
        <f t="shared" si="756"/>
        <v>NO APLICA</v>
      </c>
      <c r="IQ236" s="6"/>
      <c r="IR236" s="6"/>
      <c r="IS236" s="6"/>
      <c r="IT236" s="6"/>
      <c r="IU236" s="5" t="str">
        <f t="shared" si="757"/>
        <v>NO APLICA</v>
      </c>
      <c r="IV236" s="6"/>
      <c r="IW236" s="6"/>
      <c r="IX236" s="6"/>
      <c r="IY236" s="6"/>
      <c r="IZ236" s="5" t="str">
        <f t="shared" si="758"/>
        <v>NO APLICA</v>
      </c>
      <c r="JA236" s="6"/>
      <c r="JB236" s="6"/>
      <c r="JC236" s="6"/>
      <c r="JD236" s="6"/>
      <c r="JE236" s="5" t="str">
        <f t="shared" si="759"/>
        <v>NO APLICA</v>
      </c>
      <c r="JF236" s="6"/>
      <c r="JG236" s="6"/>
      <c r="JH236" s="6"/>
      <c r="JI236" s="6"/>
      <c r="JJ236" s="5" t="str">
        <f t="shared" si="760"/>
        <v>NO APLICA</v>
      </c>
      <c r="JK236" s="6"/>
      <c r="JL236" s="6"/>
      <c r="JM236" s="6"/>
      <c r="JN236" s="6"/>
      <c r="JO236" s="5" t="str">
        <f t="shared" si="761"/>
        <v>NO APLICA</v>
      </c>
      <c r="JP236" s="6"/>
      <c r="JQ236" s="6"/>
      <c r="JR236" s="6"/>
      <c r="JS236" s="6"/>
      <c r="JT236" s="5" t="str">
        <f t="shared" si="762"/>
        <v>NO APLICA</v>
      </c>
      <c r="JU236" s="5"/>
      <c r="JV236" s="5"/>
      <c r="JW236" s="5"/>
      <c r="JX236" s="5"/>
      <c r="JY236" s="5" t="str">
        <f t="shared" si="763"/>
        <v>NO APLICA</v>
      </c>
      <c r="JZ236" s="5"/>
      <c r="KA236" s="6"/>
      <c r="KB236" s="6"/>
      <c r="KC236" s="6"/>
      <c r="KD236" s="5" t="str">
        <f t="shared" si="764"/>
        <v>NO APLICA</v>
      </c>
      <c r="KE236" s="5"/>
      <c r="KF236" s="6"/>
      <c r="KG236" s="6"/>
      <c r="KH236" s="6"/>
      <c r="KI236" s="5" t="str">
        <f t="shared" si="784"/>
        <v>NO APLICA</v>
      </c>
      <c r="KJ236" s="5"/>
      <c r="KK236" s="6"/>
      <c r="KL236" s="6"/>
      <c r="KM236" s="6"/>
      <c r="KN236" s="5" t="str">
        <f t="shared" si="765"/>
        <v>NO APLICA</v>
      </c>
      <c r="KO236" s="5"/>
      <c r="KP236" s="6"/>
      <c r="KQ236" s="6"/>
      <c r="KR236" s="6"/>
      <c r="KS236" s="5" t="str">
        <f t="shared" si="785"/>
        <v>NO APLICA</v>
      </c>
      <c r="KT236" s="6"/>
      <c r="KU236" s="6"/>
      <c r="KV236" s="6"/>
      <c r="KW236" s="6"/>
      <c r="KX236" s="5" t="str">
        <f t="shared" si="791"/>
        <v>NO APLICA</v>
      </c>
      <c r="KY236" s="5"/>
      <c r="KZ236" s="6"/>
      <c r="LA236" s="6"/>
      <c r="LB236" s="6"/>
      <c r="LC236" s="5" t="str">
        <f t="shared" si="786"/>
        <v>NO APLICA</v>
      </c>
      <c r="LD236" s="6"/>
      <c r="LE236" s="6"/>
      <c r="LF236" s="6"/>
      <c r="LG236" s="6"/>
      <c r="LH236" s="5" t="str">
        <f t="shared" si="797"/>
        <v>NO APLICA</v>
      </c>
      <c r="LI236" s="5"/>
      <c r="LJ236" s="5"/>
      <c r="LK236" s="4"/>
      <c r="LL236" s="8"/>
      <c r="LM236" s="5" t="str">
        <f t="shared" si="792"/>
        <v>NO APLICA</v>
      </c>
      <c r="LN236" s="6"/>
      <c r="LO236" s="6"/>
      <c r="LP236" s="6"/>
      <c r="LQ236" s="6"/>
      <c r="LR236" s="5" t="str">
        <f t="shared" si="787"/>
        <v>NO APLICA</v>
      </c>
      <c r="LS236" s="6"/>
      <c r="LT236" s="6"/>
      <c r="LU236" s="6"/>
      <c r="LV236" s="6"/>
      <c r="LW236" s="5" t="str">
        <f t="shared" si="788"/>
        <v>NO APLICA</v>
      </c>
      <c r="LX236" s="6"/>
      <c r="LY236" s="6"/>
      <c r="LZ236" s="6"/>
      <c r="MA236" s="6"/>
      <c r="MB236" s="5" t="str">
        <f t="shared" si="789"/>
        <v>NO APLICA</v>
      </c>
      <c r="MC236" s="6"/>
      <c r="MD236" s="6"/>
      <c r="ME236" s="6"/>
      <c r="MF236" s="6"/>
      <c r="MG236" s="5" t="str">
        <f t="shared" si="766"/>
        <v>NO APLICA</v>
      </c>
      <c r="MH236" s="6"/>
      <c r="MI236" s="6"/>
      <c r="MJ236" s="6"/>
      <c r="MK236" s="6"/>
      <c r="ML236" s="5" t="str">
        <f t="shared" si="767"/>
        <v>NO APLICA</v>
      </c>
      <c r="MM236" s="5"/>
      <c r="MN236" s="6"/>
      <c r="MO236" s="6"/>
      <c r="MP236" s="6"/>
      <c r="MQ236" s="5" t="str">
        <f t="shared" si="768"/>
        <v>NO APLICA</v>
      </c>
      <c r="MR236" s="5"/>
      <c r="MS236" s="6"/>
      <c r="MT236" s="6"/>
      <c r="MU236" s="6"/>
      <c r="MV236" s="5" t="str">
        <f t="shared" si="769"/>
        <v>NO APLICA</v>
      </c>
      <c r="MW236" s="6"/>
      <c r="MX236" s="6"/>
      <c r="MY236" s="6"/>
      <c r="MZ236" s="6"/>
      <c r="NA236" s="5" t="str">
        <f t="shared" si="770"/>
        <v>NO APLICA</v>
      </c>
      <c r="NB236" s="6"/>
      <c r="NC236" s="6"/>
      <c r="ND236" s="6"/>
      <c r="NE236" s="6"/>
      <c r="NF236" s="5" t="str">
        <f t="shared" si="771"/>
        <v>NO APLICA</v>
      </c>
      <c r="NG236" s="6"/>
      <c r="NH236" s="6"/>
      <c r="NI236" s="6"/>
      <c r="NJ236" s="6"/>
      <c r="NK236" s="5" t="str">
        <f t="shared" si="772"/>
        <v>NO APLICA</v>
      </c>
      <c r="NL236" s="6"/>
      <c r="NM236" s="6"/>
      <c r="NN236" s="6"/>
      <c r="NO236" s="6"/>
      <c r="NP236" s="5" t="str">
        <f t="shared" si="773"/>
        <v>NO APLICA</v>
      </c>
      <c r="NQ236" s="6"/>
      <c r="NR236" s="6"/>
      <c r="NS236" s="6"/>
      <c r="NT236" s="6"/>
      <c r="NU236" s="5" t="str">
        <f t="shared" si="774"/>
        <v>NO APLICA</v>
      </c>
      <c r="NV236" s="6"/>
      <c r="NW236" s="6"/>
      <c r="NX236" s="6"/>
      <c r="NY236" s="6"/>
      <c r="NZ236" s="5" t="str">
        <f t="shared" si="775"/>
        <v>NO APLICA</v>
      </c>
      <c r="OA236" s="6"/>
      <c r="OB236" s="6"/>
      <c r="OC236" s="6"/>
      <c r="OD236" s="6"/>
      <c r="OE236" s="5" t="str">
        <f t="shared" si="776"/>
        <v>NO APLICA</v>
      </c>
      <c r="OF236" s="6"/>
      <c r="OG236" s="6"/>
      <c r="OH236" s="6"/>
      <c r="OI236" s="6"/>
      <c r="OJ236" s="5" t="str">
        <f t="shared" si="777"/>
        <v>NO APLICA</v>
      </c>
      <c r="OK236" s="6"/>
      <c r="OL236" s="6"/>
      <c r="OM236" s="6"/>
      <c r="ON236" s="6"/>
      <c r="OO236" s="5" t="str">
        <f t="shared" si="778"/>
        <v>NO APLICA</v>
      </c>
      <c r="OP236" s="6"/>
      <c r="OQ236" s="6"/>
      <c r="OR236" s="6"/>
      <c r="OS236" s="6"/>
      <c r="OT236" s="5" t="str">
        <f t="shared" si="779"/>
        <v>NO APLICA</v>
      </c>
      <c r="OU236" s="6"/>
      <c r="OV236" s="6"/>
      <c r="OW236" s="6"/>
      <c r="OX236" s="6"/>
      <c r="OY236" s="5" t="str">
        <f t="shared" si="793"/>
        <v>NO APLICA</v>
      </c>
      <c r="OZ236" s="6"/>
      <c r="PA236" s="6"/>
      <c r="PB236" s="6"/>
      <c r="PC236" s="6"/>
      <c r="PD236" s="5" t="str">
        <f t="shared" si="780"/>
        <v>NO APLICA</v>
      </c>
      <c r="PE236" s="6"/>
      <c r="PF236" s="6"/>
      <c r="PG236" s="6"/>
      <c r="PH236" s="6"/>
      <c r="PI236" s="5" t="str">
        <f t="shared" si="781"/>
        <v>NO APLICA</v>
      </c>
      <c r="PJ236" s="5"/>
      <c r="PK236" s="6"/>
      <c r="PL236" s="6"/>
      <c r="PM236" s="6"/>
      <c r="PN236" s="5" t="str">
        <f t="shared" si="790"/>
        <v>NO APLICA</v>
      </c>
      <c r="PO236" s="6"/>
      <c r="PP236" s="6"/>
      <c r="PQ236" s="6"/>
      <c r="PR236" s="6"/>
      <c r="PS236" s="5" t="str">
        <f t="shared" si="782"/>
        <v>NO APLICA</v>
      </c>
      <c r="PT236" s="5"/>
      <c r="PU236" s="6"/>
      <c r="PV236" s="6"/>
      <c r="PW236" s="6"/>
      <c r="PX236" s="5" t="str">
        <f t="shared" si="783"/>
        <v>NO APLICA</v>
      </c>
    </row>
    <row r="237" spans="1:440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649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2"/>
      <c r="V237" s="4"/>
      <c r="W237" s="4"/>
      <c r="X237" s="8"/>
      <c r="Y237" s="5" t="str">
        <f>IF(X237&gt;=90,"VIGENTE",IF(X237&gt;=1,"POR VENCER",IF(X237&lt;=-1,"VENCIDA",IF(V237=0,"NO APLICA"))))</f>
        <v>NO APLICA</v>
      </c>
      <c r="Z237" s="2"/>
      <c r="AA237" s="6"/>
      <c r="AB237" s="4"/>
      <c r="AC237" s="8"/>
      <c r="AD237" s="5" t="str">
        <f t="shared" si="627"/>
        <v>NO APLICA</v>
      </c>
      <c r="AE237" s="2"/>
      <c r="AF237" s="4"/>
      <c r="AG237" s="4"/>
      <c r="AH237" s="6"/>
      <c r="AI237" s="5" t="str">
        <f t="shared" si="796"/>
        <v>NO APLICA</v>
      </c>
      <c r="AJ237" s="2"/>
      <c r="AK237" s="4"/>
      <c r="AL237" s="4"/>
      <c r="AM237" s="8"/>
      <c r="AN237" s="5" t="str">
        <f t="shared" si="720"/>
        <v>NO APLICA</v>
      </c>
      <c r="AO237" s="2"/>
      <c r="AP237" s="4"/>
      <c r="AQ237" s="4"/>
      <c r="AR237" s="8"/>
      <c r="AS237" s="5" t="str">
        <f t="shared" si="721"/>
        <v>NO APLICA</v>
      </c>
      <c r="AT237" s="2"/>
      <c r="AU237" s="4"/>
      <c r="AV237" s="4"/>
      <c r="AW237" s="8"/>
      <c r="AX237" s="5" t="str">
        <f t="shared" si="722"/>
        <v>NO APLICA</v>
      </c>
      <c r="AY237" s="3"/>
      <c r="AZ237" s="4"/>
      <c r="BA237" s="4"/>
      <c r="BB237" s="8"/>
      <c r="BC237" s="5" t="str">
        <f t="shared" si="723"/>
        <v>NO APLICA</v>
      </c>
      <c r="BD237" s="2"/>
      <c r="BE237" s="4"/>
      <c r="BF237" s="4"/>
      <c r="BG237" s="8"/>
      <c r="BH237" s="5" t="str">
        <f t="shared" si="724"/>
        <v>NO APLICA</v>
      </c>
      <c r="BI237" s="3"/>
      <c r="BJ237" s="4"/>
      <c r="BK237" s="4"/>
      <c r="BL237" s="8"/>
      <c r="BM237" s="5" t="str">
        <f t="shared" si="725"/>
        <v>NO APLICA</v>
      </c>
      <c r="BN237" s="3"/>
      <c r="BO237" s="4"/>
      <c r="BP237" s="4"/>
      <c r="BQ237" s="8"/>
      <c r="BR237" s="5" t="str">
        <f t="shared" si="726"/>
        <v>NO APLICA</v>
      </c>
      <c r="BS237" s="2"/>
      <c r="BT237" s="4"/>
      <c r="BU237" s="4"/>
      <c r="BV237" s="8"/>
      <c r="BW237" s="5" t="str">
        <f t="shared" si="727"/>
        <v>NO APLICA</v>
      </c>
      <c r="BX237" s="2"/>
      <c r="BY237" s="4"/>
      <c r="BZ237" s="4"/>
      <c r="CA237" s="8"/>
      <c r="CB237" s="5" t="str">
        <f t="shared" si="728"/>
        <v>NO APLICA</v>
      </c>
      <c r="CC237" s="6"/>
      <c r="CD237" s="4"/>
      <c r="CE237" s="4"/>
      <c r="CF237" s="8"/>
      <c r="CG237" s="5" t="str">
        <f t="shared" si="794"/>
        <v>NO APLICA</v>
      </c>
      <c r="CH237" s="6"/>
      <c r="CI237" s="4"/>
      <c r="CJ237" s="4"/>
      <c r="CK237" s="8"/>
      <c r="CL237" s="5" t="str">
        <f t="shared" si="729"/>
        <v>NO APLICA</v>
      </c>
      <c r="CM237" s="2"/>
      <c r="CN237" s="4"/>
      <c r="CO237" s="4"/>
      <c r="CP237" s="8"/>
      <c r="CQ237" s="5" t="str">
        <f t="shared" si="730"/>
        <v>NO APLICA</v>
      </c>
      <c r="CR237" s="2"/>
      <c r="CS237" s="4"/>
      <c r="CT237" s="4"/>
      <c r="CU237" s="8"/>
      <c r="CV237" s="5" t="str">
        <f t="shared" si="731"/>
        <v>NO APLICA</v>
      </c>
      <c r="CW237" s="3"/>
      <c r="CX237" s="4"/>
      <c r="CY237" s="4"/>
      <c r="CZ237" s="8"/>
      <c r="DA237" s="5" t="str">
        <f t="shared" si="732"/>
        <v>NO APLICA</v>
      </c>
      <c r="DB237" s="3"/>
      <c r="DC237" s="4"/>
      <c r="DD237" s="4"/>
      <c r="DE237" s="8"/>
      <c r="DF237" s="5" t="str">
        <f t="shared" si="733"/>
        <v>NO APLICA</v>
      </c>
      <c r="DG237" s="2"/>
      <c r="DH237" s="4"/>
      <c r="DI237" s="4"/>
      <c r="DJ237" s="8"/>
      <c r="DK237" s="5" t="str">
        <f t="shared" si="734"/>
        <v>NO APLICA</v>
      </c>
      <c r="DL237" s="3"/>
      <c r="DM237" s="4"/>
      <c r="DN237" s="4"/>
      <c r="DO237" s="8"/>
      <c r="DP237" s="5" t="str">
        <f t="shared" si="735"/>
        <v>NO APLICA</v>
      </c>
      <c r="DQ237" s="2"/>
      <c r="DR237" s="4"/>
      <c r="DS237" s="4"/>
      <c r="DT237" s="8"/>
      <c r="DU237" s="5" t="str">
        <f t="shared" si="736"/>
        <v>NO APLICA</v>
      </c>
      <c r="DV237" s="3"/>
      <c r="DW237" s="4"/>
      <c r="DX237" s="4"/>
      <c r="DY237" s="8"/>
      <c r="DZ237" s="5" t="str">
        <f t="shared" si="737"/>
        <v>NO APLICA</v>
      </c>
      <c r="EA237" s="3"/>
      <c r="EB237" s="4"/>
      <c r="EC237" s="4"/>
      <c r="ED237" s="8"/>
      <c r="EE237" s="5" t="str">
        <f t="shared" si="738"/>
        <v>NO APLICA</v>
      </c>
      <c r="EF237" s="2"/>
      <c r="EG237" s="4"/>
      <c r="EH237" s="4"/>
      <c r="EI237" s="8"/>
      <c r="EJ237" s="5" t="str">
        <f t="shared" si="739"/>
        <v>NO APLICA</v>
      </c>
      <c r="EK237" s="3"/>
      <c r="EL237" s="4"/>
      <c r="EM237" s="4"/>
      <c r="EN237" s="8"/>
      <c r="EO237" s="5" t="str">
        <f t="shared" si="740"/>
        <v>NO APLICA</v>
      </c>
      <c r="EP237" s="2"/>
      <c r="EQ237" s="4"/>
      <c r="ER237" s="4"/>
      <c r="ES237" s="8"/>
      <c r="ET237" s="5" t="str">
        <f t="shared" si="741"/>
        <v>NO APLICA</v>
      </c>
      <c r="EU237" s="2"/>
      <c r="EV237" s="4"/>
      <c r="EW237" s="4"/>
      <c r="EX237" s="8"/>
      <c r="EY237" s="5" t="str">
        <f t="shared" si="742"/>
        <v>NO APLICA</v>
      </c>
      <c r="EZ237" s="2"/>
      <c r="FA237" s="4"/>
      <c r="FB237" s="4"/>
      <c r="FC237" s="8"/>
      <c r="FD237" s="5" t="str">
        <f t="shared" si="743"/>
        <v>NO APLICA</v>
      </c>
      <c r="FE237" s="2"/>
      <c r="FF237" s="4"/>
      <c r="FG237" s="4"/>
      <c r="FH237" s="8"/>
      <c r="FI237" s="5" t="str">
        <f t="shared" si="744"/>
        <v>NO APLICA</v>
      </c>
      <c r="FJ237" s="3"/>
      <c r="FK237" s="4"/>
      <c r="FL237" s="4"/>
      <c r="FM237" s="8"/>
      <c r="FN237" s="5" t="str">
        <f t="shared" si="745"/>
        <v>NO APLICA</v>
      </c>
      <c r="FO237" s="3"/>
      <c r="FP237" s="4"/>
      <c r="FQ237" s="4"/>
      <c r="FR237" s="8"/>
      <c r="FS237" s="5" t="str">
        <f t="shared" si="746"/>
        <v>NO APLICA</v>
      </c>
      <c r="FT237" s="3"/>
      <c r="FU237" s="4"/>
      <c r="FV237" s="4"/>
      <c r="FW237" s="8"/>
      <c r="FX237" s="5" t="str">
        <f t="shared" si="747"/>
        <v>NO APLICA</v>
      </c>
      <c r="FY237" s="3"/>
      <c r="FZ237" s="4"/>
      <c r="GA237" s="4"/>
      <c r="GB237" s="8"/>
      <c r="GC237" s="5" t="str">
        <f t="shared" si="748"/>
        <v>NO APLICA</v>
      </c>
      <c r="GD237" s="3"/>
      <c r="GE237" s="4"/>
      <c r="GF237" s="4"/>
      <c r="GG237" s="8"/>
      <c r="GH237" s="5" t="str">
        <f t="shared" si="749"/>
        <v>NO APLICA</v>
      </c>
      <c r="GI237" s="3"/>
      <c r="GJ237" s="4"/>
      <c r="GK237" s="4"/>
      <c r="GL237" s="8"/>
      <c r="GM237" s="5" t="str">
        <f t="shared" si="750"/>
        <v>NO APLICA</v>
      </c>
      <c r="GN237" s="4"/>
      <c r="GO237" s="4"/>
      <c r="GP237" s="4"/>
      <c r="GQ237" s="8"/>
      <c r="GR237" s="5" t="str">
        <f t="shared" si="630"/>
        <v>NO APLICA</v>
      </c>
      <c r="GS237" s="3"/>
      <c r="GT237" s="4"/>
      <c r="GU237" s="4"/>
      <c r="GV237" s="8"/>
      <c r="GW237" s="5" t="str">
        <f t="shared" si="631"/>
        <v>NO APLICA</v>
      </c>
      <c r="GX237" s="2"/>
      <c r="GY237" s="4"/>
      <c r="GZ237" s="4"/>
      <c r="HA237" s="8"/>
      <c r="HB237" s="5" t="str">
        <f t="shared" si="632"/>
        <v>NO APLICA</v>
      </c>
      <c r="HC237" s="6"/>
      <c r="HD237" s="6"/>
      <c r="HE237" s="4"/>
      <c r="HF237" s="8"/>
      <c r="HG237" s="5" t="str">
        <f t="shared" si="718"/>
        <v>NO APLICA</v>
      </c>
      <c r="HH237" s="2"/>
      <c r="HI237" s="6"/>
      <c r="HJ237" s="4"/>
      <c r="HK237" s="8"/>
      <c r="HL237" s="5" t="str">
        <f t="shared" si="714"/>
        <v>NO APLICA</v>
      </c>
      <c r="HM237" s="2"/>
      <c r="HN237" s="2"/>
      <c r="HO237" s="4"/>
      <c r="HP237" s="2"/>
      <c r="HQ237" s="5" t="str">
        <f t="shared" si="751"/>
        <v>NO APLICA</v>
      </c>
      <c r="HR237" s="2"/>
      <c r="HS237" s="6"/>
      <c r="HT237" s="4"/>
      <c r="HU237" s="8"/>
      <c r="HV237" s="5" t="str">
        <f t="shared" si="752"/>
        <v>NO APLICA</v>
      </c>
      <c r="HW237" s="2"/>
      <c r="HX237" s="6"/>
      <c r="HY237" s="4"/>
      <c r="HZ237" s="8"/>
      <c r="IA237" s="5" t="str">
        <f t="shared" si="753"/>
        <v>NO APLICA</v>
      </c>
      <c r="IB237" s="2"/>
      <c r="IC237" s="6"/>
      <c r="ID237" s="4"/>
      <c r="IE237" s="8"/>
      <c r="IF237" s="5" t="str">
        <f t="shared" si="754"/>
        <v>NO APLICA</v>
      </c>
      <c r="IG237" s="6"/>
      <c r="IH237" s="6"/>
      <c r="II237" s="4"/>
      <c r="IJ237" s="8"/>
      <c r="IK237" s="5" t="str">
        <f t="shared" si="755"/>
        <v>NO APLICA</v>
      </c>
      <c r="IL237" s="2"/>
      <c r="IM237" s="6"/>
      <c r="IN237" s="4"/>
      <c r="IO237" s="8"/>
      <c r="IP237" s="5" t="str">
        <f t="shared" si="756"/>
        <v>NO APLICA</v>
      </c>
      <c r="IQ237" s="2"/>
      <c r="IR237" s="6"/>
      <c r="IS237" s="4"/>
      <c r="IT237" s="8"/>
      <c r="IU237" s="5" t="str">
        <f t="shared" si="757"/>
        <v>NO APLICA</v>
      </c>
      <c r="IV237" s="2"/>
      <c r="IW237" s="6"/>
      <c r="IX237" s="4"/>
      <c r="IY237" s="8"/>
      <c r="IZ237" s="5" t="str">
        <f t="shared" si="758"/>
        <v>NO APLICA</v>
      </c>
      <c r="JA237" s="3"/>
      <c r="JB237" s="3"/>
      <c r="JC237" s="4"/>
      <c r="JD237" s="8"/>
      <c r="JE237" s="5" t="str">
        <f t="shared" si="759"/>
        <v>NO APLICA</v>
      </c>
      <c r="JF237" s="6"/>
      <c r="JG237" s="6"/>
      <c r="JH237" s="6"/>
      <c r="JI237" s="6"/>
      <c r="JJ237" s="5" t="str">
        <f t="shared" si="760"/>
        <v>NO APLICA</v>
      </c>
      <c r="JK237" s="6"/>
      <c r="JL237" s="6"/>
      <c r="JM237" s="6"/>
      <c r="JN237" s="6"/>
      <c r="JO237" s="5" t="str">
        <f t="shared" si="761"/>
        <v>NO APLICA</v>
      </c>
      <c r="JP237" s="6"/>
      <c r="JQ237" s="6"/>
      <c r="JR237" s="6"/>
      <c r="JS237" s="6"/>
      <c r="JT237" s="5" t="str">
        <f t="shared" si="762"/>
        <v>NO APLICA</v>
      </c>
      <c r="JU237" s="5"/>
      <c r="JV237" s="3"/>
      <c r="JW237" s="4"/>
      <c r="JX237" s="8"/>
      <c r="JY237" s="5" t="str">
        <f>IF(JX237&gt;=61,"VIGENTE",IF(JX237&gt;=1,"POR VENCER",IF(JX237&lt;=-1,"VENCIDA",IF(JV237=0,"NO APLICA"))))</f>
        <v>NO APLICA</v>
      </c>
      <c r="JZ237" s="5"/>
      <c r="KA237" s="2"/>
      <c r="KB237" s="4"/>
      <c r="KC237" s="8"/>
      <c r="KD237" s="5" t="str">
        <f t="shared" si="764"/>
        <v>NO APLICA</v>
      </c>
      <c r="KE237" s="5"/>
      <c r="KF237" s="2"/>
      <c r="KG237" s="4"/>
      <c r="KH237" s="8"/>
      <c r="KI237" s="5" t="str">
        <f t="shared" si="784"/>
        <v>NO APLICA</v>
      </c>
      <c r="KJ237" s="5"/>
      <c r="KK237" s="2"/>
      <c r="KL237" s="4"/>
      <c r="KM237" s="8"/>
      <c r="KN237" s="5" t="str">
        <f t="shared" si="765"/>
        <v>NO APLICA</v>
      </c>
      <c r="KO237" s="5"/>
      <c r="KP237" s="2"/>
      <c r="KQ237" s="4"/>
      <c r="KR237" s="8"/>
      <c r="KS237" s="5" t="str">
        <f t="shared" si="785"/>
        <v>NO APLICA</v>
      </c>
      <c r="KT237" s="2"/>
      <c r="KU237" s="6"/>
      <c r="KV237" s="4"/>
      <c r="KW237" s="8"/>
      <c r="KX237" s="5" t="str">
        <f t="shared" si="791"/>
        <v>NO APLICA</v>
      </c>
      <c r="KY237" s="5"/>
      <c r="KZ237" s="6"/>
      <c r="LA237" s="4"/>
      <c r="LB237" s="8"/>
      <c r="LC237" s="5" t="str">
        <f t="shared" si="786"/>
        <v>NO APLICA</v>
      </c>
      <c r="LD237" s="6"/>
      <c r="LE237" s="6"/>
      <c r="LF237" s="4"/>
      <c r="LG237" s="8"/>
      <c r="LH237" s="5" t="str">
        <f t="shared" si="797"/>
        <v>NO APLICA</v>
      </c>
      <c r="LI237" s="5"/>
      <c r="LJ237" s="5"/>
      <c r="LK237" s="4"/>
      <c r="LL237" s="8"/>
      <c r="LM237" s="5" t="str">
        <f t="shared" si="792"/>
        <v>NO APLICA</v>
      </c>
      <c r="LN237" s="2"/>
      <c r="LO237" s="6"/>
      <c r="LP237" s="4"/>
      <c r="LQ237" s="8"/>
      <c r="LR237" s="5" t="str">
        <f t="shared" si="787"/>
        <v>NO APLICA</v>
      </c>
      <c r="LS237" s="6"/>
      <c r="LT237" s="6"/>
      <c r="LU237" s="4"/>
      <c r="LV237" s="8"/>
      <c r="LW237" s="5" t="str">
        <f t="shared" si="788"/>
        <v>NO APLICA</v>
      </c>
      <c r="LX237" s="6"/>
      <c r="LY237" s="6"/>
      <c r="LZ237" s="4"/>
      <c r="MA237" s="8"/>
      <c r="MB237" s="5" t="str">
        <f t="shared" si="789"/>
        <v>NO APLICA</v>
      </c>
      <c r="MC237" s="2"/>
      <c r="MD237" s="2"/>
      <c r="ME237" s="4"/>
      <c r="MF237" s="8"/>
      <c r="MG237" s="5" t="str">
        <f t="shared" si="766"/>
        <v>NO APLICA</v>
      </c>
      <c r="MH237" s="2"/>
      <c r="MI237" s="2"/>
      <c r="MJ237" s="4"/>
      <c r="MK237" s="8"/>
      <c r="ML237" s="5" t="str">
        <f t="shared" si="767"/>
        <v>NO APLICA</v>
      </c>
      <c r="MM237" s="5"/>
      <c r="MN237" s="2"/>
      <c r="MO237" s="4"/>
      <c r="MP237" s="8"/>
      <c r="MQ237" s="5" t="str">
        <f t="shared" si="768"/>
        <v>NO APLICA</v>
      </c>
      <c r="MR237" s="5"/>
      <c r="MS237" s="2"/>
      <c r="MT237" s="4"/>
      <c r="MU237" s="2"/>
      <c r="MV237" s="5" t="str">
        <f t="shared" si="769"/>
        <v>NO APLICA</v>
      </c>
      <c r="MW237" s="2"/>
      <c r="MX237" s="6"/>
      <c r="MY237" s="4"/>
      <c r="MZ237" s="8"/>
      <c r="NA237" s="5" t="str">
        <f t="shared" si="770"/>
        <v>NO APLICA</v>
      </c>
      <c r="NB237" s="2"/>
      <c r="NC237" s="6"/>
      <c r="ND237" s="4"/>
      <c r="NE237" s="8"/>
      <c r="NF237" s="5" t="str">
        <f t="shared" si="771"/>
        <v>NO APLICA</v>
      </c>
      <c r="NG237" s="2"/>
      <c r="NH237" s="6"/>
      <c r="NI237" s="4"/>
      <c r="NJ237" s="8"/>
      <c r="NK237" s="5" t="str">
        <f t="shared" si="772"/>
        <v>NO APLICA</v>
      </c>
      <c r="NL237" s="2"/>
      <c r="NM237" s="2"/>
      <c r="NN237" s="4"/>
      <c r="NO237" s="8"/>
      <c r="NP237" s="5" t="str">
        <f t="shared" si="773"/>
        <v>NO APLICA</v>
      </c>
      <c r="NQ237" s="2"/>
      <c r="NR237" s="2"/>
      <c r="NS237" s="4"/>
      <c r="NT237" s="2"/>
      <c r="NU237" s="5" t="str">
        <f t="shared" si="774"/>
        <v>NO APLICA</v>
      </c>
      <c r="NV237" s="6"/>
      <c r="NW237" s="6"/>
      <c r="NX237" s="4"/>
      <c r="NY237" s="8"/>
      <c r="NZ237" s="5" t="str">
        <f t="shared" si="775"/>
        <v>NO APLICA</v>
      </c>
      <c r="OA237" s="6"/>
      <c r="OB237" s="6"/>
      <c r="OC237" s="6"/>
      <c r="OD237" s="6"/>
      <c r="OE237" s="5" t="str">
        <f t="shared" si="776"/>
        <v>NO APLICA</v>
      </c>
      <c r="OF237" s="6"/>
      <c r="OG237" s="6"/>
      <c r="OH237" s="4"/>
      <c r="OI237" s="8"/>
      <c r="OJ237" s="5" t="str">
        <f t="shared" si="777"/>
        <v>NO APLICA</v>
      </c>
      <c r="OK237" s="6"/>
      <c r="OL237" s="6"/>
      <c r="OM237" s="6"/>
      <c r="ON237" s="6"/>
      <c r="OO237" s="5" t="str">
        <f t="shared" si="778"/>
        <v>NO APLICA</v>
      </c>
      <c r="OP237" s="6"/>
      <c r="OQ237" s="6"/>
      <c r="OR237" s="6"/>
      <c r="OS237" s="6"/>
      <c r="OT237" s="5" t="str">
        <f t="shared" si="779"/>
        <v>NO APLICA</v>
      </c>
      <c r="OU237" s="6"/>
      <c r="OV237" s="6"/>
      <c r="OW237" s="6"/>
      <c r="OX237" s="6"/>
      <c r="OY237" s="5" t="str">
        <f t="shared" si="793"/>
        <v>NO APLICA</v>
      </c>
      <c r="OZ237" s="6"/>
      <c r="PA237" s="6"/>
      <c r="PB237" s="6"/>
      <c r="PC237" s="6"/>
      <c r="PD237" s="5" t="str">
        <f t="shared" si="780"/>
        <v>NO APLICA</v>
      </c>
      <c r="PE237" s="6"/>
      <c r="PF237" s="6"/>
      <c r="PG237" s="6"/>
      <c r="PH237" s="6"/>
      <c r="PI237" s="5" t="str">
        <f t="shared" si="781"/>
        <v>NO APLICA</v>
      </c>
      <c r="PJ237" s="5"/>
      <c r="PK237" s="6"/>
      <c r="PL237" s="4"/>
      <c r="PM237" s="8"/>
      <c r="PN237" s="5" t="str">
        <f t="shared" si="790"/>
        <v>NO APLICA</v>
      </c>
      <c r="PO237" s="6"/>
      <c r="PP237" s="6"/>
      <c r="PQ237" s="6"/>
      <c r="PR237" s="6"/>
      <c r="PS237" s="5" t="str">
        <f t="shared" si="782"/>
        <v>NO APLICA</v>
      </c>
      <c r="PT237" s="5"/>
      <c r="PU237" s="4">
        <v>46126</v>
      </c>
      <c r="PV237" s="4">
        <f>DATE(YEAR(PU237)+1,MONTH(PU237),DAY(PU237))</f>
        <v>46491</v>
      </c>
      <c r="PW237" s="8">
        <f ca="1">PV237-TODAY()</f>
        <v>357</v>
      </c>
      <c r="PX237" s="5" t="str">
        <f t="shared" ca="1" si="783"/>
        <v>VIGENTE</v>
      </c>
    </row>
    <row r="238" spans="1:440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716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2" t="s">
        <v>699</v>
      </c>
      <c r="V238" s="4">
        <v>46069</v>
      </c>
      <c r="W238" s="4">
        <f>DATE(YEAR(V238)+5,MONTH(V238),DAY(V238))</f>
        <v>47895</v>
      </c>
      <c r="X238" s="8">
        <f ca="1">W238-TODAY()</f>
        <v>1761</v>
      </c>
      <c r="Y238" s="5" t="str">
        <f ca="1">IF(X238&gt;=90,"VIGENTE",IF(X238&gt;=1,"POR VENCER",IF(X238&lt;=-1,"VENCIDA",IF(V238=0,"NO APLICA"))))</f>
        <v>VIGENTE</v>
      </c>
      <c r="Z238" s="2"/>
      <c r="AA238" s="6"/>
      <c r="AB238" s="4"/>
      <c r="AC238" s="8"/>
      <c r="AD238" s="5" t="str">
        <f t="shared" si="627"/>
        <v>NO APLICA</v>
      </c>
      <c r="AE238" s="2"/>
      <c r="AF238" s="4">
        <v>46085</v>
      </c>
      <c r="AG238" s="4">
        <f>DATE(YEAR(AF238)+2,MONTH(AF238),DAY(AF238))</f>
        <v>46816</v>
      </c>
      <c r="AH238" s="8">
        <f ca="1">AG238-TODAY()</f>
        <v>682</v>
      </c>
      <c r="AI238" s="5" t="str">
        <f ca="1">IF(AH238&gt;=91,"VIGENTE",IF(AH238&gt;=1,"POR VENCER",IF(AH238&lt;=-1,"VENCIDA",IF(AF238=0,"NO APLICA"))))</f>
        <v>VIGENTE</v>
      </c>
      <c r="AJ238" s="2"/>
      <c r="AK238" s="4">
        <v>46084</v>
      </c>
      <c r="AL238" s="4">
        <f>DATE(YEAR(AK238)+2,MONTH(AK238),DAY(AK238))</f>
        <v>46815</v>
      </c>
      <c r="AM238" s="8">
        <f ca="1">AL238-TODAY()</f>
        <v>681</v>
      </c>
      <c r="AN238" s="5" t="str">
        <f ca="1">IF(AM238&gt;=91,"VIGENTE",IF(AM238&gt;=1,"POR VENCER",IF(AM238&lt;=-1,"VENCIDA",IF(AK238=0,"NO APLICA"))))</f>
        <v>VIGENTE</v>
      </c>
      <c r="AO238" s="2"/>
      <c r="AP238" s="4">
        <v>46048</v>
      </c>
      <c r="AQ238" s="4">
        <f>DATE(YEAR(AP238)+2,MONTH(AP238),DAY(AP238))</f>
        <v>46778</v>
      </c>
      <c r="AR238" s="8">
        <f ca="1">AQ238-TODAY()</f>
        <v>644</v>
      </c>
      <c r="AS238" s="5" t="str">
        <f ca="1">IF(AR238&gt;=91,"VIGENTE",IF(AR238&gt;=1,"POR VENCER",IF(AR238&lt;=-1,"VENCIDA",IF(AP238=0,"NO APLICA"))))</f>
        <v>VIGENTE</v>
      </c>
      <c r="AT238" s="2"/>
      <c r="AU238" s="4">
        <v>46070</v>
      </c>
      <c r="AV238" s="4">
        <f>DATE(YEAR(AU238)+2,MONTH(AU238),DAY(AU238))</f>
        <v>46800</v>
      </c>
      <c r="AW238" s="8">
        <f ca="1">AV238-TODAY()</f>
        <v>666</v>
      </c>
      <c r="AX238" s="5" t="str">
        <f ca="1">IF(AW238&gt;=91,"VIGENTE",IF(AW238&gt;=1,"POR VENCER",IF(AW238&lt;=-1,"VENCIDA",IF(AU238=0,"NO APLICA"))))</f>
        <v>VIGENTE</v>
      </c>
      <c r="AY238" s="3"/>
      <c r="AZ238" s="4">
        <v>46041</v>
      </c>
      <c r="BA238" s="4">
        <f>DATE(YEAR(AZ238)+2,MONTH(AZ238),DAY(AZ238))</f>
        <v>46771</v>
      </c>
      <c r="BB238" s="8">
        <f ca="1">BA238-TODAY()</f>
        <v>637</v>
      </c>
      <c r="BC238" s="5" t="str">
        <f ca="1">IF(BB238&gt;=91,"VIGENTE",IF(BB238&gt;=1,"POR VENCER",IF(BB238&lt;=-1,"VENCIDA",IF(AZ238=0,"NO APLICA"))))</f>
        <v>VIGENTE</v>
      </c>
      <c r="BD238" s="2"/>
      <c r="BE238" s="4">
        <v>46067</v>
      </c>
      <c r="BF238" s="4">
        <f>DATE(YEAR(BE238)+2,MONTH(BE238),DAY(BE238))</f>
        <v>46797</v>
      </c>
      <c r="BG238" s="8">
        <f ca="1">BF238-TODAY()</f>
        <v>663</v>
      </c>
      <c r="BH238" s="5" t="str">
        <f ca="1">IF(BG238&gt;=91,"VIGENTE",IF(BG238&gt;=1,"POR VENCER",IF(BG238&lt;=-1,"VENCIDA",IF(BE238=0,"NO APLICA"))))</f>
        <v>VIGENTE</v>
      </c>
      <c r="BI238" s="3"/>
      <c r="BJ238" s="4">
        <v>46035</v>
      </c>
      <c r="BK238" s="4">
        <f>DATE(YEAR(BJ238)+2,MONTH(BJ238),DAY(BJ238))</f>
        <v>46765</v>
      </c>
      <c r="BL238" s="8">
        <f ca="1">BK238-TODAY()</f>
        <v>631</v>
      </c>
      <c r="BM238" s="5" t="str">
        <f ca="1">IF(BL238&gt;=91,"VIGENTE",IF(BL238&gt;=1,"POR VENCER",IF(BL238&lt;=-1,"VENCIDA",IF(BJ238=0,"NO APLICA"))))</f>
        <v>VIGENTE</v>
      </c>
      <c r="BN238" s="3"/>
      <c r="BO238" s="4">
        <v>46050</v>
      </c>
      <c r="BP238" s="4">
        <f>DATE(YEAR(BO238)+2,MONTH(BO238),DAY(BO238))</f>
        <v>46780</v>
      </c>
      <c r="BQ238" s="8">
        <f ca="1">BP238-TODAY()</f>
        <v>646</v>
      </c>
      <c r="BR238" s="5" t="str">
        <f ca="1">IF(BQ238&gt;=91,"VIGENTE",IF(BQ238&gt;=1,"POR VENCER",IF(BQ238&lt;=-1,"VENCIDA",IF(BO238=0,"NO APLICA"))))</f>
        <v>VIGENTE</v>
      </c>
      <c r="BS238" s="2"/>
      <c r="BT238" s="4">
        <v>46063</v>
      </c>
      <c r="BU238" s="4">
        <f>DATE(YEAR(BT238)+2,MONTH(BT238),DAY(BT238))</f>
        <v>46793</v>
      </c>
      <c r="BV238" s="8">
        <f ca="1">BU238-TODAY()</f>
        <v>659</v>
      </c>
      <c r="BW238" s="5" t="str">
        <f ca="1">IF(BV238&gt;=91,"VIGENTE",IF(BV238&gt;=1,"POR VENCER",IF(BV238&lt;=-1,"VENCIDA",IF(BT238=0,"NO APLICA"))))</f>
        <v>VIGENTE</v>
      </c>
      <c r="BX238" s="2"/>
      <c r="BY238" s="4">
        <v>46065</v>
      </c>
      <c r="BZ238" s="4">
        <f>DATE(YEAR(BY238)+2,MONTH(BY238),DAY(BY238))</f>
        <v>46795</v>
      </c>
      <c r="CA238" s="8">
        <f ca="1">BZ238-TODAY()</f>
        <v>661</v>
      </c>
      <c r="CB238" s="5" t="str">
        <f ca="1">IF(CA238&gt;=91,"VIGENTE",IF(CA238&gt;=1,"POR VENCER",IF(CA238&lt;=-1,"VENCIDA",IF(BY238=0,"NO APLICA"))))</f>
        <v>VIGENTE</v>
      </c>
      <c r="CC238" s="6"/>
      <c r="CD238" s="4">
        <v>44566</v>
      </c>
      <c r="CE238" s="4">
        <f>DATE(YEAR(CD238)+4,MONTH(CD238),DAY(CD238))</f>
        <v>46027</v>
      </c>
      <c r="CF238" s="8">
        <f ca="1">CE238-TODAY()</f>
        <v>-107</v>
      </c>
      <c r="CG238" s="5" t="str">
        <f ca="1">IF(CF238&gt;=90,"VIGENTE",IF(CF238&gt;=1,"POR VENCER",IF(CF238&lt;=-1,"VENCIDA",IF(CF238=0,"NO APLICA"))))</f>
        <v>VENCIDA</v>
      </c>
      <c r="CH238" s="6"/>
      <c r="CI238" s="4">
        <v>46064</v>
      </c>
      <c r="CJ238" s="4">
        <f>DATE(YEAR(CI238)+2,MONTH(CI238),DAY(CI238))</f>
        <v>46794</v>
      </c>
      <c r="CK238" s="8">
        <f ca="1">CJ238-TODAY()</f>
        <v>660</v>
      </c>
      <c r="CL238" s="5" t="str">
        <f ca="1">IF(CK238&gt;=91,"VIGENTE",IF(CK238&gt;=1,"POR VENCER",IF(CK238&lt;=-1,"VENCIDA",IF(CI238=0,"NO APLICA"))))</f>
        <v>VIGENTE</v>
      </c>
      <c r="CM238" s="2"/>
      <c r="CN238" s="4">
        <v>46101</v>
      </c>
      <c r="CO238" s="4">
        <f>DATE(YEAR(CN238)+2,MONTH(CN238),DAY(CN238))</f>
        <v>46832</v>
      </c>
      <c r="CP238" s="8">
        <f ca="1">CO238-TODAY()</f>
        <v>698</v>
      </c>
      <c r="CQ238" s="5" t="str">
        <f ca="1">IF(CP238&gt;=91,"VIGENTE",IF(CP238&gt;=1,"POR VENCER",IF(CP238&lt;=-1,"VENCIDA",IF(CN238=0,"NO APLICA"))))</f>
        <v>VIGENTE</v>
      </c>
      <c r="CR238" s="2"/>
      <c r="CS238" s="4">
        <v>46081</v>
      </c>
      <c r="CT238" s="4">
        <f>DATE(YEAR(CS238)+2,MONTH(CS238),DAY(CS238))</f>
        <v>46811</v>
      </c>
      <c r="CU238" s="8">
        <f ca="1">CT238-TODAY()</f>
        <v>677</v>
      </c>
      <c r="CV238" s="5" t="str">
        <f ca="1">IF(CU238&gt;=91,"VIGENTE",IF(CU238&gt;=1,"POR VENCER",IF(CU238&lt;=-1,"VENCIDA",IF(CS238=0,"NO APLICA"))))</f>
        <v>VIGENTE</v>
      </c>
      <c r="CW238" s="3"/>
      <c r="CX238" s="4">
        <v>46046</v>
      </c>
      <c r="CY238" s="4">
        <f>DATE(YEAR(CX238)+2,MONTH(CX238),DAY(CX238))</f>
        <v>46776</v>
      </c>
      <c r="CZ238" s="8">
        <f ca="1">CY238-TODAY()</f>
        <v>642</v>
      </c>
      <c r="DA238" s="5" t="str">
        <f ca="1">IF(CZ238&gt;=91,"VIGENTE",IF(CZ238&gt;=1,"POR VENCER",IF(CZ238&lt;=-1,"VENCIDA",IF(CX238=0,"NO APLICA"))))</f>
        <v>VIGENTE</v>
      </c>
      <c r="DB238" s="3"/>
      <c r="DC238" s="4">
        <v>46066</v>
      </c>
      <c r="DD238" s="4">
        <f>DATE(YEAR(DC238)+2,MONTH(DC238),DAY(DC238))</f>
        <v>46796</v>
      </c>
      <c r="DE238" s="8">
        <f ca="1">DD238-TODAY()</f>
        <v>662</v>
      </c>
      <c r="DF238" s="5" t="str">
        <f ca="1">IF(DE238&gt;=91,"VIGENTE",IF(DE238&gt;=1,"POR VENCER",IF(DE238&lt;=-1,"VENCIDA",IF(DC238=0,"NO APLICA"))))</f>
        <v>VIGENTE</v>
      </c>
      <c r="DG238" s="2"/>
      <c r="DH238" s="4"/>
      <c r="DI238" s="4">
        <f>DATE(YEAR(DH238)+2,MONTH(DH238),DAY(DH238))</f>
        <v>731</v>
      </c>
      <c r="DJ238" s="8">
        <f ca="1">DI238-TODAY()</f>
        <v>-45403</v>
      </c>
      <c r="DK238" s="5" t="str">
        <f ca="1">IF(DJ238&gt;=91,"VIGENTE",IF(DJ238&gt;=1,"POR VENCER",IF(DJ238&lt;=-1,"VENCIDA",IF(DH238=0,"NO APLICA"))))</f>
        <v>VENCIDA</v>
      </c>
      <c r="DL238" s="3"/>
      <c r="DM238" s="4">
        <v>46088</v>
      </c>
      <c r="DN238" s="4">
        <f>DATE(YEAR(DM238)+2,MONTH(DM238),DAY(DM238))</f>
        <v>46819</v>
      </c>
      <c r="DO238" s="8">
        <f ca="1">DN238-TODAY()</f>
        <v>685</v>
      </c>
      <c r="DP238" s="5" t="str">
        <f ca="1">IF(DO238&gt;=91,"VIGENTE",IF(DO238&gt;=1,"POR VENCER",IF(DO238&lt;=-1,"VENCIDA",IF(DM238=0,"NO APLICA"))))</f>
        <v>VIGENTE</v>
      </c>
      <c r="DQ238" s="2"/>
      <c r="DR238" s="4">
        <v>46072</v>
      </c>
      <c r="DS238" s="4">
        <f>DATE(YEAR(DR238)+2,MONTH(DR238),DAY(DR238))</f>
        <v>46802</v>
      </c>
      <c r="DT238" s="8">
        <f ca="1">DS238-TODAY()</f>
        <v>668</v>
      </c>
      <c r="DU238" s="5" t="str">
        <f ca="1">IF(DT238&gt;=91,"VIGENTE",IF(DT238&gt;=1,"POR VENCER",IF(DT238&lt;=-1,"VENCIDA",IF(DR238=0,"NO APLICA"))))</f>
        <v>VIGENTE</v>
      </c>
      <c r="DV238" s="3"/>
      <c r="DW238" s="4">
        <v>46099</v>
      </c>
      <c r="DX238" s="4">
        <f>DATE(YEAR(DW238)+2,MONTH(DW238),DAY(DW238))</f>
        <v>46830</v>
      </c>
      <c r="DY238" s="8">
        <f ca="1">DX238-TODAY()</f>
        <v>696</v>
      </c>
      <c r="DZ238" s="5" t="str">
        <f ca="1">IF(DY238&gt;=91,"VIGENTE",IF(DY238&gt;=1,"POR VENCER",IF(DY238&lt;=-1,"VENCIDA",IF(DW238=0,"NO APLICA"))))</f>
        <v>VIGENTE</v>
      </c>
      <c r="EA238" s="3"/>
      <c r="EB238" s="4">
        <v>46104</v>
      </c>
      <c r="EC238" s="4">
        <f>DATE(YEAR(EB238)+2,MONTH(EB238),DAY(EB238))</f>
        <v>46835</v>
      </c>
      <c r="ED238" s="8">
        <f ca="1">EC238-TODAY()</f>
        <v>701</v>
      </c>
      <c r="EE238" s="5" t="str">
        <f ca="1">IF(ED238&gt;=91,"VIGENTE",IF(ED238&gt;=1,"POR VENCER",IF(ED238&lt;=-1,"VENCIDA",IF(EB238=0,"NO APLICA"))))</f>
        <v>VIGENTE</v>
      </c>
      <c r="EF238" s="3"/>
      <c r="EG238" s="3">
        <v>46060</v>
      </c>
      <c r="EH238" s="4">
        <f t="shared" si="795"/>
        <v>46425</v>
      </c>
      <c r="EI238" s="8">
        <f ca="1">EH238-TODAY()</f>
        <v>291</v>
      </c>
      <c r="EJ238" s="5" t="str">
        <f ca="1">IF(EI238&gt;=91,"VIGENTE",IF(EI238&gt;=1,"POR VENCER",IF(EI238&lt;=-1,"VENCIDA",IF(EG238=0,"NO APLICA"))))</f>
        <v>VIGENTE</v>
      </c>
      <c r="EK238" s="3"/>
      <c r="EL238" s="4">
        <v>46100</v>
      </c>
      <c r="EM238" s="4">
        <f>DATE(YEAR(EL238)+2,MONTH(EL238),DAY(EL238))</f>
        <v>46831</v>
      </c>
      <c r="EN238" s="8">
        <f ca="1">EM238-TODAY()</f>
        <v>697</v>
      </c>
      <c r="EO238" s="5" t="str">
        <f ca="1">IF(EN238&gt;=91,"VIGENTE",IF(EN238&gt;=1,"POR VENCER",IF(EN238&lt;=-1,"VENCIDA",IF(EL238=0,"NO APLICA"))))</f>
        <v>VIGENTE</v>
      </c>
      <c r="EP238" s="2"/>
      <c r="EQ238" s="4">
        <v>46062</v>
      </c>
      <c r="ER238" s="4">
        <f>DATE(YEAR(EQ238)+2,MONTH(EQ238),DAY(EQ238))</f>
        <v>46792</v>
      </c>
      <c r="ES238" s="8">
        <f ca="1">ER238-TODAY()</f>
        <v>658</v>
      </c>
      <c r="ET238" s="5" t="str">
        <f ca="1">IF(ES238&gt;=91,"VIGENTE",IF(ES238&gt;=1,"POR VENCER",IF(ES238&lt;=-1,"VENCIDA",IF(EQ238=0,"NO APLICA"))))</f>
        <v>VIGENTE</v>
      </c>
      <c r="EU238" s="2"/>
      <c r="EV238" s="4">
        <v>46086</v>
      </c>
      <c r="EW238" s="4">
        <f>DATE(YEAR(EV238)+2,MONTH(EV238),DAY(EV238))</f>
        <v>46817</v>
      </c>
      <c r="EX238" s="8">
        <f ca="1">EW238-TODAY()</f>
        <v>683</v>
      </c>
      <c r="EY238" s="5" t="str">
        <f ca="1">IF(EX238&gt;=91,"VIGENTE",IF(EX238&gt;=1,"POR VENCER",IF(EX238&lt;=-1,"VENCIDA",IF(EV238=0,"NO APLICA"))))</f>
        <v>VIGENTE</v>
      </c>
      <c r="EZ238" s="2"/>
      <c r="FA238" s="4">
        <v>46091</v>
      </c>
      <c r="FB238" s="4">
        <f>DATE(YEAR(FA238)+2,MONTH(FA238),DAY(FA238))</f>
        <v>46822</v>
      </c>
      <c r="FC238" s="8">
        <f ca="1">FB238-TODAY()</f>
        <v>688</v>
      </c>
      <c r="FD238" s="5" t="str">
        <f ca="1">IF(FC238&gt;=91,"VIGENTE",IF(FC238&gt;=1,"POR VENCER",IF(FC238&lt;=-1,"VENCIDA",IF(FA238=0,"NO APLICA"))))</f>
        <v>VIGENTE</v>
      </c>
      <c r="FE238" s="2"/>
      <c r="FF238" s="4">
        <v>46074</v>
      </c>
      <c r="FG238" s="4">
        <f>DATE(YEAR(FF238)+2,MONTH(FF238),DAY(FF238))</f>
        <v>46804</v>
      </c>
      <c r="FH238" s="8">
        <f ca="1">FG238-TODAY()</f>
        <v>670</v>
      </c>
      <c r="FI238" s="5" t="str">
        <f ca="1">IF(FH238&gt;=91,"VIGENTE",IF(FH238&gt;=1,"POR VENCER",IF(FH238&lt;=-1,"VENCIDA",IF(FF238=0,"NO APLICA"))))</f>
        <v>VIGENTE</v>
      </c>
      <c r="FJ238" s="3"/>
      <c r="FK238" s="4">
        <v>46049</v>
      </c>
      <c r="FL238" s="4">
        <f>DATE(YEAR(FK238)+2,MONTH(FK238),DAY(FK238))</f>
        <v>46779</v>
      </c>
      <c r="FM238" s="8">
        <f ca="1">FL238-TODAY()</f>
        <v>645</v>
      </c>
      <c r="FN238" s="5" t="str">
        <f ca="1">IF(FM238&gt;=91,"VIGENTE",IF(FM238&gt;=1,"POR VENCER",IF(FM238&lt;=-1,"VENCIDA",IF(FK238=0,"NO APLICA"))))</f>
        <v>VIGENTE</v>
      </c>
      <c r="FO238" s="3"/>
      <c r="FP238" s="4">
        <v>46080</v>
      </c>
      <c r="FQ238" s="4">
        <f>DATE(YEAR(FP238)+2,MONTH(FP238),DAY(FP238))</f>
        <v>46810</v>
      </c>
      <c r="FR238" s="8">
        <f ca="1">FQ238-TODAY()</f>
        <v>676</v>
      </c>
      <c r="FS238" s="5" t="str">
        <f ca="1">IF(FR238&gt;=91,"VIGENTE",IF(FR238&gt;=1,"POR VENCER",IF(FR238&lt;=-1,"VENCIDA",IF(FP238=0,"NO APLICA"))))</f>
        <v>VIGENTE</v>
      </c>
      <c r="FT238" s="3"/>
      <c r="FU238" s="4">
        <v>46087</v>
      </c>
      <c r="FV238" s="4">
        <f>DATE(YEAR(FU238)+2,MONTH(FU238),DAY(FU238))</f>
        <v>46818</v>
      </c>
      <c r="FW238" s="8">
        <f ca="1">FV238-TODAY()</f>
        <v>684</v>
      </c>
      <c r="FX238" s="5" t="str">
        <f ca="1">IF(FW238&gt;=91,"VIGENTE",IF(FW238&gt;=1,"POR VENCER",IF(FW238&lt;=-1,"VENCIDA",IF(FU238=0,"NO APLICA"))))</f>
        <v>VIGENTE</v>
      </c>
      <c r="FY238" s="3"/>
      <c r="FZ238" s="4">
        <v>46073</v>
      </c>
      <c r="GA238" s="4">
        <f>DATE(YEAR(FZ238)+2,MONTH(FZ238),DAY(FZ238))</f>
        <v>46803</v>
      </c>
      <c r="GB238" s="8">
        <f ca="1">GA238-TODAY()</f>
        <v>669</v>
      </c>
      <c r="GC238" s="5" t="str">
        <f ca="1">IF(GB238&gt;=91,"VIGENTE",IF(GB238&gt;=1,"POR VENCER",IF(GB238&lt;=-1,"VENCIDA",IF(FZ238=0,"NO APLICA"))))</f>
        <v>VIGENTE</v>
      </c>
      <c r="GD238" s="3"/>
      <c r="GE238" s="4">
        <v>46092</v>
      </c>
      <c r="GF238" s="4">
        <f>DATE(YEAR(GE238)+2,MONTH(GE238),DAY(GE238))</f>
        <v>46823</v>
      </c>
      <c r="GG238" s="8">
        <f ca="1">GF238-TODAY()</f>
        <v>689</v>
      </c>
      <c r="GH238" s="5" t="str">
        <f ca="1">IF(GG238&gt;=91,"VIGENTE",IF(GG238&gt;=1,"POR VENCER",IF(GG238&lt;=-1,"VENCIDA",IF(GE238=0,"NO APLICA"))))</f>
        <v>VIGENTE</v>
      </c>
      <c r="GI238" s="3"/>
      <c r="GJ238" s="4">
        <v>46071</v>
      </c>
      <c r="GK238" s="4">
        <f>DATE(YEAR(GJ238)+2,MONTH(GJ238),DAY(GJ238))</f>
        <v>46801</v>
      </c>
      <c r="GL238" s="8">
        <f ca="1">GK238-TODAY()</f>
        <v>667</v>
      </c>
      <c r="GM238" s="5" t="str">
        <f ca="1">IF(GL238&gt;=61,"VIGENTE",IF(GL238&gt;=1,"POR VENCER",IF(GL238&lt;=-1,"VENCIDA",IF(GJ238=0,"NO APLICA"))))</f>
        <v>VIGENTE</v>
      </c>
      <c r="GN238" s="4"/>
      <c r="GO238" s="4"/>
      <c r="GP238" s="4"/>
      <c r="GQ238" s="8"/>
      <c r="GR238" s="5" t="str">
        <f t="shared" si="630"/>
        <v>NO APLICA</v>
      </c>
      <c r="GS238" s="3"/>
      <c r="GT238" s="4"/>
      <c r="GU238" s="4"/>
      <c r="GV238" s="8"/>
      <c r="GW238" s="5" t="str">
        <f t="shared" si="631"/>
        <v>NO APLICA</v>
      </c>
      <c r="GX238" s="2"/>
      <c r="GY238" s="4"/>
      <c r="GZ238" s="4"/>
      <c r="HA238" s="8"/>
      <c r="HB238" s="5" t="str">
        <f t="shared" si="632"/>
        <v>NO APLICA</v>
      </c>
      <c r="HC238" s="6"/>
      <c r="HD238" s="6"/>
      <c r="HE238" s="4"/>
      <c r="HF238" s="8"/>
      <c r="HG238" s="5" t="str">
        <f t="shared" si="718"/>
        <v>NO APLICA</v>
      </c>
      <c r="HH238" s="2"/>
      <c r="HI238" s="6"/>
      <c r="HJ238" s="4"/>
      <c r="HK238" s="8"/>
      <c r="HL238" s="5" t="str">
        <f t="shared" si="714"/>
        <v>NO APLICA</v>
      </c>
      <c r="HM238" s="2"/>
      <c r="HN238" s="2"/>
      <c r="HO238" s="4"/>
      <c r="HP238" s="2"/>
      <c r="HQ238" s="5" t="str">
        <f t="shared" si="751"/>
        <v>NO APLICA</v>
      </c>
      <c r="HR238" s="2"/>
      <c r="HS238" s="6"/>
      <c r="HT238" s="4"/>
      <c r="HU238" s="8"/>
      <c r="HV238" s="5" t="str">
        <f t="shared" si="752"/>
        <v>NO APLICA</v>
      </c>
      <c r="HW238" s="2"/>
      <c r="HX238" s="6"/>
      <c r="HY238" s="4"/>
      <c r="HZ238" s="8"/>
      <c r="IA238" s="5" t="str">
        <f t="shared" si="753"/>
        <v>NO APLICA</v>
      </c>
      <c r="IB238" s="2"/>
      <c r="IC238" s="6"/>
      <c r="ID238" s="4"/>
      <c r="IE238" s="8"/>
      <c r="IF238" s="5" t="str">
        <f t="shared" si="754"/>
        <v>NO APLICA</v>
      </c>
      <c r="IG238" s="6"/>
      <c r="IH238" s="6"/>
      <c r="II238" s="4"/>
      <c r="IJ238" s="8"/>
      <c r="IK238" s="5" t="str">
        <f t="shared" si="755"/>
        <v>NO APLICA</v>
      </c>
      <c r="IL238" s="2"/>
      <c r="IM238" s="6"/>
      <c r="IN238" s="4"/>
      <c r="IO238" s="8"/>
      <c r="IP238" s="5" t="str">
        <f t="shared" si="756"/>
        <v>NO APLICA</v>
      </c>
      <c r="IQ238" s="2"/>
      <c r="IR238" s="6"/>
      <c r="IS238" s="4"/>
      <c r="IT238" s="8"/>
      <c r="IU238" s="5" t="str">
        <f t="shared" si="757"/>
        <v>NO APLICA</v>
      </c>
      <c r="IV238" s="2"/>
      <c r="IW238" s="6"/>
      <c r="IX238" s="4"/>
      <c r="IY238" s="8"/>
      <c r="IZ238" s="5" t="str">
        <f t="shared" si="758"/>
        <v>NO APLICA</v>
      </c>
      <c r="JA238" s="3"/>
      <c r="JB238" s="3"/>
      <c r="JC238" s="4"/>
      <c r="JD238" s="8"/>
      <c r="JE238" s="5" t="str">
        <f t="shared" si="759"/>
        <v>NO APLICA</v>
      </c>
      <c r="JF238" s="6"/>
      <c r="JG238" s="6"/>
      <c r="JH238" s="6"/>
      <c r="JI238" s="6"/>
      <c r="JJ238" s="5" t="str">
        <f t="shared" si="760"/>
        <v>NO APLICA</v>
      </c>
      <c r="JK238" s="6"/>
      <c r="JL238" s="6"/>
      <c r="JM238" s="6"/>
      <c r="JN238" s="6"/>
      <c r="JO238" s="5" t="str">
        <f t="shared" si="761"/>
        <v>NO APLICA</v>
      </c>
      <c r="JP238" s="6"/>
      <c r="JQ238" s="6"/>
      <c r="JR238" s="6"/>
      <c r="JS238" s="6"/>
      <c r="JT238" s="5" t="str">
        <f t="shared" si="762"/>
        <v>NO APLICA</v>
      </c>
      <c r="JU238" s="5"/>
      <c r="JV238" s="3"/>
      <c r="JW238" s="4"/>
      <c r="JX238" s="8"/>
      <c r="JY238" s="5" t="str">
        <f>IF(JX238&gt;=61,"VIGENTE",IF(JX238&gt;=1,"POR VENCER",IF(JX238&lt;=-1,"VENCIDA",IF(JV238=0,"NO APLICA"))))</f>
        <v>NO APLICA</v>
      </c>
      <c r="JZ238" s="5"/>
      <c r="KA238" s="2"/>
      <c r="KB238" s="4"/>
      <c r="KC238" s="8"/>
      <c r="KD238" s="5" t="str">
        <f t="shared" si="764"/>
        <v>NO APLICA</v>
      </c>
      <c r="KE238" s="5"/>
      <c r="KF238" s="2"/>
      <c r="KG238" s="4"/>
      <c r="KH238" s="8"/>
      <c r="KI238" s="5" t="str">
        <f t="shared" si="784"/>
        <v>NO APLICA</v>
      </c>
      <c r="KJ238" s="5"/>
      <c r="KK238" s="2"/>
      <c r="KL238" s="4"/>
      <c r="KM238" s="8"/>
      <c r="KN238" s="5" t="str">
        <f t="shared" si="765"/>
        <v>NO APLICA</v>
      </c>
      <c r="KO238" s="5"/>
      <c r="KP238" s="2"/>
      <c r="KQ238" s="4"/>
      <c r="KR238" s="8"/>
      <c r="KS238" s="5" t="str">
        <f t="shared" si="785"/>
        <v>NO APLICA</v>
      </c>
      <c r="KT238" s="2"/>
      <c r="KU238" s="6"/>
      <c r="KV238" s="4"/>
      <c r="KW238" s="8"/>
      <c r="KX238" s="5" t="str">
        <f t="shared" si="791"/>
        <v>NO APLICA</v>
      </c>
      <c r="KY238" s="5"/>
      <c r="KZ238" s="6"/>
      <c r="LA238" s="4"/>
      <c r="LB238" s="8"/>
      <c r="LC238" s="5" t="str">
        <f t="shared" si="786"/>
        <v>NO APLICA</v>
      </c>
      <c r="LD238" s="6"/>
      <c r="LE238" s="6"/>
      <c r="LF238" s="4"/>
      <c r="LG238" s="8"/>
      <c r="LH238" s="5" t="str">
        <f t="shared" si="797"/>
        <v>NO APLICA</v>
      </c>
      <c r="LI238" s="5"/>
      <c r="LJ238" s="5"/>
      <c r="LK238" s="4"/>
      <c r="LL238" s="8"/>
      <c r="LM238" s="5" t="str">
        <f t="shared" si="792"/>
        <v>NO APLICA</v>
      </c>
      <c r="LN238" s="2"/>
      <c r="LO238" s="6"/>
      <c r="LP238" s="4"/>
      <c r="LQ238" s="8"/>
      <c r="LR238" s="5" t="str">
        <f t="shared" si="787"/>
        <v>NO APLICA</v>
      </c>
      <c r="LS238" s="6"/>
      <c r="LT238" s="6"/>
      <c r="LU238" s="4"/>
      <c r="LV238" s="8"/>
      <c r="LW238" s="5" t="str">
        <f t="shared" si="788"/>
        <v>NO APLICA</v>
      </c>
      <c r="LX238" s="6"/>
      <c r="LY238" s="6"/>
      <c r="LZ238" s="4"/>
      <c r="MA238" s="8"/>
      <c r="MB238" s="5" t="str">
        <f t="shared" si="789"/>
        <v>NO APLICA</v>
      </c>
      <c r="MC238" s="2"/>
      <c r="MD238" s="2"/>
      <c r="ME238" s="4"/>
      <c r="MF238" s="8"/>
      <c r="MG238" s="5" t="str">
        <f t="shared" si="766"/>
        <v>NO APLICA</v>
      </c>
      <c r="MH238" s="2"/>
      <c r="MI238" s="2"/>
      <c r="MJ238" s="4"/>
      <c r="MK238" s="8"/>
      <c r="ML238" s="5" t="str">
        <f t="shared" si="767"/>
        <v>NO APLICA</v>
      </c>
      <c r="MM238" s="5"/>
      <c r="MN238" s="2"/>
      <c r="MO238" s="4"/>
      <c r="MP238" s="8"/>
      <c r="MQ238" s="5" t="str">
        <f t="shared" si="768"/>
        <v>NO APLICA</v>
      </c>
      <c r="MR238" s="5"/>
      <c r="MS238" s="2"/>
      <c r="MT238" s="4"/>
      <c r="MU238" s="2"/>
      <c r="MV238" s="5" t="str">
        <f t="shared" si="769"/>
        <v>NO APLICA</v>
      </c>
      <c r="MW238" s="2"/>
      <c r="MX238" s="6"/>
      <c r="MY238" s="4"/>
      <c r="MZ238" s="8"/>
      <c r="NA238" s="5" t="str">
        <f t="shared" si="770"/>
        <v>NO APLICA</v>
      </c>
      <c r="NB238" s="2"/>
      <c r="NC238" s="6"/>
      <c r="ND238" s="4"/>
      <c r="NE238" s="8"/>
      <c r="NF238" s="5" t="str">
        <f t="shared" si="771"/>
        <v>NO APLICA</v>
      </c>
      <c r="NG238" s="2"/>
      <c r="NH238" s="6"/>
      <c r="NI238" s="4"/>
      <c r="NJ238" s="8"/>
      <c r="NK238" s="5" t="str">
        <f t="shared" si="772"/>
        <v>NO APLICA</v>
      </c>
      <c r="NL238" s="2"/>
      <c r="NM238" s="2"/>
      <c r="NN238" s="4"/>
      <c r="NO238" s="8"/>
      <c r="NP238" s="5" t="str">
        <f t="shared" si="773"/>
        <v>NO APLICA</v>
      </c>
      <c r="NQ238" s="2"/>
      <c r="NR238" s="2"/>
      <c r="NS238" s="4"/>
      <c r="NT238" s="2"/>
      <c r="NU238" s="5" t="str">
        <f t="shared" si="774"/>
        <v>NO APLICA</v>
      </c>
      <c r="NV238" s="6"/>
      <c r="NW238" s="6"/>
      <c r="NX238" s="4"/>
      <c r="NY238" s="8"/>
      <c r="NZ238" s="5" t="str">
        <f t="shared" si="775"/>
        <v>NO APLICA</v>
      </c>
      <c r="OA238" s="6"/>
      <c r="OB238" s="6"/>
      <c r="OC238" s="6"/>
      <c r="OD238" s="6"/>
      <c r="OE238" s="5" t="str">
        <f t="shared" si="776"/>
        <v>NO APLICA</v>
      </c>
      <c r="OF238" s="6"/>
      <c r="OG238" s="6"/>
      <c r="OH238" s="4"/>
      <c r="OI238" s="8"/>
      <c r="OJ238" s="5" t="str">
        <f t="shared" si="777"/>
        <v>NO APLICA</v>
      </c>
      <c r="OK238" s="6"/>
      <c r="OL238" s="6"/>
      <c r="OM238" s="6"/>
      <c r="ON238" s="6"/>
      <c r="OO238" s="5" t="str">
        <f t="shared" si="778"/>
        <v>NO APLICA</v>
      </c>
      <c r="OP238" s="6"/>
      <c r="OQ238" s="6"/>
      <c r="OR238" s="6"/>
      <c r="OS238" s="6"/>
      <c r="OT238" s="5" t="str">
        <f t="shared" si="779"/>
        <v>NO APLICA</v>
      </c>
      <c r="OU238" s="6"/>
      <c r="OV238" s="6"/>
      <c r="OW238" s="6"/>
      <c r="OX238" s="6"/>
      <c r="OY238" s="5" t="str">
        <f t="shared" si="793"/>
        <v>NO APLICA</v>
      </c>
      <c r="OZ238" s="6"/>
      <c r="PA238" s="6"/>
      <c r="PB238" s="6"/>
      <c r="PC238" s="6"/>
      <c r="PD238" s="5" t="str">
        <f t="shared" si="780"/>
        <v>NO APLICA</v>
      </c>
      <c r="PE238" s="6"/>
      <c r="PF238" s="6"/>
      <c r="PG238" s="6"/>
      <c r="PH238" s="6"/>
      <c r="PI238" s="5" t="str">
        <f t="shared" si="781"/>
        <v>NO APLICA</v>
      </c>
      <c r="PJ238" s="5"/>
      <c r="PK238" s="6"/>
      <c r="PL238" s="4"/>
      <c r="PM238" s="8"/>
      <c r="PN238" s="5" t="str">
        <f t="shared" si="790"/>
        <v>NO APLICA</v>
      </c>
      <c r="PO238" s="6"/>
      <c r="PP238" s="6"/>
      <c r="PQ238" s="6"/>
      <c r="PR238" s="6"/>
      <c r="PS238" s="5" t="str">
        <f t="shared" si="782"/>
        <v>NO APLICA</v>
      </c>
      <c r="PT238" s="5"/>
      <c r="PU238" s="6"/>
      <c r="PV238" s="6"/>
      <c r="PW238" s="6"/>
      <c r="PX238" s="5" t="str">
        <f t="shared" si="783"/>
        <v>NO APLICA</v>
      </c>
    </row>
    <row r="239" spans="1:440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8"/>
      <c r="V239" s="4">
        <v>44590</v>
      </c>
      <c r="W239" s="4">
        <f>DATE(YEAR(V239)+5,MONTH(V239),DAY(V239))</f>
        <v>46416</v>
      </c>
      <c r="X239" s="8">
        <f ca="1">W239-TODAY()</f>
        <v>282</v>
      </c>
      <c r="Y239" s="5" t="str">
        <f t="shared" ref="Y239:Y240" ca="1" si="798">IF(X239&gt;=90,"VIGENTE",IF(X239&gt;=1,"POR VENCER",IF(X239&lt;=-1,"VENCIDA",IF(V239=0,"NO APLICA"))))</f>
        <v>VIGENTE</v>
      </c>
      <c r="Z239" s="5" t="s">
        <v>701</v>
      </c>
      <c r="AA239" s="4">
        <v>44988</v>
      </c>
      <c r="AB239" s="4">
        <f>DATE(YEAR(AA239)+5,MONTH(AA239),DAY(AA239))</f>
        <v>46815</v>
      </c>
      <c r="AC239" s="8">
        <f ca="1">AB239-TODAY()</f>
        <v>681</v>
      </c>
      <c r="AD239" s="5" t="str">
        <f t="shared" ca="1" si="627"/>
        <v>VIGENTE</v>
      </c>
      <c r="AE239" s="3"/>
      <c r="AF239" s="4"/>
      <c r="AG239" s="4"/>
      <c r="AH239" s="8"/>
      <c r="AI239" s="5" t="str">
        <f t="shared" si="796"/>
        <v>NO APLICA</v>
      </c>
      <c r="AJ239" s="3"/>
      <c r="AK239" s="4"/>
      <c r="AL239" s="4"/>
      <c r="AM239" s="8"/>
      <c r="AN239" s="5" t="str">
        <f t="shared" si="720"/>
        <v>NO APLICA</v>
      </c>
      <c r="AO239" s="3"/>
      <c r="AP239" s="4"/>
      <c r="AQ239" s="4"/>
      <c r="AR239" s="8"/>
      <c r="AS239" s="5" t="str">
        <f t="shared" ref="AS239:AS240" si="799">IF(AR239&gt;=91,"VIGENTE",IF(AR239&gt;=1,"POR VENCER",IF(AR239&lt;=-1,"VENCIDA",IF(AP239=0,"NO APLICA"))))</f>
        <v>NO APLICA</v>
      </c>
      <c r="AT239" s="3"/>
      <c r="AU239" s="4"/>
      <c r="AV239" s="4"/>
      <c r="AW239" s="8"/>
      <c r="AX239" s="5" t="str">
        <f t="shared" ref="AX239:AX240" si="800">IF(AW239&gt;=91,"VIGENTE",IF(AW239&gt;=1,"POR VENCER",IF(AW239&lt;=-1,"VENCIDA",IF(AU239=0,"NO APLICA"))))</f>
        <v>NO APLICA</v>
      </c>
      <c r="AY239" s="3"/>
      <c r="AZ239" s="4"/>
      <c r="BA239" s="4"/>
      <c r="BB239" s="8"/>
      <c r="BC239" s="5" t="str">
        <f t="shared" ref="BC239:BC240" si="801">IF(BB239&gt;=91,"VIGENTE",IF(BB239&gt;=1,"POR VENCER",IF(BB239&lt;=-1,"VENCIDA",IF(AZ239=0,"NO APLICA"))))</f>
        <v>NO APLICA</v>
      </c>
      <c r="BD239" s="3"/>
      <c r="BE239" s="4"/>
      <c r="BF239" s="4"/>
      <c r="BG239" s="8"/>
      <c r="BH239" s="5" t="str">
        <f t="shared" ref="BH239:BH240" si="802">IF(BG239&gt;=91,"VIGENTE",IF(BG239&gt;=1,"POR VENCER",IF(BG239&lt;=-1,"VENCIDA",IF(BE239=0,"NO APLICA"))))</f>
        <v>NO APLICA</v>
      </c>
      <c r="BI239" s="3"/>
      <c r="BJ239" s="4"/>
      <c r="BK239" s="4"/>
      <c r="BL239" s="8"/>
      <c r="BM239" s="5" t="str">
        <f t="shared" ref="BM239:BM240" si="803">IF(BL239&gt;=91,"VIGENTE",IF(BL239&gt;=1,"POR VENCER",IF(BL239&lt;=-1,"VENCIDA",IF(BJ239=0,"NO APLICA"))))</f>
        <v>NO APLICA</v>
      </c>
      <c r="BN239" s="3"/>
      <c r="BO239" s="4"/>
      <c r="BP239" s="4"/>
      <c r="BQ239" s="8"/>
      <c r="BR239" s="5" t="str">
        <f t="shared" ref="BR239:BR240" si="804">IF(BQ239&gt;=91,"VIGENTE",IF(BQ239&gt;=1,"POR VENCER",IF(BQ239&lt;=-1,"VENCIDA",IF(BO239=0,"NO APLICA"))))</f>
        <v>NO APLICA</v>
      </c>
      <c r="BS239" s="4"/>
      <c r="BT239" s="4"/>
      <c r="BU239" s="4"/>
      <c r="BV239" s="8"/>
      <c r="BW239" s="5" t="str">
        <f t="shared" ref="BW239:BW240" si="805">IF(BV239&gt;=91,"VIGENTE",IF(BV239&gt;=1,"POR VENCER",IF(BV239&lt;=-1,"VENCIDA",IF(BT239=0,"NO APLICA"))))</f>
        <v>NO APLICA</v>
      </c>
      <c r="BX239" s="4"/>
      <c r="BY239" s="4"/>
      <c r="BZ239" s="4"/>
      <c r="CA239" s="8"/>
      <c r="CB239" s="5" t="str">
        <f t="shared" ref="CB239:CB240" si="806">IF(CA239&gt;=91,"VIGENTE",IF(CA239&gt;=1,"POR VENCER",IF(CA239&lt;=-1,"VENCIDA",IF(BY239=0,"NO APLICA"))))</f>
        <v>NO APLICA</v>
      </c>
      <c r="CC239" s="3"/>
      <c r="CD239" s="4">
        <v>45247</v>
      </c>
      <c r="CE239" s="4">
        <f>DATE(YEAR(CD239)+4,MONTH(CD239),DAY(CD239))</f>
        <v>46708</v>
      </c>
      <c r="CF239" s="8">
        <f ca="1">CE239-TODAY()</f>
        <v>574</v>
      </c>
      <c r="CG239" s="5" t="str">
        <f t="shared" ref="CG239:CG240" ca="1" si="807">IF(CF239&gt;=90,"VIGENTE",IF(CF239&gt;=1,"POR VENCER",IF(CF239&lt;=-1,"VENCIDA",IF(CF239=0,"NO APLICA"))))</f>
        <v>VIGENTE</v>
      </c>
      <c r="CH239" s="4"/>
      <c r="CI239" s="4"/>
      <c r="CJ239" s="8"/>
      <c r="CK239" s="5"/>
      <c r="CL239" s="5" t="str">
        <f t="shared" ref="CL239:CL240" si="808">IF(CK239&gt;=91,"VIGENTE",IF(CK239&gt;=1,"POR VENCER",IF(CK239&lt;=-1,"VENCIDA",IF(CI239=0,"NO APLICA"))))</f>
        <v>NO APLICA</v>
      </c>
      <c r="CM239" s="4"/>
      <c r="CN239" s="4"/>
      <c r="CO239" s="8"/>
      <c r="CP239" s="5"/>
      <c r="CQ239" s="5" t="str">
        <f t="shared" ref="CQ239:CQ240" si="809">IF(CP239&gt;=91,"VIGENTE",IF(CP239&gt;=1,"POR VENCER",IF(CP239&lt;=-1,"VENCIDA",IF(CN239=0,"NO APLICA"))))</f>
        <v>NO APLICA</v>
      </c>
      <c r="CR239" s="4"/>
      <c r="CS239" s="4"/>
      <c r="CT239" s="8"/>
      <c r="CU239" s="5"/>
      <c r="CV239" s="5" t="str">
        <f t="shared" ref="CV239:CV240" si="810">IF(CU239&gt;=91,"VIGENTE",IF(CU239&gt;=1,"POR VENCER",IF(CU239&lt;=-1,"VENCIDA",IF(CS239=0,"NO APLICA"))))</f>
        <v>NO APLICA</v>
      </c>
      <c r="CW239" s="4"/>
      <c r="CX239" s="4"/>
      <c r="CY239" s="8"/>
      <c r="CZ239" s="5"/>
      <c r="DA239" s="5" t="str">
        <f t="shared" ref="DA239:DA240" si="811">IF(CZ239&gt;=91,"VIGENTE",IF(CZ239&gt;=1,"POR VENCER",IF(CZ239&lt;=-1,"VENCIDA",IF(CX239=0,"NO APLICA"))))</f>
        <v>NO APLICA</v>
      </c>
      <c r="DB239" s="4"/>
      <c r="DC239" s="4"/>
      <c r="DD239" s="8"/>
      <c r="DE239" s="5"/>
      <c r="DF239" s="5" t="str">
        <f t="shared" ref="DF239:DF240" si="812">IF(DE239&gt;=91,"VIGENTE",IF(DE239&gt;=1,"POR VENCER",IF(DE239&lt;=-1,"VENCIDA",IF(DC239=0,"NO APLICA"))))</f>
        <v>NO APLICA</v>
      </c>
      <c r="DG239" s="4"/>
      <c r="DH239" s="4"/>
      <c r="DI239" s="8"/>
      <c r="DJ239" s="5"/>
      <c r="DK239" s="5" t="str">
        <f t="shared" ref="DK239:DK240" si="813">IF(DJ239&gt;=91,"VIGENTE",IF(DJ239&gt;=1,"POR VENCER",IF(DJ239&lt;=-1,"VENCIDA",IF(DH239=0,"NO APLICA"))))</f>
        <v>NO APLICA</v>
      </c>
      <c r="DL239" s="4"/>
      <c r="DM239" s="4"/>
      <c r="DN239" s="8"/>
      <c r="DO239" s="5"/>
      <c r="DP239" s="5" t="str">
        <f t="shared" ref="DP239:DP240" si="814">IF(DO239&gt;=91,"VIGENTE",IF(DO239&gt;=1,"POR VENCER",IF(DO239&lt;=-1,"VENCIDA",IF(DM239=0,"NO APLICA"))))</f>
        <v>NO APLICA</v>
      </c>
      <c r="DQ239" s="4"/>
      <c r="DR239" s="4"/>
      <c r="DS239" s="8"/>
      <c r="DT239" s="5"/>
      <c r="DU239" s="5" t="str">
        <f t="shared" ref="DU239:DU240" si="815">IF(DT239&gt;=91,"VIGENTE",IF(DT239&gt;=1,"POR VENCER",IF(DT239&lt;=-1,"VENCIDA",IF(DR239=0,"NO APLICA"))))</f>
        <v>NO APLICA</v>
      </c>
      <c r="DV239" s="3"/>
      <c r="DW239" s="3"/>
      <c r="DX239" s="4"/>
      <c r="DY239" s="4"/>
      <c r="DZ239" s="5" t="str">
        <f t="shared" ref="DZ239:DZ240" si="816">IF(DY239&gt;=91,"VIGENTE",IF(DY239&gt;=1,"POR VENCER",IF(DY239&lt;=-1,"VENCIDA",IF(DW239=0,"NO APLICA"))))</f>
        <v>NO APLICA</v>
      </c>
      <c r="EA239" s="5"/>
      <c r="EB239" s="3"/>
      <c r="EC239" s="4"/>
      <c r="ED239" s="4"/>
      <c r="EE239" s="5" t="str">
        <f t="shared" ref="EE239:EE240" si="817">IF(ED239&gt;=91,"VIGENTE",IF(ED239&gt;=1,"POR VENCER",IF(ED239&lt;=-1,"VENCIDA",IF(EB239=0,"NO APLICA"))))</f>
        <v>NO APLICA</v>
      </c>
      <c r="EF239" s="4"/>
      <c r="EG239" s="4"/>
      <c r="EH239" s="8"/>
      <c r="EI239" s="5"/>
      <c r="EJ239" s="5" t="str">
        <f t="shared" ref="EJ239:EJ240" si="818">IF(EI239&gt;=91,"VIGENTE",IF(EI239&gt;=1,"POR VENCER",IF(EI239&lt;=-1,"VENCIDA",IF(EG239=0,"NO APLICA"))))</f>
        <v>NO APLICA</v>
      </c>
      <c r="EK239" s="4"/>
      <c r="EL239" s="4"/>
      <c r="EM239" s="8"/>
      <c r="EN239" s="5"/>
      <c r="EO239" s="5" t="str">
        <f t="shared" ref="EO239:EO240" si="819">IF(EN239&gt;=91,"VIGENTE",IF(EN239&gt;=1,"POR VENCER",IF(EN239&lt;=-1,"VENCIDA",IF(EL239=0,"NO APLICA"))))</f>
        <v>NO APLICA</v>
      </c>
      <c r="EP239" s="4"/>
      <c r="EQ239" s="4"/>
      <c r="ER239" s="8"/>
      <c r="ES239" s="5"/>
      <c r="ET239" s="5" t="str">
        <f t="shared" ref="ET239:ET240" si="820">IF(ES239&gt;=91,"VIGENTE",IF(ES239&gt;=1,"POR VENCER",IF(ES239&lt;=-1,"VENCIDA",IF(EQ239=0,"NO APLICA"))))</f>
        <v>NO APLICA</v>
      </c>
      <c r="EU239" s="4"/>
      <c r="EV239" s="4"/>
      <c r="EW239" s="8"/>
      <c r="EX239" s="5"/>
      <c r="EY239" s="5" t="str">
        <f t="shared" ref="EY239:EY240" si="821">IF(EX239&gt;=91,"VIGENTE",IF(EX239&gt;=1,"POR VENCER",IF(EX239&lt;=-1,"VENCIDA",IF(EV239=0,"NO APLICA"))))</f>
        <v>NO APLICA</v>
      </c>
      <c r="EZ239" s="4"/>
      <c r="FA239" s="4"/>
      <c r="FB239" s="8"/>
      <c r="FC239" s="5"/>
      <c r="FD239" s="5" t="str">
        <f t="shared" ref="FD239:FD240" si="822">IF(FC239&gt;=91,"VIGENTE",IF(FC239&gt;=1,"POR VENCER",IF(FC239&lt;=-1,"VENCIDA",IF(FA239=0,"NO APLICA"))))</f>
        <v>NO APLICA</v>
      </c>
      <c r="FE239" s="4"/>
      <c r="FF239" s="4"/>
      <c r="FG239" s="8"/>
      <c r="FH239" s="5"/>
      <c r="FI239" s="5" t="str">
        <f t="shared" ref="FI239:FI240" si="823">IF(FH239&gt;=91,"VIGENTE",IF(FH239&gt;=1,"POR VENCER",IF(FH239&lt;=-1,"VENCIDA",IF(FF239=0,"NO APLICA"))))</f>
        <v>NO APLICA</v>
      </c>
      <c r="FJ239" s="4"/>
      <c r="FK239" s="4"/>
      <c r="FL239" s="8"/>
      <c r="FM239" s="5"/>
      <c r="FN239" s="5" t="str">
        <f t="shared" ref="FN239:FN240" si="824">IF(FM239&gt;=91,"VIGENTE",IF(FM239&gt;=1,"POR VENCER",IF(FM239&lt;=-1,"VENCIDA",IF(FK239=0,"NO APLICA"))))</f>
        <v>NO APLICA</v>
      </c>
      <c r="FO239" s="4"/>
      <c r="FP239" s="4"/>
      <c r="FQ239" s="8"/>
      <c r="FR239" s="5"/>
      <c r="FS239" s="5" t="str">
        <f t="shared" ref="FS239:FS240" si="825">IF(FR239&gt;=91,"VIGENTE",IF(FR239&gt;=1,"POR VENCER",IF(FR239&lt;=-1,"VENCIDA",IF(FP239=0,"NO APLICA"))))</f>
        <v>NO APLICA</v>
      </c>
      <c r="FT239" s="4"/>
      <c r="FU239" s="4"/>
      <c r="FV239" s="8"/>
      <c r="FW239" s="5"/>
      <c r="FX239" s="5" t="str">
        <f t="shared" ref="FX239:FX240" si="826">IF(FW239&gt;=91,"VIGENTE",IF(FW239&gt;=1,"POR VENCER",IF(FW239&lt;=-1,"VENCIDA",IF(FU239=0,"NO APLICA"))))</f>
        <v>NO APLICA</v>
      </c>
      <c r="FY239" s="4"/>
      <c r="FZ239" s="4"/>
      <c r="GA239" s="8"/>
      <c r="GB239" s="5"/>
      <c r="GC239" s="5" t="str">
        <f t="shared" ref="GC239:GC240" si="827">IF(GB239&gt;=91,"VIGENTE",IF(GB239&gt;=1,"POR VENCER",IF(GB239&lt;=-1,"VENCIDA",IF(FZ239=0,"NO APLICA"))))</f>
        <v>NO APLICA</v>
      </c>
      <c r="GD239" s="4"/>
      <c r="GE239" s="4"/>
      <c r="GF239" s="8"/>
      <c r="GG239" s="5"/>
      <c r="GH239" s="5" t="str">
        <f t="shared" ref="GH239:GH240" si="828">IF(GG239&gt;=91,"VIGENTE",IF(GG239&gt;=1,"POR VENCER",IF(GG239&lt;=-1,"VENCIDA",IF(GE239=0,"NO APLICA"))))</f>
        <v>NO APLICA</v>
      </c>
      <c r="GI239" s="4"/>
      <c r="GJ239" s="4"/>
      <c r="GK239" s="8"/>
      <c r="GL239" s="5"/>
      <c r="GM239" s="5" t="str">
        <f t="shared" ref="GM239:GM240" si="829">IF(GL239&gt;=61,"VIGENTE",IF(GL239&gt;=1,"POR VENCER",IF(GL239&lt;=-1,"VENCIDA",IF(GJ239=0,"NO APLICA"))))</f>
        <v>NO APLICA</v>
      </c>
      <c r="GN239" s="4"/>
      <c r="GO239" s="4"/>
      <c r="GP239" s="8"/>
      <c r="GQ239" s="5"/>
      <c r="GR239" s="5" t="str">
        <f t="shared" si="630"/>
        <v>NO APLICA</v>
      </c>
      <c r="GS239" s="4"/>
      <c r="GT239" s="4"/>
      <c r="GU239" s="8"/>
      <c r="GV239" s="5"/>
      <c r="GW239" s="5" t="str">
        <f t="shared" si="631"/>
        <v>NO APLICA</v>
      </c>
      <c r="GX239" s="6"/>
      <c r="GY239" s="4"/>
      <c r="GZ239" s="8"/>
      <c r="HA239" s="5"/>
      <c r="HB239" s="5" t="str">
        <f t="shared" si="632"/>
        <v>NO APLICA</v>
      </c>
      <c r="HC239" s="2"/>
      <c r="HD239" s="4"/>
      <c r="HE239" s="2"/>
      <c r="HF239" s="5"/>
      <c r="HG239" s="5" t="str">
        <f t="shared" si="718"/>
        <v>NO APLICA</v>
      </c>
      <c r="HH239" s="4"/>
      <c r="HI239" s="4"/>
      <c r="HJ239" s="8"/>
      <c r="HK239" s="5"/>
      <c r="HL239" s="5" t="str">
        <f t="shared" si="714"/>
        <v>NO APLICA</v>
      </c>
      <c r="HM239" s="4"/>
      <c r="HN239" s="4"/>
      <c r="HO239" s="8"/>
      <c r="HP239" s="5"/>
      <c r="HQ239" s="5" t="str">
        <f t="shared" si="751"/>
        <v>NO APLICA</v>
      </c>
      <c r="HR239" s="4"/>
      <c r="HS239" s="4"/>
      <c r="HT239" s="8"/>
      <c r="HU239" s="5"/>
      <c r="HV239" s="5" t="str">
        <f t="shared" si="752"/>
        <v>NO APLICA</v>
      </c>
      <c r="HW239" s="4"/>
      <c r="HX239" s="4"/>
      <c r="HY239" s="8"/>
      <c r="HZ239" s="5"/>
      <c r="IA239" s="5" t="str">
        <f t="shared" si="753"/>
        <v>NO APLICA</v>
      </c>
      <c r="IB239" s="4"/>
      <c r="IC239" s="4"/>
      <c r="ID239" s="8"/>
      <c r="IE239" s="5"/>
      <c r="IF239" s="5" t="str">
        <f t="shared" si="754"/>
        <v>NO APLICA</v>
      </c>
      <c r="IG239" s="4"/>
      <c r="IH239" s="4"/>
      <c r="II239" s="8"/>
      <c r="IJ239" s="5"/>
      <c r="IK239" s="5" t="str">
        <f t="shared" si="755"/>
        <v>NO APLICA</v>
      </c>
      <c r="IL239" s="4"/>
      <c r="IM239" s="4"/>
      <c r="IN239" s="8"/>
      <c r="IO239" s="5"/>
      <c r="IP239" s="5" t="str">
        <f t="shared" si="756"/>
        <v>NO APLICA</v>
      </c>
      <c r="IQ239" s="3"/>
      <c r="IR239" s="4"/>
      <c r="IS239" s="8"/>
      <c r="IT239" s="5"/>
      <c r="IU239" s="5" t="str">
        <f t="shared" si="757"/>
        <v>NO APLICA</v>
      </c>
      <c r="IV239" s="6"/>
      <c r="IW239" s="6"/>
      <c r="IX239" s="5"/>
      <c r="IY239" s="6"/>
      <c r="IZ239" s="5" t="str">
        <f t="shared" si="758"/>
        <v>NO APLICA</v>
      </c>
      <c r="JA239" s="6"/>
      <c r="JB239" s="5"/>
      <c r="JC239" s="6"/>
      <c r="JD239" s="6"/>
      <c r="JE239" s="5" t="str">
        <f t="shared" si="759"/>
        <v>NO APLICA</v>
      </c>
      <c r="JF239" s="6"/>
      <c r="JG239" s="6"/>
      <c r="JH239" s="5"/>
      <c r="JI239" s="2"/>
      <c r="JJ239" s="5" t="str">
        <f t="shared" si="760"/>
        <v>NO APLICA</v>
      </c>
      <c r="JK239" s="8"/>
      <c r="JL239" s="8"/>
      <c r="JM239" s="5"/>
      <c r="JN239" s="2"/>
      <c r="JO239" s="5" t="str">
        <f t="shared" si="761"/>
        <v>NO APLICA</v>
      </c>
      <c r="JP239" s="8"/>
      <c r="JQ239" s="5"/>
      <c r="JR239" s="2"/>
      <c r="JS239" s="4"/>
      <c r="JT239" s="5" t="str">
        <f t="shared" si="762"/>
        <v>NO APLICA</v>
      </c>
      <c r="JU239" s="5"/>
      <c r="JV239" s="2"/>
      <c r="JW239" s="4"/>
      <c r="JX239" s="8"/>
      <c r="JY239" s="5" t="str">
        <f t="shared" ref="JY239:JY240" si="830">IF(JX239&gt;=61,"VIGENTE",IF(JX239&gt;=1,"POR VENCER",IF(JX239&lt;=-1,"VENCIDA",IF(JV239=0,"NO APLICA"))))</f>
        <v>NO APLICA</v>
      </c>
      <c r="JZ239" s="5"/>
      <c r="KA239" s="2"/>
      <c r="KB239" s="6"/>
      <c r="KC239" s="4"/>
      <c r="KD239" s="5" t="str">
        <f t="shared" si="764"/>
        <v>NO APLICA</v>
      </c>
      <c r="KE239" s="5"/>
      <c r="KF239" s="5"/>
      <c r="KG239" s="4"/>
      <c r="KH239" s="4"/>
      <c r="KI239" s="5" t="str">
        <f t="shared" si="784"/>
        <v>NO APLICA</v>
      </c>
      <c r="KJ239" s="5"/>
      <c r="KK239" s="5"/>
      <c r="KL239" s="6"/>
      <c r="KM239" s="6"/>
      <c r="KN239" s="5" t="str">
        <f t="shared" si="765"/>
        <v>NO APLICA</v>
      </c>
      <c r="KO239" s="5"/>
      <c r="KP239" s="8"/>
      <c r="KQ239" s="5"/>
      <c r="KR239" s="5"/>
      <c r="KS239" s="5" t="str">
        <f t="shared" si="785"/>
        <v>NO APLICA</v>
      </c>
      <c r="KT239" s="5"/>
      <c r="KU239" s="5"/>
      <c r="KV239" s="5"/>
      <c r="KW239" s="2"/>
      <c r="KX239" s="5" t="str">
        <f t="shared" si="791"/>
        <v>NO APLICA</v>
      </c>
      <c r="KY239" s="5"/>
      <c r="KZ239" s="4"/>
      <c r="LA239" s="8"/>
      <c r="LB239" s="5"/>
      <c r="LC239" s="5" t="str">
        <f t="shared" si="786"/>
        <v>NO APLICA</v>
      </c>
      <c r="LD239" s="6"/>
      <c r="LE239" s="4"/>
      <c r="LF239" s="8"/>
      <c r="LG239" s="5"/>
      <c r="LH239" s="5" t="str">
        <f t="shared" si="797"/>
        <v>NO APLICA</v>
      </c>
      <c r="LI239" s="6"/>
      <c r="LJ239" s="4"/>
      <c r="LK239" s="8"/>
      <c r="LL239" s="5"/>
      <c r="LM239" s="5" t="str">
        <f t="shared" si="792"/>
        <v>NO APLICA</v>
      </c>
      <c r="LN239" s="2"/>
      <c r="LO239" s="4"/>
      <c r="LP239" s="8"/>
      <c r="LQ239" s="5"/>
      <c r="LR239" s="5" t="str">
        <f t="shared" si="787"/>
        <v>NO APLICA</v>
      </c>
      <c r="LS239" s="2"/>
      <c r="LT239" s="4"/>
      <c r="LU239" s="8"/>
      <c r="LV239" s="5"/>
      <c r="LW239" s="5" t="str">
        <f t="shared" si="788"/>
        <v>NO APLICA</v>
      </c>
      <c r="LX239" s="4"/>
      <c r="LY239" s="8"/>
      <c r="LZ239" s="5"/>
      <c r="MA239" s="2"/>
      <c r="MB239" s="5" t="str">
        <f t="shared" si="789"/>
        <v>NO APLICA</v>
      </c>
      <c r="MC239" s="2"/>
      <c r="MD239" s="5"/>
      <c r="ME239" s="2"/>
      <c r="MF239" s="6"/>
      <c r="MG239" s="5" t="str">
        <f t="shared" si="766"/>
        <v>NO APLICA</v>
      </c>
      <c r="MH239" s="8"/>
      <c r="MI239" s="5"/>
      <c r="MJ239" s="2"/>
      <c r="MK239" s="6"/>
      <c r="ML239" s="5" t="str">
        <f t="shared" si="767"/>
        <v>NO APLICA</v>
      </c>
      <c r="MM239" s="5"/>
      <c r="MN239" s="8"/>
      <c r="MO239" s="5"/>
      <c r="MP239" s="2"/>
      <c r="MQ239" s="5" t="str">
        <f t="shared" si="768"/>
        <v>NO APLICA</v>
      </c>
      <c r="MR239" s="5"/>
      <c r="MS239" s="4"/>
      <c r="MT239" s="8"/>
      <c r="MU239" s="5"/>
      <c r="MV239" s="5" t="str">
        <f t="shared" si="769"/>
        <v>NO APLICA</v>
      </c>
      <c r="MW239" s="2"/>
      <c r="MX239" s="4"/>
      <c r="MY239" s="2"/>
      <c r="MZ239" s="5"/>
      <c r="NA239" s="5" t="str">
        <f t="shared" si="770"/>
        <v>NO APLICA</v>
      </c>
      <c r="NB239" s="2"/>
      <c r="NC239" s="4"/>
      <c r="ND239" s="2"/>
      <c r="NE239" s="5"/>
      <c r="NF239" s="5" t="str">
        <f t="shared" si="771"/>
        <v>NO APLICA</v>
      </c>
      <c r="NG239" s="6"/>
      <c r="NH239" s="4"/>
      <c r="NI239" s="8"/>
      <c r="NJ239" s="5"/>
      <c r="NK239" s="5" t="str">
        <f t="shared" si="772"/>
        <v>NO APLICA</v>
      </c>
      <c r="NL239" s="6"/>
      <c r="NM239" s="6"/>
      <c r="NN239" s="6"/>
      <c r="NO239" s="5"/>
      <c r="NP239" s="5" t="str">
        <f t="shared" si="773"/>
        <v>NO APLICA</v>
      </c>
      <c r="NQ239" s="6"/>
      <c r="NR239" s="4"/>
      <c r="NS239" s="8"/>
      <c r="NT239" s="5"/>
      <c r="NU239" s="5" t="str">
        <f t="shared" si="774"/>
        <v>NO APLICA</v>
      </c>
      <c r="NV239" s="6"/>
      <c r="NW239" s="6"/>
      <c r="NX239" s="6"/>
      <c r="NY239" s="5"/>
      <c r="NZ239" s="5" t="str">
        <f t="shared" si="775"/>
        <v>NO APLICA</v>
      </c>
      <c r="OA239" s="6"/>
      <c r="OB239" s="6"/>
      <c r="OC239" s="6"/>
      <c r="OD239" s="5"/>
      <c r="OE239" s="5" t="str">
        <f t="shared" si="776"/>
        <v>NO APLICA</v>
      </c>
      <c r="OF239" s="6"/>
      <c r="OG239" s="6"/>
      <c r="OH239" s="6"/>
      <c r="OI239" s="5"/>
      <c r="OJ239" s="5" t="str">
        <f t="shared" si="777"/>
        <v>NO APLICA</v>
      </c>
      <c r="OK239" s="6"/>
      <c r="OL239" s="6"/>
      <c r="OM239" s="6"/>
      <c r="ON239" s="5"/>
      <c r="OO239" s="5" t="str">
        <f t="shared" si="778"/>
        <v>NO APLICA</v>
      </c>
      <c r="OP239" s="6"/>
      <c r="OQ239" s="6"/>
      <c r="OR239" s="6"/>
      <c r="OS239" s="5"/>
      <c r="OT239" s="5" t="str">
        <f t="shared" si="779"/>
        <v>NO APLICA</v>
      </c>
      <c r="OU239" s="4"/>
      <c r="OV239" s="8"/>
      <c r="OW239" s="5"/>
      <c r="OX239" s="6"/>
      <c r="OY239" s="5" t="str">
        <f t="shared" si="793"/>
        <v>NO APLICA</v>
      </c>
      <c r="OZ239" s="6"/>
      <c r="PA239" s="6"/>
      <c r="PB239" s="5"/>
      <c r="PC239" s="6"/>
      <c r="PD239" s="5" t="str">
        <f t="shared" si="780"/>
        <v>NO APLICA</v>
      </c>
      <c r="PE239" s="6"/>
      <c r="PF239" s="5"/>
      <c r="PG239" s="6"/>
      <c r="PH239" s="4"/>
      <c r="PI239" s="5" t="str">
        <f t="shared" si="781"/>
        <v>NO APLICA</v>
      </c>
      <c r="PJ239" s="5"/>
      <c r="PK239" s="6"/>
      <c r="PL239" s="6"/>
      <c r="PM239" s="6"/>
      <c r="PN239" s="5" t="str">
        <f t="shared" si="790"/>
        <v>NO APLICA</v>
      </c>
      <c r="PO239" s="6"/>
      <c r="PP239" s="6"/>
      <c r="PQ239" s="6"/>
      <c r="PR239" s="6"/>
      <c r="PS239" s="5" t="str">
        <f t="shared" si="782"/>
        <v>NO APLICA</v>
      </c>
      <c r="PT239" s="5"/>
      <c r="PU239" s="4">
        <v>46126</v>
      </c>
      <c r="PV239" s="4">
        <f>DATE(YEAR(PU239)+1,MONTH(PU239),DAY(PU239))</f>
        <v>46491</v>
      </c>
      <c r="PW239" s="8">
        <f ca="1">PV239-TODAY()</f>
        <v>357</v>
      </c>
      <c r="PX239" s="5" t="str">
        <f t="shared" ca="1" si="783"/>
        <v>VIGENTE</v>
      </c>
    </row>
    <row r="240" spans="1:440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8"/>
      <c r="V240" s="4"/>
      <c r="W240" s="4"/>
      <c r="X240" s="4"/>
      <c r="Y240" s="5" t="str">
        <f t="shared" si="798"/>
        <v>NO APLICA</v>
      </c>
      <c r="Z240" s="5"/>
      <c r="AA240" s="4"/>
      <c r="AB240" s="4"/>
      <c r="AC240" s="8"/>
      <c r="AD240" s="5" t="str">
        <f t="shared" si="627"/>
        <v>NO APLICA</v>
      </c>
      <c r="AE240" s="3"/>
      <c r="AF240" s="4"/>
      <c r="AG240" s="4"/>
      <c r="AH240" s="8"/>
      <c r="AI240" s="5" t="str">
        <f>IF(AH240&gt;=91,"VIGENTE",IF(AH240&gt;=1,"POR VENCER",IF(AH240&lt;=-1,"VENCIDA",IF(AF240=0,"NO APLICA"))))</f>
        <v>NO APLICA</v>
      </c>
      <c r="AJ240" s="3"/>
      <c r="AK240" s="4"/>
      <c r="AL240" s="4"/>
      <c r="AM240" s="8"/>
      <c r="AN240" s="5" t="str">
        <f>IF(AM240&gt;=91,"VIGENTE",IF(AM240&gt;=1,"POR VENCER",IF(AM240&lt;=-1,"VENCIDA",IF(AK240=0,"NO APLICA"))))</f>
        <v>NO APLICA</v>
      </c>
      <c r="AO240" s="3"/>
      <c r="AP240" s="4"/>
      <c r="AQ240" s="4"/>
      <c r="AR240" s="8"/>
      <c r="AS240" s="5" t="str">
        <f t="shared" si="799"/>
        <v>NO APLICA</v>
      </c>
      <c r="AT240" s="3"/>
      <c r="AU240" s="4"/>
      <c r="AV240" s="4"/>
      <c r="AW240" s="8"/>
      <c r="AX240" s="5" t="str">
        <f t="shared" si="800"/>
        <v>NO APLICA</v>
      </c>
      <c r="AY240" s="3"/>
      <c r="AZ240" s="4"/>
      <c r="BA240" s="4"/>
      <c r="BB240" s="8"/>
      <c r="BC240" s="5" t="str">
        <f t="shared" si="801"/>
        <v>NO APLICA</v>
      </c>
      <c r="BD240" s="3"/>
      <c r="BE240" s="4"/>
      <c r="BF240" s="4"/>
      <c r="BG240" s="8"/>
      <c r="BH240" s="5" t="str">
        <f t="shared" si="802"/>
        <v>NO APLICA</v>
      </c>
      <c r="BI240" s="3"/>
      <c r="BJ240" s="4"/>
      <c r="BK240" s="4"/>
      <c r="BL240" s="8"/>
      <c r="BM240" s="5" t="str">
        <f t="shared" si="803"/>
        <v>NO APLICA</v>
      </c>
      <c r="BN240" s="3"/>
      <c r="BO240" s="4"/>
      <c r="BP240" s="4"/>
      <c r="BQ240" s="8"/>
      <c r="BR240" s="5" t="str">
        <f t="shared" si="804"/>
        <v>NO APLICA</v>
      </c>
      <c r="BS240" s="4"/>
      <c r="BT240" s="4"/>
      <c r="BU240" s="4"/>
      <c r="BV240" s="8"/>
      <c r="BW240" s="5" t="str">
        <f t="shared" si="805"/>
        <v>NO APLICA</v>
      </c>
      <c r="BX240" s="4"/>
      <c r="BY240" s="4"/>
      <c r="BZ240" s="4"/>
      <c r="CA240" s="8"/>
      <c r="CB240" s="5" t="str">
        <f t="shared" si="806"/>
        <v>NO APLICA</v>
      </c>
      <c r="CC240" s="3"/>
      <c r="CD240" s="4"/>
      <c r="CE240" s="8"/>
      <c r="CF240" s="5"/>
      <c r="CG240" s="5" t="str">
        <f t="shared" si="807"/>
        <v>NO APLICA</v>
      </c>
      <c r="CH240" s="4"/>
      <c r="CI240" s="4"/>
      <c r="CJ240" s="8"/>
      <c r="CK240" s="5"/>
      <c r="CL240" s="5" t="str">
        <f t="shared" si="808"/>
        <v>NO APLICA</v>
      </c>
      <c r="CM240" s="4"/>
      <c r="CN240" s="4"/>
      <c r="CO240" s="8"/>
      <c r="CP240" s="5"/>
      <c r="CQ240" s="5" t="str">
        <f t="shared" si="809"/>
        <v>NO APLICA</v>
      </c>
      <c r="CR240" s="4"/>
      <c r="CS240" s="4"/>
      <c r="CT240" s="8"/>
      <c r="CU240" s="5"/>
      <c r="CV240" s="5" t="str">
        <f t="shared" si="810"/>
        <v>NO APLICA</v>
      </c>
      <c r="CW240" s="4"/>
      <c r="CX240" s="4"/>
      <c r="CY240" s="8"/>
      <c r="CZ240" s="5"/>
      <c r="DA240" s="5" t="str">
        <f t="shared" si="811"/>
        <v>NO APLICA</v>
      </c>
      <c r="DB240" s="4"/>
      <c r="DC240" s="4"/>
      <c r="DD240" s="8"/>
      <c r="DE240" s="5"/>
      <c r="DF240" s="5" t="str">
        <f t="shared" si="812"/>
        <v>NO APLICA</v>
      </c>
      <c r="DG240" s="4"/>
      <c r="DH240" s="4"/>
      <c r="DI240" s="8"/>
      <c r="DJ240" s="5"/>
      <c r="DK240" s="5" t="str">
        <f t="shared" si="813"/>
        <v>NO APLICA</v>
      </c>
      <c r="DL240" s="4"/>
      <c r="DM240" s="4"/>
      <c r="DN240" s="8"/>
      <c r="DO240" s="5"/>
      <c r="DP240" s="5" t="str">
        <f t="shared" si="814"/>
        <v>NO APLICA</v>
      </c>
      <c r="DQ240" s="4"/>
      <c r="DR240" s="4"/>
      <c r="DS240" s="8"/>
      <c r="DT240" s="5"/>
      <c r="DU240" s="5" t="str">
        <f t="shared" si="815"/>
        <v>NO APLICA</v>
      </c>
      <c r="DV240" s="3"/>
      <c r="DW240" s="3"/>
      <c r="DX240" s="4"/>
      <c r="DY240" s="4"/>
      <c r="DZ240" s="5" t="str">
        <f t="shared" si="816"/>
        <v>NO APLICA</v>
      </c>
      <c r="EA240" s="5"/>
      <c r="EB240" s="3"/>
      <c r="EC240" s="4"/>
      <c r="ED240" s="4"/>
      <c r="EE240" s="5" t="str">
        <f t="shared" si="817"/>
        <v>NO APLICA</v>
      </c>
      <c r="EF240" s="4"/>
      <c r="EG240" s="4"/>
      <c r="EH240" s="8"/>
      <c r="EI240" s="5"/>
      <c r="EJ240" s="5" t="str">
        <f t="shared" si="818"/>
        <v>NO APLICA</v>
      </c>
      <c r="EK240" s="4"/>
      <c r="EL240" s="4"/>
      <c r="EM240" s="8"/>
      <c r="EN240" s="5"/>
      <c r="EO240" s="5" t="str">
        <f t="shared" si="819"/>
        <v>NO APLICA</v>
      </c>
      <c r="EP240" s="4"/>
      <c r="EQ240" s="4"/>
      <c r="ER240" s="8"/>
      <c r="ES240" s="5"/>
      <c r="ET240" s="5" t="str">
        <f t="shared" si="820"/>
        <v>NO APLICA</v>
      </c>
      <c r="EU240" s="4"/>
      <c r="EV240" s="4"/>
      <c r="EW240" s="8"/>
      <c r="EX240" s="5"/>
      <c r="EY240" s="5" t="str">
        <f t="shared" si="821"/>
        <v>NO APLICA</v>
      </c>
      <c r="EZ240" s="4"/>
      <c r="FA240" s="4"/>
      <c r="FB240" s="8"/>
      <c r="FC240" s="5"/>
      <c r="FD240" s="5" t="str">
        <f t="shared" si="822"/>
        <v>NO APLICA</v>
      </c>
      <c r="FE240" s="4"/>
      <c r="FF240" s="4"/>
      <c r="FG240" s="8"/>
      <c r="FH240" s="5"/>
      <c r="FI240" s="5" t="str">
        <f t="shared" si="823"/>
        <v>NO APLICA</v>
      </c>
      <c r="FJ240" s="4"/>
      <c r="FK240" s="4"/>
      <c r="FL240" s="8"/>
      <c r="FM240" s="5"/>
      <c r="FN240" s="5" t="str">
        <f t="shared" si="824"/>
        <v>NO APLICA</v>
      </c>
      <c r="FO240" s="4"/>
      <c r="FP240" s="4"/>
      <c r="FQ240" s="8"/>
      <c r="FR240" s="5"/>
      <c r="FS240" s="5" t="str">
        <f t="shared" si="825"/>
        <v>NO APLICA</v>
      </c>
      <c r="FT240" s="4"/>
      <c r="FU240" s="4"/>
      <c r="FV240" s="8"/>
      <c r="FW240" s="5"/>
      <c r="FX240" s="5" t="str">
        <f t="shared" si="826"/>
        <v>NO APLICA</v>
      </c>
      <c r="FY240" s="4"/>
      <c r="FZ240" s="4"/>
      <c r="GA240" s="8"/>
      <c r="GB240" s="5"/>
      <c r="GC240" s="5" t="str">
        <f t="shared" si="827"/>
        <v>NO APLICA</v>
      </c>
      <c r="GD240" s="4"/>
      <c r="GE240" s="4"/>
      <c r="GF240" s="8"/>
      <c r="GG240" s="5"/>
      <c r="GH240" s="5" t="str">
        <f t="shared" si="828"/>
        <v>NO APLICA</v>
      </c>
      <c r="GI240" s="4"/>
      <c r="GJ240" s="4"/>
      <c r="GK240" s="8"/>
      <c r="GL240" s="5"/>
      <c r="GM240" s="5" t="str">
        <f t="shared" si="829"/>
        <v>NO APLICA</v>
      </c>
      <c r="GN240" s="4"/>
      <c r="GO240" s="4"/>
      <c r="GP240" s="8"/>
      <c r="GQ240" s="5"/>
      <c r="GR240" s="5" t="str">
        <f t="shared" si="630"/>
        <v>NO APLICA</v>
      </c>
      <c r="GS240" s="4"/>
      <c r="GT240" s="4"/>
      <c r="GU240" s="8"/>
      <c r="GV240" s="5"/>
      <c r="GW240" s="5" t="str">
        <f t="shared" si="631"/>
        <v>NO APLICA</v>
      </c>
      <c r="GX240" s="6"/>
      <c r="GY240" s="4"/>
      <c r="GZ240" s="8"/>
      <c r="HA240" s="5"/>
      <c r="HB240" s="5" t="str">
        <f t="shared" si="632"/>
        <v>NO APLICA</v>
      </c>
      <c r="HC240" s="2"/>
      <c r="HD240" s="4"/>
      <c r="HE240" s="2"/>
      <c r="HF240" s="5"/>
      <c r="HG240" s="5" t="str">
        <f t="shared" si="718"/>
        <v>NO APLICA</v>
      </c>
      <c r="HH240" s="4"/>
      <c r="HI240" s="4"/>
      <c r="HJ240" s="8"/>
      <c r="HK240" s="5"/>
      <c r="HL240" s="5" t="str">
        <f t="shared" si="714"/>
        <v>NO APLICA</v>
      </c>
      <c r="HM240" s="4"/>
      <c r="HN240" s="4"/>
      <c r="HO240" s="8"/>
      <c r="HP240" s="5"/>
      <c r="HQ240" s="5" t="str">
        <f t="shared" si="751"/>
        <v>NO APLICA</v>
      </c>
      <c r="HR240" s="4"/>
      <c r="HS240" s="4"/>
      <c r="HT240" s="8"/>
      <c r="HU240" s="5"/>
      <c r="HV240" s="5" t="str">
        <f t="shared" si="752"/>
        <v>NO APLICA</v>
      </c>
      <c r="HW240" s="4"/>
      <c r="HX240" s="4"/>
      <c r="HY240" s="8"/>
      <c r="HZ240" s="5"/>
      <c r="IA240" s="5" t="str">
        <f t="shared" si="753"/>
        <v>NO APLICA</v>
      </c>
      <c r="IB240" s="4"/>
      <c r="IC240" s="4"/>
      <c r="ID240" s="8"/>
      <c r="IE240" s="5"/>
      <c r="IF240" s="5" t="str">
        <f t="shared" si="754"/>
        <v>NO APLICA</v>
      </c>
      <c r="IG240" s="4"/>
      <c r="IH240" s="4"/>
      <c r="II240" s="8"/>
      <c r="IJ240" s="5"/>
      <c r="IK240" s="5" t="str">
        <f t="shared" si="755"/>
        <v>NO APLICA</v>
      </c>
      <c r="IL240" s="4"/>
      <c r="IM240" s="4"/>
      <c r="IN240" s="8"/>
      <c r="IO240" s="5"/>
      <c r="IP240" s="5" t="str">
        <f t="shared" si="756"/>
        <v>NO APLICA</v>
      </c>
      <c r="IQ240" s="3"/>
      <c r="IR240" s="4"/>
      <c r="IS240" s="8"/>
      <c r="IT240" s="5"/>
      <c r="IU240" s="5" t="str">
        <f t="shared" si="757"/>
        <v>NO APLICA</v>
      </c>
      <c r="IV240" s="6"/>
      <c r="IW240" s="6"/>
      <c r="IX240" s="5"/>
      <c r="IY240" s="6"/>
      <c r="IZ240" s="5" t="str">
        <f t="shared" si="758"/>
        <v>NO APLICA</v>
      </c>
      <c r="JA240" s="6"/>
      <c r="JB240" s="5"/>
      <c r="JC240" s="6"/>
      <c r="JD240" s="6"/>
      <c r="JE240" s="5" t="str">
        <f>IF(JD240&gt;=61,"VIGENTE",IF(JD240&gt;=1,"POR VENCER",IF(JD240&lt;=-1,"VENCIDA",IF(JB240=0,"NO APLICA"))))</f>
        <v>NO APLICA</v>
      </c>
      <c r="JF240" s="6"/>
      <c r="JG240" s="6"/>
      <c r="JH240" s="5"/>
      <c r="JI240" s="2"/>
      <c r="JJ240" s="5" t="str">
        <f t="shared" si="760"/>
        <v>NO APLICA</v>
      </c>
      <c r="JK240" s="8"/>
      <c r="JL240" s="8"/>
      <c r="JM240" s="5"/>
      <c r="JN240" s="2"/>
      <c r="JO240" s="5" t="str">
        <f t="shared" si="761"/>
        <v>NO APLICA</v>
      </c>
      <c r="JP240" s="8"/>
      <c r="JQ240" s="5"/>
      <c r="JR240" s="2"/>
      <c r="JS240" s="4"/>
      <c r="JT240" s="5" t="str">
        <f t="shared" si="762"/>
        <v>NO APLICA</v>
      </c>
      <c r="JU240" s="5"/>
      <c r="JV240" s="2"/>
      <c r="JW240" s="4"/>
      <c r="JX240" s="8"/>
      <c r="JY240" s="5" t="str">
        <f t="shared" si="830"/>
        <v>NO APLICA</v>
      </c>
      <c r="JZ240" s="5"/>
      <c r="KA240" s="2"/>
      <c r="KB240" s="6"/>
      <c r="KC240" s="4"/>
      <c r="KD240" s="5" t="str">
        <f t="shared" si="764"/>
        <v>NO APLICA</v>
      </c>
      <c r="KE240" s="5"/>
      <c r="KF240" s="5"/>
      <c r="KG240" s="4"/>
      <c r="KH240" s="4"/>
      <c r="KI240" s="5" t="str">
        <f t="shared" si="784"/>
        <v>NO APLICA</v>
      </c>
      <c r="KJ240" s="5"/>
      <c r="KK240" s="5"/>
      <c r="KL240" s="6"/>
      <c r="KM240" s="6"/>
      <c r="KN240" s="5" t="str">
        <f t="shared" si="765"/>
        <v>NO APLICA</v>
      </c>
      <c r="KO240" s="5"/>
      <c r="KP240" s="8"/>
      <c r="KQ240" s="5"/>
      <c r="KR240" s="5"/>
      <c r="KS240" s="5" t="str">
        <f t="shared" si="785"/>
        <v>NO APLICA</v>
      </c>
      <c r="KT240" s="5"/>
      <c r="KU240" s="5"/>
      <c r="KV240" s="5"/>
      <c r="KW240" s="2"/>
      <c r="KX240" s="5" t="str">
        <f t="shared" si="791"/>
        <v>NO APLICA</v>
      </c>
      <c r="KY240" s="5"/>
      <c r="KZ240" s="4"/>
      <c r="LA240" s="8"/>
      <c r="LB240" s="5"/>
      <c r="LC240" s="5" t="str">
        <f t="shared" si="786"/>
        <v>NO APLICA</v>
      </c>
      <c r="LD240" s="6"/>
      <c r="LE240" s="4"/>
      <c r="LF240" s="8"/>
      <c r="LG240" s="5"/>
      <c r="LH240" s="5" t="str">
        <f t="shared" si="797"/>
        <v>NO APLICA</v>
      </c>
      <c r="LI240" s="6"/>
      <c r="LJ240" s="4"/>
      <c r="LK240" s="8"/>
      <c r="LL240" s="5"/>
      <c r="LM240" s="5" t="str">
        <f t="shared" si="792"/>
        <v>NO APLICA</v>
      </c>
      <c r="LN240" s="2"/>
      <c r="LO240" s="4"/>
      <c r="LP240" s="8"/>
      <c r="LQ240" s="5"/>
      <c r="LR240" s="5" t="str">
        <f t="shared" si="787"/>
        <v>NO APLICA</v>
      </c>
      <c r="LS240" s="2"/>
      <c r="LT240" s="4"/>
      <c r="LU240" s="8"/>
      <c r="LV240" s="5"/>
      <c r="LW240" s="5" t="str">
        <f t="shared" si="788"/>
        <v>NO APLICA</v>
      </c>
      <c r="LX240" s="4"/>
      <c r="LY240" s="8"/>
      <c r="LZ240" s="5"/>
      <c r="MA240" s="2"/>
      <c r="MB240" s="5" t="str">
        <f t="shared" si="789"/>
        <v>NO APLICA</v>
      </c>
      <c r="MC240" s="2"/>
      <c r="MD240" s="5"/>
      <c r="ME240" s="2"/>
      <c r="MF240" s="6"/>
      <c r="MG240" s="5" t="str">
        <f t="shared" si="766"/>
        <v>NO APLICA</v>
      </c>
      <c r="MH240" s="8"/>
      <c r="MI240" s="5"/>
      <c r="MJ240" s="2"/>
      <c r="MK240" s="6"/>
      <c r="ML240" s="5" t="str">
        <f t="shared" si="767"/>
        <v>NO APLICA</v>
      </c>
      <c r="MM240" s="5"/>
      <c r="MN240" s="8"/>
      <c r="MO240" s="5"/>
      <c r="MP240" s="2"/>
      <c r="MQ240" s="5" t="str">
        <f t="shared" si="768"/>
        <v>NO APLICA</v>
      </c>
      <c r="MR240" s="5"/>
      <c r="MS240" s="4"/>
      <c r="MT240" s="8"/>
      <c r="MU240" s="5"/>
      <c r="MV240" s="5" t="str">
        <f t="shared" si="769"/>
        <v>NO APLICA</v>
      </c>
      <c r="MW240" s="2"/>
      <c r="MX240" s="4"/>
      <c r="MY240" s="2"/>
      <c r="MZ240" s="5"/>
      <c r="NA240" s="5" t="str">
        <f t="shared" si="770"/>
        <v>NO APLICA</v>
      </c>
      <c r="NB240" s="2"/>
      <c r="NC240" s="4"/>
      <c r="ND240" s="2"/>
      <c r="NE240" s="5"/>
      <c r="NF240" s="5" t="str">
        <f t="shared" si="771"/>
        <v>NO APLICA</v>
      </c>
      <c r="NG240" s="6"/>
      <c r="NH240" s="4"/>
      <c r="NI240" s="8"/>
      <c r="NJ240" s="5"/>
      <c r="NK240" s="5" t="str">
        <f t="shared" si="772"/>
        <v>NO APLICA</v>
      </c>
      <c r="NL240" s="6"/>
      <c r="NM240" s="6"/>
      <c r="NN240" s="6"/>
      <c r="NO240" s="5"/>
      <c r="NP240" s="5" t="str">
        <f t="shared" si="773"/>
        <v>NO APLICA</v>
      </c>
      <c r="NQ240" s="6"/>
      <c r="NR240" s="4"/>
      <c r="NS240" s="8"/>
      <c r="NT240" s="5"/>
      <c r="NU240" s="5" t="str">
        <f t="shared" si="774"/>
        <v>NO APLICA</v>
      </c>
      <c r="NV240" s="6"/>
      <c r="NW240" s="6"/>
      <c r="NX240" s="6"/>
      <c r="NY240" s="5"/>
      <c r="NZ240" s="5" t="str">
        <f t="shared" si="775"/>
        <v>NO APLICA</v>
      </c>
      <c r="OA240" s="6"/>
      <c r="OB240" s="6"/>
      <c r="OC240" s="6"/>
      <c r="OD240" s="5"/>
      <c r="OE240" s="5" t="str">
        <f t="shared" si="776"/>
        <v>NO APLICA</v>
      </c>
      <c r="OF240" s="6"/>
      <c r="OG240" s="6"/>
      <c r="OH240" s="6"/>
      <c r="OI240" s="5"/>
      <c r="OJ240" s="5" t="str">
        <f t="shared" si="777"/>
        <v>NO APLICA</v>
      </c>
      <c r="OK240" s="6"/>
      <c r="OL240" s="6"/>
      <c r="OM240" s="6"/>
      <c r="ON240" s="5"/>
      <c r="OO240" s="5" t="str">
        <f t="shared" si="778"/>
        <v>NO APLICA</v>
      </c>
      <c r="OP240" s="6"/>
      <c r="OQ240" s="6"/>
      <c r="OR240" s="6"/>
      <c r="OS240" s="5"/>
      <c r="OT240" s="5" t="str">
        <f t="shared" si="779"/>
        <v>NO APLICA</v>
      </c>
      <c r="OU240" s="4"/>
      <c r="OV240" s="8"/>
      <c r="OW240" s="5"/>
      <c r="OX240" s="6"/>
      <c r="OY240" s="5" t="str">
        <f t="shared" si="793"/>
        <v>NO APLICA</v>
      </c>
      <c r="OZ240" s="6"/>
      <c r="PA240" s="6"/>
      <c r="PB240" s="5"/>
      <c r="PC240" s="6"/>
      <c r="PD240" s="5" t="str">
        <f t="shared" si="780"/>
        <v>NO APLICA</v>
      </c>
      <c r="PE240" s="6"/>
      <c r="PF240" s="5"/>
      <c r="PG240" s="6"/>
      <c r="PH240" s="4"/>
      <c r="PI240" s="5" t="str">
        <f t="shared" si="781"/>
        <v>NO APLICA</v>
      </c>
      <c r="PJ240" s="5"/>
      <c r="PK240" s="6"/>
      <c r="PL240" s="6"/>
      <c r="PM240" s="6"/>
      <c r="PN240" s="5" t="str">
        <f t="shared" si="790"/>
        <v>NO APLICA</v>
      </c>
      <c r="PO240" s="6"/>
      <c r="PP240" s="6"/>
      <c r="PQ240" s="6"/>
      <c r="PR240" s="6"/>
      <c r="PS240" s="5" t="str">
        <f t="shared" si="782"/>
        <v>NO APLICA</v>
      </c>
      <c r="PT240" s="5"/>
      <c r="PU240" s="4">
        <v>46126</v>
      </c>
      <c r="PV240" s="4">
        <f>DATE(YEAR(PU240)+1,MONTH(PU240),DAY(PU240))</f>
        <v>46491</v>
      </c>
      <c r="PW240" s="8">
        <f ca="1">PV240-TODAY()</f>
        <v>357</v>
      </c>
      <c r="PX240" s="5" t="str">
        <f t="shared" ca="1" si="783"/>
        <v>VIGENTE</v>
      </c>
    </row>
    <row r="241" spans="1:441" ht="15" thickTop="1" x14ac:dyDescent="0.3"/>
    <row r="242" spans="1:441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23</v>
      </c>
      <c r="W242">
        <v>24</v>
      </c>
      <c r="X242">
        <v>25</v>
      </c>
      <c r="Y242">
        <v>26</v>
      </c>
      <c r="Z242">
        <v>27</v>
      </c>
      <c r="AA242">
        <v>29</v>
      </c>
      <c r="AB242">
        <v>30</v>
      </c>
      <c r="AC242">
        <v>31</v>
      </c>
      <c r="AD242">
        <v>32</v>
      </c>
      <c r="AE242">
        <v>33</v>
      </c>
      <c r="AF242">
        <v>34</v>
      </c>
      <c r="AG242">
        <v>35</v>
      </c>
      <c r="AH242">
        <v>36</v>
      </c>
      <c r="AI242">
        <v>37</v>
      </c>
      <c r="AJ242">
        <v>38</v>
      </c>
      <c r="AK242">
        <v>39</v>
      </c>
      <c r="AL242">
        <v>40</v>
      </c>
      <c r="AM242">
        <v>41</v>
      </c>
      <c r="AN242">
        <v>42</v>
      </c>
      <c r="AO242">
        <v>43</v>
      </c>
      <c r="AP242">
        <v>44</v>
      </c>
      <c r="AQ242">
        <v>45</v>
      </c>
      <c r="AR242">
        <v>46</v>
      </c>
      <c r="AS242">
        <v>47</v>
      </c>
      <c r="AT242">
        <v>48</v>
      </c>
      <c r="AU242">
        <v>49</v>
      </c>
      <c r="AV242">
        <v>50</v>
      </c>
      <c r="AW242">
        <v>51</v>
      </c>
      <c r="AX242">
        <v>52</v>
      </c>
      <c r="AY242">
        <v>53</v>
      </c>
      <c r="AZ242">
        <v>54</v>
      </c>
      <c r="BA242">
        <v>55</v>
      </c>
      <c r="BB242">
        <v>56</v>
      </c>
      <c r="BC242">
        <v>57</v>
      </c>
      <c r="BD242">
        <v>58</v>
      </c>
      <c r="BE242">
        <v>59</v>
      </c>
      <c r="BF242">
        <v>60</v>
      </c>
      <c r="BG242">
        <v>61</v>
      </c>
      <c r="BH242">
        <v>62</v>
      </c>
      <c r="BI242">
        <v>63</v>
      </c>
      <c r="BJ242">
        <v>64</v>
      </c>
      <c r="BK242">
        <v>65</v>
      </c>
      <c r="BL242">
        <v>66</v>
      </c>
      <c r="BM242">
        <v>67</v>
      </c>
      <c r="BN242">
        <v>68</v>
      </c>
      <c r="BO242">
        <v>69</v>
      </c>
      <c r="BP242">
        <v>70</v>
      </c>
      <c r="BQ242">
        <v>71</v>
      </c>
      <c r="BR242">
        <v>72</v>
      </c>
      <c r="BS242">
        <v>73</v>
      </c>
      <c r="BT242">
        <v>74</v>
      </c>
      <c r="BU242">
        <v>75</v>
      </c>
      <c r="BV242">
        <v>76</v>
      </c>
      <c r="BW242">
        <v>77</v>
      </c>
      <c r="BX242">
        <v>78</v>
      </c>
      <c r="BY242">
        <v>79</v>
      </c>
      <c r="BZ242">
        <v>80</v>
      </c>
      <c r="CA242">
        <v>81</v>
      </c>
      <c r="CB242">
        <v>82</v>
      </c>
      <c r="CC242">
        <v>83</v>
      </c>
      <c r="CD242">
        <v>85</v>
      </c>
      <c r="CE242">
        <v>86</v>
      </c>
      <c r="CF242">
        <v>87</v>
      </c>
      <c r="CG242">
        <v>88</v>
      </c>
      <c r="CH242">
        <v>89</v>
      </c>
      <c r="CI242">
        <v>90</v>
      </c>
      <c r="CJ242">
        <v>91</v>
      </c>
      <c r="CK242">
        <v>92</v>
      </c>
      <c r="CL242">
        <v>93</v>
      </c>
      <c r="CM242">
        <v>94</v>
      </c>
      <c r="CN242">
        <v>95</v>
      </c>
      <c r="CO242">
        <v>96</v>
      </c>
      <c r="CP242">
        <v>97</v>
      </c>
      <c r="CQ242">
        <v>98</v>
      </c>
      <c r="CR242">
        <v>99</v>
      </c>
      <c r="CS242">
        <v>100</v>
      </c>
      <c r="CT242">
        <v>101</v>
      </c>
      <c r="CU242">
        <v>102</v>
      </c>
      <c r="CV242">
        <v>103</v>
      </c>
      <c r="CW242">
        <v>104</v>
      </c>
      <c r="CX242">
        <v>105</v>
      </c>
      <c r="CY242">
        <v>106</v>
      </c>
      <c r="CZ242">
        <v>107</v>
      </c>
      <c r="DA242">
        <v>108</v>
      </c>
      <c r="DB242">
        <v>109</v>
      </c>
      <c r="DC242">
        <v>110</v>
      </c>
      <c r="DD242">
        <v>111</v>
      </c>
      <c r="DE242">
        <v>112</v>
      </c>
      <c r="DF242">
        <v>113</v>
      </c>
      <c r="DG242">
        <v>114</v>
      </c>
      <c r="DH242">
        <v>115</v>
      </c>
      <c r="DI242">
        <v>116</v>
      </c>
      <c r="DJ242">
        <v>117</v>
      </c>
      <c r="DK242">
        <v>118</v>
      </c>
      <c r="DL242">
        <v>119</v>
      </c>
      <c r="DM242">
        <v>120</v>
      </c>
      <c r="DN242">
        <v>121</v>
      </c>
      <c r="DO242">
        <v>122</v>
      </c>
      <c r="DP242">
        <v>123</v>
      </c>
      <c r="DQ242">
        <v>124</v>
      </c>
      <c r="DR242">
        <v>125</v>
      </c>
      <c r="DS242">
        <v>126</v>
      </c>
      <c r="DT242">
        <v>127</v>
      </c>
      <c r="DU242">
        <v>128</v>
      </c>
      <c r="DV242">
        <v>129</v>
      </c>
      <c r="DW242">
        <v>130</v>
      </c>
      <c r="DX242">
        <v>131</v>
      </c>
      <c r="DY242">
        <v>132</v>
      </c>
      <c r="DZ242">
        <v>133</v>
      </c>
      <c r="EA242">
        <v>134</v>
      </c>
      <c r="EB242">
        <v>135</v>
      </c>
      <c r="EC242">
        <v>136</v>
      </c>
      <c r="ED242">
        <v>137</v>
      </c>
      <c r="EE242">
        <v>138</v>
      </c>
      <c r="EF242">
        <v>141</v>
      </c>
      <c r="EG242">
        <v>142</v>
      </c>
      <c r="EH242">
        <v>143</v>
      </c>
      <c r="EI242">
        <v>144</v>
      </c>
      <c r="EJ242">
        <v>145</v>
      </c>
      <c r="EK242">
        <v>146</v>
      </c>
      <c r="EL242">
        <v>147</v>
      </c>
      <c r="EM242">
        <v>148</v>
      </c>
      <c r="EN242">
        <v>149</v>
      </c>
      <c r="EO242">
        <v>150</v>
      </c>
      <c r="EP242">
        <v>151</v>
      </c>
      <c r="EQ242">
        <v>152</v>
      </c>
      <c r="ER242">
        <v>153</v>
      </c>
      <c r="ES242">
        <v>154</v>
      </c>
      <c r="ET242">
        <v>155</v>
      </c>
      <c r="EU242">
        <v>156</v>
      </c>
      <c r="EV242">
        <v>157</v>
      </c>
      <c r="EW242">
        <v>158</v>
      </c>
      <c r="EX242">
        <v>159</v>
      </c>
      <c r="EY242">
        <v>160</v>
      </c>
      <c r="EZ242">
        <v>161</v>
      </c>
      <c r="FA242">
        <v>162</v>
      </c>
      <c r="FB242">
        <v>163</v>
      </c>
      <c r="FC242">
        <v>164</v>
      </c>
      <c r="FD242">
        <v>165</v>
      </c>
      <c r="FE242">
        <v>166</v>
      </c>
      <c r="FF242">
        <v>167</v>
      </c>
      <c r="FG242">
        <v>168</v>
      </c>
      <c r="FH242">
        <v>169</v>
      </c>
      <c r="FI242">
        <v>170</v>
      </c>
      <c r="FJ242">
        <v>171</v>
      </c>
      <c r="FK242">
        <v>172</v>
      </c>
      <c r="FL242">
        <v>173</v>
      </c>
      <c r="FM242">
        <v>174</v>
      </c>
      <c r="FN242">
        <v>175</v>
      </c>
      <c r="FO242">
        <v>176</v>
      </c>
      <c r="FP242">
        <v>177</v>
      </c>
      <c r="FQ242">
        <v>178</v>
      </c>
      <c r="FR242">
        <v>179</v>
      </c>
      <c r="FS242">
        <v>180</v>
      </c>
      <c r="FT242">
        <v>181</v>
      </c>
      <c r="FU242">
        <v>182</v>
      </c>
      <c r="FV242">
        <v>183</v>
      </c>
      <c r="FW242">
        <v>184</v>
      </c>
      <c r="FX242">
        <v>185</v>
      </c>
      <c r="FY242">
        <v>186</v>
      </c>
      <c r="FZ242">
        <v>187</v>
      </c>
      <c r="GA242">
        <v>188</v>
      </c>
      <c r="GB242">
        <v>189</v>
      </c>
      <c r="GC242">
        <v>190</v>
      </c>
      <c r="GD242">
        <v>191</v>
      </c>
      <c r="GE242">
        <v>192</v>
      </c>
      <c r="GF242">
        <v>193</v>
      </c>
      <c r="GG242">
        <v>194</v>
      </c>
      <c r="GH242">
        <v>195</v>
      </c>
      <c r="GI242">
        <v>196</v>
      </c>
      <c r="GJ242">
        <v>197</v>
      </c>
      <c r="GK242">
        <v>198</v>
      </c>
      <c r="GL242">
        <v>199</v>
      </c>
      <c r="GM242">
        <v>200</v>
      </c>
      <c r="GN242">
        <v>201</v>
      </c>
      <c r="GO242">
        <v>202</v>
      </c>
      <c r="GP242">
        <v>203</v>
      </c>
      <c r="GQ242">
        <v>204</v>
      </c>
      <c r="GR242">
        <v>205</v>
      </c>
      <c r="GS242">
        <v>206</v>
      </c>
      <c r="GT242">
        <v>207</v>
      </c>
      <c r="GU242">
        <v>208</v>
      </c>
      <c r="GV242">
        <v>209</v>
      </c>
      <c r="GW242">
        <v>210</v>
      </c>
      <c r="GX242">
        <v>211</v>
      </c>
      <c r="GY242">
        <v>212</v>
      </c>
      <c r="GZ242">
        <v>213</v>
      </c>
      <c r="HA242">
        <v>214</v>
      </c>
      <c r="HB242">
        <v>215</v>
      </c>
      <c r="HC242">
        <v>216</v>
      </c>
      <c r="HD242">
        <v>217</v>
      </c>
      <c r="HE242">
        <v>218</v>
      </c>
      <c r="HF242">
        <v>219</v>
      </c>
      <c r="HG242">
        <v>220</v>
      </c>
      <c r="HH242">
        <v>221</v>
      </c>
      <c r="HI242">
        <v>222</v>
      </c>
      <c r="HJ242">
        <v>223</v>
      </c>
      <c r="HK242">
        <v>224</v>
      </c>
      <c r="HL242">
        <v>225</v>
      </c>
      <c r="HM242">
        <v>226</v>
      </c>
      <c r="HN242">
        <v>227</v>
      </c>
      <c r="HO242">
        <v>228</v>
      </c>
      <c r="HP242">
        <v>229</v>
      </c>
      <c r="HQ242">
        <v>230</v>
      </c>
      <c r="HR242">
        <v>231</v>
      </c>
      <c r="HS242">
        <v>232</v>
      </c>
      <c r="HT242">
        <v>233</v>
      </c>
      <c r="HU242">
        <v>234</v>
      </c>
      <c r="HV242">
        <v>235</v>
      </c>
      <c r="HW242">
        <v>236</v>
      </c>
      <c r="HX242">
        <v>237</v>
      </c>
      <c r="HY242">
        <v>238</v>
      </c>
      <c r="HZ242">
        <v>239</v>
      </c>
      <c r="IA242">
        <v>240</v>
      </c>
      <c r="IB242">
        <v>241</v>
      </c>
      <c r="IC242">
        <v>242</v>
      </c>
      <c r="ID242">
        <v>243</v>
      </c>
      <c r="IE242">
        <v>244</v>
      </c>
      <c r="IF242">
        <v>245</v>
      </c>
      <c r="IG242">
        <v>246</v>
      </c>
      <c r="IH242">
        <v>247</v>
      </c>
      <c r="II242">
        <v>248</v>
      </c>
      <c r="IJ242">
        <v>249</v>
      </c>
      <c r="IK242">
        <v>250</v>
      </c>
      <c r="IL242">
        <v>251</v>
      </c>
      <c r="IM242">
        <v>252</v>
      </c>
      <c r="IN242">
        <v>253</v>
      </c>
      <c r="IO242">
        <v>254</v>
      </c>
      <c r="IP242">
        <v>255</v>
      </c>
      <c r="IQ242">
        <v>256</v>
      </c>
      <c r="IR242">
        <v>257</v>
      </c>
      <c r="IS242">
        <v>258</v>
      </c>
      <c r="IT242">
        <v>259</v>
      </c>
      <c r="IU242">
        <v>260</v>
      </c>
      <c r="IV242">
        <v>261</v>
      </c>
      <c r="IW242">
        <v>262</v>
      </c>
      <c r="IX242">
        <v>263</v>
      </c>
      <c r="IY242">
        <v>264</v>
      </c>
      <c r="IZ242">
        <v>265</v>
      </c>
      <c r="JA242">
        <v>266</v>
      </c>
      <c r="JB242">
        <v>267</v>
      </c>
      <c r="JC242">
        <v>268</v>
      </c>
      <c r="JD242">
        <v>269</v>
      </c>
      <c r="JE242">
        <v>270</v>
      </c>
      <c r="JF242">
        <v>271</v>
      </c>
      <c r="JH242">
        <v>272</v>
      </c>
      <c r="JI242">
        <v>273</v>
      </c>
      <c r="JJ242">
        <v>274</v>
      </c>
      <c r="JK242">
        <v>275</v>
      </c>
      <c r="JM242">
        <v>276</v>
      </c>
      <c r="JN242">
        <v>277</v>
      </c>
      <c r="JO242">
        <v>278</v>
      </c>
      <c r="JP242">
        <v>279</v>
      </c>
      <c r="JQ242">
        <v>280</v>
      </c>
      <c r="JR242">
        <v>281</v>
      </c>
      <c r="JS242">
        <v>282</v>
      </c>
      <c r="JT242">
        <v>283</v>
      </c>
      <c r="JU242">
        <v>284</v>
      </c>
      <c r="JV242">
        <v>285</v>
      </c>
      <c r="JW242">
        <v>286</v>
      </c>
      <c r="JX242">
        <v>287</v>
      </c>
      <c r="JY242">
        <v>288</v>
      </c>
      <c r="KA242">
        <v>289</v>
      </c>
      <c r="KB242">
        <v>290</v>
      </c>
      <c r="KC242">
        <v>291</v>
      </c>
      <c r="KD242">
        <v>292</v>
      </c>
      <c r="KF242">
        <v>293</v>
      </c>
      <c r="KG242">
        <v>294</v>
      </c>
      <c r="KH242">
        <v>295</v>
      </c>
      <c r="KI242">
        <v>296</v>
      </c>
      <c r="KK242">
        <v>297</v>
      </c>
      <c r="KL242">
        <v>298</v>
      </c>
      <c r="KM242">
        <v>299</v>
      </c>
      <c r="KN242">
        <v>300</v>
      </c>
      <c r="KP242">
        <v>301</v>
      </c>
      <c r="KQ242">
        <v>302</v>
      </c>
      <c r="KR242">
        <v>303</v>
      </c>
      <c r="KS242">
        <v>304</v>
      </c>
      <c r="KT242">
        <v>305</v>
      </c>
      <c r="KU242">
        <v>306</v>
      </c>
      <c r="KV242">
        <v>307</v>
      </c>
      <c r="KW242">
        <v>308</v>
      </c>
      <c r="KX242">
        <v>309</v>
      </c>
      <c r="KZ242">
        <v>310</v>
      </c>
      <c r="LA242">
        <v>311</v>
      </c>
      <c r="LB242">
        <v>312</v>
      </c>
      <c r="LC242">
        <v>313</v>
      </c>
      <c r="LD242">
        <v>314</v>
      </c>
      <c r="LE242">
        <v>315</v>
      </c>
      <c r="LF242">
        <v>316</v>
      </c>
      <c r="LG242">
        <v>317</v>
      </c>
      <c r="LH242">
        <v>318</v>
      </c>
      <c r="LI242">
        <v>319</v>
      </c>
      <c r="LJ242">
        <v>320</v>
      </c>
      <c r="LK242">
        <v>321</v>
      </c>
      <c r="LL242">
        <v>322</v>
      </c>
      <c r="LM242">
        <v>323</v>
      </c>
      <c r="LN242">
        <v>324</v>
      </c>
      <c r="LO242">
        <v>325</v>
      </c>
      <c r="LP242">
        <v>326</v>
      </c>
      <c r="LQ242">
        <v>327</v>
      </c>
      <c r="LR242">
        <v>328</v>
      </c>
      <c r="LS242">
        <v>329</v>
      </c>
      <c r="LT242">
        <v>330</v>
      </c>
      <c r="LU242">
        <v>331</v>
      </c>
      <c r="LV242">
        <v>332</v>
      </c>
      <c r="LW242">
        <v>333</v>
      </c>
      <c r="LX242">
        <v>334</v>
      </c>
      <c r="LY242">
        <v>335</v>
      </c>
      <c r="LZ242">
        <v>336</v>
      </c>
      <c r="MA242">
        <v>337</v>
      </c>
      <c r="MB242">
        <v>338</v>
      </c>
      <c r="MC242">
        <v>339</v>
      </c>
      <c r="MD242">
        <v>340</v>
      </c>
      <c r="ME242">
        <v>341</v>
      </c>
      <c r="MF242">
        <v>342</v>
      </c>
      <c r="MG242">
        <v>343</v>
      </c>
      <c r="MH242">
        <v>344</v>
      </c>
      <c r="MI242">
        <v>345</v>
      </c>
      <c r="MJ242">
        <v>346</v>
      </c>
      <c r="MK242">
        <v>347</v>
      </c>
      <c r="ML242">
        <v>348</v>
      </c>
      <c r="MN242">
        <v>349</v>
      </c>
      <c r="MO242">
        <v>350</v>
      </c>
      <c r="MP242">
        <v>351</v>
      </c>
      <c r="MQ242">
        <v>352</v>
      </c>
      <c r="MS242">
        <v>353</v>
      </c>
      <c r="MT242">
        <v>354</v>
      </c>
      <c r="MU242">
        <v>355</v>
      </c>
      <c r="MV242">
        <v>356</v>
      </c>
      <c r="MW242">
        <v>357</v>
      </c>
      <c r="MX242">
        <v>358</v>
      </c>
      <c r="MY242">
        <v>359</v>
      </c>
      <c r="MZ242">
        <v>360</v>
      </c>
      <c r="NA242">
        <v>361</v>
      </c>
      <c r="NB242">
        <v>362</v>
      </c>
      <c r="NC242">
        <v>363</v>
      </c>
      <c r="ND242">
        <v>364</v>
      </c>
      <c r="NE242">
        <v>365</v>
      </c>
      <c r="NF242">
        <v>366</v>
      </c>
      <c r="NG242">
        <v>367</v>
      </c>
      <c r="NH242">
        <v>368</v>
      </c>
      <c r="NI242">
        <v>369</v>
      </c>
      <c r="NJ242">
        <v>370</v>
      </c>
      <c r="NK242">
        <v>371</v>
      </c>
      <c r="NL242">
        <v>372</v>
      </c>
      <c r="NM242">
        <v>373</v>
      </c>
      <c r="NN242">
        <v>374</v>
      </c>
      <c r="NO242">
        <v>375</v>
      </c>
      <c r="NP242">
        <v>376</v>
      </c>
      <c r="NQ242">
        <v>377</v>
      </c>
      <c r="NR242">
        <v>378</v>
      </c>
      <c r="NS242">
        <v>379</v>
      </c>
      <c r="NT242">
        <v>380</v>
      </c>
      <c r="NU242">
        <v>381</v>
      </c>
      <c r="NV242">
        <v>382</v>
      </c>
      <c r="NW242">
        <v>383</v>
      </c>
      <c r="NX242">
        <v>384</v>
      </c>
      <c r="NY242">
        <v>385</v>
      </c>
      <c r="NZ242">
        <v>386</v>
      </c>
      <c r="OA242">
        <v>387</v>
      </c>
      <c r="OB242">
        <v>388</v>
      </c>
      <c r="OC242">
        <v>389</v>
      </c>
      <c r="OD242">
        <v>390</v>
      </c>
      <c r="OE242">
        <v>391</v>
      </c>
      <c r="OF242">
        <v>392</v>
      </c>
      <c r="OG242">
        <v>393</v>
      </c>
      <c r="OH242">
        <v>394</v>
      </c>
      <c r="OI242">
        <v>395</v>
      </c>
      <c r="OJ242">
        <v>396</v>
      </c>
      <c r="OK242">
        <v>397</v>
      </c>
      <c r="OL242">
        <v>398</v>
      </c>
      <c r="OM242">
        <v>399</v>
      </c>
      <c r="ON242">
        <v>400</v>
      </c>
      <c r="OO242">
        <v>401</v>
      </c>
      <c r="OP242">
        <v>402</v>
      </c>
      <c r="OQ242">
        <v>403</v>
      </c>
      <c r="OR242">
        <v>404</v>
      </c>
      <c r="OS242">
        <v>405</v>
      </c>
      <c r="OT242">
        <v>406</v>
      </c>
      <c r="OU242">
        <v>407</v>
      </c>
      <c r="OV242">
        <v>408</v>
      </c>
      <c r="OW242">
        <v>409</v>
      </c>
      <c r="OX242">
        <v>410</v>
      </c>
      <c r="OY242">
        <v>411</v>
      </c>
      <c r="OZ242">
        <v>412</v>
      </c>
      <c r="PA242">
        <v>413</v>
      </c>
      <c r="PB242">
        <v>414</v>
      </c>
      <c r="PC242">
        <v>415</v>
      </c>
      <c r="PD242">
        <v>416</v>
      </c>
      <c r="PE242">
        <v>417</v>
      </c>
      <c r="PF242">
        <v>418</v>
      </c>
      <c r="PG242">
        <v>419</v>
      </c>
      <c r="PH242">
        <v>420</v>
      </c>
      <c r="PI242">
        <v>421</v>
      </c>
      <c r="PK242">
        <v>422</v>
      </c>
      <c r="PL242">
        <v>423</v>
      </c>
      <c r="PM242">
        <v>424</v>
      </c>
      <c r="PN242">
        <v>425</v>
      </c>
      <c r="PO242">
        <v>426</v>
      </c>
      <c r="PP242">
        <v>427</v>
      </c>
      <c r="PQ242">
        <v>428</v>
      </c>
      <c r="PR242">
        <v>429</v>
      </c>
      <c r="PS242">
        <v>430</v>
      </c>
      <c r="PU242">
        <v>431</v>
      </c>
      <c r="PV242">
        <v>432</v>
      </c>
      <c r="PW242">
        <v>433</v>
      </c>
      <c r="PX242">
        <v>434</v>
      </c>
      <c r="PY242">
        <v>435</v>
      </c>
    </row>
    <row r="243" spans="1:441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U243">
        <v>22</v>
      </c>
      <c r="V243">
        <v>24</v>
      </c>
      <c r="W243">
        <v>25</v>
      </c>
      <c r="X243">
        <v>26</v>
      </c>
      <c r="Y243">
        <v>27</v>
      </c>
      <c r="Z243">
        <v>28</v>
      </c>
      <c r="AA243">
        <v>30</v>
      </c>
      <c r="AB243">
        <v>31</v>
      </c>
      <c r="AC243">
        <v>32</v>
      </c>
      <c r="AD243">
        <v>33</v>
      </c>
      <c r="AE243">
        <v>34</v>
      </c>
      <c r="AF243">
        <v>35</v>
      </c>
      <c r="AG243">
        <v>36</v>
      </c>
      <c r="AH243">
        <v>37</v>
      </c>
      <c r="AI243">
        <v>38</v>
      </c>
      <c r="AJ243">
        <v>39</v>
      </c>
      <c r="AK243">
        <v>40</v>
      </c>
      <c r="AL243">
        <v>41</v>
      </c>
      <c r="AM243">
        <v>42</v>
      </c>
      <c r="AN243">
        <v>43</v>
      </c>
      <c r="AO243">
        <v>44</v>
      </c>
      <c r="AP243">
        <v>45</v>
      </c>
      <c r="AQ243">
        <v>46</v>
      </c>
      <c r="AR243">
        <v>47</v>
      </c>
      <c r="AS243">
        <v>48</v>
      </c>
      <c r="AT243">
        <v>49</v>
      </c>
      <c r="AU243">
        <v>50</v>
      </c>
      <c r="AV243">
        <v>51</v>
      </c>
      <c r="AW243">
        <v>52</v>
      </c>
      <c r="AX243">
        <v>53</v>
      </c>
      <c r="AY243">
        <v>54</v>
      </c>
      <c r="AZ243">
        <v>55</v>
      </c>
      <c r="BA243">
        <v>56</v>
      </c>
      <c r="BB243">
        <v>57</v>
      </c>
      <c r="BC243">
        <v>58</v>
      </c>
      <c r="BD243">
        <v>59</v>
      </c>
      <c r="BE243">
        <v>60</v>
      </c>
      <c r="BF243">
        <v>61</v>
      </c>
      <c r="BG243">
        <v>62</v>
      </c>
      <c r="BH243">
        <v>63</v>
      </c>
      <c r="BI243">
        <v>64</v>
      </c>
      <c r="BJ243">
        <v>65</v>
      </c>
      <c r="BK243">
        <v>66</v>
      </c>
      <c r="BL243">
        <v>67</v>
      </c>
      <c r="BM243">
        <v>68</v>
      </c>
      <c r="BN243">
        <v>69</v>
      </c>
      <c r="BO243">
        <v>70</v>
      </c>
      <c r="BP243">
        <v>71</v>
      </c>
      <c r="BQ243">
        <v>72</v>
      </c>
      <c r="BR243">
        <v>73</v>
      </c>
      <c r="BS243">
        <v>74</v>
      </c>
      <c r="BT243">
        <v>75</v>
      </c>
      <c r="BU243">
        <v>76</v>
      </c>
      <c r="BV243">
        <v>77</v>
      </c>
      <c r="BW243">
        <v>78</v>
      </c>
      <c r="BX243">
        <v>79</v>
      </c>
      <c r="BY243">
        <v>80</v>
      </c>
      <c r="BZ243">
        <v>81</v>
      </c>
      <c r="CA243">
        <v>82</v>
      </c>
      <c r="CB243">
        <v>83</v>
      </c>
      <c r="CC243">
        <v>84</v>
      </c>
      <c r="CD243">
        <v>85</v>
      </c>
      <c r="CE243">
        <v>86</v>
      </c>
      <c r="CF243">
        <v>87</v>
      </c>
      <c r="CG243">
        <v>88</v>
      </c>
      <c r="CH243">
        <v>89</v>
      </c>
      <c r="CI243">
        <v>90</v>
      </c>
      <c r="CJ243">
        <v>91</v>
      </c>
      <c r="CK243">
        <v>92</v>
      </c>
      <c r="CL243">
        <v>93</v>
      </c>
      <c r="CM243">
        <v>94</v>
      </c>
      <c r="CN243">
        <v>95</v>
      </c>
      <c r="CO243">
        <v>96</v>
      </c>
      <c r="CP243">
        <v>97</v>
      </c>
      <c r="CQ243">
        <v>98</v>
      </c>
      <c r="CR243">
        <v>99</v>
      </c>
      <c r="CS243">
        <v>100</v>
      </c>
      <c r="CT243">
        <v>101</v>
      </c>
      <c r="CU243">
        <v>102</v>
      </c>
      <c r="CV243">
        <v>103</v>
      </c>
      <c r="CW243">
        <v>104</v>
      </c>
      <c r="CX243">
        <v>105</v>
      </c>
      <c r="CY243">
        <v>106</v>
      </c>
      <c r="CZ243">
        <v>107</v>
      </c>
      <c r="DA243">
        <v>108</v>
      </c>
      <c r="DB243">
        <v>109</v>
      </c>
      <c r="DC243">
        <v>110</v>
      </c>
      <c r="DD243">
        <v>111</v>
      </c>
      <c r="DE243">
        <v>112</v>
      </c>
      <c r="DF243">
        <v>113</v>
      </c>
      <c r="DG243">
        <v>114</v>
      </c>
      <c r="DH243">
        <v>115</v>
      </c>
      <c r="DI243">
        <v>116</v>
      </c>
      <c r="DJ243">
        <v>117</v>
      </c>
      <c r="DK243">
        <v>118</v>
      </c>
      <c r="DL243">
        <v>119</v>
      </c>
      <c r="DM243">
        <v>120</v>
      </c>
      <c r="DN243">
        <v>121</v>
      </c>
      <c r="DO243">
        <v>122</v>
      </c>
      <c r="DP243">
        <v>123</v>
      </c>
      <c r="DQ243">
        <v>124</v>
      </c>
      <c r="DR243">
        <v>125</v>
      </c>
      <c r="DS243">
        <v>126</v>
      </c>
      <c r="DT243">
        <v>127</v>
      </c>
      <c r="DU243">
        <v>128</v>
      </c>
      <c r="DV243">
        <v>129</v>
      </c>
      <c r="DW243">
        <v>130</v>
      </c>
      <c r="DX243">
        <v>131</v>
      </c>
      <c r="DY243">
        <v>132</v>
      </c>
      <c r="DZ243">
        <v>133</v>
      </c>
      <c r="EA243">
        <v>134</v>
      </c>
      <c r="EB243">
        <v>135</v>
      </c>
      <c r="EC243">
        <v>136</v>
      </c>
      <c r="ED243">
        <v>137</v>
      </c>
      <c r="EE243">
        <v>138</v>
      </c>
      <c r="EF243">
        <v>139</v>
      </c>
      <c r="EG243">
        <v>140</v>
      </c>
      <c r="EH243">
        <v>141</v>
      </c>
      <c r="EI243">
        <v>142</v>
      </c>
      <c r="EJ243">
        <v>143</v>
      </c>
      <c r="EK243">
        <v>144</v>
      </c>
      <c r="EL243">
        <v>145</v>
      </c>
      <c r="EM243">
        <v>146</v>
      </c>
      <c r="EN243">
        <v>147</v>
      </c>
      <c r="EO243">
        <v>148</v>
      </c>
      <c r="EP243">
        <v>149</v>
      </c>
      <c r="EQ243">
        <v>150</v>
      </c>
      <c r="ER243">
        <v>151</v>
      </c>
      <c r="ES243">
        <v>152</v>
      </c>
      <c r="ET243">
        <v>153</v>
      </c>
      <c r="EU243">
        <v>154</v>
      </c>
      <c r="EV243">
        <v>155</v>
      </c>
      <c r="EW243">
        <v>156</v>
      </c>
      <c r="EX243">
        <v>157</v>
      </c>
      <c r="EY243">
        <v>158</v>
      </c>
      <c r="EZ243">
        <v>159</v>
      </c>
      <c r="FA243">
        <v>160</v>
      </c>
      <c r="FB243">
        <v>161</v>
      </c>
      <c r="FC243">
        <v>162</v>
      </c>
      <c r="FD243">
        <v>163</v>
      </c>
      <c r="FE243">
        <v>164</v>
      </c>
      <c r="FF243">
        <v>165</v>
      </c>
      <c r="FG243">
        <v>166</v>
      </c>
      <c r="FH243">
        <v>167</v>
      </c>
      <c r="FI243">
        <v>168</v>
      </c>
      <c r="FJ243">
        <v>169</v>
      </c>
      <c r="FK243">
        <v>170</v>
      </c>
      <c r="FL243">
        <v>171</v>
      </c>
      <c r="FM243">
        <v>172</v>
      </c>
      <c r="FN243">
        <v>173</v>
      </c>
      <c r="FO243">
        <v>174</v>
      </c>
      <c r="FP243">
        <v>175</v>
      </c>
      <c r="FQ243">
        <v>176</v>
      </c>
      <c r="FR243">
        <v>177</v>
      </c>
      <c r="FS243">
        <v>178</v>
      </c>
      <c r="FT243">
        <v>179</v>
      </c>
      <c r="FU243">
        <v>180</v>
      </c>
      <c r="FV243">
        <v>181</v>
      </c>
      <c r="FW243">
        <v>182</v>
      </c>
      <c r="FX243">
        <v>183</v>
      </c>
      <c r="FY243">
        <v>184</v>
      </c>
      <c r="FZ243">
        <v>185</v>
      </c>
      <c r="GA243">
        <v>186</v>
      </c>
      <c r="GB243">
        <v>187</v>
      </c>
      <c r="GC243">
        <v>188</v>
      </c>
      <c r="GD243">
        <v>189</v>
      </c>
      <c r="GE243">
        <v>190</v>
      </c>
      <c r="GF243">
        <v>191</v>
      </c>
      <c r="GG243">
        <v>192</v>
      </c>
      <c r="GH243">
        <v>193</v>
      </c>
      <c r="GI243">
        <v>194</v>
      </c>
      <c r="GJ243">
        <v>195</v>
      </c>
      <c r="GK243">
        <v>196</v>
      </c>
      <c r="GL243">
        <v>197</v>
      </c>
      <c r="GM243">
        <v>198</v>
      </c>
      <c r="GN243">
        <v>199</v>
      </c>
      <c r="GO243">
        <v>200</v>
      </c>
      <c r="GP243">
        <v>201</v>
      </c>
      <c r="GQ243">
        <v>202</v>
      </c>
      <c r="GR243">
        <v>203</v>
      </c>
      <c r="GS243">
        <v>204</v>
      </c>
      <c r="GT243">
        <v>205</v>
      </c>
      <c r="GU243">
        <v>206</v>
      </c>
      <c r="GV243">
        <v>207</v>
      </c>
      <c r="GW243">
        <v>208</v>
      </c>
      <c r="GX243">
        <v>209</v>
      </c>
      <c r="GY243">
        <v>210</v>
      </c>
      <c r="GZ243">
        <v>211</v>
      </c>
      <c r="HA243">
        <v>212</v>
      </c>
      <c r="HB243">
        <v>213</v>
      </c>
      <c r="HC243">
        <v>214</v>
      </c>
      <c r="HD243">
        <v>215</v>
      </c>
      <c r="HE243">
        <v>216</v>
      </c>
      <c r="HF243">
        <v>217</v>
      </c>
      <c r="HG243">
        <v>218</v>
      </c>
      <c r="HH243">
        <v>219</v>
      </c>
      <c r="HI243">
        <v>220</v>
      </c>
      <c r="HJ243">
        <v>221</v>
      </c>
      <c r="HK243">
        <v>222</v>
      </c>
      <c r="HL243">
        <v>223</v>
      </c>
      <c r="HM243">
        <v>224</v>
      </c>
      <c r="HN243">
        <v>225</v>
      </c>
      <c r="HO243">
        <v>226</v>
      </c>
      <c r="HP243">
        <v>227</v>
      </c>
      <c r="HQ243">
        <v>228</v>
      </c>
      <c r="HR243">
        <v>229</v>
      </c>
      <c r="HS243">
        <v>230</v>
      </c>
      <c r="HT243">
        <v>231</v>
      </c>
      <c r="HU243">
        <v>232</v>
      </c>
      <c r="HV243">
        <v>233</v>
      </c>
      <c r="HW243">
        <v>234</v>
      </c>
      <c r="HX243">
        <v>235</v>
      </c>
      <c r="HY243">
        <v>236</v>
      </c>
      <c r="HZ243">
        <v>237</v>
      </c>
      <c r="IA243">
        <v>238</v>
      </c>
      <c r="IB243">
        <v>239</v>
      </c>
      <c r="IC243">
        <v>240</v>
      </c>
      <c r="ID243">
        <v>241</v>
      </c>
      <c r="IE243">
        <v>242</v>
      </c>
      <c r="IF243">
        <v>243</v>
      </c>
      <c r="IG243">
        <v>244</v>
      </c>
      <c r="IH243">
        <v>245</v>
      </c>
      <c r="II243">
        <v>246</v>
      </c>
      <c r="IJ243">
        <v>247</v>
      </c>
      <c r="IK243">
        <v>248</v>
      </c>
      <c r="IL243">
        <v>249</v>
      </c>
      <c r="IM243">
        <v>250</v>
      </c>
      <c r="IN243">
        <v>251</v>
      </c>
      <c r="IO243">
        <v>252</v>
      </c>
      <c r="IP243">
        <v>253</v>
      </c>
      <c r="IQ243">
        <v>254</v>
      </c>
      <c r="IR243">
        <v>255</v>
      </c>
      <c r="IS243">
        <v>256</v>
      </c>
      <c r="IT243">
        <v>257</v>
      </c>
      <c r="IU243">
        <v>258</v>
      </c>
      <c r="IV243">
        <v>259</v>
      </c>
      <c r="IW243">
        <v>260</v>
      </c>
      <c r="IX243">
        <v>261</v>
      </c>
      <c r="IY243">
        <v>262</v>
      </c>
      <c r="IZ243">
        <v>263</v>
      </c>
      <c r="JA243">
        <v>264</v>
      </c>
      <c r="JB243">
        <v>265</v>
      </c>
      <c r="JC243">
        <v>266</v>
      </c>
      <c r="JD243">
        <v>267</v>
      </c>
      <c r="JE243">
        <v>268</v>
      </c>
      <c r="JF243">
        <v>269</v>
      </c>
      <c r="JG243">
        <v>270</v>
      </c>
      <c r="JH243">
        <v>271</v>
      </c>
      <c r="JI243">
        <v>272</v>
      </c>
      <c r="JJ243">
        <v>273</v>
      </c>
      <c r="JK243">
        <v>274</v>
      </c>
      <c r="JL243">
        <v>275</v>
      </c>
      <c r="JM243">
        <v>276</v>
      </c>
      <c r="JN243">
        <v>277</v>
      </c>
      <c r="JO243">
        <v>278</v>
      </c>
      <c r="JP243">
        <v>279</v>
      </c>
      <c r="JQ243">
        <v>280</v>
      </c>
      <c r="JR243">
        <v>281</v>
      </c>
      <c r="JS243">
        <v>282</v>
      </c>
      <c r="JT243">
        <v>283</v>
      </c>
      <c r="JU243">
        <v>284</v>
      </c>
      <c r="JV243">
        <v>285</v>
      </c>
      <c r="JW243">
        <v>286</v>
      </c>
      <c r="JX243">
        <v>287</v>
      </c>
      <c r="JY243">
        <v>288</v>
      </c>
      <c r="JZ243">
        <v>289</v>
      </c>
      <c r="KA243">
        <v>290</v>
      </c>
      <c r="KB243">
        <v>291</v>
      </c>
      <c r="KC243">
        <v>292</v>
      </c>
      <c r="KD243">
        <v>293</v>
      </c>
      <c r="KE243">
        <v>294</v>
      </c>
      <c r="KF243">
        <v>295</v>
      </c>
      <c r="KG243">
        <v>296</v>
      </c>
      <c r="KH243">
        <v>297</v>
      </c>
      <c r="KI243">
        <v>298</v>
      </c>
      <c r="KJ243">
        <v>299</v>
      </c>
      <c r="KK243">
        <v>300</v>
      </c>
      <c r="KL243">
        <v>301</v>
      </c>
      <c r="KM243">
        <v>302</v>
      </c>
      <c r="KN243">
        <v>303</v>
      </c>
      <c r="KO243">
        <v>304</v>
      </c>
      <c r="KP243">
        <v>305</v>
      </c>
      <c r="KQ243">
        <v>306</v>
      </c>
      <c r="KR243">
        <v>307</v>
      </c>
      <c r="KS243">
        <v>308</v>
      </c>
      <c r="KT243">
        <v>309</v>
      </c>
      <c r="KU243">
        <v>310</v>
      </c>
      <c r="KV243">
        <v>311</v>
      </c>
      <c r="KW243">
        <v>312</v>
      </c>
      <c r="KX243">
        <v>313</v>
      </c>
      <c r="KY243">
        <v>314</v>
      </c>
      <c r="KZ243">
        <v>315</v>
      </c>
      <c r="LA243">
        <v>316</v>
      </c>
      <c r="LB243">
        <v>317</v>
      </c>
      <c r="LC243">
        <v>318</v>
      </c>
      <c r="LD243">
        <v>319</v>
      </c>
      <c r="LE243">
        <v>320</v>
      </c>
      <c r="LF243">
        <v>321</v>
      </c>
      <c r="LG243">
        <v>322</v>
      </c>
      <c r="LH243">
        <v>323</v>
      </c>
      <c r="LI243">
        <v>324</v>
      </c>
      <c r="LJ243">
        <v>325</v>
      </c>
      <c r="LK243">
        <v>326</v>
      </c>
      <c r="LL243">
        <v>327</v>
      </c>
      <c r="LM243">
        <v>328</v>
      </c>
      <c r="LN243">
        <v>329</v>
      </c>
      <c r="LO243">
        <v>330</v>
      </c>
      <c r="LP243">
        <v>331</v>
      </c>
      <c r="LQ243">
        <v>332</v>
      </c>
      <c r="LR243">
        <v>333</v>
      </c>
      <c r="LS243">
        <v>334</v>
      </c>
      <c r="LT243">
        <v>335</v>
      </c>
      <c r="LU243">
        <v>336</v>
      </c>
      <c r="LV243">
        <v>337</v>
      </c>
      <c r="LW243">
        <v>338</v>
      </c>
      <c r="LX243">
        <v>339</v>
      </c>
      <c r="LY243">
        <v>340</v>
      </c>
      <c r="LZ243">
        <v>341</v>
      </c>
      <c r="MA243">
        <v>342</v>
      </c>
      <c r="MB243">
        <v>343</v>
      </c>
      <c r="MC243">
        <v>344</v>
      </c>
      <c r="MD243">
        <v>345</v>
      </c>
      <c r="ME243">
        <v>346</v>
      </c>
      <c r="MF243">
        <v>347</v>
      </c>
      <c r="MG243">
        <v>348</v>
      </c>
      <c r="MH243">
        <v>349</v>
      </c>
      <c r="MI243">
        <v>350</v>
      </c>
      <c r="MJ243">
        <v>351</v>
      </c>
      <c r="MK243">
        <v>352</v>
      </c>
      <c r="ML243">
        <v>353</v>
      </c>
      <c r="MM243">
        <v>354</v>
      </c>
      <c r="MN243">
        <v>355</v>
      </c>
      <c r="MO243">
        <v>356</v>
      </c>
      <c r="MP243">
        <v>357</v>
      </c>
      <c r="MQ243">
        <v>358</v>
      </c>
      <c r="MR243">
        <v>359</v>
      </c>
      <c r="MS243">
        <v>360</v>
      </c>
      <c r="MT243">
        <v>361</v>
      </c>
      <c r="MU243">
        <v>362</v>
      </c>
      <c r="MV243">
        <v>363</v>
      </c>
      <c r="MW243">
        <v>364</v>
      </c>
      <c r="MX243">
        <v>365</v>
      </c>
      <c r="MY243">
        <v>366</v>
      </c>
      <c r="MZ243">
        <v>367</v>
      </c>
      <c r="NA243">
        <v>368</v>
      </c>
      <c r="NB243">
        <v>369</v>
      </c>
      <c r="NC243">
        <v>370</v>
      </c>
      <c r="ND243">
        <v>371</v>
      </c>
      <c r="NE243">
        <v>372</v>
      </c>
      <c r="NF243">
        <v>373</v>
      </c>
      <c r="NG243">
        <v>374</v>
      </c>
      <c r="NH243">
        <v>375</v>
      </c>
      <c r="NI243">
        <v>376</v>
      </c>
      <c r="NJ243">
        <v>377</v>
      </c>
      <c r="NK243">
        <v>378</v>
      </c>
      <c r="NL243">
        <v>379</v>
      </c>
      <c r="NM243">
        <v>380</v>
      </c>
      <c r="NN243">
        <v>381</v>
      </c>
      <c r="NO243">
        <v>382</v>
      </c>
      <c r="NP243">
        <v>383</v>
      </c>
      <c r="NQ243">
        <v>384</v>
      </c>
      <c r="NR243">
        <v>385</v>
      </c>
      <c r="NS243">
        <v>386</v>
      </c>
      <c r="NT243">
        <v>387</v>
      </c>
      <c r="NU243">
        <v>388</v>
      </c>
      <c r="NV243">
        <v>389</v>
      </c>
      <c r="NW243">
        <v>390</v>
      </c>
      <c r="NX243">
        <v>391</v>
      </c>
      <c r="NY243">
        <v>392</v>
      </c>
      <c r="NZ243">
        <v>393</v>
      </c>
      <c r="OA243">
        <v>394</v>
      </c>
      <c r="OB243">
        <v>395</v>
      </c>
      <c r="OC243">
        <v>396</v>
      </c>
      <c r="OD243">
        <v>397</v>
      </c>
      <c r="OE243">
        <v>398</v>
      </c>
      <c r="OF243">
        <v>399</v>
      </c>
      <c r="OG243">
        <v>400</v>
      </c>
      <c r="OH243">
        <v>401</v>
      </c>
      <c r="OI243">
        <v>402</v>
      </c>
      <c r="OJ243">
        <v>403</v>
      </c>
      <c r="OK243">
        <v>404</v>
      </c>
      <c r="OL243">
        <v>405</v>
      </c>
      <c r="OM243">
        <v>406</v>
      </c>
      <c r="ON243">
        <v>407</v>
      </c>
      <c r="OO243">
        <v>408</v>
      </c>
      <c r="OP243">
        <v>409</v>
      </c>
      <c r="OQ243">
        <v>410</v>
      </c>
      <c r="OR243">
        <v>411</v>
      </c>
      <c r="OS243">
        <v>412</v>
      </c>
      <c r="OT243">
        <v>413</v>
      </c>
      <c r="OU243">
        <v>414</v>
      </c>
      <c r="OV243">
        <v>415</v>
      </c>
      <c r="OW243">
        <v>416</v>
      </c>
      <c r="OX243">
        <v>417</v>
      </c>
      <c r="OY243">
        <v>418</v>
      </c>
      <c r="OZ243">
        <v>419</v>
      </c>
      <c r="PA243">
        <v>420</v>
      </c>
      <c r="PB243">
        <v>421</v>
      </c>
      <c r="PC243">
        <v>422</v>
      </c>
      <c r="PD243">
        <v>423</v>
      </c>
      <c r="PE243">
        <v>424</v>
      </c>
      <c r="PF243">
        <v>425</v>
      </c>
      <c r="PG243">
        <v>426</v>
      </c>
      <c r="PH243">
        <v>427</v>
      </c>
      <c r="PI243">
        <v>428</v>
      </c>
      <c r="PJ243">
        <v>429</v>
      </c>
      <c r="PK243">
        <v>430</v>
      </c>
      <c r="PL243">
        <v>431</v>
      </c>
      <c r="PM243">
        <v>432</v>
      </c>
      <c r="PN243">
        <v>433</v>
      </c>
      <c r="PO243">
        <v>434</v>
      </c>
      <c r="PP243">
        <v>435</v>
      </c>
      <c r="PQ243">
        <v>436</v>
      </c>
      <c r="PR243">
        <v>437</v>
      </c>
      <c r="PS243">
        <v>438</v>
      </c>
      <c r="PT243">
        <v>439</v>
      </c>
      <c r="PU243">
        <v>440</v>
      </c>
      <c r="PV243">
        <v>441</v>
      </c>
      <c r="PW243">
        <v>442</v>
      </c>
      <c r="PX243">
        <v>443</v>
      </c>
      <c r="PY243">
        <v>444</v>
      </c>
    </row>
    <row r="244" spans="1:441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U244">
        <v>21</v>
      </c>
      <c r="V244">
        <v>23</v>
      </c>
      <c r="W244">
        <v>24</v>
      </c>
      <c r="X244">
        <v>25</v>
      </c>
      <c r="Y244">
        <v>26</v>
      </c>
      <c r="Z244">
        <v>27</v>
      </c>
      <c r="AA244">
        <v>29</v>
      </c>
      <c r="AB244">
        <v>30</v>
      </c>
      <c r="AC244">
        <v>31</v>
      </c>
      <c r="AD244">
        <v>32</v>
      </c>
      <c r="AE244">
        <v>33</v>
      </c>
      <c r="AF244">
        <v>34</v>
      </c>
      <c r="AG244">
        <v>35</v>
      </c>
      <c r="AH244">
        <v>36</v>
      </c>
      <c r="AI244">
        <v>37</v>
      </c>
      <c r="AJ244">
        <v>38</v>
      </c>
      <c r="AK244">
        <v>39</v>
      </c>
      <c r="AL244">
        <v>40</v>
      </c>
      <c r="AM244">
        <v>41</v>
      </c>
      <c r="AN244">
        <v>42</v>
      </c>
      <c r="AO244">
        <v>43</v>
      </c>
      <c r="AP244">
        <v>44</v>
      </c>
      <c r="AQ244">
        <v>45</v>
      </c>
      <c r="AR244">
        <v>46</v>
      </c>
      <c r="AS244">
        <v>47</v>
      </c>
      <c r="AT244">
        <v>48</v>
      </c>
      <c r="AU244">
        <v>49</v>
      </c>
      <c r="AV244">
        <v>50</v>
      </c>
      <c r="AW244">
        <v>51</v>
      </c>
      <c r="AX244">
        <v>52</v>
      </c>
      <c r="AY244">
        <v>53</v>
      </c>
      <c r="AZ244">
        <v>54</v>
      </c>
      <c r="BA244">
        <v>55</v>
      </c>
      <c r="BB244">
        <v>56</v>
      </c>
      <c r="BC244">
        <v>57</v>
      </c>
      <c r="BD244">
        <v>58</v>
      </c>
      <c r="BE244">
        <v>59</v>
      </c>
      <c r="BF244">
        <v>60</v>
      </c>
      <c r="BG244">
        <v>61</v>
      </c>
      <c r="BH244">
        <v>62</v>
      </c>
      <c r="BI244">
        <v>63</v>
      </c>
      <c r="BJ244">
        <v>64</v>
      </c>
      <c r="BK244">
        <v>65</v>
      </c>
      <c r="BL244">
        <v>66</v>
      </c>
      <c r="BM244">
        <v>67</v>
      </c>
      <c r="BN244">
        <v>68</v>
      </c>
      <c r="BO244">
        <v>69</v>
      </c>
      <c r="BP244">
        <v>70</v>
      </c>
      <c r="BQ244">
        <v>71</v>
      </c>
      <c r="BR244">
        <v>72</v>
      </c>
      <c r="BS244">
        <v>73</v>
      </c>
      <c r="BT244">
        <v>74</v>
      </c>
      <c r="BU244">
        <v>75</v>
      </c>
      <c r="BV244">
        <v>76</v>
      </c>
      <c r="BW244">
        <v>77</v>
      </c>
      <c r="BX244">
        <v>78</v>
      </c>
      <c r="BY244">
        <v>79</v>
      </c>
      <c r="BZ244">
        <v>80</v>
      </c>
      <c r="CA244">
        <v>81</v>
      </c>
      <c r="CB244">
        <v>82</v>
      </c>
      <c r="CC244">
        <v>83</v>
      </c>
      <c r="CD244">
        <v>84</v>
      </c>
      <c r="CE244">
        <v>85</v>
      </c>
      <c r="CF244">
        <v>86</v>
      </c>
      <c r="CG244">
        <v>87</v>
      </c>
      <c r="CH244">
        <v>88</v>
      </c>
      <c r="CI244">
        <v>89</v>
      </c>
      <c r="CJ244">
        <v>90</v>
      </c>
      <c r="CK244">
        <v>91</v>
      </c>
      <c r="CL244">
        <v>92</v>
      </c>
      <c r="CM244">
        <v>93</v>
      </c>
      <c r="CN244">
        <v>94</v>
      </c>
      <c r="CO244">
        <v>95</v>
      </c>
      <c r="CP244">
        <v>96</v>
      </c>
      <c r="CQ244">
        <v>97</v>
      </c>
      <c r="CR244">
        <v>98</v>
      </c>
      <c r="CS244">
        <v>99</v>
      </c>
      <c r="CT244">
        <v>100</v>
      </c>
      <c r="CU244">
        <v>101</v>
      </c>
      <c r="CV244">
        <v>102</v>
      </c>
      <c r="CW244">
        <v>103</v>
      </c>
      <c r="CX244">
        <v>104</v>
      </c>
      <c r="CY244">
        <v>105</v>
      </c>
      <c r="CZ244">
        <v>106</v>
      </c>
      <c r="DA244">
        <v>107</v>
      </c>
      <c r="DB244">
        <v>108</v>
      </c>
      <c r="DC244">
        <v>109</v>
      </c>
      <c r="DD244">
        <v>110</v>
      </c>
      <c r="DE244">
        <v>111</v>
      </c>
      <c r="DF244">
        <v>112</v>
      </c>
      <c r="DG244">
        <v>113</v>
      </c>
      <c r="DH244">
        <v>114</v>
      </c>
      <c r="DI244">
        <v>115</v>
      </c>
      <c r="DJ244">
        <v>116</v>
      </c>
      <c r="DK244">
        <v>117</v>
      </c>
      <c r="DL244">
        <v>118</v>
      </c>
      <c r="DM244">
        <v>119</v>
      </c>
      <c r="DN244">
        <v>120</v>
      </c>
      <c r="DO244">
        <v>121</v>
      </c>
      <c r="DP244">
        <v>122</v>
      </c>
      <c r="DQ244">
        <v>123</v>
      </c>
      <c r="DR244">
        <v>124</v>
      </c>
      <c r="DS244">
        <v>125</v>
      </c>
      <c r="DT244">
        <v>126</v>
      </c>
      <c r="DU244">
        <v>127</v>
      </c>
      <c r="DV244">
        <v>128</v>
      </c>
      <c r="DW244">
        <v>129</v>
      </c>
      <c r="DX244">
        <v>130</v>
      </c>
      <c r="DY244">
        <v>131</v>
      </c>
      <c r="DZ244">
        <v>132</v>
      </c>
      <c r="EA244">
        <v>133</v>
      </c>
      <c r="EB244">
        <v>134</v>
      </c>
      <c r="EC244">
        <v>135</v>
      </c>
      <c r="ED244">
        <v>136</v>
      </c>
      <c r="EE244">
        <v>137</v>
      </c>
      <c r="EF244">
        <v>138</v>
      </c>
      <c r="EG244">
        <v>139</v>
      </c>
      <c r="EH244">
        <v>140</v>
      </c>
      <c r="EI244">
        <v>141</v>
      </c>
      <c r="EJ244">
        <v>142</v>
      </c>
      <c r="EK244">
        <v>143</v>
      </c>
      <c r="EL244">
        <v>144</v>
      </c>
      <c r="EM244">
        <v>145</v>
      </c>
      <c r="EN244">
        <v>146</v>
      </c>
      <c r="EO244">
        <v>147</v>
      </c>
      <c r="EP244">
        <v>148</v>
      </c>
      <c r="EQ244">
        <v>149</v>
      </c>
      <c r="ER244">
        <v>150</v>
      </c>
      <c r="ES244">
        <v>151</v>
      </c>
      <c r="ET244">
        <v>152</v>
      </c>
      <c r="EU244">
        <v>153</v>
      </c>
      <c r="EV244">
        <v>154</v>
      </c>
      <c r="EW244">
        <v>155</v>
      </c>
      <c r="EX244">
        <v>156</v>
      </c>
      <c r="EY244">
        <v>157</v>
      </c>
      <c r="EZ244">
        <v>158</v>
      </c>
      <c r="FA244">
        <v>159</v>
      </c>
      <c r="FB244">
        <v>160</v>
      </c>
      <c r="FC244">
        <v>161</v>
      </c>
      <c r="FD244">
        <v>162</v>
      </c>
      <c r="FE244">
        <v>163</v>
      </c>
      <c r="FF244">
        <v>164</v>
      </c>
      <c r="FG244">
        <v>165</v>
      </c>
      <c r="FH244">
        <v>166</v>
      </c>
      <c r="FI244">
        <v>167</v>
      </c>
      <c r="FJ244">
        <v>168</v>
      </c>
      <c r="FK244">
        <v>169</v>
      </c>
      <c r="FL244">
        <v>170</v>
      </c>
      <c r="FM244">
        <v>171</v>
      </c>
      <c r="FN244">
        <v>172</v>
      </c>
      <c r="FO244">
        <v>173</v>
      </c>
      <c r="FP244">
        <v>174</v>
      </c>
      <c r="FQ244">
        <v>175</v>
      </c>
      <c r="FR244">
        <v>176</v>
      </c>
      <c r="FS244">
        <v>177</v>
      </c>
      <c r="FT244">
        <v>178</v>
      </c>
      <c r="FU244">
        <v>179</v>
      </c>
      <c r="FV244">
        <v>180</v>
      </c>
      <c r="FW244">
        <v>181</v>
      </c>
      <c r="FX244">
        <v>182</v>
      </c>
      <c r="FY244">
        <v>183</v>
      </c>
      <c r="FZ244">
        <v>184</v>
      </c>
      <c r="GA244">
        <v>185</v>
      </c>
      <c r="GB244">
        <v>186</v>
      </c>
      <c r="GC244">
        <v>187</v>
      </c>
      <c r="GD244">
        <v>188</v>
      </c>
      <c r="GE244">
        <v>189</v>
      </c>
      <c r="GF244">
        <v>190</v>
      </c>
      <c r="GG244">
        <v>191</v>
      </c>
      <c r="GH244">
        <v>192</v>
      </c>
      <c r="GI244">
        <v>193</v>
      </c>
      <c r="GJ244">
        <v>194</v>
      </c>
      <c r="GK244">
        <v>195</v>
      </c>
      <c r="GL244">
        <v>196</v>
      </c>
      <c r="GM244">
        <v>197</v>
      </c>
      <c r="GN244">
        <v>198</v>
      </c>
      <c r="GO244">
        <v>199</v>
      </c>
      <c r="GP244">
        <v>200</v>
      </c>
      <c r="GQ244">
        <v>201</v>
      </c>
      <c r="GR244">
        <v>202</v>
      </c>
      <c r="GS244">
        <v>203</v>
      </c>
      <c r="GT244">
        <v>204</v>
      </c>
      <c r="GU244">
        <v>205</v>
      </c>
      <c r="GV244">
        <v>206</v>
      </c>
      <c r="GW244">
        <v>207</v>
      </c>
      <c r="GX244">
        <v>208</v>
      </c>
      <c r="GY244">
        <v>209</v>
      </c>
      <c r="GZ244">
        <v>210</v>
      </c>
      <c r="HA244">
        <v>211</v>
      </c>
      <c r="HB244">
        <v>212</v>
      </c>
      <c r="HC244">
        <v>213</v>
      </c>
      <c r="HD244">
        <v>214</v>
      </c>
      <c r="HE244">
        <v>215</v>
      </c>
      <c r="HF244">
        <v>216</v>
      </c>
      <c r="HG244">
        <v>217</v>
      </c>
      <c r="HH244">
        <v>218</v>
      </c>
      <c r="HI244">
        <v>219</v>
      </c>
      <c r="HJ244">
        <v>220</v>
      </c>
      <c r="HK244">
        <v>221</v>
      </c>
      <c r="HL244">
        <v>222</v>
      </c>
      <c r="HM244">
        <v>223</v>
      </c>
      <c r="HN244">
        <v>224</v>
      </c>
      <c r="HO244">
        <v>225</v>
      </c>
      <c r="HP244">
        <v>226</v>
      </c>
      <c r="HQ244">
        <v>227</v>
      </c>
      <c r="HR244">
        <v>228</v>
      </c>
      <c r="HS244">
        <v>229</v>
      </c>
      <c r="HT244">
        <v>230</v>
      </c>
      <c r="HU244">
        <v>231</v>
      </c>
      <c r="HV244">
        <v>232</v>
      </c>
      <c r="HW244">
        <v>233</v>
      </c>
      <c r="HX244">
        <v>234</v>
      </c>
      <c r="HY244">
        <v>235</v>
      </c>
      <c r="HZ244">
        <v>236</v>
      </c>
      <c r="IA244">
        <v>237</v>
      </c>
      <c r="IB244">
        <v>238</v>
      </c>
      <c r="IC244">
        <v>239</v>
      </c>
      <c r="ID244">
        <v>240</v>
      </c>
      <c r="IE244">
        <v>241</v>
      </c>
      <c r="IF244">
        <v>242</v>
      </c>
      <c r="IG244">
        <v>243</v>
      </c>
      <c r="IH244">
        <v>244</v>
      </c>
      <c r="II244">
        <v>245</v>
      </c>
      <c r="IJ244">
        <v>246</v>
      </c>
      <c r="IK244">
        <v>247</v>
      </c>
      <c r="IL244">
        <v>248</v>
      </c>
      <c r="IM244">
        <v>249</v>
      </c>
      <c r="IN244">
        <v>250</v>
      </c>
      <c r="IO244">
        <v>251</v>
      </c>
      <c r="IP244">
        <v>252</v>
      </c>
      <c r="IQ244">
        <v>253</v>
      </c>
      <c r="IR244">
        <v>254</v>
      </c>
      <c r="IS244">
        <v>255</v>
      </c>
      <c r="IT244">
        <v>256</v>
      </c>
      <c r="IU244">
        <v>257</v>
      </c>
      <c r="IV244">
        <v>258</v>
      </c>
      <c r="IW244">
        <v>259</v>
      </c>
      <c r="IX244">
        <v>260</v>
      </c>
      <c r="IY244">
        <v>261</v>
      </c>
      <c r="IZ244">
        <v>262</v>
      </c>
      <c r="JA244">
        <v>263</v>
      </c>
      <c r="JB244">
        <v>264</v>
      </c>
      <c r="JC244">
        <v>265</v>
      </c>
      <c r="JD244">
        <v>266</v>
      </c>
      <c r="JE244">
        <v>267</v>
      </c>
      <c r="JF244">
        <v>268</v>
      </c>
      <c r="JG244">
        <v>269</v>
      </c>
      <c r="JH244">
        <v>270</v>
      </c>
      <c r="JI244">
        <v>271</v>
      </c>
      <c r="JJ244">
        <v>272</v>
      </c>
      <c r="JK244">
        <v>273</v>
      </c>
      <c r="JL244">
        <v>274</v>
      </c>
      <c r="JM244">
        <v>275</v>
      </c>
      <c r="JN244">
        <v>276</v>
      </c>
      <c r="JO244">
        <v>277</v>
      </c>
      <c r="JP244">
        <v>278</v>
      </c>
      <c r="JQ244">
        <v>279</v>
      </c>
      <c r="JR244">
        <v>280</v>
      </c>
      <c r="JS244">
        <v>281</v>
      </c>
      <c r="JT244">
        <v>282</v>
      </c>
      <c r="JU244">
        <v>283</v>
      </c>
      <c r="JV244">
        <v>284</v>
      </c>
      <c r="JW244">
        <v>285</v>
      </c>
      <c r="JX244">
        <v>286</v>
      </c>
      <c r="JY244">
        <v>287</v>
      </c>
      <c r="JZ244">
        <v>288</v>
      </c>
      <c r="KA244">
        <v>289</v>
      </c>
      <c r="KB244">
        <v>290</v>
      </c>
      <c r="KC244">
        <v>291</v>
      </c>
      <c r="KD244">
        <v>292</v>
      </c>
      <c r="KE244">
        <v>293</v>
      </c>
      <c r="KF244">
        <v>294</v>
      </c>
      <c r="KG244">
        <v>295</v>
      </c>
      <c r="KH244">
        <v>296</v>
      </c>
      <c r="KI244">
        <v>297</v>
      </c>
      <c r="KJ244">
        <v>298</v>
      </c>
      <c r="KK244">
        <v>299</v>
      </c>
      <c r="KL244">
        <v>300</v>
      </c>
      <c r="KM244">
        <v>301</v>
      </c>
      <c r="KN244">
        <v>302</v>
      </c>
      <c r="KO244">
        <v>303</v>
      </c>
      <c r="KP244">
        <v>304</v>
      </c>
      <c r="KQ244">
        <v>305</v>
      </c>
      <c r="KR244">
        <v>306</v>
      </c>
      <c r="KS244">
        <v>307</v>
      </c>
      <c r="KT244">
        <v>308</v>
      </c>
      <c r="KU244">
        <v>309</v>
      </c>
      <c r="KV244">
        <v>310</v>
      </c>
      <c r="KW244">
        <v>311</v>
      </c>
      <c r="KX244">
        <v>312</v>
      </c>
      <c r="KY244">
        <v>313</v>
      </c>
      <c r="KZ244">
        <v>314</v>
      </c>
      <c r="LA244">
        <v>315</v>
      </c>
      <c r="LB244">
        <v>316</v>
      </c>
      <c r="LC244">
        <v>317</v>
      </c>
      <c r="LD244">
        <v>318</v>
      </c>
      <c r="LE244">
        <v>319</v>
      </c>
      <c r="LF244">
        <v>320</v>
      </c>
      <c r="LG244">
        <v>321</v>
      </c>
      <c r="LH244">
        <v>322</v>
      </c>
      <c r="LI244">
        <v>323</v>
      </c>
      <c r="LJ244">
        <v>324</v>
      </c>
      <c r="LK244">
        <v>325</v>
      </c>
      <c r="LL244">
        <v>326</v>
      </c>
      <c r="LM244">
        <v>327</v>
      </c>
      <c r="LN244">
        <v>328</v>
      </c>
      <c r="LO244">
        <v>329</v>
      </c>
      <c r="LP244">
        <v>330</v>
      </c>
      <c r="LQ244">
        <v>331</v>
      </c>
      <c r="LR244">
        <v>332</v>
      </c>
      <c r="LS244">
        <v>333</v>
      </c>
      <c r="LT244">
        <v>334</v>
      </c>
      <c r="LU244">
        <v>335</v>
      </c>
      <c r="LV244">
        <v>336</v>
      </c>
      <c r="LW244">
        <v>337</v>
      </c>
      <c r="LX244">
        <v>338</v>
      </c>
      <c r="LY244">
        <v>339</v>
      </c>
      <c r="LZ244">
        <v>340</v>
      </c>
      <c r="MA244">
        <v>341</v>
      </c>
      <c r="MB244">
        <v>342</v>
      </c>
      <c r="MC244">
        <v>343</v>
      </c>
      <c r="MD244">
        <v>344</v>
      </c>
      <c r="ME244">
        <v>345</v>
      </c>
      <c r="MF244">
        <v>346</v>
      </c>
      <c r="MG244">
        <v>347</v>
      </c>
      <c r="MH244">
        <v>348</v>
      </c>
      <c r="MI244">
        <v>349</v>
      </c>
      <c r="MJ244">
        <v>350</v>
      </c>
      <c r="MK244">
        <v>351</v>
      </c>
      <c r="ML244">
        <v>352</v>
      </c>
      <c r="MM244">
        <v>353</v>
      </c>
      <c r="MN244">
        <v>354</v>
      </c>
      <c r="MO244">
        <v>355</v>
      </c>
      <c r="MP244">
        <v>356</v>
      </c>
      <c r="MQ244">
        <v>357</v>
      </c>
      <c r="MR244">
        <v>358</v>
      </c>
      <c r="MS244">
        <v>359</v>
      </c>
      <c r="MT244">
        <v>360</v>
      </c>
      <c r="MU244">
        <v>361</v>
      </c>
      <c r="MV244">
        <v>362</v>
      </c>
      <c r="MW244">
        <v>363</v>
      </c>
      <c r="MX244">
        <v>364</v>
      </c>
      <c r="MY244">
        <v>365</v>
      </c>
      <c r="MZ244">
        <v>366</v>
      </c>
      <c r="NA244">
        <v>367</v>
      </c>
      <c r="NB244">
        <v>368</v>
      </c>
      <c r="NC244">
        <v>369</v>
      </c>
      <c r="ND244">
        <v>370</v>
      </c>
      <c r="NE244">
        <v>371</v>
      </c>
      <c r="NF244">
        <v>372</v>
      </c>
      <c r="NG244">
        <v>373</v>
      </c>
      <c r="NH244">
        <v>374</v>
      </c>
      <c r="NI244">
        <v>375</v>
      </c>
      <c r="NJ244">
        <v>376</v>
      </c>
      <c r="NK244">
        <v>377</v>
      </c>
      <c r="NL244">
        <v>378</v>
      </c>
      <c r="NM244">
        <v>379</v>
      </c>
      <c r="NN244">
        <v>380</v>
      </c>
      <c r="NO244">
        <v>381</v>
      </c>
      <c r="NP244">
        <v>382</v>
      </c>
      <c r="NQ244">
        <v>383</v>
      </c>
      <c r="NR244">
        <v>384</v>
      </c>
      <c r="NS244">
        <v>385</v>
      </c>
      <c r="NT244">
        <v>386</v>
      </c>
      <c r="NU244">
        <v>387</v>
      </c>
      <c r="NV244">
        <v>388</v>
      </c>
      <c r="NW244">
        <v>389</v>
      </c>
      <c r="NX244">
        <v>390</v>
      </c>
      <c r="NY244">
        <v>391</v>
      </c>
      <c r="NZ244">
        <v>392</v>
      </c>
      <c r="OA244">
        <v>393</v>
      </c>
      <c r="OB244">
        <v>394</v>
      </c>
      <c r="OC244">
        <v>395</v>
      </c>
      <c r="OD244">
        <v>396</v>
      </c>
      <c r="OE244">
        <v>397</v>
      </c>
      <c r="OF244">
        <v>398</v>
      </c>
      <c r="OG244">
        <v>399</v>
      </c>
      <c r="OH244">
        <v>400</v>
      </c>
      <c r="OI244">
        <v>401</v>
      </c>
      <c r="OJ244">
        <v>402</v>
      </c>
      <c r="OK244">
        <v>403</v>
      </c>
      <c r="OL244">
        <v>404</v>
      </c>
      <c r="OM244">
        <v>405</v>
      </c>
      <c r="ON244">
        <v>406</v>
      </c>
      <c r="OO244">
        <v>407</v>
      </c>
      <c r="OP244">
        <v>408</v>
      </c>
      <c r="OQ244">
        <v>409</v>
      </c>
      <c r="OR244">
        <v>410</v>
      </c>
      <c r="OS244">
        <v>411</v>
      </c>
      <c r="OT244">
        <v>412</v>
      </c>
      <c r="OU244">
        <v>413</v>
      </c>
      <c r="OV244">
        <v>414</v>
      </c>
      <c r="OW244">
        <v>415</v>
      </c>
      <c r="OX244">
        <v>416</v>
      </c>
      <c r="OY244">
        <v>417</v>
      </c>
      <c r="OZ244">
        <v>418</v>
      </c>
      <c r="PA244">
        <v>419</v>
      </c>
      <c r="PB244">
        <v>420</v>
      </c>
      <c r="PC244">
        <v>421</v>
      </c>
      <c r="PD244">
        <v>422</v>
      </c>
      <c r="PE244">
        <v>423</v>
      </c>
      <c r="PF244">
        <v>424</v>
      </c>
      <c r="PG244">
        <v>425</v>
      </c>
      <c r="PH244">
        <v>426</v>
      </c>
      <c r="PI244">
        <v>427</v>
      </c>
      <c r="PJ244">
        <v>428</v>
      </c>
      <c r="PK244">
        <v>429</v>
      </c>
      <c r="PL244">
        <v>430</v>
      </c>
      <c r="PM244">
        <v>431</v>
      </c>
      <c r="PN244">
        <v>432</v>
      </c>
      <c r="PO244">
        <v>433</v>
      </c>
      <c r="PP244">
        <v>434</v>
      </c>
      <c r="PQ244">
        <v>435</v>
      </c>
      <c r="PR244">
        <v>436</v>
      </c>
      <c r="PS244">
        <v>437</v>
      </c>
      <c r="PT244">
        <v>438</v>
      </c>
      <c r="PU244">
        <v>439</v>
      </c>
      <c r="PV244">
        <v>440</v>
      </c>
      <c r="PW244">
        <v>441</v>
      </c>
      <c r="PX244">
        <v>442</v>
      </c>
      <c r="PY244">
        <v>443</v>
      </c>
    </row>
    <row r="246" spans="1:441" x14ac:dyDescent="0.3">
      <c r="GO246">
        <v>1</v>
      </c>
      <c r="GR246">
        <v>6</v>
      </c>
    </row>
  </sheetData>
  <autoFilter ref="A3:PX240" xr:uid="{E4A1A6B3-4CA2-47DD-990D-ABC92D8C82CF}"/>
  <mergeCells count="117">
    <mergeCell ref="KJ1:LH1"/>
    <mergeCell ref="PT2:PX2"/>
    <mergeCell ref="A1:E1"/>
    <mergeCell ref="JZ1:KI1"/>
    <mergeCell ref="JZ2:KD2"/>
    <mergeCell ref="KE2:KI2"/>
    <mergeCell ref="KO2:KS2"/>
    <mergeCell ref="KJ2:KN2"/>
    <mergeCell ref="KY2:LC2"/>
    <mergeCell ref="MM1:MV1"/>
    <mergeCell ref="MM2:MQ2"/>
    <mergeCell ref="MR2:MV2"/>
    <mergeCell ref="PE2:PI2"/>
    <mergeCell ref="PO2:PS2"/>
    <mergeCell ref="OA2:OE2"/>
    <mergeCell ref="OF2:OJ2"/>
    <mergeCell ref="OK2:OO2"/>
    <mergeCell ref="OP2:OT2"/>
    <mergeCell ref="OU2:OY2"/>
    <mergeCell ref="OZ2:PD2"/>
    <mergeCell ref="PJ2:PN2"/>
    <mergeCell ref="MW2:NA2"/>
    <mergeCell ref="NB2:NF2"/>
    <mergeCell ref="NG2:NK2"/>
    <mergeCell ref="NL2:NP2"/>
    <mergeCell ref="NQ2:NU2"/>
    <mergeCell ref="NV2:NZ2"/>
    <mergeCell ref="LS2:LW2"/>
    <mergeCell ref="LX2:MB2"/>
    <mergeCell ref="MC2:MG2"/>
    <mergeCell ref="MH2:ML2"/>
    <mergeCell ref="KT2:KX2"/>
    <mergeCell ref="LD2:LH2"/>
    <mergeCell ref="LI2:LM2"/>
    <mergeCell ref="LN2:LR2"/>
    <mergeCell ref="JK2:JO2"/>
    <mergeCell ref="JP2:JT2"/>
    <mergeCell ref="JU2:JY2"/>
    <mergeCell ref="IG2:IK2"/>
    <mergeCell ref="IL2:IP2"/>
    <mergeCell ref="IQ2:IU2"/>
    <mergeCell ref="IV2:IZ2"/>
    <mergeCell ref="JA2:JE2"/>
    <mergeCell ref="JF2:JJ2"/>
    <mergeCell ref="HC2:HG2"/>
    <mergeCell ref="HH2:HL2"/>
    <mergeCell ref="HM2:HQ2"/>
    <mergeCell ref="HR2:HV2"/>
    <mergeCell ref="HW2:IA2"/>
    <mergeCell ref="IB2:IF2"/>
    <mergeCell ref="FY2:GC2"/>
    <mergeCell ref="GD2:GH2"/>
    <mergeCell ref="GI2:GM2"/>
    <mergeCell ref="GN2:GR2"/>
    <mergeCell ref="GS2:GW2"/>
    <mergeCell ref="GX2:HB2"/>
    <mergeCell ref="CH2:CL2"/>
    <mergeCell ref="EU2:EY2"/>
    <mergeCell ref="EZ2:FD2"/>
    <mergeCell ref="FE2:FI2"/>
    <mergeCell ref="FJ2:FN2"/>
    <mergeCell ref="FO2:FS2"/>
    <mergeCell ref="FT2:FX2"/>
    <mergeCell ref="DQ2:DU2"/>
    <mergeCell ref="DV2:DZ2"/>
    <mergeCell ref="EA2:EE2"/>
    <mergeCell ref="EF2:EJ2"/>
    <mergeCell ref="EK2:EO2"/>
    <mergeCell ref="EP2:ET2"/>
    <mergeCell ref="IB1:IF1"/>
    <mergeCell ref="F1:T1"/>
    <mergeCell ref="U1:AD1"/>
    <mergeCell ref="AE2:AI2"/>
    <mergeCell ref="AJ2:AN2"/>
    <mergeCell ref="AO2:AS2"/>
    <mergeCell ref="AT2:AX2"/>
    <mergeCell ref="AY2:BC2"/>
    <mergeCell ref="BD2:BH2"/>
    <mergeCell ref="F2:J2"/>
    <mergeCell ref="K2:O2"/>
    <mergeCell ref="P2:T2"/>
    <mergeCell ref="U2:Y2"/>
    <mergeCell ref="Z2:AD2"/>
    <mergeCell ref="CM2:CQ2"/>
    <mergeCell ref="CR2:CV2"/>
    <mergeCell ref="CW2:DA2"/>
    <mergeCell ref="DB2:DF2"/>
    <mergeCell ref="DG2:DK2"/>
    <mergeCell ref="DL2:DP2"/>
    <mergeCell ref="BI2:BM2"/>
    <mergeCell ref="BN2:BR2"/>
    <mergeCell ref="BS2:BW2"/>
    <mergeCell ref="BX2:CB2"/>
    <mergeCell ref="AE1:CB1"/>
    <mergeCell ref="CC1:CG1"/>
    <mergeCell ref="CH1:GH1"/>
    <mergeCell ref="CC2:CG2"/>
    <mergeCell ref="OP1:PX1"/>
    <mergeCell ref="A2:A3"/>
    <mergeCell ref="B2:B3"/>
    <mergeCell ref="C2:C3"/>
    <mergeCell ref="D2:D3"/>
    <mergeCell ref="E2:E3"/>
    <mergeCell ref="LS1:ML1"/>
    <mergeCell ref="MW1:NF1"/>
    <mergeCell ref="NG1:NU1"/>
    <mergeCell ref="NV1:OE1"/>
    <mergeCell ref="OF1:OO1"/>
    <mergeCell ref="IG1:IZ1"/>
    <mergeCell ref="JA1:JT1"/>
    <mergeCell ref="JU1:JY1"/>
    <mergeCell ref="LI1:LR1"/>
    <mergeCell ref="GI1:GM1"/>
    <mergeCell ref="GN1:HG1"/>
    <mergeCell ref="HH1:HL1"/>
    <mergeCell ref="HM1:HQ1"/>
    <mergeCell ref="HR1:IA1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40" operator="containsText" text="NO APLICA">
      <formula>NOT(ISERROR(SEARCH("NO APLICA",F4)))</formula>
    </cfRule>
    <cfRule type="containsText" dxfId="840" priority="1037" operator="containsText" text="VIGENTE">
      <formula>NOT(ISERROR(SEARCH("VIGENTE",F4)))</formula>
    </cfRule>
    <cfRule type="containsText" dxfId="839" priority="1039" operator="containsText" text="VENCIDA">
      <formula>NOT(ISERROR(SEARCH("VENCIDA",F4)))</formula>
    </cfRule>
    <cfRule type="containsText" dxfId="838" priority="1038" operator="containsText" text="POR VENCER">
      <formula>NOT(ISERROR(SEARCH("POR VENCER",F4)))</formula>
    </cfRule>
  </conditionalFormatting>
  <conditionalFormatting sqref="F136">
    <cfRule type="containsText" dxfId="837" priority="125" operator="containsText" text="VENCIDA">
      <formula>NOT(ISERROR(SEARCH("VENCIDA",F136)))</formula>
    </cfRule>
    <cfRule type="containsText" dxfId="836" priority="124" operator="containsText" text="POR VENCER">
      <formula>NOT(ISERROR(SEARCH("POR VENCER",F136)))</formula>
    </cfRule>
    <cfRule type="containsText" dxfId="835" priority="123" operator="containsText" text="VIGENTE">
      <formula>NOT(ISERROR(SEARCH("VIGENTE",F136)))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8" operator="containsText" text="POR VENCER">
      <formula>NOT(ISERROR(SEARCH("POR VENCER",F141)))</formula>
    </cfRule>
    <cfRule type="containsText" dxfId="832" priority="150" operator="containsText" text="NO APLICA">
      <formula>NOT(ISERROR(SEARCH("NO APLICA",F141)))</formula>
    </cfRule>
    <cfRule type="containsText" dxfId="831" priority="149" operator="containsText" text="VENCIDA">
      <formula>NOT(ISERROR(SEARCH("VENCIDA",F141)))</formula>
    </cfRule>
    <cfRule type="containsText" dxfId="830" priority="147" operator="containsText" text="VIGENTE">
      <formula>NOT(ISERROR(SEARCH("VIGENTE",F141)))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9" operator="containsText" text="VENCIDA">
      <formula>NOT(ISERROR(SEARCH("VENCIDA",F146)))</formula>
    </cfRule>
    <cfRule type="containsText" dxfId="827" priority="130" operator="containsText" text="NO APLICA">
      <formula>NOT(ISERROR(SEARCH("NO APLICA",F146)))</formula>
    </cfRule>
    <cfRule type="containsText" dxfId="826" priority="128" operator="containsText" text="POR VENCER">
      <formula>NOT(ISERROR(SEARCH("POR VENCER",F146)))</formula>
    </cfRule>
  </conditionalFormatting>
  <conditionalFormatting sqref="F153">
    <cfRule type="containsText" dxfId="825" priority="2" operator="containsText" text="POR VENCER">
      <formula>NOT(ISERROR(SEARCH("POR VENCER",F153)))</formula>
    </cfRule>
    <cfRule type="containsText" dxfId="824" priority="3" operator="containsText" text="VENCIDA">
      <formula>NOT(ISERROR(SEARCH("VENCIDA",F153)))</formula>
    </cfRule>
    <cfRule type="containsText" dxfId="823" priority="4" operator="containsText" text="NO APLICA">
      <formula>NOT(ISERROR(SEARCH("NO APLICA",F153)))</formula>
    </cfRule>
    <cfRule type="containsText" dxfId="822" priority="1" operator="containsText" text="VIGENTE">
      <formula>NOT(ISERROR(SEARCH("VIGENTE",F153)))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6" operator="containsText" text="POR VENCER">
      <formula>NOT(ISERROR(SEARCH("POR VENCER",F179)))</formula>
    </cfRule>
    <cfRule type="containsText" dxfId="812" priority="135" operator="containsText" text="VIGENTE">
      <formula>NOT(ISERROR(SEARCH("VIGENTE",F179)))</formula>
    </cfRule>
    <cfRule type="containsText" dxfId="811" priority="138" operator="containsText" text="NO APLICA">
      <formula>NOT(ISERROR(SEARCH("NO APLICA",F179)))</formula>
    </cfRule>
    <cfRule type="containsText" dxfId="810" priority="137" operator="containsText" text="VENCIDA">
      <formula>NOT(ISERROR(SEARCH("VENCIDA",F179)))</formula>
    </cfRule>
  </conditionalFormatting>
  <conditionalFormatting sqref="F186">
    <cfRule type="containsText" dxfId="809" priority="1034" operator="containsText" text="VENCIDA">
      <formula>NOT(ISERROR(SEARCH("VENCIDA",F186)))</formula>
    </cfRule>
    <cfRule type="containsText" dxfId="808" priority="1032" operator="containsText" text="VIGENTE">
      <formula>NOT(ISERROR(SEARCH("VIGENTE",F186)))</formula>
    </cfRule>
    <cfRule type="containsText" dxfId="807" priority="1033" operator="containsText" text="POR VENCER">
      <formula>NOT(ISERROR(SEARCH("POR VENCER",F186)))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4" operator="containsText" text="NO APLICA">
      <formula>NOT(ISERROR(SEARCH("NO APLICA",F190)))</formula>
    </cfRule>
    <cfRule type="containsText" dxfId="804" priority="133" operator="containsText" text="VENCIDA">
      <formula>NOT(ISERROR(SEARCH("VENCIDA",F190)))</formula>
    </cfRule>
    <cfRule type="containsText" dxfId="803" priority="132" operator="containsText" text="POR VENCER">
      <formula>NOT(ISERROR(SEARCH("POR VENCER",F190)))</formula>
    </cfRule>
    <cfRule type="containsText" dxfId="802" priority="131" operator="containsText" text="VIGENTE">
      <formula>NOT(ISERROR(SEARCH("VIGENTE",F190)))</formula>
    </cfRule>
  </conditionalFormatting>
  <conditionalFormatting sqref="G72">
    <cfRule type="containsText" dxfId="801" priority="1031" operator="containsText" text="NO APLICA">
      <formula>NOT(ISERROR(SEARCH("NO APLICA",G72)))</formula>
    </cfRule>
    <cfRule type="containsText" dxfId="800" priority="1030" operator="containsText" text="VENCIDA">
      <formula>NOT(ISERROR(SEARCH("VENCIDA",G72)))</formula>
    </cfRule>
    <cfRule type="containsText" dxfId="799" priority="1029" operator="containsText" text="POR VENCER">
      <formula>NOT(ISERROR(SEARCH("POR VENCER",G72)))</formula>
    </cfRule>
    <cfRule type="containsText" dxfId="798" priority="1028" operator="containsText" text="VIGENTE">
      <formula>NOT(ISERROR(SEARCH("VIGENTE",G72)))</formula>
    </cfRule>
  </conditionalFormatting>
  <conditionalFormatting sqref="J4:J240">
    <cfRule type="containsText" dxfId="797" priority="1027" operator="containsText" text="POR VENCER">
      <formula>NOT(ISERROR(SEARCH("POR VENCER",J4)))</formula>
    </cfRule>
    <cfRule type="containsText" dxfId="796" priority="1026" operator="containsText" text="VIGENTE">
      <formula>NOT(ISERROR(SEARCH("VIGENTE",J4)))</formula>
    </cfRule>
    <cfRule type="containsText" dxfId="795" priority="1025" operator="containsText" text="NO APLICA">
      <formula>NOT(ISERROR(SEARCH("NO APLICA",J4)))</formula>
    </cfRule>
  </conditionalFormatting>
  <conditionalFormatting sqref="J4:K129 AD4:AD240 Z183:AD187 CB185:CF185 JT4:KA4 EF4:EG5 LH4:LL59 ML4:MN152 MQ4:MS152 KI4:KK164 KN4:KP164 KF4:KF166 CB4:CB184 Y4:Y240 AN4:AN240 AS4:AS240 AX4:AX240 BM4:BM240 BR4:BR240 CL4:CL240 DP4:DP240 DU4:DU240 DZ4:DZ240 EE4:EE240 EJ4:EJ240 EO4:EO240 FI4:FI240 FN4:FN240 FX4:FX240 GC4:GC240 GH4:GH240 GM4:GM240 HB4:HB240 HL4:HL240 HV4:HV240 IA4:IA240 IF4:IF240 IP4:IP240 IU4:IU240 IZ4:IZ240 JE4:JE240 JO4:JO240 KS4:KS240 KX4:KY240 LC4:LC240 LR4:LR240 LW4:LW240 MB4:MB240 MV4:MV240 OE4:OE240 OJ4:OJ240 JT5:JV5 JY5:JZ5 JJ5:JJ240 EF6 JT6:JZ6 JT7:JV7 JY7:JZ7 EF8:EG9 JT8:JZ18 MG8:MI158 AI8:AI179 BC8:BC240 BH8:BH240 BW8:BW240 CG8:CG240 CQ8:CQ240 CV8:CV240 DA8:DA240 DF8:DF240 DK8:DK240 ET8:ET240 EY8:EY240 FD8:FD240 FS8:FS240 GR8:GR240 GW8:GW240 KD8:KE240 EF10:EF11 HM11:HN172 HQ11:HQ240 EF12:EG12 EF13 EF14:EG14 EF15 HG15:HG240 JT19:JV19 JY19:JZ19 EF19:EF20 JT20:JZ21 EF21:EG21 EF22 JT22:JV22 JY22:JZ22 JT23:JZ25 EF25 EF26:EG26 JT26:JV27 JY26:JZ27 EF27 EF28:EG29 JT28:JZ35 NN28:NN179 EF30 EF32:EG33 EF34 EF35:EG35 JT36:JV36 JY36:JZ36 EF37 JT37:JZ39 EF38:EG40 NF38:NF240 EU39:EU42 CM39:CM44 EZ39:EZ44 GI39:GI44 DV39:DV45 EA39:EA45 FO39:FO45 DL39:DL46 BS39:BS50 GD39:GD50 FE39:FE53 AY39:AY63 BN39:BN63 DQ39:DQ66 AE39:AE78 AJ39:AJ85 AT39:AT85 GX39:GX96 AO39:AO129 BD39:BD129 BI39:BI129 BX39:BX129 GS39:GS129 HH39:HH129 HR39:HR129 HW39:HW129 IB39:IB129 IK39:IL129 IQ39:IQ129 IV39:IV129 LN39:LN129 MW39:MW129 NA39:NB129 NG39:NG129 JT40:JV40 JY40:JZ40 DB40:DB44 CR40:CR48 EF41 JT41:JZ49 EF42:EG44 FJ43:FJ44 EK43:EK45 EP43:EP45 FY43:FY45 Z43:Z50 DG43:DG50 KT43:KT59 HP44:HP45 FT44:FT46 EU44:EU53 EF45 CM46:CM48 FJ46:FJ48 GI46:GI78 EZ46:EZ129 EF48:EF50 DL48:DL78 CM50 FJ50 JT50:JV50 JY50:JZ50 JT51:JZ52 EF51:EG53 JT53:JV53 JY53:JZ53 EF54 JT54:JZ60 EF55:EG55 EU55:EU64 FE55:FE93 EF56:EF57 EF58:EG58 EF59 EF60:EG61 LH60:LJ237 JT61:JV61 JY61:JZ61 NS61:NS180 EF62 JT62:JZ67 EF63:EG64 EF65 EF66:EG68 EU66:EU112 JT68:JV68 JY68:JZ68 DQ68:DQ81 EF69 JT69:JZ69 JT70:JV70 JY70:JZ70 EF70:EG71 JT71:JZ83 EF72:EF73 EF74:EG76 EF77 EF78:EG78 EF79:EF80 EF81:EG84 JT84:JV84 JY84:JZ84 DQ84:DQ90 EF85 JT85:JZ85 EF86:EG86 JT86:JV86 JY86:JZ86 EF87 JT87:JZ101 EF88:EG88 EF89:EF91 DQ92:DQ93 EF92:EG94 EF95:EF97 DQ96:DQ103 EF98:EG98 EF99 EF100:EG100 EF102:EG102 JT102:JV102 JY102:JZ102 EF103 JT103:JZ110 EF104:EG106 DQ105:DQ106 EF108:EG109 DQ108:DQ111 EF110 JT111:JV111 JY111:JZ111 EF111:EG112 JT112:JZ140 EF113:EF114 DQ113:DQ119 EF115:EG115 EU115:EU129 EF116:EF118 EF119:EG122 DQ121:DQ129 EF123 EF124:EG124 EF125:EF126 EF127:EG127 EF128 EF129:EG129 IK130:IK240 NA130:NA240 EF132 JT141:JV141 JY141:JZ141 JT142:JZ143 EF144:EG144 JT144:JV144 JY144:JZ144 JT145:JZ148 EF146:EG146 EF148:EG151 JT149:JV149 JY149:JZ149 JT150:JZ160 EF153:EG153 ML153:MM240 EF154 EF155:EG155 EF158:EG158 EF159 MG159:MG240 MQ159:MR240 NK159:NK240 NP159:NP240 JT161:JV161 JY161:JZ161 EF162:EG163 JT162:JZ171 EF165:EG165 KI165:KJ240 KN165:KO240 JT172:JV172 JY172:JZ172 JT173:JZ177 EF175:EG175 JT178:JV179 JY178:JZ179 KP179:KR187 JT180:KA180 JT181:JV181 JY181:JZ181 AI181:AI240 JT182:JZ200 EF184:EF185 CB188:CB240 EF190:EG191 JT201:JV201 JY201:JZ201 JT202:JZ204 JT205:JV206 JY205:JZ206 JT207:JZ207 JT208:JV209 JY208:JZ209 JT210:JZ216 JT217:JV217 JY217:JZ217 JT218:JZ218 JT219:JV219 JY219:JZ219 JT220:JZ220 EF221:EG221 JT221:JV222 JY221:JZ222 JT223:JZ223 JT224:JV224 JY224:JZ224 JT225:JZ226 JT227:JV228 JY227:JZ228 JT229:JZ233 EF231:EG231 EF233:EG233 JT234:JV235 JY234:JZ235 JT236:JZ236 JT237:JV240 JY237:JZ240 EF238:EG238 LI238:LJ238 LH238:LH240 EF107 EF152 EF174 EF180:EF181 EF188:EF189 EF193 EF202 EF208 EF219 EF223 EF227 EF232 EF237 EF16:EG18 EF23:EG24 EF167:EG171 EF173:EG173 EF187:EG187 EF133:EG134 EF136:EG138 EF179:EG179 J181:J240">
    <cfRule type="containsText" dxfId="794" priority="1024" operator="containsText" text="VENCIDA">
      <formula>NOT(ISERROR(SEARCH("VENCIDA",J4)))</formula>
    </cfRule>
  </conditionalFormatting>
  <conditionalFormatting sqref="J180:K180 MC4:MI7 KA5:KA170 MU29:MU77 CW39:CW78 DB46:DB90 CR50:CR93 IK4:IL35 HR4:HR37 HW4:HW37 IQ4:IQ37 IV4:IV37 LN4:LN37 MW4:MW37 NA4:NB37 NF4:NG37 DV8 EA8 FJ8 DB8:DB10 DL8:DL17 BX8:BX27 EK8:EK27 EU8:EU27 EZ8:EZ27 FE8:FE27 FO8:FO27 AY8:AY28 BD8:BD28 DQ8:DQ28 EP8:EP28 FY8:FY28 GD8:GD28 AJ8:AJ31 AT8:AT34 DG8:DG34 AO8:AO37 BI8:BI37 BN8:BN37 CR8:CR37 CW8:CW37 GS8:GS37 GX8:GX37 MC9:MD37 DV10 FJ10 EA10:EA27 DV12:DV28 FJ12:FJ34 DB12:DB37 NK15:NT27 HH15:HH37 DL19:DL20 HP20:HP27 CM21:CM26 BS21:BS28 DL22:DL36 MU24:MU26 GI24:GI28 IB24:IB37 FT28:FT33 NP28:NT34 NK28:NM37 NO28:NO37 EZ29:EZ34 BX29:BX37 EU29:EU37 FE29:FE37 HP30:HP33 CM30:CM34 DV30:DV34 EA30:EA34 EP30:EP34 FY30:FY34 AY30:AY37 BD30:BD37 DQ30:DQ37 EK30:EK37 FO30:FO37 GD30:GD37 DV36:DV37 EA36:EA37 EZ36:EZ37 FJ36:FJ37 MC46:MD89 EA52:EA82 FJ52:FJ82 FO52:FO82 FY52:FY129 OF55:OG129 CM61:CM81 BS65:BS82 BN65:BN90 AY65:AY129 DG65:DG129 EP65:EP129 NK68:NM76 NP68:NR158 NT68:NT158 KT73:KT127 HP74:HP76 FT74:FT82 EK75:EK129 GD75:GD129 DV77:DV81 MU79:MU95 DL80:DL81 CW80:CW129 DL83:DL129 BS84:BS89 CM84:CM89 FJ84:FJ90 DV84:DV93 EA84:EA93 FO84:FO93 AJ87:AJ96 AT87:AT129 FT91:FT93 MC91:MD117 BS92:BS93 CM92:CM93 FJ92:FJ93 BN92:BN96 DB92:DB96 EA95:EA96 BS95:BS98 DV95:DV98 FT95:FT101 CR95:CR103 FJ95:FJ103 FO95:FO103 CM96 CM98:CM103 EA98:EA103 DB98:DB106 BN98:BN111 BS100:BS103 DV100:DV103 BS105:BS106 CM105:CM106 DV105:DV106 EA105:EA106 FO105:FO106 FJ105:FJ111 CR105:CR119 BS108:BS111 CM108:CM111 DV108:DV111 EA108:EA111 FO108:FO111 DB108:DB129 BN113:BN114 BS113:BS114 CM113:CM114 DV113:DV114 EA113:EA114 FJ113:FJ114 FO113:FO114 DV116:DV119 EA116:EA119 FJ116:FJ119 FO116:FO119 BN116:BN129 BS117:BS119 CM117:CM119 FJ121:FJ127 BS121:BS129 CM121:CM129 CR121:CR129 DV121:DV129 EA121:EA129 FO121:FO129 HP122:HP172 FJ129 MN153:MN158 KP165:KP172 AY180 FY180 GS180 GX180 HH180 IL180 IQ180 IV180 KK180 BD180 BI180 BX180 CR180 CW180 DL180 DQ180 DV180 EA180 EZ180 FE180 AI180:AJ180 AO180 AT180 BN180 BS180 DB180 DG180 EK180 EP180 EU180 FJ180 FO180 GD180 GI180 HR180 HW180 IB180 KT180 LN180 MC180:MD180 MH180:MI180 MN180 MS180:MU180 MW180 NB180 NG180 NL180:NO180 NQ180:NR180 NT180 CE184:CF184 CB186:CC187 CE186:CF187 LD187 MC39:MD44 NK91:NM158 MC119:MD124 MC125 MC126:MD158 BS30:BS34 KK165:KK170 KF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1" operator="containsText" text="VIGENTE">
      <formula>NOT(ISERROR(SEARCH("VIGENTE",K4)))</formula>
    </cfRule>
    <cfRule type="containsText" dxfId="791" priority="1022" operator="containsText" text="NO APLICA">
      <formula>NOT(ISERROR(SEARCH("NO APLICA",K4)))</formula>
    </cfRule>
    <cfRule type="containsText" dxfId="790" priority="1020" operator="containsText" text="POR VENCER">
      <formula>NOT(ISERROR(SEARCH("POR VENCER",K4)))</formula>
    </cfRule>
  </conditionalFormatting>
  <conditionalFormatting sqref="K141 K165 K221">
    <cfRule type="containsText" dxfId="789" priority="153" operator="containsText" text="VIGENTE">
      <formula>NOT(ISERROR(SEARCH("VIGENTE",K141)))</formula>
    </cfRule>
    <cfRule type="containsText" dxfId="788" priority="152" operator="containsText" text="POR VENCER">
      <formula>NOT(ISERROR(SEARCH("POR VENCER",K141)))</formula>
    </cfRule>
    <cfRule type="containsText" dxfId="787" priority="155" operator="containsText" text="VENCIDA">
      <formula>NOT(ISERROR(SEARCH("VENCIDA",K141)))</formula>
    </cfRule>
    <cfRule type="containsText" dxfId="786" priority="154" operator="containsText" text="NO APLICA">
      <formula>NOT(ISERROR(SEARCH("NO APLICA",K141)))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1" operator="containsText" text="VENCIDA">
      <formula>NOT(ISERROR(SEARCH("VENCIDA",K239)))</formula>
    </cfRule>
    <cfRule type="containsText" dxfId="779" priority="70" operator="containsText" text="VIGENTE">
      <formula>NOT(ISERROR(SEARCH("VIGENTE",K239)))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K239:CK240 CP239:CP240 CU239:CU240 DJ239:DJ240 DO239:DO240 DT239:DT240 EA239:EA240 EX239:EX240 FC239:FC240 FH239:FH240 FM239:FM240 FR239:FR240 GB239:GB240 GQ239:GQ240 HU239:HU240 IO239:IO240 IT239:IT240 IX239:IX240 JB239:JB240 KF239:KF240 KK239:KK240 LB239:LB240 LG239:LG240 MX239:MX240 NO239:NO240 NT239:NT240 CF240">
    <cfRule type="containsText" dxfId="774" priority="86" operator="containsText" text="VENCIDA">
      <formula>NOT(ISERROR(SEARCH("VENCIDA",P239)))</formula>
    </cfRule>
  </conditionalFormatting>
  <conditionalFormatting sqref="P239:P240 CK239:CK240 CP239:CP240 CU239:CU240 DJ239:DJ240 DO239:DO240 DT239:DT240 EX239:EX240 FC239:FC240 FH239:FH240 FM239:FM240 FR239:FR240 GB239:GB240 GQ239:GQ240 HU239:HU240 IO239:IO240 IT239:IT240 IX239:IX240 JB239:JB240 KF239:KF240 KK239:KK240 LB239:LB240 LG239:LG240 MX239:MX240 NO239:NO240 NT239:NT240 CF240 EA239:EA240">
    <cfRule type="containsText" dxfId="773" priority="81" operator="containsText" text="POR VENCER">
      <formula>NOT(ISERROR(SEARCH("POR VENCER",P239)))</formula>
    </cfRule>
  </conditionalFormatting>
  <conditionalFormatting sqref="Q239:R240 Z183:AD187 CB185:CF185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6" operator="containsText" text="NO APLICA">
      <formula>NOT(ISERROR(SEARCH("NO APLICA",Q239)))</formula>
    </cfRule>
    <cfRule type="containsText" dxfId="770" priority="15" operator="containsText" text="VENCIDA">
      <formula>NOT(ISERROR(SEARCH("VENCIDA",Q239)))</formula>
    </cfRule>
  </conditionalFormatting>
  <conditionalFormatting sqref="T4:T240">
    <cfRule type="containsText" dxfId="769" priority="1015" operator="containsText" text="NO APLICA">
      <formula>NOT(ISERROR(SEARCH("NO APLICA",T4)))</formula>
    </cfRule>
    <cfRule type="containsText" dxfId="768" priority="1014" operator="containsText" text="VIGENTE">
      <formula>NOT(ISERROR(SEARCH("VIGENTE",T4)))</formula>
    </cfRule>
    <cfRule type="containsText" dxfId="767" priority="1013" operator="containsText" text="POR VENCER">
      <formula>NOT(ISERROR(SEARCH("POR VENCER",T4)))</formula>
    </cfRule>
    <cfRule type="containsText" dxfId="766" priority="1016" operator="containsText" text="VENCIDA">
      <formula>NOT(ISERROR(SEARCH("VENCIDA",T4)))</formula>
    </cfRule>
  </conditionalFormatting>
  <conditionalFormatting sqref="U4:U96 O4:O240 U98:U158">
    <cfRule type="containsText" dxfId="765" priority="1012" operator="containsText" text="POR VENCER">
      <formula>NOT(ISERROR(SEARCH("POR VENCER",O4)))</formula>
    </cfRule>
    <cfRule type="containsText" dxfId="764" priority="1011" operator="containsText" text="NO APLICA">
      <formula>NOT(ISERROR(SEARCH("NO APLICA",O4)))</formula>
    </cfRule>
    <cfRule type="containsText" dxfId="763" priority="1008" operator="containsText" text="VENCIDA">
      <formula>NOT(ISERROR(SEARCH("VENCIDA",O4)))</formula>
    </cfRule>
  </conditionalFormatting>
  <conditionalFormatting sqref="U180">
    <cfRule type="containsText" dxfId="762" priority="1010" operator="containsText" text="POR VENCER">
      <formula>NOT(ISERROR(SEARCH("POR VENCER",U180)))</formula>
    </cfRule>
    <cfRule type="containsText" dxfId="761" priority="1009" operator="containsText" text="NO APLICA">
      <formula>NOT(ISERROR(SEARCH("NO APLICA",U180)))</formula>
    </cfRule>
    <cfRule type="containsText" dxfId="760" priority="1006" operator="containsText" text="VENCIDA">
      <formula>NOT(ISERROR(SEARCH("VENCIDA",U180)))</formula>
    </cfRule>
    <cfRule type="containsText" dxfId="759" priority="1005" operator="containsText" text="VIGENTE">
      <formula>NOT(ISERROR(SEARCH("VIGENTE",U180)))</formula>
    </cfRule>
  </conditionalFormatting>
  <conditionalFormatting sqref="V239">
    <cfRule type="containsText" dxfId="758" priority="59" operator="containsText" text="VIGENTE">
      <formula>NOT(ISERROR(SEARCH("VIGENTE",V239)))</formula>
    </cfRule>
    <cfRule type="containsText" dxfId="757" priority="58" operator="containsText" text="POR VENCER">
      <formula>NOT(ISERROR(SEARCH("POR VENCER",V239)))</formula>
    </cfRule>
    <cfRule type="containsText" dxfId="756" priority="57" operator="containsText" text="NO APLICA">
      <formula>NOT(ISERROR(SEARCH("NO APLICA",V239)))</formula>
    </cfRule>
  </conditionalFormatting>
  <conditionalFormatting sqref="V239:V240">
    <cfRule type="containsText" dxfId="755" priority="60" operator="containsText" text="VENCIDA">
      <formula>NOT(ISERROR(SEARCH("VENCIDA",V239)))</formula>
    </cfRule>
  </conditionalFormatting>
  <conditionalFormatting sqref="V240:W240">
    <cfRule type="containsText" dxfId="754" priority="12" operator="containsText" text="NO APLICA">
      <formula>NOT(ISERROR(SEARCH("NO APLICA",V240)))</formula>
    </cfRule>
    <cfRule type="containsText" dxfId="753" priority="13" operator="containsText" text="POR VENCER">
      <formula>NOT(ISERROR(SEARCH("POR VENCER",V240)))</formula>
    </cfRule>
    <cfRule type="containsText" dxfId="752" priority="14" operator="containsText" text="VIGENTE">
      <formula>NOT(ISERROR(SEARCH("VIGENTE",V240)))</formula>
    </cfRule>
  </conditionalFormatting>
  <conditionalFormatting sqref="W240">
    <cfRule type="containsText" dxfId="751" priority="56" operator="containsText" text="VENCIDA">
      <formula>NOT(ISERROR(SEARCH("VENCIDA",W240)))</formula>
    </cfRule>
  </conditionalFormatting>
  <conditionalFormatting sqref="Z4:Z7 Z38:Z79 Z128:Z158 AI4:AI179 BC4:BC240 BH4:BH240 BW4:BW240 CQ4:CQ240 CV4:CV240 DA4:DA240 DF4:DF240 DK4:DK240 ET4:ET240 EY4:EY240 FD4:FD240 GR4:GR240 GW4:GW240 DB39:DB44 CR39:CR48 ML4:MN158 IP4:IP240 NF4:NF240 IQ39:IQ129 CG4:CG240 EF95:EF97 EF101 EF107 EF116:EF118 KS4:KS240 IF4:IF129 JT180:KA180 KD4:KF164 MV4:MV240 MQ4:MS152 PN4:PN240 HG15:HG240 HL4:HL240 HB4:HB240 EF66:EG68 EF31:EG33 EF35:EG36 EF47:EG47 BI39:BI129 DL48:DL78 HQ11:HQ240 JT4:KA4 EF4:EG5 JT5:JV5 EF6 JT6:JZ6 JT7:JV7 EF8:EG9 JT8:JZ18 EF10:EF11 EF12:EG12 EF13 EF14:EG14 EF15 JT19:JV19 EF19:EF20 JT20:JZ21 EF21:EG21 EF22 JT22:JV22 JT23:JZ25 EF25 EF26:EG26 JT26:JV27 EF27 EF28:EG29 JT28:JZ35 EF30 EF34 JT36:JV36 EF37 JT37:JZ39 EF38:EG40 JT40:JV40 EF41 JT41:JZ49 EF42:EG44 EF45 EF48:EF50 JT50:JV50 JT51:JZ52 EF51:EG53 JT53:JV53 EF54 JT54:JZ60 EF55:EG55 EF56:EF57 EF58:EG58 EF59 EF60:EG61 JT61:JV61 EF62 JT62:JZ67 EF63:EG64 EF65 JT68:JV68 EF69 JT69:JZ69 JT70:JV70 EF70:EG71 JT71:JZ83 EF72:EF73 EF74:EG76 EF77 EF78:EG78 EF79:EF80 EF81:EG84 JT84:JV84 EF85 JT85:JZ85 EF86:EG86 JT86:JV86 EF87 JT87:JZ101 EF88:EG88 EF89:EF91 EF92:EG94 EF98:EG98 EF99 EF100:EG100 EF102:EG102 JT102:JV102 EF103 JT103:JZ110 EF104:EG106 EF108:EG109 EF110 JT111:JV111 EF111:EG112 JT112:JZ140 EF113:EF114 EF115:EG115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JT237:JV240 EF238:EG238 AD4:AD240 LH4:LL59 KN4:KP164 Y4:Y240 AN4:AN240 AS4:AS240 AX4:AX240 BM4:BM240 BR4:BR240 CL4:CL240 DP4:DP240 DU4:DU240 DZ4:DZ240 EE4:EE240 EJ4:EJ240 EO4:EO240 FI4:FI240 FN4:FN240 FX4:FX240 GC4:GC240 GH4:GH240 JE4:JE240 LC4:LC240 LW4:LW240 MB4:MB240 OE4:OE240 OJ4:OJ240 JY5:JZ5 JY7:JZ7 MG8:MI158 FS8:FS240 JY19:JZ19 JY22:JZ22 JY26:JZ27 NN28:NN179 JY36:JZ36 CM39:CM44 EZ39:EZ44 DV39:DV45 EA39:EA45 FO39:FO45 BS39:BS50 GD39:GD50 AY39:AY63 BN39:BN63 DQ39:DQ66 AJ39:AJ85 AT39:AT85 GX39:GX96 AO39:AO129 BD39:BD129 BX39:BX129 GS39:GS129 HH39:HH129 HR39:HR129 IK39:IL129 LN39:LN129 MW39:MW129 NA39:NB129 NG39:NG129 JY40:JZ40 FJ43:FJ44 EK43:EK45 EP43:EP45 DG43:DG50 KT43:KT59 HV43:HW129 IA43:IB129 IU43:IV129 HP44:HP45 FT44:FT46 CM46:CM48 FJ46:FJ48 EZ46:EZ129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D165:KE240 KN165:KO240 JY172:JZ172 JY178:JZ179 KP179:KR187 JY181:JZ181 AI181:AI240 CB188:CB240 JY201:JZ201 JY205:JZ206 JY208:JZ209 JY217:JZ217 JY219:JZ219 JY221:JZ222 JY224:JZ224 JY227:JZ228 JY234:JZ235 JY237:JZ240 LI238:LJ238 LH238:LH240">
    <cfRule type="containsText" dxfId="750" priority="996" operator="containsText" text="NO APLICA">
      <formula>NOT(ISERROR(SEARCH("NO APLICA",Y4)))</formula>
    </cfRule>
  </conditionalFormatting>
  <conditionalFormatting sqref="Z4:Z19 Z38:Z41 Z52:Z55 Z57:Z59 Z61:Z68 Z72 Z76:Z78 Z130:Z158">
    <cfRule type="containsText" dxfId="749" priority="995" operator="containsText" text="VENCIDA">
      <formula>NOT(ISERROR(SEARCH("VENCIDA",Z4)))</formula>
    </cfRule>
  </conditionalFormatting>
  <conditionalFormatting sqref="Z20:Z21 Z38:Z71 Z73:Z79 Z128:Z158 Z4:Z7 LH4:LL59 KK4:KK132 ML4:MN152 MG4:MI158 KD4:KF164 KN4:KP164 AI4:AI179 CB4:CB184 Y4:Y240 AD4:AD240 AN4:AN240 AS4:AS240 AX4:AX240 BC4:BC240 BH4:BH240 BM4:BM240 BR4:BR240 BW4:BW240 CG4:CG240 CL4:CL240 CQ4:CQ240 CV4:CV240 DA4:DA240 DF4:DF240 DK4:DK240 DP4:DP240 DU4:DU240 DZ4:DZ240 EE4:EE240 EJ4:EJ240 EO4:EO240 ET4:ET240 EY4:EY240 FD4:FD240 FI4:FI240 FN4:FN240 FS4:FS240 FX4:FX240 GC4:GC240 GH4:GH240 GR4:GR240 GW4:GW240 HB4:HB240 HL4:HL240 JE4:JE240 JO4:JO240 KS4:KS240 LC4:LC240 LW4:LW240 MB4:MB240 MV4:MV240 OE4:OE240 OJ4:OJ240 JY5:JZ5 KA5:KA80 JJ5:JJ240 JY7:JZ7 HQ11:HQ240 HG15:HG240 JY19:JZ19 HM19:HN67 KI19:KJ67 MQ19:MS152 JY22:JZ22 JY26:JZ27 NN28:NN179 MU29:MU64 JY36:JZ36 NP36:NT55 NF38:NF240 EU39:EU42 CM39:CM44 DB39:DB44 EZ39:EZ44 DV39:DV45 EA39:EA45 FO39:FO45 DL39:DL46 CR39:CR48 BS39:BS50 GD39:GD50 CW39:CW51 FE39:FE53 NO39:NO57 AY39:AY63 BN39:BN63 DQ39:DQ66 NK39:NM66 AE39:AE78 IP39:IQ80 AJ39:AJ85 AT39:AT85 GX39:GX96 AO39:AO129 BD39:BD129 BI39:BI129 BX39:BX129 GS39:GS129 HH39:HH129 HR39:HR129 HV39:HW129 IA39:IB129 IF39:IF129 IK39:IL129 IU39:IV129 LN39:LN129 MW39:MW129 NA39:NB129 NG39:NG129 GM39:GM240 KX39:KY240 JY40:JZ40 FJ43:FJ44 EK43:EK45 EP43:EP45 DG43:DG50 KT43:KT59 HP44:HP45 FT44:FT46 EU44:EU53 CM46:CM48 FJ46:FJ48 DB46:DB51 EZ46:EZ129 DL48:DL78 CM50 FJ50 JY50:JZ50 CR50:CR51 JY53:JZ53 EU55:EU64 FE55:FE93 LH60:LJ237 JY61:JZ61 NS61:NS180 EU66:EU112 JY68:JZ68 DQ68:DQ81 JY70:JZ70 KI73:KJ240 IP81:IP240 JY84:JZ84 DQ84:DQ90 JY86:JZ86 DQ92:DQ93 DQ96:DQ103 JY102:JZ102 DQ105:DQ106 DQ108:DQ111 JY111:JZ111 DQ113:DQ119 EU115:EU129 DQ121:DQ129 IK130:IK240 NA130:NA240 HV138:HV240 IA138:IA240 IF138:IF240 JY141:JZ141 JY144:JZ144 JY149:JZ149 ML153:MM240 MG159:MG240 MQ159:MR240 NK159:NK240 NP159:NP240 JY161:JZ161 KD165:KE240 KN165:KO240 JY172:JZ172 JY178:JZ179 KP179:KR187 JY181:JZ181 AI181:AI240 CB188:CB240 JY201:JZ201 JY205:JZ206 JY208:JZ209 JY217:JZ217 JY219:JZ219 JY221:JZ222 JY224:JZ224 JY227:JZ228 JY234:JZ235 JT237:JV240 JY237:JZ240 LI238:LJ238 LH238:LH240 JT4:KA4 EF4:EG5 JT5:JV5 EF6 JT6:JZ6 JT7:JV7 EF8:EG9 JT8:JZ18 EF10:EF11 EF12:EG12 EF13 EF14:EG14 EF15 JT19:JV19 EF19:EF20 JT20:JZ21 EF21:EG21 EF22 JT22:JV22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7:EG68 JT68:JV68 EF69 JT69:JZ69 JT70:JV70 EF70:EG71 JT71:JZ83 EF72:EF73 EF74:EG76 EF77 EF78:EG78 EF79:EF80 EF81:EG84 JT84:JV84 EF85 JT85:JZ85 EF86:EG86 JT86:JV86 EF87 JT87:JZ101 EF88:EG88 EF89:EF91 EF92:EG94 EF96:EF97 EF98:EG98 EF99 EF100:EG100 EF101 EF102:EG102 JT102:JV102 EF103 JT103:JZ110 EF104:EG106 EF108:EG109 EF110 JT111:JV111 EF111:EG112 JT112:JZ140 EF113:EF114 EF115:EG115 EF116:EF117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0:JZ180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EF238:EG238 LR15:LR240 FY43:FY45 IU138:IU240 IZ4:IZ132 IZ138:IZ240 GI39:GI44 GI46:GI78">
    <cfRule type="containsText" dxfId="748" priority="1000" operator="containsText" text="POR VENCER">
      <formula>NOT(ISERROR(SEARCH("POR VENCER",Y4)))</formula>
    </cfRule>
  </conditionalFormatting>
  <conditionalFormatting sqref="Z20:Z37 Z42 Z51 Z56 Z60 Z69:Z71 Z73:Z75 Z79:Z129">
    <cfRule type="containsText" dxfId="747" priority="999" operator="containsText" text="VENCIDA">
      <formula>NOT(ISERROR(SEARCH("VENCIDA",Z20)))</formula>
    </cfRule>
  </conditionalFormatting>
  <conditionalFormatting sqref="Z72">
    <cfRule type="containsText" dxfId="746" priority="998" operator="containsText" text="POR VENCER">
      <formula>NOT(ISERROR(SEARCH("POR VENCER",Z72)))</formula>
    </cfRule>
  </conditionalFormatting>
  <conditionalFormatting sqref="Z180">
    <cfRule type="containsText" dxfId="745" priority="990" operator="containsText" text="POR VENCER">
      <formula>NOT(ISERROR(SEARCH("POR VENCER",Z180)))</formula>
    </cfRule>
    <cfRule type="containsText" dxfId="744" priority="991" operator="containsText" text="VIGENTE">
      <formula>NOT(ISERROR(SEARCH("VIGENTE",Z180)))</formula>
    </cfRule>
    <cfRule type="containsText" dxfId="743" priority="993" operator="containsText" text="VENCIDA">
      <formula>NOT(ISERROR(SEARCH("VENCIDA",Z180)))</formula>
    </cfRule>
    <cfRule type="containsText" dxfId="742" priority="992" operator="containsText" text="NO APLICA">
      <formula>NOT(ISERROR(SEARCH("NO APLICA",Z180)))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KT239:KU240 KW239:KW240 LQ239:LQ240 LS239:LS240 LV239:LV240 LZ239:MA240 MC239:ME240 MI239:MJ240 MO239:MP240 LL239:LL240 LN239:LN240 HF239:HF240">
    <cfRule type="containsText" dxfId="741" priority="55" operator="containsText" text="POR VENCER">
      <formula>NOT(ISERROR(SEARCH("POR VENCER",Z239)))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LQ239:LQ240 LS239:LS240 LV239:LV240 LZ239:MA240 MC239:ME240 MI239:MJ240 MO239:MP240 KT239:KU240 KW239:KW240">
    <cfRule type="containsText" dxfId="740" priority="54" operator="containsText" text="NO APLICA">
      <formula>NOT(ISERROR(SEARCH("NO APLICA",Z239)))</formula>
    </cfRule>
  </conditionalFormatting>
  <conditionalFormatting sqref="Z183:AD187 CB185:CF185 U4:U96 O4:O240 U98:U158">
    <cfRule type="containsText" dxfId="739" priority="1007" operator="containsText" text="VIGENTE">
      <formula>NOT(ISERROR(SEARCH("VIGENTE",O4)))</formula>
    </cfRule>
  </conditionalFormatting>
  <conditionalFormatting sqref="AE4:AE37 AE80:AE129">
    <cfRule type="containsText" dxfId="738" priority="975" operator="containsText" text="POR VENCER">
      <formula>NOT(ISERROR(SEARCH("POR VENCER",AE4)))</formula>
    </cfRule>
    <cfRule type="containsText" dxfId="737" priority="977" operator="containsText" text="VENCIDA">
      <formula>NOT(ISERROR(SEARCH("VENCIDA",AE4)))</formula>
    </cfRule>
    <cfRule type="containsText" dxfId="736" priority="976" operator="containsText" text="VIGENTE">
      <formula>NOT(ISERROR(SEARCH("VIGENTE",AE4)))</formula>
    </cfRule>
  </conditionalFormatting>
  <conditionalFormatting sqref="AE180">
    <cfRule type="containsText" dxfId="735" priority="973" operator="containsText" text="VENCIDA">
      <formula>NOT(ISERROR(SEARCH("VENCIDA",AE180)))</formula>
    </cfRule>
  </conditionalFormatting>
  <conditionalFormatting sqref="AF11:AF12">
    <cfRule type="containsText" dxfId="734" priority="970" operator="containsText" text="POR VENCER">
      <formula>NOT(ISERROR(SEARCH("POR VENCER",AF11)))</formula>
    </cfRule>
    <cfRule type="containsText" dxfId="733" priority="969" operator="containsText" text="NO APLICA">
      <formula>NOT(ISERROR(SEARCH("NO APLICA",AF11)))</formula>
    </cfRule>
    <cfRule type="containsText" dxfId="732" priority="972" operator="containsText" text="VENCIDA">
      <formula>NOT(ISERROR(SEARCH("VENCIDA",AF11)))</formula>
    </cfRule>
    <cfRule type="containsText" dxfId="731" priority="971" operator="containsText" text="VIGENTE">
      <formula>NOT(ISERROR(SEARCH("VIGENTE",AF11)))</formula>
    </cfRule>
  </conditionalFormatting>
  <conditionalFormatting sqref="AF15">
    <cfRule type="containsText" dxfId="730" priority="965" operator="containsText" text="NO APLICA">
      <formula>NOT(ISERROR(SEARCH("NO APLICA",AF15)))</formula>
    </cfRule>
    <cfRule type="containsText" dxfId="729" priority="966" operator="containsText" text="POR VENCER">
      <formula>NOT(ISERROR(SEARCH("POR VENCER",AF15)))</formula>
    </cfRule>
    <cfRule type="containsText" dxfId="728" priority="968" operator="containsText" text="VENCIDA">
      <formula>NOT(ISERROR(SEARCH("VENCIDA",AF15)))</formula>
    </cfRule>
    <cfRule type="containsText" dxfId="727" priority="967" operator="containsText" text="VIGENTE">
      <formula>NOT(ISERROR(SEARCH("VIGENTE",AF15)))</formula>
    </cfRule>
  </conditionalFormatting>
  <conditionalFormatting sqref="AF19">
    <cfRule type="containsText" dxfId="726" priority="962" operator="containsText" text="POR VENCER">
      <formula>NOT(ISERROR(SEARCH("POR VENCER",AF19)))</formula>
    </cfRule>
    <cfRule type="containsText" dxfId="725" priority="963" operator="containsText" text="VIGENTE">
      <formula>NOT(ISERROR(SEARCH("VIGENTE",AF19)))</formula>
    </cfRule>
    <cfRule type="containsText" dxfId="724" priority="964" operator="containsText" text="VENCIDA">
      <formula>NOT(ISERROR(SEARCH("VENCIDA",AF19)))</formula>
    </cfRule>
    <cfRule type="containsText" dxfId="723" priority="961" operator="containsText" text="NO APLICA">
      <formula>NOT(ISERROR(SEARCH("NO APLICA",AF19)))</formula>
    </cfRule>
  </conditionalFormatting>
  <conditionalFormatting sqref="AF23">
    <cfRule type="containsText" dxfId="722" priority="957" operator="containsText" text="NO APLICA">
      <formula>NOT(ISERROR(SEARCH("NO APLICA",AF23)))</formula>
    </cfRule>
    <cfRule type="containsText" dxfId="721" priority="960" operator="containsText" text="VENCIDA">
      <formula>NOT(ISERROR(SEARCH("VENCIDA",AF23)))</formula>
    </cfRule>
    <cfRule type="containsText" dxfId="720" priority="959" operator="containsText" text="VIGENTE">
      <formula>NOT(ISERROR(SEARCH("VIGENTE",AF23)))</formula>
    </cfRule>
    <cfRule type="containsText" dxfId="719" priority="958" operator="containsText" text="POR VENCER">
      <formula>NOT(ISERROR(SEARCH("POR VENCER",AF23)))</formula>
    </cfRule>
  </conditionalFormatting>
  <conditionalFormatting sqref="AF25:AF26">
    <cfRule type="containsText" dxfId="718" priority="956" operator="containsText" text="VENCIDA">
      <formula>NOT(ISERROR(SEARCH("VENCIDA",AF25)))</formula>
    </cfRule>
    <cfRule type="containsText" dxfId="717" priority="955" operator="containsText" text="VIGENTE">
      <formula>NOT(ISERROR(SEARCH("VIGENTE",AF25)))</formula>
    </cfRule>
    <cfRule type="containsText" dxfId="716" priority="954" operator="containsText" text="POR VENCER">
      <formula>NOT(ISERROR(SEARCH("POR VENCER",AF25)))</formula>
    </cfRule>
    <cfRule type="containsText" dxfId="715" priority="953" operator="containsText" text="NO APLICA">
      <formula>NOT(ISERROR(SEARCH("NO APLICA",AF25)))</formula>
    </cfRule>
  </conditionalFormatting>
  <conditionalFormatting sqref="AF32">
    <cfRule type="containsText" dxfId="714" priority="950" operator="containsText" text="POR VENCER">
      <formula>NOT(ISERROR(SEARCH("POR VENCER",AF32)))</formula>
    </cfRule>
    <cfRule type="containsText" dxfId="713" priority="949" operator="containsText" text="NO APLICA">
      <formula>NOT(ISERROR(SEARCH("NO APLICA",AF32)))</formula>
    </cfRule>
    <cfRule type="containsText" dxfId="712" priority="951" operator="containsText" text="VIGENTE">
      <formula>NOT(ISERROR(SEARCH("VIGENTE",AF32)))</formula>
    </cfRule>
    <cfRule type="containsText" dxfId="711" priority="952" operator="containsText" text="VENCIDA">
      <formula>NOT(ISERROR(SEARCH("VENCIDA",AF32)))</formula>
    </cfRule>
  </conditionalFormatting>
  <conditionalFormatting sqref="AF36:AF37">
    <cfRule type="containsText" dxfId="710" priority="946" operator="containsText" text="POR VENCER">
      <formula>NOT(ISERROR(SEARCH("POR VENCER",AF36)))</formula>
    </cfRule>
    <cfRule type="containsText" dxfId="709" priority="945" operator="containsText" text="NO APLICA">
      <formula>NOT(ISERROR(SEARCH("NO APLICA",AF36)))</formula>
    </cfRule>
    <cfRule type="containsText" dxfId="708" priority="947" operator="containsText" text="VIGENTE">
      <formula>NOT(ISERROR(SEARCH("VIGENTE",AF36)))</formula>
    </cfRule>
    <cfRule type="containsText" dxfId="707" priority="948" operator="containsText" text="VENCIDA">
      <formula>NOT(ISERROR(SEARCH("VENCIDA",AF36)))</formula>
    </cfRule>
  </conditionalFormatting>
  <conditionalFormatting sqref="AF43">
    <cfRule type="containsText" dxfId="706" priority="941" operator="containsText" text="NO APLICA">
      <formula>NOT(ISERROR(SEARCH("NO APLICA",AF43)))</formula>
    </cfRule>
    <cfRule type="containsText" dxfId="705" priority="944" operator="containsText" text="VENCIDA">
      <formula>NOT(ISERROR(SEARCH("VENCIDA",AF43)))</formula>
    </cfRule>
    <cfRule type="containsText" dxfId="704" priority="942" operator="containsText" text="POR VENCER">
      <formula>NOT(ISERROR(SEARCH("POR VENCER",AF43)))</formula>
    </cfRule>
    <cfRule type="containsText" dxfId="703" priority="943" operator="containsText" text="VIGENTE">
      <formula>NOT(ISERROR(SEARCH("VIGENTE",AF43)))</formula>
    </cfRule>
  </conditionalFormatting>
  <conditionalFormatting sqref="AF48:AF49 AF144 AF147 AF196 AF233 AF238">
    <cfRule type="containsText" dxfId="702" priority="118" operator="containsText" text="VIGENTE">
      <formula>NOT(ISERROR(SEARCH("VIGENTE",AF48)))</formula>
    </cfRule>
    <cfRule type="containsText" dxfId="701" priority="116" operator="containsText" text="NO APLICA">
      <formula>NOT(ISERROR(SEARCH("NO APLICA",AF48)))</formula>
    </cfRule>
    <cfRule type="containsText" dxfId="700" priority="117" operator="containsText" text="POR VENCER">
      <formula>NOT(ISERROR(SEARCH("POR VENCER",AF48)))</formula>
    </cfRule>
    <cfRule type="containsText" dxfId="699" priority="119" operator="containsText" text="VENCIDA">
      <formula>NOT(ISERROR(SEARCH("VENCIDA",AF48)))</formula>
    </cfRule>
  </conditionalFormatting>
  <conditionalFormatting sqref="AF52">
    <cfRule type="containsText" dxfId="698" priority="935" operator="containsText" text="VIGENTE">
      <formula>NOT(ISERROR(SEARCH("VIGENTE",AF52)))</formula>
    </cfRule>
    <cfRule type="containsText" dxfId="697" priority="936" operator="containsText" text="VENCIDA">
      <formula>NOT(ISERROR(SEARCH("VENCIDA",AF52)))</formula>
    </cfRule>
    <cfRule type="containsText" dxfId="696" priority="934" operator="containsText" text="POR VENCER">
      <formula>NOT(ISERROR(SEARCH("POR VENCER",AF52)))</formula>
    </cfRule>
    <cfRule type="containsText" dxfId="695" priority="933" operator="containsText" text="NO APLICA">
      <formula>NOT(ISERROR(SEARCH("NO APLICA",AF52)))</formula>
    </cfRule>
  </conditionalFormatting>
  <conditionalFormatting sqref="AF64">
    <cfRule type="containsText" dxfId="694" priority="932" operator="containsText" text="VENCIDA">
      <formula>NOT(ISERROR(SEARCH("VENCIDA",AF64)))</formula>
    </cfRule>
    <cfRule type="containsText" dxfId="693" priority="931" operator="containsText" text="VIGENTE">
      <formula>NOT(ISERROR(SEARCH("VIGENTE",AF64)))</formula>
    </cfRule>
    <cfRule type="containsText" dxfId="692" priority="930" operator="containsText" text="POR VENCER">
      <formula>NOT(ISERROR(SEARCH("POR VENCER",AF64)))</formula>
    </cfRule>
    <cfRule type="containsText" dxfId="691" priority="929" operator="containsText" text="NO APLICA">
      <formula>NOT(ISERROR(SEARCH("NO APLICA",AF64)))</formula>
    </cfRule>
  </conditionalFormatting>
  <conditionalFormatting sqref="AF69">
    <cfRule type="containsText" dxfId="690" priority="925" operator="containsText" text="NO APLICA">
      <formula>NOT(ISERROR(SEARCH("NO APLICA",AF69)))</formula>
    </cfRule>
    <cfRule type="containsText" dxfId="689" priority="927" operator="containsText" text="VIGENTE">
      <formula>NOT(ISERROR(SEARCH("VIGENTE",AF69)))</formula>
    </cfRule>
    <cfRule type="containsText" dxfId="688" priority="928" operator="containsText" text="VENCIDA">
      <formula>NOT(ISERROR(SEARCH("VENCIDA",AF69)))</formula>
    </cfRule>
    <cfRule type="containsText" dxfId="687" priority="926" operator="containsText" text="POR VENCER">
      <formula>NOT(ISERROR(SEARCH("POR VENCER",AF69)))</formula>
    </cfRule>
  </conditionalFormatting>
  <conditionalFormatting sqref="AF77:AF78">
    <cfRule type="containsText" dxfId="686" priority="922" operator="containsText" text="POR VENCER">
      <formula>NOT(ISERROR(SEARCH("POR VENCER",AF77)))</formula>
    </cfRule>
    <cfRule type="containsText" dxfId="685" priority="923" operator="containsText" text="VIGENTE">
      <formula>NOT(ISERROR(SEARCH("VIGENTE",AF77)))</formula>
    </cfRule>
    <cfRule type="containsText" dxfId="684" priority="924" operator="containsText" text="VENCIDA">
      <formula>NOT(ISERROR(SEARCH("VENCIDA",AF77)))</formula>
    </cfRule>
    <cfRule type="containsText" dxfId="683" priority="921" operator="containsText" text="NO APLICA">
      <formula>NOT(ISERROR(SEARCH("NO APLICA",AF77)))</formula>
    </cfRule>
  </conditionalFormatting>
  <conditionalFormatting sqref="AF90">
    <cfRule type="containsText" dxfId="682" priority="920" operator="containsText" text="VENCIDA">
      <formula>NOT(ISERROR(SEARCH("VENCIDA",AF90)))</formula>
    </cfRule>
    <cfRule type="containsText" dxfId="681" priority="919" operator="containsText" text="VIGENTE">
      <formula>NOT(ISERROR(SEARCH("VIGENTE",AF90)))</formula>
    </cfRule>
    <cfRule type="containsText" dxfId="680" priority="918" operator="containsText" text="POR VENCER">
      <formula>NOT(ISERROR(SEARCH("POR VENCER",AF90)))</formula>
    </cfRule>
    <cfRule type="containsText" dxfId="679" priority="917" operator="containsText" text="NO APLICA">
      <formula>NOT(ISERROR(SEARCH("NO APLICA",AF90)))</formula>
    </cfRule>
  </conditionalFormatting>
  <conditionalFormatting sqref="AO239:AO240 BD239:BD240 BI239:BI240 CC239:CC240 DV239:DW240 EA239:EB240">
    <cfRule type="containsText" dxfId="678" priority="53" operator="containsText" text="NO APLICA">
      <formula>NOT(ISERROR(SEARCH("NO APLICA",AO239)))</formula>
    </cfRule>
  </conditionalFormatting>
  <conditionalFormatting sqref="AO239:AO240">
    <cfRule type="containsText" dxfId="677" priority="51" operator="containsText" text="POR VENCER">
      <formula>NOT(ISERROR(SEARCH("POR VENCER",AO239)))</formula>
    </cfRule>
    <cfRule type="containsText" dxfId="676" priority="52" operator="containsText" text="VIGENTE">
      <formula>NOT(ISERROR(SEARCH("VIGENTE",AO239)))</formula>
    </cfRule>
  </conditionalFormatting>
  <conditionalFormatting sqref="AT4:AT6 AY4:AY6 AT36:AT37 FO4 AO4:AO6 BN4:BN6 BS4:BS6 CM4:CM6 DQ4:DQ6 DV4:DV6 EA4:EA6 EK4:EK6 EP4:EP6 FJ4:FJ6 FY4:FY6 GD4:GD6 FS4:FT7 HG4:HH14 FO6 FT8 FT10 FT24:FT25 AJ33:AJ37 FY36 FT36:FT37 IL36:IL37 IK36:IK38 FY39 DG39:DG41 EK39:EK41 EP39:EP41 FJ39:FJ41 FT39:FT42 FY47:FY50 EK47:EK63 CM52:CM59 BS52:BS63 DG52:DG63 EP52:EP63 FT65:FT67 FT84:FT85 FT87:FT88 FE94:FE119 AJ98:AJ129 GX98:GX129 FT103 FT105:FT111 FT113:FT114 FT116:FT117 FT119 FT121:FT125 FE121:FE129 FT127:FT129 AI4:AJ7 BC4:BD7 BH4:BI7 BW4:BX7 CQ4:CR7 CV4:CW7 DA4:DB7 DF4:DG7 DK4:DL7 ET4:EU7 EY4:EZ7 FD4:FE7 GR4:GS7 GW4:GX7 FT90 DV52:DV73 GD52:GD73 EK65:EK73 FT69:FT72 CM8 BS8:BS19 CM10:CM19 FT12:FT22 KT4:KT34 KT39:KT41 KT61:KT71">
    <cfRule type="containsText" dxfId="675" priority="916" operator="containsText" text="VENCIDA">
      <formula>NOT(ISERROR(SEARCH("VENCIDA",AI4)))</formula>
    </cfRule>
  </conditionalFormatting>
  <conditionalFormatting sqref="AT36:AT37 AT4:AT6 AY4:AY6">
    <cfRule type="containsText" dxfId="674" priority="915" operator="containsText" text="VIGENTE">
      <formula>NOT(ISERROR(SEARCH("VIGENTE",AT4)))</formula>
    </cfRule>
  </conditionalFormatting>
  <conditionalFormatting sqref="AT36:AT37 DV52:DV73 GD52:GD73 EK65:EK73 FT69:FT72">
    <cfRule type="containsText" dxfId="673" priority="895" operator="containsText" text="POR VENCER">
      <formula>NOT(ISERROR(SEARCH("POR VENCER",AT36)))</formula>
    </cfRule>
  </conditionalFormatting>
  <conditionalFormatting sqref="AY90">
    <cfRule type="containsText" dxfId="672" priority="222" operator="containsText" text="NO APLICA">
      <formula>NOT(ISERROR(SEARCH("NO APLICA",AY90)))</formula>
    </cfRule>
    <cfRule type="containsText" dxfId="671" priority="223" operator="containsText" text="POR VENCER">
      <formula>NOT(ISERROR(SEARCH("POR VENCER",AY90)))</formula>
    </cfRule>
    <cfRule type="containsText" dxfId="670" priority="224" operator="containsText" text="VENCIDA">
      <formula>NOT(ISERROR(SEARCH("VENCIDA",AY90)))</formula>
    </cfRule>
  </conditionalFormatting>
  <conditionalFormatting sqref="AY123:AY125 AY127">
    <cfRule type="containsText" dxfId="669" priority="218" operator="containsText" text="VENCIDA">
      <formula>NOT(ISERROR(SEARCH("VENCIDA",AY123)))</formula>
    </cfRule>
    <cfRule type="containsText" dxfId="668" priority="216" operator="containsText" text="NO APLICA">
      <formula>NOT(ISERROR(SEARCH("NO APLICA",AY123)))</formula>
    </cfRule>
    <cfRule type="containsText" dxfId="667" priority="217" operator="containsText" text="POR VENCER">
      <formula>NOT(ISERROR(SEARCH("POR VENCER",AY123)))</formula>
    </cfRule>
  </conditionalFormatting>
  <conditionalFormatting sqref="AY133">
    <cfRule type="containsText" dxfId="666" priority="199" operator="containsText" text="VENCIDA">
      <formula>NOT(ISERROR(SEARCH("VENCIDA",AY133)))</formula>
    </cfRule>
    <cfRule type="containsText" dxfId="665" priority="197" operator="containsText" text="POR VENCER">
      <formula>NOT(ISERROR(SEARCH("POR VENCER",AY133)))</formula>
    </cfRule>
  </conditionalFormatting>
  <conditionalFormatting sqref="AY133:AY134">
    <cfRule type="containsText" dxfId="664" priority="196" operator="containsText" text="NO APLICA">
      <formula>NOT(ISERROR(SEARCH("NO APLICA",AY133)))</formula>
    </cfRule>
    <cfRule type="containsText" dxfId="663" priority="198" operator="containsText" text="VIGENTE">
      <formula>NOT(ISERROR(SEARCH("VIGENTE",AY133)))</formula>
    </cfRule>
  </conditionalFormatting>
  <conditionalFormatting sqref="AY134">
    <cfRule type="containsText" dxfId="662" priority="214" operator="containsText" text="POR VENCER">
      <formula>NOT(ISERROR(SEARCH("POR VENCER",AY134)))</formula>
    </cfRule>
    <cfRule type="containsText" dxfId="661" priority="215" operator="containsText" text="VENCIDA">
      <formula>NOT(ISERROR(SEARCH("VENCIDA",AY134)))</formula>
    </cfRule>
  </conditionalFormatting>
  <conditionalFormatting sqref="AY142">
    <cfRule type="containsText" dxfId="660" priority="195" operator="containsText" text="VENCIDA">
      <formula>NOT(ISERROR(SEARCH("VENCIDA",AY142)))</formula>
    </cfRule>
    <cfRule type="containsText" dxfId="659" priority="193" operator="containsText" text="POR VENCER">
      <formula>NOT(ISERROR(SEARCH("POR VENCER",AY142)))</formula>
    </cfRule>
    <cfRule type="containsText" dxfId="658" priority="194" operator="containsText" text="VIGENTE">
      <formula>NOT(ISERROR(SEARCH("VIGENTE",AY142)))</formula>
    </cfRule>
    <cfRule type="containsText" dxfId="657" priority="192" operator="containsText" text="NO APLICA">
      <formula>NOT(ISERROR(SEARCH("NO APLICA",AY142)))</formula>
    </cfRule>
  </conditionalFormatting>
  <conditionalFormatting sqref="AY147 AY150">
    <cfRule type="containsText" dxfId="656" priority="188" operator="containsText" text="NO APLICA">
      <formula>NOT(ISERROR(SEARCH("NO APLICA",AY147)))</formula>
    </cfRule>
    <cfRule type="containsText" dxfId="655" priority="191" operator="containsText" text="VENCIDA">
      <formula>NOT(ISERROR(SEARCH("VENCIDA",AY147)))</formula>
    </cfRule>
    <cfRule type="containsText" dxfId="654" priority="190" operator="containsText" text="VIGENTE">
      <formula>NOT(ISERROR(SEARCH("VIGENTE",AY147)))</formula>
    </cfRule>
    <cfRule type="containsText" dxfId="653" priority="189" operator="containsText" text="POR VENCER">
      <formula>NOT(ISERROR(SEARCH("POR VENCER",AY147)))</formula>
    </cfRule>
  </conditionalFormatting>
  <conditionalFormatting sqref="AY152">
    <cfRule type="containsText" dxfId="652" priority="210" operator="containsText" text="POR VENCER">
      <formula>NOT(ISERROR(SEARCH("POR VENCER",AY152)))</formula>
    </cfRule>
    <cfRule type="containsText" dxfId="651" priority="209" operator="containsText" text="VIGENTE">
      <formula>NOT(ISERROR(SEARCH("VIGENTE",AY152)))</formula>
    </cfRule>
    <cfRule type="containsText" dxfId="650" priority="208" operator="containsText" text="NO APLICA">
      <formula>NOT(ISERROR(SEARCH("NO APLICA",AY152)))</formula>
    </cfRule>
    <cfRule type="containsText" dxfId="649" priority="211" operator="containsText" text="VENCIDA">
      <formula>NOT(ISERROR(SEARCH("VENCIDA",AY152)))</formula>
    </cfRule>
  </conditionalFormatting>
  <conditionalFormatting sqref="AY155">
    <cfRule type="containsText" dxfId="648" priority="187" operator="containsText" text="VENCIDA">
      <formula>NOT(ISERROR(SEARCH("VENCIDA",AY155)))</formula>
    </cfRule>
    <cfRule type="containsText" dxfId="647" priority="186" operator="containsText" text="VIGENTE">
      <formula>NOT(ISERROR(SEARCH("VIGENTE",AY155)))</formula>
    </cfRule>
    <cfRule type="containsText" dxfId="646" priority="185" operator="containsText" text="POR VENCER">
      <formula>NOT(ISERROR(SEARCH("POR VENCER",AY155)))</formula>
    </cfRule>
    <cfRule type="containsText" dxfId="645" priority="184" operator="containsText" text="NO APLICA">
      <formula>NOT(ISERROR(SEARCH("NO APLICA",AY155)))</formula>
    </cfRule>
  </conditionalFormatting>
  <conditionalFormatting sqref="AY166">
    <cfRule type="containsText" dxfId="644" priority="206" operator="containsText" text="POR VENCER">
      <formula>NOT(ISERROR(SEARCH("POR VENCER",AY166)))</formula>
    </cfRule>
    <cfRule type="containsText" dxfId="643" priority="207" operator="containsText" text="VENCIDA">
      <formula>NOT(ISERROR(SEARCH("VENCIDA",AY166)))</formula>
    </cfRule>
    <cfRule type="containsText" dxfId="642" priority="204" operator="containsText" text="NO APLICA">
      <formula>NOT(ISERROR(SEARCH("NO APLICA",AY166)))</formula>
    </cfRule>
    <cfRule type="containsText" dxfId="641" priority="205" operator="containsText" text="VIGENTE">
      <formula>NOT(ISERROR(SEARCH("VIGENTE",AY166)))</formula>
    </cfRule>
  </conditionalFormatting>
  <conditionalFormatting sqref="AY177">
    <cfRule type="containsText" dxfId="640" priority="178" operator="containsText" text="VIGENTE">
      <formula>NOT(ISERROR(SEARCH("VIGENTE",AY177)))</formula>
    </cfRule>
    <cfRule type="containsText" dxfId="639" priority="179" operator="containsText" text="VENCIDA">
      <formula>NOT(ISERROR(SEARCH("VENCIDA",AY177)))</formula>
    </cfRule>
    <cfRule type="containsText" dxfId="638" priority="177" operator="containsText" text="POR VENCER">
      <formula>NOT(ISERROR(SEARCH("POR VENCER",AY177)))</formula>
    </cfRule>
    <cfRule type="containsText" dxfId="637" priority="176" operator="containsText" text="NO APLICA">
      <formula>NOT(ISERROR(SEARCH("NO APLICA",AY177)))</formula>
    </cfRule>
  </conditionalFormatting>
  <conditionalFormatting sqref="AY180 FY180 GS180 GX180 HH180 IL180 IQ180 IV180 KK180 FT180">
    <cfRule type="containsText" dxfId="636" priority="913" operator="containsText" text="POR VENCER">
      <formula>NOT(ISERROR(SEARCH("POR VENCER",AY180)))</formula>
    </cfRule>
  </conditionalFormatting>
  <conditionalFormatting sqref="AY180">
    <cfRule type="containsText" dxfId="635" priority="912" operator="containsText" text="VIGENTE">
      <formula>NOT(ISERROR(SEARCH("VIGENTE",AY180)))</formula>
    </cfRule>
  </conditionalFormatting>
  <conditionalFormatting sqref="AY182">
    <cfRule type="containsText" dxfId="634" priority="200" operator="containsText" text="NO APLICA">
      <formula>NOT(ISERROR(SEARCH("NO APLICA",AY182)))</formula>
    </cfRule>
    <cfRule type="containsText" dxfId="633" priority="203" operator="containsText" text="VENCIDA">
      <formula>NOT(ISERROR(SEARCH("VENCIDA",AY182)))</formula>
    </cfRule>
    <cfRule type="containsText" dxfId="632" priority="201" operator="containsText" text="VIGENTE">
      <formula>NOT(ISERROR(SEARCH("VIGENTE",AY182)))</formula>
    </cfRule>
    <cfRule type="containsText" dxfId="631" priority="202" operator="containsText" text="POR VENCER">
      <formula>NOT(ISERROR(SEARCH("POR VENCER",AY182)))</formula>
    </cfRule>
  </conditionalFormatting>
  <conditionalFormatting sqref="AY189 AY191 AY233">
    <cfRule type="containsText" dxfId="630" priority="181" operator="containsText" text="POR VENCER">
      <formula>NOT(ISERROR(SEARCH("POR VENCER",AY189)))</formula>
    </cfRule>
    <cfRule type="containsText" dxfId="629" priority="180" operator="containsText" text="NO APLICA">
      <formula>NOT(ISERROR(SEARCH("NO APLICA",AY189)))</formula>
    </cfRule>
    <cfRule type="containsText" dxfId="628" priority="182" operator="containsText" text="VIGENTE">
      <formula>NOT(ISERROR(SEARCH("VIGENTE",AY189)))</formula>
    </cfRule>
    <cfRule type="containsText" dxfId="627" priority="183" operator="containsText" text="VENCIDA">
      <formula>NOT(ISERROR(SEARCH("VENCIDA",AY189)))</formula>
    </cfRule>
  </conditionalFormatting>
  <conditionalFormatting sqref="BD180 BI180 BX180 CR180 CW180 DL180 DQ180 DV180 EA180 EZ180 FE180">
    <cfRule type="containsText" dxfId="626" priority="910" operator="containsText" text="POR VENCER">
      <formula>NOT(ISERROR(SEARCH("POR VENCER",BD180)))</formula>
    </cfRule>
    <cfRule type="containsText" dxfId="625" priority="911" operator="containsText" text="VIGENTE">
      <formula>NOT(ISERROR(SEARCH("VIGENTE",BD180)))</formula>
    </cfRule>
  </conditionalFormatting>
  <conditionalFormatting sqref="BD239:BD240 BI239:BI240 CC239:CC240 DV239:DW240 EA239:EB240 KA239:KA240">
    <cfRule type="containsText" dxfId="624" priority="50" operator="containsText" text="VIGENTE">
      <formula>NOT(ISERROR(SEARCH("VIGENTE",BD239)))</formula>
    </cfRule>
  </conditionalFormatting>
  <conditionalFormatting sqref="BD239:BD240 BI239:BI240 CC239:CC240 DV239:DW240 EB239:EB240">
    <cfRule type="containsText" dxfId="623" priority="49" operator="containsText" text="POR VENCER">
      <formula>NOT(ISERROR(SEARCH("POR VENCER",BD239)))</formula>
    </cfRule>
  </conditionalFormatting>
  <conditionalFormatting sqref="BI67 BI82 BI95 BI97 BI131:BI132 BI135 BI137 BI139 BI164 BI172">
    <cfRule type="containsText" dxfId="622" priority="326" operator="containsText" text="VENCIDA">
      <formula>NOT(ISERROR(SEARCH("VENCIDA",BI67)))</formula>
    </cfRule>
    <cfRule type="containsText" dxfId="621" priority="325" operator="containsText" text="POR VENCER">
      <formula>NOT(ISERROR(SEARCH("POR VENCER",BI67)))</formula>
    </cfRule>
  </conditionalFormatting>
  <conditionalFormatting sqref="BI131:BI132 BI135 BI137 BI139 BI164 BI172 BI67 BI82 BI95 BI97">
    <cfRule type="containsText" dxfId="620" priority="324" operator="containsText" text="NO APLICA">
      <formula>NOT(ISERROR(SEARCH("NO APLICA",BI67)))</formula>
    </cfRule>
  </conditionalFormatting>
  <conditionalFormatting sqref="BI131:BI132 BI135 BI137 BI139 BI164 BI172">
    <cfRule type="containsText" dxfId="619" priority="323" operator="containsText" text="VIGENTE">
      <formula>NOT(ISERROR(SEARCH("VIGENTE",BI131)))</formula>
    </cfRule>
  </conditionalFormatting>
  <conditionalFormatting sqref="BN180 BS180 DG180 EK180 EP180 FY180 GS180 GX180 HH180 IL180 IQ180 IV180 KK180">
    <cfRule type="containsText" dxfId="618" priority="733" operator="containsText" text="VIGENTE">
      <formula>NOT(ISERROR(SEARCH("VIGENTE",BN180)))</formula>
    </cfRule>
  </conditionalFormatting>
  <conditionalFormatting sqref="BN180 DG180 EK180 EP180 AI180:AJ180 AO180 AT180 BS180 DB180 EU180 FJ180 FO180 GD180 CE184:CF184 CB186:CC187 CE186:CF187 LD187 FY180 GS180 GX180 HH180 IL180 IQ180 IV180 KK180 GI180 HR180 HW180 IB180 KT180 LN180 MC180:MD180 MH180:MI180 MN180 MS180:MU180 CB4:CB184 MW180 NB180 NG180 NL180:NO180 NQ180:NR180 NT180 AY180 BD180 BI180 BX180 CR180 CW180 DL180 DQ180 DV180 EA180 EZ180 FE180">
    <cfRule type="containsText" dxfId="617" priority="909" operator="containsText" text="NO APLICA">
      <formula>NOT(ISERROR(SEARCH("NO APLICA",AI4)))</formula>
    </cfRule>
  </conditionalFormatting>
  <conditionalFormatting sqref="BN180 DG180 EK180 EP180">
    <cfRule type="containsText" dxfId="616" priority="908" operator="containsText" text="POR VENCER">
      <formula>NOT(ISERROR(SEARCH("POR VENCER",BN180)))</formula>
    </cfRule>
  </conditionalFormatting>
  <conditionalFormatting sqref="BS30:BS35">
    <cfRule type="containsText" dxfId="615" priority="239" operator="containsText" text="POR VENCER">
      <formula>NOT(ISERROR(SEARCH("POR VENCER",BS30)))</formula>
    </cfRule>
    <cfRule type="containsText" dxfId="614" priority="238" operator="containsText" text="NO APLICA">
      <formula>NOT(ISERROR(SEARCH("NO APLICA",BS30)))</formula>
    </cfRule>
  </conditionalFormatting>
  <conditionalFormatting sqref="BS35">
    <cfRule type="containsText" dxfId="613" priority="240" operator="containsText" text="VENCIDA">
      <formula>NOT(ISERROR(SEARCH("VENCIDA",BS35)))</formula>
    </cfRule>
  </conditionalFormatting>
  <conditionalFormatting sqref="BS36:BS37 CM36:CM37 DG36:DG37 EP36:EP37 DV47:DV50 EA47:EA50 EP47:EP50 FO47:FO50 DV75 CR39 DB39">
    <cfRule type="containsText" dxfId="612" priority="907" operator="containsText" text="VENCIDA">
      <formula>NOT(ISERROR(SEARCH("VENCIDA",BS36)))</formula>
    </cfRule>
  </conditionalFormatting>
  <conditionalFormatting sqref="BS65:BS89 BS91:BS129 BS133 BS137 BS142 BS144 BS150 BS155 BS175 BS177 BS189 BS191">
    <cfRule type="containsText" dxfId="611" priority="235" operator="containsText" text="NO APLICA">
      <formula>NOT(ISERROR(SEARCH("NO APLICA",BS65)))</formula>
    </cfRule>
    <cfRule type="containsText" dxfId="610" priority="236" operator="containsText" text="POR VENCER">
      <formula>NOT(ISERROR(SEARCH("POR VENCER",BS65)))</formula>
    </cfRule>
  </conditionalFormatting>
  <conditionalFormatting sqref="BS83 BS91 BS94 BS99 BS104 BS107 BS112 BS115:BS116 BS120 BS133 BS137 BS142 BS144 BS150 BS155 BS175 BS177 BS189 BS191">
    <cfRule type="containsText" dxfId="609" priority="234" operator="containsText" text="VIGENTE">
      <formula>NOT(ISERROR(SEARCH("VIGENTE",BS83)))</formula>
    </cfRule>
    <cfRule type="containsText" dxfId="608" priority="237" operator="containsText" text="VENCIDA">
      <formula>NOT(ISERROR(SEARCH("VENCIDA",BS83)))</formula>
    </cfRule>
  </conditionalFormatting>
  <conditionalFormatting sqref="CG4:CG240">
    <cfRule type="containsText" dxfId="607" priority="897" operator="containsText" text="VENCIDA">
      <formula>NOT(ISERROR(SEARCH("VENCIDA",CG4)))</formula>
    </cfRule>
    <cfRule type="containsText" dxfId="606" priority="898" operator="containsText" text="VIGENTE">
      <formula>NOT(ISERROR(SEARCH("VIGENTE",CG4)))</formula>
    </cfRule>
  </conditionalFormatting>
  <conditionalFormatting sqref="CH180">
    <cfRule type="expression" dxfId="605" priority="896">
      <formula>"O7&gt;=91"</formula>
    </cfRule>
  </conditionalFormatting>
  <conditionalFormatting sqref="CK239:CK240 CP239:CP240 CU239:CU240 DJ239:DJ240 DO239:DO240 DT239:DT240 EX239:EX240 FC239:FC240 FH239:FH240 FM239:FM240 FR239:FR240 GB239:GB240 GQ239:GQ240 IO239:IO240 IT239:IT240 IX239:IX240 JB239:JB240 KF239:KF240 KK239:KK240 LB239:LB240 LG239:LG240 LL239:LL240 NO239:NO240 NT239:NT240 CF240 OW239:OW240 P239:P240 HU239:HU240 Z183:AD187 CB185:CF185 MX239:MX240">
    <cfRule type="containsText" dxfId="604" priority="80" operator="containsText" text="NO APLICA">
      <formula>NOT(ISERROR(SEARCH("NO APLICA",P183)))</formula>
    </cfRule>
  </conditionalFormatting>
  <conditionalFormatting sqref="CM8 BS8:BS19 CM10:CM19 IU4:IU42 AT36:AT37">
    <cfRule type="containsText" dxfId="603" priority="887" operator="containsText" text="NO APLICA">
      <formula>NOT(ISERROR(SEARCH("NO APLICA",AT4)))</formula>
    </cfRule>
  </conditionalFormatting>
  <conditionalFormatting sqref="CR47">
    <cfRule type="containsText" dxfId="602" priority="340" operator="containsText" text="POR VENCER">
      <formula>NOT(ISERROR(SEARCH("POR VENCER",CR47)))</formula>
    </cfRule>
    <cfRule type="containsText" dxfId="601" priority="339" operator="containsText" text="NO APLICA">
      <formula>NOT(ISERROR(SEARCH("NO APLICA",CR47)))</formula>
    </cfRule>
    <cfRule type="containsText" dxfId="600" priority="341" operator="containsText" text="VENCIDA">
      <formula>NOT(ISERROR(SEARCH("VENCIDA",CR47)))</formula>
    </cfRule>
  </conditionalFormatting>
  <conditionalFormatting sqref="CR164">
    <cfRule type="containsText" dxfId="599" priority="338" operator="containsText" text="VENCIDA">
      <formula>NOT(ISERROR(SEARCH("VENCIDA",CR164)))</formula>
    </cfRule>
    <cfRule type="containsText" dxfId="598" priority="337" operator="containsText" text="VIGENTE">
      <formula>NOT(ISERROR(SEARCH("VIGENTE",CR164)))</formula>
    </cfRule>
    <cfRule type="containsText" dxfId="597" priority="336" operator="containsText" text="POR VENCER">
      <formula>NOT(ISERROR(SEARCH("POR VENCER",CR164)))</formula>
    </cfRule>
    <cfRule type="containsText" dxfId="596" priority="335" operator="containsText" text="NO APLICA">
      <formula>NOT(ISERROR(SEARCH("NO APLICA",CR164)))</formula>
    </cfRule>
  </conditionalFormatting>
  <conditionalFormatting sqref="CR172">
    <cfRule type="containsText" dxfId="595" priority="334" operator="containsText" text="VENCIDA">
      <formula>NOT(ISERROR(SEARCH("VENCIDA",CR172)))</formula>
    </cfRule>
    <cfRule type="containsText" dxfId="594" priority="331" operator="containsText" text="NO APLICA">
      <formula>NOT(ISERROR(SEARCH("NO APLICA",CR172)))</formula>
    </cfRule>
    <cfRule type="containsText" dxfId="593" priority="332" operator="containsText" text="POR VENCER">
      <formula>NOT(ISERROR(SEARCH("POR VENCER",CR172)))</formula>
    </cfRule>
    <cfRule type="containsText" dxfId="592" priority="333" operator="containsText" text="VIGENTE">
      <formula>NOT(ISERROR(SEARCH("VIGENTE",CR172)))</formula>
    </cfRule>
  </conditionalFormatting>
  <conditionalFormatting sqref="DB4:DB10 DL4:DL17 BX4:BX27 EU4:EU27 EZ4:EZ27 FE4:FE27 BD4:BD28 AJ4:AJ31 DG4:DG34 BI4:BI37 CR4:CR37 CW4:CW37 GS4:GS37 GX4:GX37 HV38:HV42 IA4:IA42 Z8:Z37 MW4:MW37 AE180 AY65:AY129 IK4:IL35 AE4:AE37 HV4:HW37 IQ4:IQ37 IV4:IV37 LN4:LN37 NA4:NB37 DV8 EA8 FJ8 EK8:EK27 FO8:FO27 AY8:AY28 DQ8:DQ28 EP8:EP28 FY8:FY28 GD8:GD28 AT8:AT34 AO8:AO37 BN8:BN37 DV10 FJ10 EA10:EA27 DV12:DV28 FJ12:FJ34 DB12:DB37 HH15:HH37 DL19:DL20 HP20:HP27 CM21:CM26 BS21:BS28 DL22:DL36 GI24:GI28 IB24:IB37 FT28:FT33 NP28:NT34 NK28:NM37 NO28:NO37 EZ29:EZ34 BX29:BX37 EU29:EU37 FE29:FE37 MU29:MU77 HP30:HP33 CM30:CM34 DV30:DV34 EA30:EA34 EP30:EP34 FY30:FY34 AY30:AY37 BD30:BD37 DQ30:DQ37 EK30:EK37 FO30:FO37 GD30:GD37 DV36:DV37 EA36:EA37 EZ36:EZ37 FJ36:FJ37 HW39:HW42 IB39:IB42 IV39:IV42 AE39:AE78 CW39:CW78 MC46:MD89 DB46:DB90 CR50:CR93 EA52:EA82 FJ52:FJ82 FO52:FO82 FY52:FY129 OF55:OG129 CM61:CM81 BN65:BN90 DG65:DG129 EP65:EP129 NK68:NM76 NP68:NR158 NT68:NT158 KT73:KT127 HP74:HP76 FT74:FT82 EK75:EK129 GD75:GD129 DV77:DV81 MU79:MU95 DL80:DL81 Z80:Z127 AE80:AE129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">
    <cfRule type="containsText" dxfId="591" priority="899" operator="containsText" text="NO APLICA">
      <formula>NOT(ISERROR(SEARCH("NO APLICA",Z4)))</formula>
    </cfRule>
  </conditionalFormatting>
  <conditionalFormatting sqref="DB4:DB10 DL4:DL17 IA4:IA26 BX4:BX27 EU4:EU27 EZ4:EZ27 FE4:FE27 IP4:IQ27 BD4:BD28 AJ4:AJ31 DG4:DG34 IK4:IL35 BI4:BI37 CR4:CR37 CW4:CW37 GS4:GS37 GX4:GX37 HV4:HW37 IV4:IV37 LN4:LN37 MW4:MW37 NA4:NB37 DV8 EA8 FJ8 EK8:EK27 FO8:FO27 AY8:AY28 DQ8:DQ28 EP8:EP28 FY8:FY28 GD8:GD28 AT8:AT34 AO8:AO37 BN8:BN37 DV10 FJ10 EA10:EA27 DV12:DV28 FJ12:FJ34 DB12:DB37 HH15:HH37 DL19:DL20 HP20:HP27 CM21:CM26 BS21:BS28 DL22:DL36 Z22:Z37 IB24:IB26 GI24:GI28 IA27:IB37 FT28:FT33 NP28:NT34 IQ28:IQ37 NK28:NM37 NO28:NO37 EZ29:EZ34 BX29:BX37 EU29:EU37 FE29:FE37 HP30:HP33 CM30:CM34 DV30:DV34 EA30:EA34 EP30:EP34 FY30:FY34 AY30:AY37 BD30:BD37 DQ30:DQ37 EK30:EK37 FO30:FO37 GD30:GD37 DV36:DV37 EA36:EA37 EZ36:EZ37 FJ36:FJ37 MC46:MD89 CW52:CW78 EA52:EA82 FJ52:FJ82 FO52:FO82 DB52:DB90 CR52:CR93 FY52:FY129 OF55:OG129 CM61:CM81 MU65:MU77 BN65:BN90 AY65:AY129 DG65:DG129 EP65:EP129 NK68:NM76 NP68:NR158 NT68:NT158 KT73:KT127 HP74:HP76 FT74:FT82 EK75:EK129 GD75:GD129 DV77:DV81 MU79:MU95 DL80:DL81 Z80:Z127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 AE180 FT90:FT93 BS180 KP165:KP172 MC4:MF7 MC9:MD37 MC39:MD44 MC91:MD117 MC119:MD124 MC125 MC126:MD158 AI180:AJ180 AO180 AT180 DB180 EU180 FJ180 FO180 GD180 CE184:CF184 CB186:CC187 CE186:CF187 LD187 NF4:NG37 NK91:NM158 IP28:IP38 IQ81:IQ129 MN153:MN158">
    <cfRule type="containsText" dxfId="590" priority="905" operator="containsText" text="POR VENCER">
      <formula>NOT(ISERROR(SEARCH("POR VENCER",Z4)))</formula>
    </cfRule>
  </conditionalFormatting>
  <conditionalFormatting sqref="DB131 DB133 DB135 DB150 DB155 DB172 DB191">
    <cfRule type="containsText" dxfId="589" priority="279" operator="containsText" text="VENCIDA">
      <formula>NOT(ISERROR(SEARCH("VENCIDA",DB131)))</formula>
    </cfRule>
    <cfRule type="containsText" dxfId="588" priority="276" operator="containsText" text="NO APLICA">
      <formula>NOT(ISERROR(SEARCH("NO APLICA",DB131)))</formula>
    </cfRule>
    <cfRule type="containsText" dxfId="587" priority="277" operator="containsText" text="POR VENCER">
      <formula>NOT(ISERROR(SEARCH("POR VENCER",DB131)))</formula>
    </cfRule>
    <cfRule type="containsText" dxfId="586" priority="278" operator="containsText" text="VIGENTE">
      <formula>NOT(ISERROR(SEARCH("VIGENTE",DB131)))</formula>
    </cfRule>
  </conditionalFormatting>
  <conditionalFormatting sqref="DG133 DG150 DG155">
    <cfRule type="containsText" dxfId="585" priority="319" operator="containsText" text="NO APLICA">
      <formula>NOT(ISERROR(SEARCH("NO APLICA",DG133)))</formula>
    </cfRule>
    <cfRule type="containsText" dxfId="584" priority="320" operator="containsText" text="POR VENCER">
      <formula>NOT(ISERROR(SEARCH("POR VENCER",DG133)))</formula>
    </cfRule>
    <cfRule type="containsText" dxfId="583" priority="321" operator="containsText" text="VIGENTE">
      <formula>NOT(ISERROR(SEARCH("VIGENTE",DG133)))</formula>
    </cfRule>
    <cfRule type="containsText" dxfId="582" priority="322" operator="containsText" text="VENCIDA">
      <formula>NOT(ISERROR(SEARCH("VENCIDA",DG133)))</formula>
    </cfRule>
  </conditionalFormatting>
  <conditionalFormatting sqref="DL38">
    <cfRule type="containsText" dxfId="581" priority="317" operator="containsText" text="POR VENCER">
      <formula>NOT(ISERROR(SEARCH("POR VENCER",DL38)))</formula>
    </cfRule>
    <cfRule type="containsText" dxfId="580" priority="318" operator="containsText" text="VENCIDA">
      <formula>NOT(ISERROR(SEARCH("VENCIDA",DL38)))</formula>
    </cfRule>
  </conditionalFormatting>
  <conditionalFormatting sqref="DL38:DL46">
    <cfRule type="containsText" dxfId="579" priority="316" operator="containsText" text="NO APLICA">
      <formula>NOT(ISERROR(SEARCH("NO APLICA",DL38)))</formula>
    </cfRule>
  </conditionalFormatting>
  <conditionalFormatting sqref="DL42">
    <cfRule type="containsText" dxfId="578" priority="301" operator="containsText" text="VENCIDA">
      <formula>NOT(ISERROR(SEARCH("VENCIDA",DL42)))</formula>
    </cfRule>
    <cfRule type="containsText" dxfId="577" priority="296" operator="containsText" text="NO APLICA">
      <formula>NOT(ISERROR(SEARCH("NO APLICA",DL42)))</formula>
    </cfRule>
    <cfRule type="containsText" dxfId="576" priority="299" operator="containsText" text="NO APLICA">
      <formula>NOT(ISERROR(SEARCH("NO APLICA",DL42)))</formula>
    </cfRule>
    <cfRule type="containsText" dxfId="575" priority="298" operator="containsText" text="VENCIDA">
      <formula>NOT(ISERROR(SEARCH("VENCIDA",DL42)))</formula>
    </cfRule>
    <cfRule type="containsText" dxfId="574" priority="297" operator="containsText" text="POR VENCER">
      <formula>NOT(ISERROR(SEARCH("POR VENCER",DL42)))</formula>
    </cfRule>
    <cfRule type="containsText" dxfId="573" priority="300" operator="containsText" text="POR VENCER">
      <formula>NOT(ISERROR(SEARCH("POR VENCER",DL42)))</formula>
    </cfRule>
  </conditionalFormatting>
  <conditionalFormatting sqref="DL64">
    <cfRule type="containsText" dxfId="572" priority="313" operator="containsText" text="NO APLICA">
      <formula>NOT(ISERROR(SEARCH("NO APLICA",DL64)))</formula>
    </cfRule>
    <cfRule type="containsText" dxfId="571" priority="314" operator="containsText" text="POR VENCER">
      <formula>NOT(ISERROR(SEARCH("POR VENCER",DL64)))</formula>
    </cfRule>
    <cfRule type="containsText" dxfId="570" priority="315" operator="containsText" text="VENCIDA">
      <formula>NOT(ISERROR(SEARCH("VENCIDA",DL64)))</formula>
    </cfRule>
  </conditionalFormatting>
  <conditionalFormatting sqref="DL72">
    <cfRule type="containsText" dxfId="569" priority="312" operator="containsText" text="VENCIDA">
      <formula>NOT(ISERROR(SEARCH("VENCIDA",DL72)))</formula>
    </cfRule>
    <cfRule type="containsText" dxfId="568" priority="311" operator="containsText" text="POR VENCER">
      <formula>NOT(ISERROR(SEARCH("POR VENCER",DL72)))</formula>
    </cfRule>
    <cfRule type="containsText" dxfId="567" priority="310" operator="containsText" text="NO APLICA">
      <formula>NOT(ISERROR(SEARCH("NO APLICA",DL72)))</formula>
    </cfRule>
  </conditionalFormatting>
  <conditionalFormatting sqref="DL152">
    <cfRule type="containsText" dxfId="566" priority="306" operator="containsText" text="NO APLICA">
      <formula>NOT(ISERROR(SEARCH("NO APLICA",DL152)))</formula>
    </cfRule>
    <cfRule type="containsText" dxfId="565" priority="307" operator="containsText" text="POR VENCER">
      <formula>NOT(ISERROR(SEARCH("POR VENCER",DL152)))</formula>
    </cfRule>
    <cfRule type="containsText" dxfId="564" priority="308" operator="containsText" text="VIGENTE">
      <formula>NOT(ISERROR(SEARCH("VIGENTE",DL152)))</formula>
    </cfRule>
    <cfRule type="containsText" dxfId="563" priority="309" operator="containsText" text="VENCIDA">
      <formula>NOT(ISERROR(SEARCH("VENCIDA",DL152)))</formula>
    </cfRule>
  </conditionalFormatting>
  <conditionalFormatting sqref="DL173">
    <cfRule type="containsText" dxfId="562" priority="305" operator="containsText" text="VENCIDA">
      <formula>NOT(ISERROR(SEARCH("VENCIDA",DL173)))</formula>
    </cfRule>
    <cfRule type="containsText" dxfId="561" priority="304" operator="containsText" text="VIGENTE">
      <formula>NOT(ISERROR(SEARCH("VIGENTE",DL173)))</formula>
    </cfRule>
    <cfRule type="containsText" dxfId="560" priority="303" operator="containsText" text="POR VENCER">
      <formula>NOT(ISERROR(SEARCH("POR VENCER",DL173)))</formula>
    </cfRule>
    <cfRule type="containsText" dxfId="559" priority="302" operator="containsText" text="NO APLICA">
      <formula>NOT(ISERROR(SEARCH("NO APLICA",DL173)))</formula>
    </cfRule>
  </conditionalFormatting>
  <conditionalFormatting sqref="DR9">
    <cfRule type="containsText" dxfId="558" priority="274" operator="containsText" text="VIGENTE">
      <formula>NOT(ISERROR(SEARCH("VIGENTE",DR9)))</formula>
    </cfRule>
    <cfRule type="containsText" dxfId="557" priority="275" operator="containsText" text="VENCIDA">
      <formula>NOT(ISERROR(SEARCH("VENCIDA",DR9)))</formula>
    </cfRule>
    <cfRule type="containsText" dxfId="556" priority="273" operator="containsText" text="POR VENCER">
      <formula>NOT(ISERROR(SEARCH("POR VENCER",DR9)))</formula>
    </cfRule>
    <cfRule type="containsText" dxfId="555" priority="272" operator="containsText" text="NO APLICA">
      <formula>NOT(ISERROR(SEARCH("NO APLICA",DR9)))</formula>
    </cfRule>
  </conditionalFormatting>
  <conditionalFormatting sqref="DR35 DR83 DR94 DR104 DR112 DR120 DR133 DR150 DR155 DR191 DR221">
    <cfRule type="containsText" dxfId="554" priority="271" operator="containsText" text="VENCIDA">
      <formula>NOT(ISERROR(SEARCH("VENCIDA",DR35)))</formula>
    </cfRule>
    <cfRule type="containsText" dxfId="553" priority="269" operator="containsText" text="POR VENCER">
      <formula>NOT(ISERROR(SEARCH("POR VENCER",DR35)))</formula>
    </cfRule>
    <cfRule type="containsText" dxfId="552" priority="270" operator="containsText" text="VIGENTE">
      <formula>NOT(ISERROR(SEARCH("VIGENTE",DR35)))</formula>
    </cfRule>
    <cfRule type="containsText" dxfId="551" priority="268" operator="containsText" text="NO APLICA">
      <formula>NOT(ISERROR(SEARCH("NO APLICA",DR35)))</formula>
    </cfRule>
  </conditionalFormatting>
  <conditionalFormatting sqref="DV9 DV11 DV35">
    <cfRule type="expression" dxfId="550" priority="232">
      <formula>"O7&gt;=91"</formula>
    </cfRule>
  </conditionalFormatting>
  <conditionalFormatting sqref="DV82:DV83 DV94 DV99 DV104 DV107 DV112 DV115 DV120">
    <cfRule type="expression" dxfId="549" priority="231">
      <formula>"O7&gt;=91"</formula>
    </cfRule>
  </conditionalFormatting>
  <conditionalFormatting sqref="DV189 DV191">
    <cfRule type="expression" dxfId="548" priority="233">
      <formula>"O7&gt;=91"</formula>
    </cfRule>
  </conditionalFormatting>
  <conditionalFormatting sqref="DW53">
    <cfRule type="containsText" dxfId="547" priority="892" operator="containsText" text="NO APLICA">
      <formula>NOT(ISERROR(SEARCH("NO APLICA",DW53)))</formula>
    </cfRule>
    <cfRule type="containsText" dxfId="546" priority="893" operator="containsText" text="POR VENCER">
      <formula>NOT(ISERROR(SEARCH("POR VENCER",DW53)))</formula>
    </cfRule>
    <cfRule type="containsText" dxfId="545" priority="894" operator="containsText" text="VIGENTE">
      <formula>NOT(ISERROR(SEARCH("VIGENTE",DW53)))</formula>
    </cfRule>
    <cfRule type="containsText" dxfId="544" priority="891" operator="containsText" text="VENCIDA">
      <formula>NOT(ISERROR(SEARCH("VENCIDA",DW53)))</formula>
    </cfRule>
  </conditionalFormatting>
  <conditionalFormatting sqref="EF89 EF114 EF116 EF126">
    <cfRule type="containsText" dxfId="543" priority="62" operator="containsText" text="NO APLICA">
      <formula>NOT(ISERROR(SEARCH("NO APLICA",EF89)))</formula>
    </cfRule>
    <cfRule type="containsText" dxfId="542" priority="63" operator="containsText" text="POR VENCER">
      <formula>NOT(ISERROR(SEARCH("POR VENCER",EF89)))</formula>
    </cfRule>
  </conditionalFormatting>
  <conditionalFormatting sqref="EF89:EF91 EF113:EF114 EF116:EF118 EF125:EF126 KQ238:KR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T239:KU240 KW239:KW240 LQ239:LQ240 LS239:LS240 LV239:LV240 LZ239:MA240 MC239:ME240 MI239:MJ240 MO239:MP240 P239:R240 JT4:KA4 EF4:EG5 JT5:JV5 EF6 JT6:JZ6 JT7:JV7 EF8:EG9 JT8:JZ18 EF10:EF11 EF12:EG12 EF13 EF14:EG14 EF15 EF16:EG18 JT19:JV19 EF19:EF20 JT20:JZ21 EF21:EG21 EF22 JT22:JV22 EF23:EG24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6:EG68 JT68:JV68 EF69 JT69:JZ69 JT70:JV70 EF70:EG71 JT71:JZ83 EF72:EF73 EF74:EG76 EF77 EF78:EG78 EF79:EF80 EF81:EG84 JT84:JV84 EF85 JT85:JZ85 EF86:EG86 JT86:JV86 EF87 JT87:JZ101 EF88:EG88 EF92:EG94 EF95:EF97 EF98:EG98 EF99 EF100:EG100 EF102:EG102 JT102:JV102 EF103 JT103:JZ110 EF104:EG106 EF107 EF108:EG109 EF110 JT111:JV111 EF111:EG112 JT112:JZ140 EF115:EG115 EF119:EG122 EF123 EF124:EG124 EF127:EG127 EF128 EF129:EG129 EF131:EG131 EF132 EF133:EG139 JT141:JV141 JT142:JZ143 EF144:EG144 JT144:JV144 JT145:JZ148 EF146:EG146 EF148:EG151 JT149:JV149 JT150:JZ160 EF153:EG153 EF154 EF155:EG155 EF158:EG158 EF159 JT161:JV161 EF162:EG163 JT162:JZ171 EF165:EG165 EF167:EG173 JT172:JV172 JT173:JZ177 EF175:EG175 EF178:EG179 JT178:JV179 EF180 JT180:JZ180 JT181:JV181 JT182:JZ200 EF184:EF185 EF186:EG187 EF188 EF190:EG191 JT201:JV201 JT202:JZ204 JT205:JV206 JT207:JZ207 JT208:JV209 JT210:JZ216 JT217:JV217 JT218:JZ218 JT219:JV219 JT220:JZ220 EF221:EG221 JT221:JV222 JT223:JZ223 JT224:JV224 JT225:JZ226 JT227:JV228 JT229:JZ233 EF231:EG231 EF233:EG233 JT234:JV235 JT236:JZ236 JT237:JV237 EF238:EG238 JU238:JV240 HU239:HU240">
    <cfRule type="containsText" dxfId="541" priority="64" operator="containsText" text="VIGENTE">
      <formula>NOT(ISERROR(SEARCH("VIGENTE",P4)))</formula>
    </cfRule>
  </conditionalFormatting>
  <conditionalFormatting sqref="EF95">
    <cfRule type="containsText" dxfId="540" priority="827" operator="containsText" text="POR VENCER">
      <formula>NOT(ISERROR(SEARCH("POR VENCER",EF95)))</formula>
    </cfRule>
    <cfRule type="containsText" dxfId="539" priority="825" operator="containsText" text="POR VENCER">
      <formula>NOT(ISERROR(SEARCH("POR VENCER",EF95)))</formula>
    </cfRule>
    <cfRule type="containsText" dxfId="538" priority="826" operator="containsText" text="NO APLICA">
      <formula>NOT(ISERROR(SEARCH("NO APLICA",EF95)))</formula>
    </cfRule>
  </conditionalFormatting>
  <conditionalFormatting sqref="EF101">
    <cfRule type="containsText" dxfId="537" priority="798" operator="containsText" text="VIGENTE">
      <formula>NOT(ISERROR(SEARCH("VIGENTE",EF101)))</formula>
    </cfRule>
    <cfRule type="containsText" dxfId="536" priority="797" operator="containsText" text="VENCIDA">
      <formula>NOT(ISERROR(SEARCH("VENCIDA",EF101)))</formula>
    </cfRule>
  </conditionalFormatting>
  <conditionalFormatting sqref="EF107 EF118">
    <cfRule type="containsText" dxfId="535" priority="796" operator="containsText" text="POR VENCER">
      <formula>NOT(ISERROR(SEARCH("POR VENCER",EF107)))</formula>
    </cfRule>
  </conditionalFormatting>
  <conditionalFormatting sqref="EF130 EF140 EF142:EF143 EF145 EF147 EF156:EF157">
    <cfRule type="expression" dxfId="534" priority="900">
      <formula>"O7&gt;=91"</formula>
    </cfRule>
  </conditionalFormatting>
  <conditionalFormatting sqref="EF152">
    <cfRule type="containsText" dxfId="533" priority="794" operator="containsText" text="VIGENTE">
      <formula>NOT(ISERROR(SEARCH("VIGENTE",EF152)))</formula>
    </cfRule>
    <cfRule type="containsText" dxfId="532" priority="793" operator="containsText" text="POR VENCER">
      <formula>NOT(ISERROR(SEARCH("POR VENCER",EF152)))</formula>
    </cfRule>
    <cfRule type="containsText" dxfId="531" priority="792" operator="containsText" text="NO APLICA">
      <formula>NOT(ISERROR(SEARCH("NO APLICA",EF152)))</formula>
    </cfRule>
  </conditionalFormatting>
  <conditionalFormatting sqref="EF174">
    <cfRule type="containsText" dxfId="530" priority="791" operator="containsText" text="VIGENTE">
      <formula>NOT(ISERROR(SEARCH("VIGENTE",EF174)))</formula>
    </cfRule>
    <cfRule type="containsText" dxfId="529" priority="790" operator="containsText" text="POR VENCER">
      <formula>NOT(ISERROR(SEARCH("POR VENCER",EF174)))</formula>
    </cfRule>
    <cfRule type="containsText" dxfId="528" priority="789" operator="containsText" text="NO APLICA">
      <formula>NOT(ISERROR(SEARCH("NO APLICA",EF174)))</formula>
    </cfRule>
  </conditionalFormatting>
  <conditionalFormatting sqref="EF180:EF181">
    <cfRule type="containsText" dxfId="527" priority="788" operator="containsText" text="POR VENCER">
      <formula>NOT(ISERROR(SEARCH("POR VENCER",EF180)))</formula>
    </cfRule>
    <cfRule type="containsText" dxfId="526" priority="786" operator="containsText" text="NO APLICA">
      <formula>NOT(ISERROR(SEARCH("NO APLICA",EF180)))</formula>
    </cfRule>
  </conditionalFormatting>
  <conditionalFormatting sqref="EF181">
    <cfRule type="containsText" dxfId="525" priority="787" operator="containsText" text="VIGENTE">
      <formula>NOT(ISERROR(SEARCH("VIGENTE",EF181)))</formula>
    </cfRule>
  </conditionalFormatting>
  <conditionalFormatting sqref="EF188:EF189">
    <cfRule type="containsText" dxfId="524" priority="346" operator="containsText" text="POR VENCER">
      <formula>NOT(ISERROR(SEARCH("POR VENCER",EF188)))</formula>
    </cfRule>
    <cfRule type="containsText" dxfId="523" priority="345" operator="containsText" text="NO APLICA">
      <formula>NOT(ISERROR(SEARCH("NO APLICA",EF188)))</formula>
    </cfRule>
  </conditionalFormatting>
  <conditionalFormatting sqref="EF189">
    <cfRule type="containsText" dxfId="522" priority="785" operator="containsText" text="VIGENTE">
      <formula>NOT(ISERROR(SEARCH("VIGENTE",EF189)))</formula>
    </cfRule>
  </conditionalFormatting>
  <conditionalFormatting sqref="EF193">
    <cfRule type="containsText" dxfId="521" priority="782" operator="containsText" text="VIGENTE">
      <formula>NOT(ISERROR(SEARCH("VIGENTE",EF193)))</formula>
    </cfRule>
    <cfRule type="containsText" dxfId="520" priority="781" operator="containsText" text="POR VENCER">
      <formula>NOT(ISERROR(SEARCH("POR VENCER",EF193)))</formula>
    </cfRule>
    <cfRule type="containsText" dxfId="519" priority="780" operator="containsText" text="NO APLICA">
      <formula>NOT(ISERROR(SEARCH("NO APLICA",EF193)))</formula>
    </cfRule>
  </conditionalFormatting>
  <conditionalFormatting sqref="EF202">
    <cfRule type="containsText" dxfId="518" priority="777" operator="containsText" text="NO APLICA">
      <formula>NOT(ISERROR(SEARCH("NO APLICA",EF202)))</formula>
    </cfRule>
    <cfRule type="containsText" dxfId="517" priority="778" operator="containsText" text="POR VENCER">
      <formula>NOT(ISERROR(SEARCH("POR VENCER",EF202)))</formula>
    </cfRule>
    <cfRule type="containsText" dxfId="516" priority="779" operator="containsText" text="VIGENTE">
      <formula>NOT(ISERROR(SEARCH("VIGENTE",EF202)))</formula>
    </cfRule>
  </conditionalFormatting>
  <conditionalFormatting sqref="EF208">
    <cfRule type="containsText" dxfId="515" priority="776" operator="containsText" text="VIGENTE">
      <formula>NOT(ISERROR(SEARCH("VIGENTE",EF208)))</formula>
    </cfRule>
    <cfRule type="containsText" dxfId="514" priority="774" operator="containsText" text="NO APLICA">
      <formula>NOT(ISERROR(SEARCH("NO APLICA",EF208)))</formula>
    </cfRule>
    <cfRule type="containsText" dxfId="513" priority="775" operator="containsText" text="POR VENCER">
      <formula>NOT(ISERROR(SEARCH("POR VENCER",EF208)))</formula>
    </cfRule>
  </conditionalFormatting>
  <conditionalFormatting sqref="EF219">
    <cfRule type="containsText" dxfId="512" priority="773" operator="containsText" text="VIGENTE">
      <formula>NOT(ISERROR(SEARCH("VIGENTE",EF219)))</formula>
    </cfRule>
    <cfRule type="containsText" dxfId="511" priority="772" operator="containsText" text="POR VENCER">
      <formula>NOT(ISERROR(SEARCH("POR VENCER",EF219)))</formula>
    </cfRule>
    <cfRule type="containsText" dxfId="510" priority="771" operator="containsText" text="NO APLICA">
      <formula>NOT(ISERROR(SEARCH("NO APLICA",EF219)))</formula>
    </cfRule>
  </conditionalFormatting>
  <conditionalFormatting sqref="EF223">
    <cfRule type="containsText" dxfId="509" priority="770" operator="containsText" text="VIGENTE">
      <formula>NOT(ISERROR(SEARCH("VIGENTE",EF223)))</formula>
    </cfRule>
    <cfRule type="containsText" dxfId="508" priority="768" operator="containsText" text="NO APLICA">
      <formula>NOT(ISERROR(SEARCH("NO APLICA",EF223)))</formula>
    </cfRule>
    <cfRule type="containsText" dxfId="507" priority="769" operator="containsText" text="POR VENCER">
      <formula>NOT(ISERROR(SEARCH("POR VENCER",EF223)))</formula>
    </cfRule>
  </conditionalFormatting>
  <conditionalFormatting sqref="EF227">
    <cfRule type="containsText" dxfId="506" priority="767" operator="containsText" text="VIGENTE">
      <formula>NOT(ISERROR(SEARCH("VIGENTE",EF227)))</formula>
    </cfRule>
    <cfRule type="containsText" dxfId="505" priority="766" operator="containsText" text="POR VENCER">
      <formula>NOT(ISERROR(SEARCH("POR VENCER",EF227)))</formula>
    </cfRule>
    <cfRule type="containsText" dxfId="504" priority="765" operator="containsText" text="NO APLICA">
      <formula>NOT(ISERROR(SEARCH("NO APLICA",EF227)))</formula>
    </cfRule>
  </conditionalFormatting>
  <conditionalFormatting sqref="EF232">
    <cfRule type="containsText" dxfId="503" priority="763" operator="containsText" text="POR VENCER">
      <formula>NOT(ISERROR(SEARCH("POR VENCER",EF232)))</formula>
    </cfRule>
    <cfRule type="containsText" dxfId="502" priority="764" operator="containsText" text="VIGENTE">
      <formula>NOT(ISERROR(SEARCH("VIGENTE",EF232)))</formula>
    </cfRule>
    <cfRule type="containsText" dxfId="501" priority="762" operator="containsText" text="NO APLICA">
      <formula>NOT(ISERROR(SEARCH("NO APLICA",EF232)))</formula>
    </cfRule>
  </conditionalFormatting>
  <conditionalFormatting sqref="EF237">
    <cfRule type="containsText" dxfId="500" priority="759" operator="containsText" text="NO APLICA">
      <formula>NOT(ISERROR(SEARCH("NO APLICA",EF237)))</formula>
    </cfRule>
    <cfRule type="containsText" dxfId="499" priority="760" operator="containsText" text="POR VENCER">
      <formula>NOT(ISERROR(SEARCH("POR VENCER",EF237)))</formula>
    </cfRule>
    <cfRule type="containsText" dxfId="498" priority="761" operator="containsText" text="VIGENTE">
      <formula>NOT(ISERROR(SEARCH("VIGENTE",EF237)))</formula>
    </cfRule>
  </conditionalFormatting>
  <conditionalFormatting sqref="EF16:EG18 EF23:EG24 EF141:EG141 EF160:EG160 EF167:EG173 EF182:EG182 EF186:EG187 EF66:EG66">
    <cfRule type="containsText" dxfId="497" priority="399" operator="containsText" text="POR VENCER">
      <formula>NOT(ISERROR(SEARCH("POR VENCER",EF16)))</formula>
    </cfRule>
  </conditionalFormatting>
  <conditionalFormatting sqref="EF131:EG131 EF133:EG139 EF178:EG179">
    <cfRule type="containsText" dxfId="496" priority="287" operator="containsText" text="POR VENCER">
      <formula>NOT(ISERROR(SEARCH("POR VENCER",EF131)))</formula>
    </cfRule>
    <cfRule type="containsText" dxfId="495" priority="285" operator="containsText" text="NO APLICA">
      <formula>NOT(ISERROR(SEARCH("NO APLICA",EF131)))</formula>
    </cfRule>
  </conditionalFormatting>
  <conditionalFormatting sqref="EF131:EG131 EF135:EG135 EF139:EG139 EF178:EG178">
    <cfRule type="containsText" dxfId="494" priority="286" operator="containsText" text="VENCIDA">
      <formula>NOT(ISERROR(SEARCH("VENCIDA",EF131)))</formula>
    </cfRule>
  </conditionalFormatting>
  <conditionalFormatting sqref="EF141:EG141 EF160:EG160 EF167:EG173 EF182:EG182 EF186:EG187 EF16:EG18 EF23:EG24">
    <cfRule type="containsText" dxfId="493" priority="398" operator="containsText" text="NO APLICA">
      <formula>NOT(ISERROR(SEARCH("NO APLICA",EF16)))</formula>
    </cfRule>
  </conditionalFormatting>
  <conditionalFormatting sqref="EF141:EG141 EF160:EG160 EF182:EG182 EF31:EG31 EF36:EG36 EF47:EG47 EF172:EG172 EF186:EG186">
    <cfRule type="containsText" dxfId="492" priority="397" operator="containsText" text="VENCIDA">
      <formula>NOT(ISERROR(SEARCH("VENCIDA",EF31)))</formula>
    </cfRule>
  </conditionalFormatting>
  <conditionalFormatting sqref="EF141:EG141 EF160:EG160 EF182:EG182">
    <cfRule type="containsText" dxfId="491" priority="396" operator="containsText" text="VIGENTE">
      <formula>NOT(ISERROR(SEARCH("VIGENTE",EF141)))</formula>
    </cfRule>
  </conditionalFormatting>
  <conditionalFormatting sqref="EK133 EK144 EK150 EK155">
    <cfRule type="containsText" dxfId="490" priority="293" operator="containsText" text="POR VENCER">
      <formula>NOT(ISERROR(SEARCH("POR VENCER",EK133)))</formula>
    </cfRule>
    <cfRule type="containsText" dxfId="489" priority="294" operator="containsText" text="VIGENTE">
      <formula>NOT(ISERROR(SEARCH("VIGENTE",EK133)))</formula>
    </cfRule>
    <cfRule type="containsText" dxfId="488" priority="295" operator="containsText" text="VENCIDA">
      <formula>NOT(ISERROR(SEARCH("VENCIDA",EK133)))</formula>
    </cfRule>
    <cfRule type="containsText" dxfId="487" priority="292" operator="containsText" text="NO APLICA">
      <formula>NOT(ISERROR(SEARCH("NO APLICA",EK133)))</formula>
    </cfRule>
  </conditionalFormatting>
  <conditionalFormatting sqref="EK191 EK221">
    <cfRule type="containsText" dxfId="486" priority="291" operator="containsText" text="VENCIDA">
      <formula>NOT(ISERROR(SEARCH("VENCIDA",EK191)))</formula>
    </cfRule>
    <cfRule type="containsText" dxfId="485" priority="290" operator="containsText" text="VIGENTE">
      <formula>NOT(ISERROR(SEARCH("VIGENTE",EK191)))</formula>
    </cfRule>
    <cfRule type="containsText" dxfId="484" priority="289" operator="containsText" text="POR VENCER">
      <formula>NOT(ISERROR(SEARCH("POR VENCER",EK191)))</formula>
    </cfRule>
    <cfRule type="containsText" dxfId="483" priority="288" operator="containsText" text="NO APLICA">
      <formula>NOT(ISERROR(SEARCH("NO APLICA",EK191)))</formula>
    </cfRule>
  </conditionalFormatting>
  <conditionalFormatting sqref="EL93">
    <cfRule type="containsText" dxfId="482" priority="758" operator="containsText" text="VIGENTE">
      <formula>NOT(ISERROR(SEARCH("VIGENTE",EL93)))</formula>
    </cfRule>
    <cfRule type="containsText" dxfId="481" priority="755" operator="containsText" text="VENCIDA">
      <formula>NOT(ISERROR(SEARCH("VENCIDA",EL93)))</formula>
    </cfRule>
    <cfRule type="containsText" dxfId="480" priority="756" operator="containsText" text="NO APLICA">
      <formula>NOT(ISERROR(SEARCH("NO APLICA",EL93)))</formula>
    </cfRule>
    <cfRule type="containsText" dxfId="479" priority="757" operator="containsText" text="POR VENCER">
      <formula>NOT(ISERROR(SEARCH("POR VENCER",EL93)))</formula>
    </cfRule>
  </conditionalFormatting>
  <conditionalFormatting sqref="EL109:EL110">
    <cfRule type="containsText" dxfId="478" priority="751" operator="containsText" text="VENCIDA">
      <formula>NOT(ISERROR(SEARCH("VENCIDA",EL109)))</formula>
    </cfRule>
    <cfRule type="containsText" dxfId="477" priority="754" operator="containsText" text="VIGENTE">
      <formula>NOT(ISERROR(SEARCH("VIGENTE",EL109)))</formula>
    </cfRule>
    <cfRule type="containsText" dxfId="476" priority="752" operator="containsText" text="NO APLICA">
      <formula>NOT(ISERROR(SEARCH("NO APLICA",EL109)))</formula>
    </cfRule>
    <cfRule type="containsText" dxfId="475" priority="753" operator="containsText" text="POR VENCER">
      <formula>NOT(ISERROR(SEARCH("POR VENCER",EL109)))</formula>
    </cfRule>
  </conditionalFormatting>
  <conditionalFormatting sqref="EL113">
    <cfRule type="containsText" dxfId="474" priority="747" operator="containsText" text="VENCIDA">
      <formula>NOT(ISERROR(SEARCH("VENCIDA",EL113)))</formula>
    </cfRule>
    <cfRule type="containsText" dxfId="473" priority="748" operator="containsText" text="NO APLICA">
      <formula>NOT(ISERROR(SEARCH("NO APLICA",EL113)))</formula>
    </cfRule>
    <cfRule type="containsText" dxfId="472" priority="749" operator="containsText" text="POR VENCER">
      <formula>NOT(ISERROR(SEARCH("POR VENCER",EL113)))</formula>
    </cfRule>
    <cfRule type="containsText" dxfId="471" priority="750" operator="containsText" text="VIGENTE">
      <formula>NOT(ISERROR(SEARCH("VIGENTE",EL113)))</formula>
    </cfRule>
  </conditionalFormatting>
  <conditionalFormatting sqref="EL141">
    <cfRule type="expression" dxfId="470" priority="746">
      <formula>"O7&gt;=91"</formula>
    </cfRule>
  </conditionalFormatting>
  <conditionalFormatting sqref="EP152 EP166 EP174 EP182:EP183">
    <cfRule type="containsText" dxfId="469" priority="172" operator="containsText" text="NO APLICA">
      <formula>NOT(ISERROR(SEARCH("NO APLICA",EP152)))</formula>
    </cfRule>
    <cfRule type="containsText" dxfId="468" priority="174" operator="containsText" text="VIGENTE">
      <formula>NOT(ISERROR(SEARCH("VIGENTE",EP152)))</formula>
    </cfRule>
    <cfRule type="containsText" dxfId="467" priority="175" operator="containsText" text="VENCIDA">
      <formula>NOT(ISERROR(SEARCH("VENCIDA",EP152)))</formula>
    </cfRule>
    <cfRule type="containsText" dxfId="466" priority="173" operator="containsText" text="POR VENCER">
      <formula>NOT(ISERROR(SEARCH("POR VENCER",EP152)))</formula>
    </cfRule>
  </conditionalFormatting>
  <conditionalFormatting sqref="EU16">
    <cfRule type="containsText" dxfId="465" priority="386" operator="containsText" text="VENCIDA">
      <formula>NOT(ISERROR(SEARCH("VENCIDA",EU16)))</formula>
    </cfRule>
    <cfRule type="containsText" dxfId="464" priority="385" operator="containsText" text="VIGENTE">
      <formula>NOT(ISERROR(SEARCH("VIGENTE",EU16)))</formula>
    </cfRule>
  </conditionalFormatting>
  <conditionalFormatting sqref="EU23">
    <cfRule type="containsText" dxfId="463" priority="384" operator="containsText" text="VENCIDA">
      <formula>NOT(ISERROR(SEARCH("VENCIDA",EU23)))</formula>
    </cfRule>
    <cfRule type="containsText" dxfId="462" priority="383" operator="containsText" text="VIGENTE">
      <formula>NOT(ISERROR(SEARCH("VIGENTE",EU23)))</formula>
    </cfRule>
  </conditionalFormatting>
  <conditionalFormatting sqref="EU39:EU53">
    <cfRule type="containsText" dxfId="461" priority="380" operator="containsText" text="NO APLICA">
      <formula>NOT(ISERROR(SEARCH("NO APLICA",EU39)))</formula>
    </cfRule>
  </conditionalFormatting>
  <conditionalFormatting sqref="EU43">
    <cfRule type="containsText" dxfId="460" priority="381" operator="containsText" text="POR VENCER">
      <formula>NOT(ISERROR(SEARCH("POR VENCER",EU43)))</formula>
    </cfRule>
    <cfRule type="containsText" dxfId="459" priority="379" operator="containsText" text="VIGENTE">
      <formula>NOT(ISERROR(SEARCH("VIGENTE",EU43)))</formula>
    </cfRule>
    <cfRule type="containsText" dxfId="458" priority="382" operator="containsText" text="VENCIDA">
      <formula>NOT(ISERROR(SEARCH("VENCIDA",EU43)))</formula>
    </cfRule>
  </conditionalFormatting>
  <conditionalFormatting sqref="EU45 EU83 EU91">
    <cfRule type="containsText" dxfId="457" priority="230" operator="containsText" text="VENCIDA">
      <formula>NOT(ISERROR(SEARCH("VENCIDA",EU45)))</formula>
    </cfRule>
    <cfRule type="containsText" dxfId="456" priority="229" operator="containsText" text="POR VENCER">
      <formula>NOT(ISERROR(SEARCH("POR VENCER",EU45)))</formula>
    </cfRule>
    <cfRule type="containsText" dxfId="455" priority="228" operator="containsText" text="NO APLICA">
      <formula>NOT(ISERROR(SEARCH("NO APLICA",EU45)))</formula>
    </cfRule>
  </conditionalFormatting>
  <conditionalFormatting sqref="EU54">
    <cfRule type="containsText" dxfId="454" priority="375" operator="containsText" text="VIGENTE">
      <formula>NOT(ISERROR(SEARCH("VIGENTE",EU54)))</formula>
    </cfRule>
    <cfRule type="containsText" dxfId="453" priority="377" operator="containsText" text="POR VENCER">
      <formula>NOT(ISERROR(SEARCH("POR VENCER",EU54)))</formula>
    </cfRule>
    <cfRule type="containsText" dxfId="452" priority="378" operator="containsText" text="VENCIDA">
      <formula>NOT(ISERROR(SEARCH("VENCIDA",EU54)))</formula>
    </cfRule>
  </conditionalFormatting>
  <conditionalFormatting sqref="EU54:EU64">
    <cfRule type="containsText" dxfId="451" priority="376" operator="containsText" text="NO APLICA">
      <formula>NOT(ISERROR(SEARCH("NO APLICA",EU54)))</formula>
    </cfRule>
  </conditionalFormatting>
  <conditionalFormatting sqref="EU65">
    <cfRule type="containsText" dxfId="450" priority="371" operator="containsText" text="VIGENTE">
      <formula>NOT(ISERROR(SEARCH("VIGENTE",EU65)))</formula>
    </cfRule>
    <cfRule type="containsText" dxfId="449" priority="373" operator="containsText" text="POR VENCER">
      <formula>NOT(ISERROR(SEARCH("POR VENCER",EU65)))</formula>
    </cfRule>
    <cfRule type="containsText" dxfId="448" priority="374" operator="containsText" text="VENCIDA">
      <formula>NOT(ISERROR(SEARCH("VENCIDA",EU65)))</formula>
    </cfRule>
  </conditionalFormatting>
  <conditionalFormatting sqref="EU65:EU112">
    <cfRule type="containsText" dxfId="447" priority="372" operator="containsText" text="NO APLICA">
      <formula>NOT(ISERROR(SEARCH("NO APLICA",EU65)))</formula>
    </cfRule>
  </conditionalFormatting>
  <conditionalFormatting sqref="EU99 EU112 EU115">
    <cfRule type="containsText" dxfId="446" priority="227" operator="containsText" text="VENCIDA">
      <formula>NOT(ISERROR(SEARCH("VENCIDA",EU99)))</formula>
    </cfRule>
    <cfRule type="containsText" dxfId="445" priority="226" operator="containsText" text="POR VENCER">
      <formula>NOT(ISERROR(SEARCH("POR VENCER",EU99)))</formula>
    </cfRule>
    <cfRule type="containsText" dxfId="444" priority="225" operator="containsText" text="NO APLICA">
      <formula>NOT(ISERROR(SEARCH("NO APLICA",EU99)))</formula>
    </cfRule>
  </conditionalFormatting>
  <conditionalFormatting sqref="EU113:EU114">
    <cfRule type="containsText" dxfId="443" priority="365" operator="containsText" text="POR VENCER">
      <formula>NOT(ISERROR(SEARCH("POR VENCER",EU113)))</formula>
    </cfRule>
    <cfRule type="containsText" dxfId="442" priority="363" operator="containsText" text="VIGENTE">
      <formula>NOT(ISERROR(SEARCH("VIGENTE",EU113)))</formula>
    </cfRule>
    <cfRule type="containsText" dxfId="441" priority="366" operator="containsText" text="VENCIDA">
      <formula>NOT(ISERROR(SEARCH("VENCIDA",EU113)))</formula>
    </cfRule>
  </conditionalFormatting>
  <conditionalFormatting sqref="EU113:EU129">
    <cfRule type="containsText" dxfId="440" priority="364" operator="containsText" text="NO APLICA">
      <formula>NOT(ISERROR(SEARCH("NO APLICA",EU113)))</formula>
    </cfRule>
  </conditionalFormatting>
  <conditionalFormatting sqref="EU152">
    <cfRule type="containsText" dxfId="439" priority="359" operator="containsText" text="VIGENTE">
      <formula>NOT(ISERROR(SEARCH("VIGENTE",EU152)))</formula>
    </cfRule>
    <cfRule type="containsText" dxfId="438" priority="360" operator="containsText" text="NO APLICA">
      <formula>NOT(ISERROR(SEARCH("NO APLICA",EU152)))</formula>
    </cfRule>
    <cfRule type="containsText" dxfId="437" priority="361" operator="containsText" text="POR VENCER">
      <formula>NOT(ISERROR(SEARCH("POR VENCER",EU152)))</formula>
    </cfRule>
    <cfRule type="containsText" dxfId="436" priority="362" operator="containsText" text="VENCIDA">
      <formula>NOT(ISERROR(SEARCH("VENCIDA",EU152)))</formula>
    </cfRule>
  </conditionalFormatting>
  <conditionalFormatting sqref="EU159">
    <cfRule type="containsText" dxfId="435" priority="356" operator="containsText" text="NO APLICA">
      <formula>NOT(ISERROR(SEARCH("NO APLICA",EU159)))</formula>
    </cfRule>
    <cfRule type="containsText" dxfId="434" priority="357" operator="containsText" text="POR VENCER">
      <formula>NOT(ISERROR(SEARCH("POR VENCER",EU159)))</formula>
    </cfRule>
    <cfRule type="containsText" dxfId="433" priority="358" operator="containsText" text="VENCIDA">
      <formula>NOT(ISERROR(SEARCH("VENCIDA",EU159)))</formula>
    </cfRule>
    <cfRule type="containsText" dxfId="432" priority="355" operator="containsText" text="VIGENTE">
      <formula>NOT(ISERROR(SEARCH("VIGENTE",EU159)))</formula>
    </cfRule>
  </conditionalFormatting>
  <conditionalFormatting sqref="EU173">
    <cfRule type="containsText" dxfId="431" priority="351" operator="containsText" text="VIGENTE">
      <formula>NOT(ISERROR(SEARCH("VIGENTE",EU173)))</formula>
    </cfRule>
    <cfRule type="containsText" dxfId="430" priority="352" operator="containsText" text="NO APLICA">
      <formula>NOT(ISERROR(SEARCH("NO APLICA",EU173)))</formula>
    </cfRule>
    <cfRule type="containsText" dxfId="429" priority="353" operator="containsText" text="POR VENCER">
      <formula>NOT(ISERROR(SEARCH("POR VENCER",EU173)))</formula>
    </cfRule>
    <cfRule type="containsText" dxfId="428" priority="354" operator="containsText" text="VENCIDA">
      <formula>NOT(ISERROR(SEARCH("VENCIDA",EU173)))</formula>
    </cfRule>
  </conditionalFormatting>
  <conditionalFormatting sqref="FE39:FE54">
    <cfRule type="containsText" dxfId="427" priority="328" operator="containsText" text="NO APLICA">
      <formula>NOT(ISERROR(SEARCH("NO APLICA",FE39)))</formula>
    </cfRule>
  </conditionalFormatting>
  <conditionalFormatting sqref="FE54">
    <cfRule type="containsText" dxfId="426" priority="327" operator="containsText" text="VIGENTE">
      <formula>NOT(ISERROR(SEARCH("VIGENTE",FE54)))</formula>
    </cfRule>
    <cfRule type="containsText" dxfId="425" priority="329" operator="containsText" text="POR VENCER">
      <formula>NOT(ISERROR(SEARCH("POR VENCER",FE54)))</formula>
    </cfRule>
    <cfRule type="containsText" dxfId="424" priority="330" operator="containsText" text="VENCIDA">
      <formula>NOT(ISERROR(SEARCH("VENCIDA",FE54)))</formula>
    </cfRule>
  </conditionalFormatting>
  <conditionalFormatting sqref="FO4 AO4:AO6 BN4:BN6 BS4:BS6 CM4:CM6 DQ4:DQ6 DV4:DV6 EA4:EA6 EK4:EK6 EP4:EP6 FJ4:FJ6 FY4:FY6 GD4:GD6 FS4:FT7 HG4:HH14 FO6 FT8 FT10 FT12:FT22 FT24:FT25 AJ33:AJ37 BS36:BS37 CM36:CM37 DG36:DG37 EP36:EP37 FT36:FT37 IL36:IL37 IK36:IK38 DG39:DG41 EK39:EK41 EP39:EP41 FJ39:FJ41 FT39:FT42 DV47:DV50 EA47:EA50 EP47:EP50 FO47:FO50 FY47:FY50 EK47:EK63 FT48:FT62 CM52:CM59 BS52:BS63 DG52:DG63 EP52:EP63 DV52:DV73 GD52:GD73 FE55:FE119 FT65:FT67 EK65:EK73 FT69:FT72 DV75 FT84:FT85 FT87:FT88 FT90:FT93 AJ98:AJ129 GX98:GX129 FT103 FT105:FT111 FT113:FT114 FT116:FT117 FT119 FT121:FT125 FE121:FE129 FT127:FT129 FY36 FY39 AT4:AT6 AY4:AY6">
    <cfRule type="containsText" dxfId="423" priority="745" operator="containsText" text="NO APLICA">
      <formula>NOT(ISERROR(SEARCH("NO APLICA",AJ4)))</formula>
    </cfRule>
  </conditionalFormatting>
  <conditionalFormatting sqref="FO4 AO4:AO6 BN4:BN6 BS4:BS6 CM4:CM6 DQ4:DQ6 DV4:DV6 EA4:EA6 EK4:EK6 EP4:EP6 FJ4:FJ6 FY4:FY6 GD4:GD6 FT4:FT8 HG4:HH14 FO6 FT10 FT24:FT25 AJ33:AJ37 FY36 BS36:BS37 CM36:CM37 DG36:DG37 EP36:EP37 FT36:FT37 IL36:IL37 IK36:IK38 FY39 DG39:DG41 EK39:EK41 EP39:EP41 FJ39:FJ41 FT39:FT42 DV47:DV50 EA47:EA50 EP47:EP50 FO47:FO50 FY47:FY50 EK47:EK63 FT48:FT62 CM52:CM59 BS52:BS63 DG52:DG63 EP52:EP63 FT65:FT67 DV75 FT84:FT85 FT87:FT88 FE94:FE119 AJ98:AJ129 GX98:GX129 FT103 FT105:FT111 FT113:FT114 FT116:FT117 FT119 FT121:FT125 FE121:FE129 FT127:FT129">
    <cfRule type="containsText" dxfId="422" priority="906" operator="containsText" text="POR VENCER">
      <formula>NOT(ISERROR(SEARCH("POR VENCER",AJ4)))</formula>
    </cfRule>
  </conditionalFormatting>
  <conditionalFormatting sqref="FT48:FT62 KT4:KT34 KT36:KT37 KT39:KT41 KT61:KT71 KT129 LR4:LR240 HG4:HH14 FY43:FY50 BS30:BS37 FO4 AO4:AO6 BN4:BN6 BS4:BS6 CM4:CM6 DQ4:DQ6 DV4:DV6 EA4:EA6 EK4:EK6 EP4:EP6 FJ4:FJ6 FY4:FY6 GD4:GD6 AI4:AJ7 BC4:BD7 BH4:BI7 BW4:BX7 CQ4:CR7 CV4:CW7 DA4:DB7 DF4:DG7 DK4:DL7 ET4:EU7 EY4:EZ7 FD4:FE7 FS4:FT7 GR4:GS7 GW4:GX7 KS4:KS7 FO6 CM8 FT8 BS8:BS19 FT10 CM10:CM19 FT12:FT22 FT24:FT25 AJ33:AJ37 CM36:CM37 DG36:DG37 EP36:EP37 FT36:FT37 IL36:IL37 IK36:IK38 DG39:DG41 EK39:EK41 EP39:EP41 FJ39:FJ41 FT39:FT42 DV47:DV50 EA47:EA50 EP47:EP50 FO47:FO50 EK47:EK63 CM52:CM59 BS52:BS63 DG52:DG63 EP52:EP63 DV52:DV73 GD52:GD73 FT65:FT67 EK65:EK73 FT69:FT72 DV75 FT84:FT85 FT87:FT88 FT90 FE94:FE119 AJ98:AJ129 GX98:GX129 FT103 FT105:FT111 FT113:FT114 FT116:FT117 FT119 FT121:FT125 FE121:FE129 FT127:FT129">
    <cfRule type="containsText" dxfId="421" priority="744" operator="containsText" text="VIGENTE">
      <formula>NOT(ISERROR(SEARCH("VIGENTE",AI4)))</formula>
    </cfRule>
  </conditionalFormatting>
  <conditionalFormatting sqref="FT48:FT62">
    <cfRule type="containsText" dxfId="420" priority="743" operator="containsText" text="VENCIDA">
      <formula>NOT(ISERROR(SEARCH("VENCIDA",FT48)))</formula>
    </cfRule>
  </conditionalFormatting>
  <conditionalFormatting sqref="FT102 BI130 DB130 AY130:AY132 BS130:BS132 CM130:CM132 CR130:CR132 DG130:DG132 DQ130:DQ132 EA130:EA132 EK130:EK132 FE130:FE132 FJ130:FJ132 FO130:FO132 FY130:FY133 BN130:BN136 DL130:DL138 K130:K140 EZ130:EZ141 EP130:EP151 EU130:EU151 AE130:AE158 AJ130:AJ158 AO130:AO158 AT130:AT158 BD130:BD158 BX130:BX158 CW130:CW158 DV130:DV158 GD130:GD158 GS130:GS158 GX130:GX158 HH130:HH158 IL130:IL158 IQ130:IQ158 IV130:IV158 DB132 BI133:BI134 DB134 DQ134 BS134:BS136 CM134:CM136 EA134:EA136 FE134:FE136 FJ134:FJ136 CR134:CR141 EK134:EK143 FO134:FO143 DG134:DG149 AY135:AY141 FY135:FY151 BI136 DB136 DQ136:DQ138 BI138 BS138:BS141 CM138:CM141 FJ138:FJ141 EA138:EA143 DB138:DB146 FE138:FE149 BN138:BN158 DL140 DQ140:DQ149 BI140:BI158 DL142 K142:K158 BS143 CR143 EZ143 FJ143 AY143:AY146 CM143:CM146 DL144:DL151 CR145:CR146 FJ145:FJ146 BS145:BS149 EA145:EA149 EK145:EK149 EZ145:EZ149 FO145:FO149 AY148:AY149 CM148:CM149 DB148:DB149 FJ148:FJ149 CR148:CR154 AY151 BS151:BS154 CM151:CM154 DB151:DB154 DG151:DG154 DQ151:DQ154 EA151:EA154 EK151:EK154 FE151:FE154 FJ151:FJ154 FO151:FO154 EZ151:EZ158 AY153:AY154 DL153:DL158 EP153:EP158 EU153:EU158 FY153:FY158 CM156 DB156 FJ156 AY156:AY158 BS156:BS158 CR156:CR158 DG156:DG158 DQ156:DQ158 EA156:EA158 EK156:EK158 FE156:FE158 FO156:FO158 CM158 DB158 FJ158">
    <cfRule type="expression" dxfId="419" priority="742">
      <formula>"O7&gt;=91"</formula>
    </cfRule>
  </conditionalFormatting>
  <conditionalFormatting sqref="FT115">
    <cfRule type="expression" dxfId="418" priority="741">
      <formula>"O7&gt;=91"</formula>
    </cfRule>
  </conditionalFormatting>
  <conditionalFormatting sqref="FT118">
    <cfRule type="expression" dxfId="417" priority="740">
      <formula>"O7&gt;=91"</formula>
    </cfRule>
  </conditionalFormatting>
  <conditionalFormatting sqref="FT126">
    <cfRule type="expression" dxfId="416" priority="739">
      <formula>"O7&gt;=91"</formula>
    </cfRule>
  </conditionalFormatting>
  <conditionalFormatting sqref="FT141 FT143">
    <cfRule type="containsText" dxfId="415" priority="530" operator="containsText" text="NO APLICA">
      <formula>NOT(ISERROR(SEARCH("NO APLICA",FT141)))</formula>
    </cfRule>
    <cfRule type="containsText" dxfId="414" priority="531" operator="containsText" text="POR VENCER">
      <formula>NOT(ISERROR(SEARCH("POR VENCER",FT141)))</formula>
    </cfRule>
    <cfRule type="containsText" dxfId="413" priority="532" operator="containsText" text="VIGENTE">
      <formula>NOT(ISERROR(SEARCH("VIGENTE",FT141)))</formula>
    </cfRule>
    <cfRule type="containsText" dxfId="412" priority="533" operator="containsText" text="VENCIDA">
      <formula>NOT(ISERROR(SEARCH("VENCIDA",FT141)))</formula>
    </cfRule>
  </conditionalFormatting>
  <conditionalFormatting sqref="FT180">
    <cfRule type="containsText" dxfId="411" priority="738" operator="containsText" text="NO APLICA">
      <formula>NOT(ISERROR(SEARCH("NO APLICA",FT180)))</formula>
    </cfRule>
    <cfRule type="containsText" dxfId="410" priority="737" operator="containsText" text="VIGENTE">
      <formula>NOT(ISERROR(SEARCH("VIGENTE",FT180)))</formula>
    </cfRule>
    <cfRule type="containsText" dxfId="409" priority="736" operator="containsText" text="VENCIDA">
      <formula>NOT(ISERROR(SEARCH("VENCIDA",FT180)))</formula>
    </cfRule>
  </conditionalFormatting>
  <conditionalFormatting sqref="FU103 FU106 FU113:FU114 FU127">
    <cfRule type="expression" dxfId="408" priority="735">
      <formula>"O7&gt;=91"</formula>
    </cfRule>
  </conditionalFormatting>
  <conditionalFormatting sqref="FU116 FU119 FU122 FU124:FU125 FT130:FT132 FT134:FT136 FT137:FU138 FT139:FT140 FT142 FT144:FT149 FT151:FT154 FT156:FT158">
    <cfRule type="expression" dxfId="407" priority="734">
      <formula>"O7&gt;=91"</formula>
    </cfRule>
  </conditionalFormatting>
  <conditionalFormatting sqref="FY36:FY37 FY172">
    <cfRule type="containsText" dxfId="406" priority="528" operator="containsText" text="VIGENTE">
      <formula>NOT(ISERROR(SEARCH("VIGENTE",FY36)))</formula>
    </cfRule>
  </conditionalFormatting>
  <conditionalFormatting sqref="FY37 FY172">
    <cfRule type="containsText" dxfId="405" priority="526" operator="containsText" text="NO APLICA">
      <formula>NOT(ISERROR(SEARCH("NO APLICA",FY37)))</formula>
    </cfRule>
    <cfRule type="containsText" dxfId="404" priority="527" operator="containsText" text="POR VENCER">
      <formula>NOT(ISERROR(SEARCH("POR VENCER",FY37)))</formula>
    </cfRule>
    <cfRule type="containsText" dxfId="403" priority="529" operator="containsText" text="VENCIDA">
      <formula>NOT(ISERROR(SEARCH("VENCIDA",FY37)))</formula>
    </cfRule>
  </conditionalFormatting>
  <conditionalFormatting sqref="FY39:FY41">
    <cfRule type="containsText" dxfId="402" priority="258" operator="containsText" text="VIGENTE">
      <formula>NOT(ISERROR(SEARCH("VIGENTE",FY39)))</formula>
    </cfRule>
  </conditionalFormatting>
  <conditionalFormatting sqref="FY40:FY41">
    <cfRule type="containsText" dxfId="401" priority="256" operator="containsText" text="NO APLICA">
      <formula>NOT(ISERROR(SEARCH("NO APLICA",FY40)))</formula>
    </cfRule>
    <cfRule type="containsText" dxfId="400" priority="259" operator="containsText" text="VENCIDA">
      <formula>NOT(ISERROR(SEARCH("VENCIDA",FY40)))</formula>
    </cfRule>
    <cfRule type="containsText" dxfId="399" priority="257" operator="containsText" text="POR VENCER">
      <formula>NOT(ISERROR(SEARCH("POR VENCER",FY40)))</formula>
    </cfRule>
  </conditionalFormatting>
  <conditionalFormatting sqref="FY43:FY46">
    <cfRule type="containsText" dxfId="398" priority="253" operator="containsText" text="NO APLICA">
      <formula>NOT(ISERROR(SEARCH("NO APLICA",FY43)))</formula>
    </cfRule>
  </conditionalFormatting>
  <conditionalFormatting sqref="FY46">
    <cfRule type="containsText" dxfId="397" priority="255" operator="containsText" text="VENCIDA">
      <formula>NOT(ISERROR(SEARCH("VENCIDA",FY46)))</formula>
    </cfRule>
    <cfRule type="containsText" dxfId="396" priority="254" operator="containsText" text="POR VENCER">
      <formula>NOT(ISERROR(SEARCH("POR VENCER",FY46)))</formula>
    </cfRule>
  </conditionalFormatting>
  <conditionalFormatting sqref="FY134">
    <cfRule type="containsText" dxfId="395" priority="252" operator="containsText" text="VENCIDA">
      <formula>NOT(ISERROR(SEARCH("VENCIDA",FY134)))</formula>
    </cfRule>
    <cfRule type="containsText" dxfId="394" priority="250" operator="containsText" text="POR VENCER">
      <formula>NOT(ISERROR(SEARCH("POR VENCER",FY134)))</formula>
    </cfRule>
    <cfRule type="containsText" dxfId="393" priority="249" operator="containsText" text="NO APLICA">
      <formula>NOT(ISERROR(SEARCH("NO APLICA",FY134)))</formula>
    </cfRule>
    <cfRule type="containsText" dxfId="392" priority="251" operator="containsText" text="VIGENTE">
      <formula>NOT(ISERROR(SEARCH("VIGENTE",FY134)))</formula>
    </cfRule>
  </conditionalFormatting>
  <conditionalFormatting sqref="FY152">
    <cfRule type="containsText" dxfId="391" priority="245" operator="containsText" text="NO APLICA">
      <formula>NOT(ISERROR(SEARCH("NO APLICA",FY152)))</formula>
    </cfRule>
    <cfRule type="containsText" dxfId="390" priority="246" operator="containsText" text="POR VENCER">
      <formula>NOT(ISERROR(SEARCH("POR VENCER",FY152)))</formula>
    </cfRule>
    <cfRule type="containsText" dxfId="389" priority="247" operator="containsText" text="VIGENTE">
      <formula>NOT(ISERROR(SEARCH("VIGENTE",FY152)))</formula>
    </cfRule>
    <cfRule type="containsText" dxfId="388" priority="248" operator="containsText" text="VENCIDA">
      <formula>NOT(ISERROR(SEARCH("VENCIDA",FY152)))</formula>
    </cfRule>
  </conditionalFormatting>
  <conditionalFormatting sqref="FY182">
    <cfRule type="containsText" dxfId="387" priority="241" operator="containsText" text="NO APLICA">
      <formula>NOT(ISERROR(SEARCH("NO APLICA",FY182)))</formula>
    </cfRule>
    <cfRule type="containsText" dxfId="386" priority="242" operator="containsText" text="POR VENCER">
      <formula>NOT(ISERROR(SEARCH("POR VENCER",FY182)))</formula>
    </cfRule>
    <cfRule type="containsText" dxfId="385" priority="243" operator="containsText" text="VIGENTE">
      <formula>NOT(ISERROR(SEARCH("VIGENTE",FY182)))</formula>
    </cfRule>
    <cfRule type="containsText" dxfId="384" priority="244" operator="containsText" text="VENCIDA">
      <formula>NOT(ISERROR(SEARCH("VENCIDA",FY182)))</formula>
    </cfRule>
  </conditionalFormatting>
  <conditionalFormatting sqref="FY239:FY240">
    <cfRule type="expression" dxfId="383" priority="43">
      <formula>"O7&gt;=91"</formula>
    </cfRule>
  </conditionalFormatting>
  <conditionalFormatting sqref="GI4 GI6:GI22 GI30:GI31 GI33:GI37 GI80:GI85">
    <cfRule type="containsText" dxfId="382" priority="732" operator="containsText" text="VENCIDA">
      <formula>NOT(ISERROR(SEARCH("VENCIDA",GI4)))</formula>
    </cfRule>
  </conditionalFormatting>
  <conditionalFormatting sqref="GI4 GI30:GI31 GI33:GI37 GI80:GI85 GI6:GI22">
    <cfRule type="containsText" dxfId="381" priority="731" operator="containsText" text="VIGENTE">
      <formula>NOT(ISERROR(SEARCH("VIGENTE",GI4)))</formula>
    </cfRule>
  </conditionalFormatting>
  <conditionalFormatting sqref="GI4 GI30:GI31 GI33:GI37 GI80:GI85">
    <cfRule type="containsText" dxfId="380" priority="730" operator="containsText" text="POR VENCER">
      <formula>NOT(ISERROR(SEARCH("POR VENCER",GI4)))</formula>
    </cfRule>
    <cfRule type="containsText" dxfId="379" priority="729" operator="containsText" text="NO APLICA">
      <formula>NOT(ISERROR(SEARCH("NO APLICA",GI4)))</formula>
    </cfRule>
  </conditionalFormatting>
  <conditionalFormatting sqref="GI6:GI22">
    <cfRule type="containsText" dxfId="378" priority="728" operator="containsText" text="POR VENCER">
      <formula>NOT(ISERROR(SEARCH("POR VENCER",GI6)))</formula>
    </cfRule>
    <cfRule type="containsText" dxfId="377" priority="727" operator="containsText" text="NO APLICA">
      <formula>NOT(ISERROR(SEARCH("NO APLICA",GI6)))</formula>
    </cfRule>
  </conditionalFormatting>
  <conditionalFormatting sqref="GI23">
    <cfRule type="expression" dxfId="376" priority="726">
      <formula>"O7&gt;=91"</formula>
    </cfRule>
  </conditionalFormatting>
  <conditionalFormatting sqref="GI29 GI79 GI143:GJ143 GI145:GI150 GI151:GJ156 GI158:GJ158">
    <cfRule type="expression" dxfId="375" priority="725">
      <formula>"O7&gt;=91"</formula>
    </cfRule>
  </conditionalFormatting>
  <conditionalFormatting sqref="GI32">
    <cfRule type="expression" dxfId="374" priority="724">
      <formula>"O7&gt;=91"</formula>
    </cfRule>
  </conditionalFormatting>
  <conditionalFormatting sqref="GI39:GI78">
    <cfRule type="containsText" dxfId="373" priority="168" operator="containsText" text="NO APLICA">
      <formula>NOT(ISERROR(SEARCH("NO APLICA",GI39)))</formula>
    </cfRule>
    <cfRule type="containsText" dxfId="372" priority="170" operator="containsText" text="VIGENTE">
      <formula>NOT(ISERROR(SEARCH("VIGENTE",GI39)))</formula>
    </cfRule>
  </conditionalFormatting>
  <conditionalFormatting sqref="GI45">
    <cfRule type="containsText" dxfId="371" priority="169" operator="containsText" text="POR VENCER">
      <formula>NOT(ISERROR(SEARCH("POR VENCER",GI45)))</formula>
    </cfRule>
    <cfRule type="containsText" dxfId="370" priority="171" operator="containsText" text="VENCIDA">
      <formula>NOT(ISERROR(SEARCH("VENCIDA",GI45)))</formula>
    </cfRule>
  </conditionalFormatting>
  <conditionalFormatting sqref="GI86">
    <cfRule type="expression" dxfId="369" priority="723">
      <formula>"O7&gt;=91"</formula>
    </cfRule>
  </conditionalFormatting>
  <conditionalFormatting sqref="GI87:GI129">
    <cfRule type="containsText" dxfId="368" priority="164" operator="containsText" text="NO APLICA">
      <formula>NOT(ISERROR(SEARCH("NO APLICA",GI87)))</formula>
    </cfRule>
    <cfRule type="containsText" dxfId="367" priority="167" operator="containsText" text="VENCIDA">
      <formula>NOT(ISERROR(SEARCH("VENCIDA",GI87)))</formula>
    </cfRule>
    <cfRule type="containsText" dxfId="366" priority="166" operator="containsText" text="VIGENTE">
      <formula>NOT(ISERROR(SEARCH("VIGENTE",GI87)))</formula>
    </cfRule>
    <cfRule type="containsText" dxfId="365" priority="165" operator="containsText" text="POR VENCER">
      <formula>NOT(ISERROR(SEARCH("POR VENCER",GI87)))</formula>
    </cfRule>
  </conditionalFormatting>
  <conditionalFormatting sqref="GI142 GI144">
    <cfRule type="containsText" dxfId="364" priority="163" operator="containsText" text="VENCIDA">
      <formula>NOT(ISERROR(SEARCH("VENCIDA",GI142)))</formula>
    </cfRule>
    <cfRule type="containsText" dxfId="363" priority="162" operator="containsText" text="VIGENTE">
      <formula>NOT(ISERROR(SEARCH("VIGENTE",GI142)))</formula>
    </cfRule>
    <cfRule type="containsText" dxfId="362" priority="161" operator="containsText" text="POR VENCER">
      <formula>NOT(ISERROR(SEARCH("POR VENCER",GI142)))</formula>
    </cfRule>
    <cfRule type="containsText" dxfId="361" priority="160" operator="containsText" text="NO APLICA">
      <formula>NOT(ISERROR(SEARCH("NO APLICA",GI142)))</formula>
    </cfRule>
  </conditionalFormatting>
  <conditionalFormatting sqref="GI157 GI175 GI191">
    <cfRule type="containsText" dxfId="360" priority="159" operator="containsText" text="VENCIDA">
      <formula>NOT(ISERROR(SEARCH("VENCIDA",GI157)))</formula>
    </cfRule>
    <cfRule type="containsText" dxfId="359" priority="158" operator="containsText" text="VIGENTE">
      <formula>NOT(ISERROR(SEARCH("VIGENTE",GI157)))</formula>
    </cfRule>
    <cfRule type="containsText" dxfId="358" priority="157" operator="containsText" text="POR VENCER">
      <formula>NOT(ISERROR(SEARCH("POR VENCER",GI157)))</formula>
    </cfRule>
    <cfRule type="containsText" dxfId="357" priority="156" operator="containsText" text="NO APLICA">
      <formula>NOT(ISERROR(SEARCH("NO APLICA",GI157)))</formula>
    </cfRule>
  </conditionalFormatting>
  <conditionalFormatting sqref="GI180">
    <cfRule type="containsText" dxfId="356" priority="721" operator="containsText" text="POR VENCER">
      <formula>NOT(ISERROR(SEARCH("POR VENCER",GI180)))</formula>
    </cfRule>
    <cfRule type="containsText" dxfId="355" priority="722" operator="containsText" text="VIGENTE">
      <formula>NOT(ISERROR(SEARCH("VIGENTE",GI180)))</formula>
    </cfRule>
  </conditionalFormatting>
  <conditionalFormatting sqref="GJ13:GJ14 GI130:GI133">
    <cfRule type="expression" dxfId="354" priority="720">
      <formula>"O7&gt;=91"</formula>
    </cfRule>
  </conditionalFormatting>
  <conditionalFormatting sqref="GJ16:GJ24 GJ26:GJ37 GJ52:GJ96 CH57:CH158 GJ98 GJ101 GJ103:GJ106 GJ108:GJ109 GJ111 GJ113:GJ115">
    <cfRule type="expression" dxfId="353" priority="719">
      <formula>"O7&gt;=91"</formula>
    </cfRule>
  </conditionalFormatting>
  <conditionalFormatting sqref="GJ39:GJ44 GJ117:GJ127 GJ131:GJ132 GI134:GJ141 GJ145 GJ172:GJ173 GJ178 GJ182 GJ186">
    <cfRule type="expression" dxfId="352" priority="342">
      <formula>"O7&gt;=91"</formula>
    </cfRule>
  </conditionalFormatting>
  <conditionalFormatting sqref="GJ46 GJ48:GJ50 F135 F137:F140 F142:F145 F147:F152 F154:F162">
    <cfRule type="expression" dxfId="351" priority="1036">
      <formula>"O7&gt;=91"</formula>
    </cfRule>
  </conditionalFormatting>
  <conditionalFormatting sqref="GJ129">
    <cfRule type="expression" dxfId="350" priority="718">
      <formula>"O7&gt;=91"</formula>
    </cfRule>
  </conditionalFormatting>
  <conditionalFormatting sqref="GJ147 GJ180">
    <cfRule type="expression" dxfId="349" priority="99">
      <formula>"O7&gt;=91"</formula>
    </cfRule>
  </conditionalFormatting>
  <conditionalFormatting sqref="GJ149:GJ150 GJ238">
    <cfRule type="expression" dxfId="348" priority="151">
      <formula>"O7&gt;=91"</formula>
    </cfRule>
  </conditionalFormatting>
  <conditionalFormatting sqref="GM4:GM240">
    <cfRule type="containsText" dxfId="347" priority="717" operator="containsText" text="NO APLICA">
      <formula>NOT(ISERROR(SEARCH("NO APLICA",GM4)))</formula>
    </cfRule>
  </conditionalFormatting>
  <conditionalFormatting sqref="GN132:GN133">
    <cfRule type="expression" dxfId="346" priority="716">
      <formula>"O7&gt;=91"</formula>
    </cfRule>
  </conditionalFormatting>
  <conditionalFormatting sqref="GR73">
    <cfRule type="containsText" dxfId="345" priority="420" operator="containsText" text="VIGENTE">
      <formula>NOT(ISERROR(SEARCH("VIGENTE",GR73)))</formula>
    </cfRule>
    <cfRule type="containsText" dxfId="344" priority="427" operator="containsText" text="POR VENCER">
      <formula>NOT(ISERROR(SEARCH("POR VENCER",GR73)))</formula>
    </cfRule>
    <cfRule type="containsText" dxfId="343" priority="428" operator="containsText" text="VENCIDA">
      <formula>NOT(ISERROR(SEARCH("VENCIDA",GR73)))</formula>
    </cfRule>
    <cfRule type="containsText" dxfId="342" priority="429" operator="containsText" text="PROGRAMAR">
      <formula>NOT(ISERROR(SEARCH("PROGRAMAR",GR73)))</formula>
    </cfRule>
    <cfRule type="containsText" dxfId="341" priority="421" operator="containsText" text="NO APLICA">
      <formula>NOT(ISERROR(SEARCH("NO APLICA",GR73)))</formula>
    </cfRule>
    <cfRule type="containsText" dxfId="340" priority="422" operator="containsText" text="POR VENCER">
      <formula>NOT(ISERROR(SEARCH("POR VENCER",GR73)))</formula>
    </cfRule>
    <cfRule type="containsText" dxfId="339" priority="423" operator="containsText" text="VENCIDA">
      <formula>NOT(ISERROR(SEARCH("VENCIDA",GR73)))</formula>
    </cfRule>
    <cfRule type="containsText" dxfId="338" priority="424" operator="containsText" text="PROGRAMAR">
      <formula>NOT(ISERROR(SEARCH("PROGRAMAR",GR73)))</formula>
    </cfRule>
    <cfRule type="containsText" dxfId="337" priority="425" operator="containsText" text="VIGENTE">
      <formula>NOT(ISERROR(SEARCH("VIGENTE",GR73)))</formula>
    </cfRule>
    <cfRule type="containsText" dxfId="336" priority="426" operator="containsText" text="NO APLICA">
      <formula>NOT(ISERROR(SEARCH("NO APLICA",GR73)))</formula>
    </cfRule>
  </conditionalFormatting>
  <conditionalFormatting sqref="GR109 GR176">
    <cfRule type="containsText" dxfId="335" priority="412" operator="containsText" text="POR VENCER">
      <formula>NOT(ISERROR(SEARCH("POR VENCER",GR109)))</formula>
    </cfRule>
    <cfRule type="containsText" dxfId="334" priority="413" operator="containsText" text="VENCIDA">
      <formula>NOT(ISERROR(SEARCH("VENCIDA",GR109)))</formula>
    </cfRule>
    <cfRule type="containsText" dxfId="333" priority="414" operator="containsText" text="PROGRAMAR">
      <formula>NOT(ISERROR(SEARCH("PROGRAMAR",GR109)))</formula>
    </cfRule>
    <cfRule type="containsText" dxfId="332" priority="404" operator="containsText" text="PROGRAMAR">
      <formula>NOT(ISERROR(SEARCH("PROGRAMAR",GR109)))</formula>
    </cfRule>
    <cfRule type="containsText" dxfId="331" priority="415" operator="containsText" text="VIGENTE">
      <formula>NOT(ISERROR(SEARCH("VIGENTE",GR109)))</formula>
    </cfRule>
    <cfRule type="containsText" dxfId="330" priority="416" operator="containsText" text="NO APLICA">
      <formula>NOT(ISERROR(SEARCH("NO APLICA",GR109)))</formula>
    </cfRule>
    <cfRule type="containsText" dxfId="329" priority="417" operator="containsText" text="POR VENCER">
      <formula>NOT(ISERROR(SEARCH("POR VENCER",GR109)))</formula>
    </cfRule>
    <cfRule type="containsText" dxfId="328" priority="418" operator="containsText" text="VENCIDA">
      <formula>NOT(ISERROR(SEARCH("VENCIDA",GR109)))</formula>
    </cfRule>
    <cfRule type="containsText" dxfId="327" priority="419" operator="containsText" text="PROGRAMAR">
      <formula>NOT(ISERROR(SEARCH("PROGRAMAR",GR109)))</formula>
    </cfRule>
    <cfRule type="containsText" dxfId="326" priority="411" operator="containsText" text="NO APLICA">
      <formula>NOT(ISERROR(SEARCH("NO APLICA",GR109)))</formula>
    </cfRule>
    <cfRule type="containsText" dxfId="325" priority="403" operator="containsText" text="VENCIDA">
      <formula>NOT(ISERROR(SEARCH("VENCIDA",GR109)))</formula>
    </cfRule>
    <cfRule type="containsText" dxfId="324" priority="402" operator="containsText" text="POR VENCER">
      <formula>NOT(ISERROR(SEARCH("POR VENCER",GR109)))</formula>
    </cfRule>
    <cfRule type="containsText" dxfId="323" priority="401" operator="containsText" text="NO APLICA">
      <formula>NOT(ISERROR(SEARCH("NO APLICA",GR109)))</formula>
    </cfRule>
    <cfRule type="containsText" dxfId="322" priority="400" operator="containsText" text="VIGENTE">
      <formula>NOT(ISERROR(SEARCH("VIGENTE",GR109)))</formula>
    </cfRule>
    <cfRule type="containsText" dxfId="321" priority="409" operator="containsText" text="PROGRAMAR">
      <formula>NOT(ISERROR(SEARCH("PROGRAMAR",GR109)))</formula>
    </cfRule>
    <cfRule type="containsText" dxfId="320" priority="408" operator="containsText" text="VENCIDA">
      <formula>NOT(ISERROR(SEARCH("VENCIDA",GR109)))</formula>
    </cfRule>
    <cfRule type="containsText" dxfId="319" priority="410" operator="containsText" text="VIGENTE">
      <formula>NOT(ISERROR(SEARCH("VIGENTE",GR109)))</formula>
    </cfRule>
    <cfRule type="containsText" dxfId="318" priority="407" operator="containsText" text="POR VENCER">
      <formula>NOT(ISERROR(SEARCH("POR VENCER",GR109)))</formula>
    </cfRule>
    <cfRule type="containsText" dxfId="317" priority="406" operator="containsText" text="NO APLICA">
      <formula>NOT(ISERROR(SEARCH("NO APLICA",GR109)))</formula>
    </cfRule>
    <cfRule type="containsText" dxfId="316" priority="405" operator="containsText" text="VIGENTE">
      <formula>NOT(ISERROR(SEARCH("VIGENTE",GR109)))</formula>
    </cfRule>
  </conditionalFormatting>
  <conditionalFormatting sqref="GW73">
    <cfRule type="containsText" dxfId="315" priority="459" operator="containsText" text="PROGRAMAR">
      <formula>NOT(ISERROR(SEARCH("PROGRAMAR",GW73)))</formula>
    </cfRule>
    <cfRule type="containsText" dxfId="314" priority="455" operator="containsText" text="VIGENTE">
      <formula>NOT(ISERROR(SEARCH("VIGENTE",GW73)))</formula>
    </cfRule>
    <cfRule type="containsText" dxfId="313" priority="454" operator="containsText" text="PROGRAMAR">
      <formula>NOT(ISERROR(SEARCH("PROGRAMAR",GW73)))</formula>
    </cfRule>
    <cfRule type="containsText" dxfId="312" priority="458" operator="containsText" text="VENCIDA">
      <formula>NOT(ISERROR(SEARCH("VENCIDA",GW73)))</formula>
    </cfRule>
    <cfRule type="containsText" dxfId="311" priority="457" operator="containsText" text="POR VENCER">
      <formula>NOT(ISERROR(SEARCH("POR VENCER",GW73)))</formula>
    </cfRule>
    <cfRule type="containsText" dxfId="310" priority="456" operator="containsText" text="NO APLICA">
      <formula>NOT(ISERROR(SEARCH("NO APLICA",GW73)))</formula>
    </cfRule>
    <cfRule type="containsText" dxfId="309" priority="452" operator="containsText" text="POR VENCER">
      <formula>NOT(ISERROR(SEARCH("POR VENCER",GW73)))</formula>
    </cfRule>
    <cfRule type="containsText" dxfId="308" priority="453" operator="containsText" text="VENCIDA">
      <formula>NOT(ISERROR(SEARCH("VENCIDA",GW73)))</formula>
    </cfRule>
    <cfRule type="containsText" dxfId="307" priority="451" operator="containsText" text="NO APLICA">
      <formula>NOT(ISERROR(SEARCH("NO APLICA",GW73)))</formula>
    </cfRule>
    <cfRule type="containsText" dxfId="306" priority="450" operator="containsText" text="VIGENTE">
      <formula>NOT(ISERROR(SEARCH("VIGENTE",GW73)))</formula>
    </cfRule>
  </conditionalFormatting>
  <conditionalFormatting sqref="GW106 GW109 GW116 GW176">
    <cfRule type="containsText" dxfId="305" priority="436" operator="containsText" text="NO APLICA">
      <formula>NOT(ISERROR(SEARCH("NO APLICA",GW106)))</formula>
    </cfRule>
    <cfRule type="containsText" dxfId="304" priority="430" operator="containsText" text="VIGENTE">
      <formula>NOT(ISERROR(SEARCH("VIGENTE",GW106)))</formula>
    </cfRule>
    <cfRule type="containsText" dxfId="303" priority="431" operator="containsText" text="NO APLICA">
      <formula>NOT(ISERROR(SEARCH("NO APLICA",GW106)))</formula>
    </cfRule>
    <cfRule type="containsText" dxfId="302" priority="432" operator="containsText" text="POR VENCER">
      <formula>NOT(ISERROR(SEARCH("POR VENCER",GW106)))</formula>
    </cfRule>
    <cfRule type="containsText" dxfId="301" priority="433" operator="containsText" text="VENCIDA">
      <formula>NOT(ISERROR(SEARCH("VENCIDA",GW106)))</formula>
    </cfRule>
    <cfRule type="containsText" dxfId="300" priority="434" operator="containsText" text="PROGRAMAR">
      <formula>NOT(ISERROR(SEARCH("PROGRAMAR",GW106)))</formula>
    </cfRule>
    <cfRule type="containsText" dxfId="299" priority="435" operator="containsText" text="VIGENTE">
      <formula>NOT(ISERROR(SEARCH("VIGENTE",GW106)))</formula>
    </cfRule>
    <cfRule type="containsText" dxfId="298" priority="443" operator="containsText" text="VENCIDA">
      <formula>NOT(ISERROR(SEARCH("VENCIDA",GW106)))</formula>
    </cfRule>
    <cfRule type="containsText" dxfId="297" priority="437" operator="containsText" text="POR VENCER">
      <formula>NOT(ISERROR(SEARCH("POR VENCER",GW106)))</formula>
    </cfRule>
    <cfRule type="containsText" dxfId="296" priority="438" operator="containsText" text="VENCIDA">
      <formula>NOT(ISERROR(SEARCH("VENCIDA",GW106)))</formula>
    </cfRule>
    <cfRule type="containsText" dxfId="295" priority="439" operator="containsText" text="PROGRAMAR">
      <formula>NOT(ISERROR(SEARCH("PROGRAMAR",GW106)))</formula>
    </cfRule>
    <cfRule type="containsText" dxfId="294" priority="440" operator="containsText" text="VIGENTE">
      <formula>NOT(ISERROR(SEARCH("VIGENTE",GW106)))</formula>
    </cfRule>
    <cfRule type="containsText" dxfId="293" priority="441" operator="containsText" text="NO APLICA">
      <formula>NOT(ISERROR(SEARCH("NO APLICA",GW106)))</formula>
    </cfRule>
    <cfRule type="containsText" dxfId="292" priority="442" operator="containsText" text="POR VENCER">
      <formula>NOT(ISERROR(SEARCH("POR VENCER",GW106)))</formula>
    </cfRule>
    <cfRule type="containsText" dxfId="291" priority="444" operator="containsText" text="PROGRAMAR">
      <formula>NOT(ISERROR(SEARCH("PROGRAMAR",GW106)))</formula>
    </cfRule>
    <cfRule type="containsText" dxfId="290" priority="446" operator="containsText" text="NO APLICA">
      <formula>NOT(ISERROR(SEARCH("NO APLICA",GW106)))</formula>
    </cfRule>
    <cfRule type="containsText" dxfId="289" priority="448" operator="containsText" text="VENCIDA">
      <formula>NOT(ISERROR(SEARCH("VENCIDA",GW106)))</formula>
    </cfRule>
    <cfRule type="containsText" dxfId="288" priority="447" operator="containsText" text="POR VENCER">
      <formula>NOT(ISERROR(SEARCH("POR VENCER",GW106)))</formula>
    </cfRule>
    <cfRule type="containsText" dxfId="287" priority="445" operator="containsText" text="VIGENTE">
      <formula>NOT(ISERROR(SEARCH("VIGENTE",GW106)))</formula>
    </cfRule>
    <cfRule type="containsText" dxfId="286" priority="449" operator="containsText" text="PROGRAMAR">
      <formula>NOT(ISERROR(SEARCH("PROGRAMAR",GW106)))</formula>
    </cfRule>
  </conditionalFormatting>
  <conditionalFormatting sqref="HB73 HB99 HB106 HB109 HB176">
    <cfRule type="containsText" dxfId="285" priority="460" operator="containsText" text="VIGENTE">
      <formula>NOT(ISERROR(SEARCH("VIGENTE",HB73)))</formula>
    </cfRule>
    <cfRule type="containsText" dxfId="284" priority="466" operator="containsText" text="NO APLICA">
      <formula>NOT(ISERROR(SEARCH("NO APLICA",HB73)))</formula>
    </cfRule>
    <cfRule type="containsText" dxfId="283" priority="467" operator="containsText" text="POR VENCER">
      <formula>NOT(ISERROR(SEARCH("POR VENCER",HB73)))</formula>
    </cfRule>
    <cfRule type="containsText" dxfId="282" priority="468" operator="containsText" text="VENCIDA">
      <formula>NOT(ISERROR(SEARCH("VENCIDA",HB73)))</formula>
    </cfRule>
    <cfRule type="containsText" dxfId="281" priority="469" operator="containsText" text="PROGRAMAR">
      <formula>NOT(ISERROR(SEARCH("PROGRAMAR",HB73)))</formula>
    </cfRule>
    <cfRule type="containsText" dxfId="280" priority="461" operator="containsText" text="NO APLICA">
      <formula>NOT(ISERROR(SEARCH("NO APLICA",HB73)))</formula>
    </cfRule>
    <cfRule type="containsText" dxfId="279" priority="465" operator="containsText" text="VIGENTE">
      <formula>NOT(ISERROR(SEARCH("VIGENTE",HB73)))</formula>
    </cfRule>
    <cfRule type="containsText" dxfId="278" priority="462" operator="containsText" text="POR VENCER">
      <formula>NOT(ISERROR(SEARCH("POR VENCER",HB73)))</formula>
    </cfRule>
    <cfRule type="containsText" dxfId="277" priority="463" operator="containsText" text="VENCIDA">
      <formula>NOT(ISERROR(SEARCH("VENCIDA",HB73)))</formula>
    </cfRule>
    <cfRule type="containsText" dxfId="276" priority="464" operator="containsText" text="PROGRAMAR">
      <formula>NOT(ISERROR(SEARCH("PROGRAMAR",HB73)))</formula>
    </cfRule>
  </conditionalFormatting>
  <conditionalFormatting sqref="HE239:HE240">
    <cfRule type="containsText" dxfId="275" priority="39" operator="containsText" text="POR VENCER">
      <formula>NOT(ISERROR(SEARCH("POR VENCER",HE239)))</formula>
    </cfRule>
  </conditionalFormatting>
  <conditionalFormatting sqref="HE239:HF240">
    <cfRule type="containsText" dxfId="274" priority="41" operator="containsText" text="NO APLICA">
      <formula>NOT(ISERROR(SEARCH("NO APLICA",HE239)))</formula>
    </cfRule>
    <cfRule type="containsText" dxfId="273" priority="40" operator="containsText" text="VENCIDA">
      <formula>NOT(ISERROR(SEARCH("VENCIDA",HE239)))</formula>
    </cfRule>
    <cfRule type="containsText" dxfId="272" priority="11" operator="containsText" text="VIGENTE">
      <formula>NOT(ISERROR(SEARCH("VIGENTE",HE239)))</formula>
    </cfRule>
  </conditionalFormatting>
  <conditionalFormatting sqref="HG4:HG240 HG1:HG2">
    <cfRule type="containsText" dxfId="271" priority="525" operator="containsText" text="PROGRAMAR">
      <formula>NOT(ISERROR(SEARCH("PROGRAMAR",HG1)))</formula>
    </cfRule>
  </conditionalFormatting>
  <conditionalFormatting sqref="HG23">
    <cfRule type="containsText" dxfId="270" priority="521" operator="containsText" text="VIGENTE">
      <formula>NOT(ISERROR(SEARCH("VIGENTE",HG23)))</formula>
    </cfRule>
    <cfRule type="containsText" dxfId="269" priority="522" operator="containsText" text="NO APLICA">
      <formula>NOT(ISERROR(SEARCH("NO APLICA",HG23)))</formula>
    </cfRule>
    <cfRule type="containsText" dxfId="268" priority="523" operator="containsText" text="POR VENCER">
      <formula>NOT(ISERROR(SEARCH("POR VENCER",HG23)))</formula>
    </cfRule>
    <cfRule type="containsText" dxfId="267" priority="524" operator="containsText" text="VENCIDA">
      <formula>NOT(ISERROR(SEARCH("VENCIDA",HG23)))</formula>
    </cfRule>
  </conditionalFormatting>
  <conditionalFormatting sqref="HG45">
    <cfRule type="containsText" dxfId="266" priority="519" operator="containsText" text="POR VENCER">
      <formula>NOT(ISERROR(SEARCH("POR VENCER",HG45)))</formula>
    </cfRule>
    <cfRule type="containsText" dxfId="265" priority="518" operator="containsText" text="NO APLICA">
      <formula>NOT(ISERROR(SEARCH("NO APLICA",HG45)))</formula>
    </cfRule>
    <cfRule type="containsText" dxfId="264" priority="517" operator="containsText" text="VIGENTE">
      <formula>NOT(ISERROR(SEARCH("VIGENTE",HG45)))</formula>
    </cfRule>
    <cfRule type="containsText" dxfId="263" priority="520" operator="containsText" text="VENCIDA">
      <formula>NOT(ISERROR(SEARCH("VENCIDA",HG45)))</formula>
    </cfRule>
  </conditionalFormatting>
  <conditionalFormatting sqref="HG73">
    <cfRule type="containsText" dxfId="262" priority="516" operator="containsText" text="VENCIDA">
      <formula>NOT(ISERROR(SEARCH("VENCIDA",HG73)))</formula>
    </cfRule>
    <cfRule type="containsText" dxfId="261" priority="515" operator="containsText" text="POR VENCER">
      <formula>NOT(ISERROR(SEARCH("POR VENCER",HG73)))</formula>
    </cfRule>
    <cfRule type="containsText" dxfId="260" priority="513" operator="containsText" text="VIGENTE">
      <formula>NOT(ISERROR(SEARCH("VIGENTE",HG73)))</formula>
    </cfRule>
    <cfRule type="containsText" dxfId="259" priority="514" operator="containsText" text="NO APLICA">
      <formula>NOT(ISERROR(SEARCH("NO APLICA",HG73)))</formula>
    </cfRule>
  </conditionalFormatting>
  <conditionalFormatting sqref="HG85">
    <cfRule type="containsText" dxfId="258" priority="510" operator="containsText" text="NO APLICA">
      <formula>NOT(ISERROR(SEARCH("NO APLICA",HG85)))</formula>
    </cfRule>
    <cfRule type="containsText" dxfId="257" priority="509" operator="containsText" text="VIGENTE">
      <formula>NOT(ISERROR(SEARCH("VIGENTE",HG85)))</formula>
    </cfRule>
    <cfRule type="containsText" dxfId="256" priority="511" operator="containsText" text="POR VENCER">
      <formula>NOT(ISERROR(SEARCH("POR VENCER",HG85)))</formula>
    </cfRule>
    <cfRule type="containsText" dxfId="255" priority="512" operator="containsText" text="VENCIDA">
      <formula>NOT(ISERROR(SEARCH("VENCIDA",HG85)))</formula>
    </cfRule>
  </conditionalFormatting>
  <conditionalFormatting sqref="HG99">
    <cfRule type="containsText" dxfId="254" priority="506" operator="containsText" text="NO APLICA">
      <formula>NOT(ISERROR(SEARCH("NO APLICA",HG99)))</formula>
    </cfRule>
    <cfRule type="containsText" dxfId="253" priority="508" operator="containsText" text="VENCIDA">
      <formula>NOT(ISERROR(SEARCH("VENCIDA",HG99)))</formula>
    </cfRule>
    <cfRule type="containsText" dxfId="252" priority="507" operator="containsText" text="POR VENCER">
      <formula>NOT(ISERROR(SEARCH("POR VENCER",HG99)))</formula>
    </cfRule>
    <cfRule type="containsText" dxfId="251" priority="505" operator="containsText" text="VIGENTE">
      <formula>NOT(ISERROR(SEARCH("VIGENTE",HG99)))</formula>
    </cfRule>
  </conditionalFormatting>
  <conditionalFormatting sqref="HG106">
    <cfRule type="containsText" dxfId="250" priority="501" operator="containsText" text="VIGENTE">
      <formula>NOT(ISERROR(SEARCH("VIGENTE",HG106)))</formula>
    </cfRule>
    <cfRule type="containsText" dxfId="249" priority="503" operator="containsText" text="POR VENCER">
      <formula>NOT(ISERROR(SEARCH("POR VENCER",HG106)))</formula>
    </cfRule>
    <cfRule type="containsText" dxfId="248" priority="504" operator="containsText" text="VENCIDA">
      <formula>NOT(ISERROR(SEARCH("VENCIDA",HG106)))</formula>
    </cfRule>
    <cfRule type="containsText" dxfId="247" priority="502" operator="containsText" text="NO APLICA">
      <formula>NOT(ISERROR(SEARCH("NO APLICA",HG106)))</formula>
    </cfRule>
  </conditionalFormatting>
  <conditionalFormatting sqref="HG109">
    <cfRule type="containsText" dxfId="246" priority="500" operator="containsText" text="VENCIDA">
      <formula>NOT(ISERROR(SEARCH("VENCIDA",HG109)))</formula>
    </cfRule>
    <cfRule type="containsText" dxfId="245" priority="498" operator="containsText" text="NO APLICA">
      <formula>NOT(ISERROR(SEARCH("NO APLICA",HG109)))</formula>
    </cfRule>
    <cfRule type="containsText" dxfId="244" priority="497" operator="containsText" text="VIGENTE">
      <formula>NOT(ISERROR(SEARCH("VIGENTE",HG109)))</formula>
    </cfRule>
    <cfRule type="containsText" dxfId="243" priority="499" operator="containsText" text="POR VENCER">
      <formula>NOT(ISERROR(SEARCH("POR VENCER",HG109)))</formula>
    </cfRule>
  </conditionalFormatting>
  <conditionalFormatting sqref="HG116">
    <cfRule type="containsText" dxfId="242" priority="493" operator="containsText" text="VIGENTE">
      <formula>NOT(ISERROR(SEARCH("VIGENTE",HG116)))</formula>
    </cfRule>
    <cfRule type="containsText" dxfId="241" priority="494" operator="containsText" text="NO APLICA">
      <formula>NOT(ISERROR(SEARCH("NO APLICA",HG116)))</formula>
    </cfRule>
    <cfRule type="containsText" dxfId="240" priority="496" operator="containsText" text="VENCIDA">
      <formula>NOT(ISERROR(SEARCH("VENCIDA",HG116)))</formula>
    </cfRule>
    <cfRule type="containsText" dxfId="239" priority="495" operator="containsText" text="POR VENCER">
      <formula>NOT(ISERROR(SEARCH("POR VENCER",HG116)))</formula>
    </cfRule>
  </conditionalFormatting>
  <conditionalFormatting sqref="HG176">
    <cfRule type="containsText" dxfId="238" priority="485" operator="containsText" text="VIGENTE">
      <formula>NOT(ISERROR(SEARCH("VIGENTE",HG176)))</formula>
    </cfRule>
    <cfRule type="containsText" dxfId="237" priority="487" operator="containsText" text="POR VENCER">
      <formula>NOT(ISERROR(SEARCH("POR VENCER",HG176)))</formula>
    </cfRule>
    <cfRule type="containsText" dxfId="236" priority="489" operator="containsText" text="VIGENTE">
      <formula>NOT(ISERROR(SEARCH("VIGENTE",HG176)))</formula>
    </cfRule>
    <cfRule type="containsText" dxfId="235" priority="490" operator="containsText" text="NO APLICA">
      <formula>NOT(ISERROR(SEARCH("NO APLICA",HG176)))</formula>
    </cfRule>
    <cfRule type="containsText" dxfId="234" priority="491" operator="containsText" text="POR VENCER">
      <formula>NOT(ISERROR(SEARCH("POR VENCER",HG176)))</formula>
    </cfRule>
    <cfRule type="containsText" dxfId="233" priority="488" operator="containsText" text="VENCIDA">
      <formula>NOT(ISERROR(SEARCH("VENCIDA",HG176)))</formula>
    </cfRule>
    <cfRule type="containsText" dxfId="232" priority="492" operator="containsText" text="VENCIDA">
      <formula>NOT(ISERROR(SEARCH("VENCIDA",HG176)))</formula>
    </cfRule>
    <cfRule type="containsText" dxfId="231" priority="486" operator="containsText" text="NO APLICA">
      <formula>NOT(ISERROR(SEARCH("NO APLICA",HG176)))</formula>
    </cfRule>
  </conditionalFormatting>
  <conditionalFormatting sqref="HL31">
    <cfRule type="containsText" dxfId="230" priority="482" operator="containsText" text="POR VENCER">
      <formula>NOT(ISERROR(SEARCH("POR VENCER",HL31)))</formula>
    </cfRule>
    <cfRule type="containsText" dxfId="229" priority="481" operator="containsText" text="NO APLICA">
      <formula>NOT(ISERROR(SEARCH("NO APLICA",HL31)))</formula>
    </cfRule>
    <cfRule type="containsText" dxfId="228" priority="480" operator="containsText" text="VIGENTE">
      <formula>NOT(ISERROR(SEARCH("VIGENTE",HL31)))</formula>
    </cfRule>
    <cfRule type="containsText" dxfId="227" priority="483" operator="containsText" text="VENCIDA">
      <formula>NOT(ISERROR(SEARCH("VENCIDA",HL31)))</formula>
    </cfRule>
    <cfRule type="containsText" dxfId="226" priority="484" operator="containsText" text="PROGRAMAR">
      <formula>NOT(ISERROR(SEARCH("PROGRAMAR",HL31)))</formula>
    </cfRule>
  </conditionalFormatting>
  <conditionalFormatting sqref="HL49 HL80 HL82 HL106 HL108 HL124">
    <cfRule type="containsText" dxfId="225" priority="470" operator="containsText" text="VIGENTE">
      <formula>NOT(ISERROR(SEARCH("VIGENTE",HL49)))</formula>
    </cfRule>
    <cfRule type="containsText" dxfId="224" priority="471" operator="containsText" text="NO APLICA">
      <formula>NOT(ISERROR(SEARCH("NO APLICA",HL49)))</formula>
    </cfRule>
    <cfRule type="containsText" dxfId="223" priority="473" operator="containsText" text="VENCIDA">
      <formula>NOT(ISERROR(SEARCH("VENCIDA",HL49)))</formula>
    </cfRule>
    <cfRule type="containsText" dxfId="222" priority="472" operator="containsText" text="POR VENCER">
      <formula>NOT(ISERROR(SEARCH("POR VENCER",HL49)))</formula>
    </cfRule>
    <cfRule type="containsText" dxfId="221" priority="474" operator="containsText" text="PROGRAMAR">
      <formula>NOT(ISERROR(SEARCH("PROGRAMAR",HL49)))</formula>
    </cfRule>
    <cfRule type="containsText" dxfId="220" priority="475" operator="containsText" text="VIGENTE">
      <formula>NOT(ISERROR(SEARCH("VIGENTE",HL49)))</formula>
    </cfRule>
    <cfRule type="containsText" dxfId="219" priority="476" operator="containsText" text="NO APLICA">
      <formula>NOT(ISERROR(SEARCH("NO APLICA",HL49)))</formula>
    </cfRule>
    <cfRule type="containsText" dxfId="218" priority="478" operator="containsText" text="VENCIDA">
      <formula>NOT(ISERROR(SEARCH("VENCIDA",HL49)))</formula>
    </cfRule>
    <cfRule type="containsText" dxfId="217" priority="479" operator="containsText" text="PROGRAMAR">
      <formula>NOT(ISERROR(SEARCH("PROGRAMAR",HL49)))</formula>
    </cfRule>
    <cfRule type="containsText" dxfId="216" priority="477" operator="containsText" text="POR VENCER">
      <formula>NOT(ISERROR(SEARCH("POR VENCER",HL49)))</formula>
    </cfRule>
  </conditionalFormatting>
  <conditionalFormatting sqref="HL238:HL240">
    <cfRule type="containsText" dxfId="215" priority="122" operator="containsText" text="PROGRAMAR">
      <formula>NOT(ISERROR(SEARCH("PROGRAMAR",HL238)))</formula>
    </cfRule>
  </conditionalFormatting>
  <conditionalFormatting sqref="HM180:HN180">
    <cfRule type="containsText" dxfId="214" priority="712" operator="containsText" text="VIGENTE">
      <formula>NOT(ISERROR(SEARCH("VIGENTE",HM180)))</formula>
    </cfRule>
    <cfRule type="containsText" dxfId="213" priority="713" operator="containsText" text="NO APLICA">
      <formula>NOT(ISERROR(SEARCH("NO APLICA",HM180)))</formula>
    </cfRule>
    <cfRule type="containsText" dxfId="212" priority="711" operator="containsText" text="POR VENCER">
      <formula>NOT(ISERROR(SEARCH("POR VENCER",HM180)))</formula>
    </cfRule>
    <cfRule type="containsText" dxfId="211" priority="714" operator="containsText" text="VENCIDA">
      <formula>NOT(ISERROR(SEARCH("VENCIDA",HM180)))</formula>
    </cfRule>
  </conditionalFormatting>
  <conditionalFormatting sqref="HM4:HQ10 HP13:HP14 HP35:HP36 HP40 HP42 HP47 HP49:HP51 HP53:HP60 HP62:HP63 HP65:HP66 HP79:HP80 HP82:HP89 HP91 HP93 HP95:HP96 HP98:HP102 HP104:HP119 HM11:HN18">
    <cfRule type="containsText" dxfId="210" priority="715" operator="containsText" text="POR VENCER">
      <formula>NOT(ISERROR(SEARCH("POR VENCER",HM4)))</formula>
    </cfRule>
  </conditionalFormatting>
  <conditionalFormatting sqref="HM4:HQ10 HP35:HP36 HP40 HP42 HP47 HP49:HP51 HP53:HP60 HP62:HP63 HP65:HP66 HP68:HP72 HP79:HP80 HP82:HP89 HP91 HP93 HP95:HP96 HP98:HP102 HP104:HP119 HP13:HP18">
    <cfRule type="containsText" dxfId="209" priority="710" operator="containsText" text="VIGENTE">
      <formula>NOT(ISERROR(SEARCH("VIGENTE",HM4)))</formula>
    </cfRule>
  </conditionalFormatting>
  <conditionalFormatting sqref="HM4:HQ10 HP35:HP36 HP40 HP42 HP47 HP49:HP51 HP53:HP60 HP62:HP63 HP65:HP66 HP68:HP72 HP79:HP80 HP82:HP89 HP91 HP93 HP95:HP96 HP98:HP102 HP104:HP119">
    <cfRule type="containsText" dxfId="208" priority="709" operator="containsText" text="NO APLICA">
      <formula>NOT(ISERROR(SEARCH("NO APLICA",HM4)))</formula>
    </cfRule>
  </conditionalFormatting>
  <conditionalFormatting sqref="HP13:HP18 HM11:HN172">
    <cfRule type="containsText" dxfId="207" priority="708" operator="containsText" text="NO APLICA">
      <formula>NOT(ISERROR(SEARCH("NO APLICA",HM11)))</formula>
    </cfRule>
  </conditionalFormatting>
  <conditionalFormatting sqref="HP13:HP18 HP68:HP72 HM4:HQ10 HP35:HP36 HP40 HP42 HP47 HP49:HP51 HP53:HP60 HP62:HP63 HP65:HP66 HP79:HP80 HP82:HP89 HP91 HP93 HP95:HP96 HP98:HP102 HP104:HP119">
    <cfRule type="containsText" dxfId="206" priority="707" operator="containsText" text="VENCIDA">
      <formula>NOT(ISERROR(SEARCH("VENCIDA",HM4)))</formula>
    </cfRule>
  </conditionalFormatting>
  <conditionalFormatting sqref="HP15:HP18">
    <cfRule type="containsText" dxfId="205" priority="705" operator="containsText" text="POR VENCER">
      <formula>NOT(ISERROR(SEARCH("POR VENCER",HP15)))</formula>
    </cfRule>
  </conditionalFormatting>
  <conditionalFormatting sqref="HP18">
    <cfRule type="containsText" dxfId="204" priority="702" operator="containsText" text="NO APLICA">
      <formula>NOT(ISERROR(SEARCH("NO APLICA",HP18)))</formula>
    </cfRule>
    <cfRule type="containsText" dxfId="203" priority="703" operator="containsText" text="POR VENCER">
      <formula>NOT(ISERROR(SEARCH("POR VENCER",HP18)))</formula>
    </cfRule>
    <cfRule type="containsText" dxfId="202" priority="704" operator="containsText" text="NO APLICA">
      <formula>NOT(ISERROR(SEARCH("NO APLICA",HP18)))</formula>
    </cfRule>
  </conditionalFormatting>
  <conditionalFormatting sqref="HP68:HP72 HM68:HN172">
    <cfRule type="containsText" dxfId="201" priority="701" operator="containsText" text="POR VENCER">
      <formula>NOT(ISERROR(SEARCH("POR VENCER",HM68)))</formula>
    </cfRule>
  </conditionalFormatting>
  <conditionalFormatting sqref="HQ238:HQ240">
    <cfRule type="containsText" dxfId="200" priority="120" operator="containsText" text="PROGRAMAR">
      <formula>NOT(ISERROR(SEARCH("PROGRAMAR",HQ238)))</formula>
    </cfRule>
  </conditionalFormatting>
  <conditionalFormatting sqref="HR4:HR37 HV38">
    <cfRule type="containsText" dxfId="199" priority="700" operator="containsText" text="POR VENCER">
      <formula>NOT(ISERROR(SEARCH("POR VENCER",HR4)))</formula>
    </cfRule>
  </conditionalFormatting>
  <conditionalFormatting sqref="HR4:HR37">
    <cfRule type="containsText" dxfId="198" priority="699" operator="containsText" text="NO APLICA">
      <formula>NOT(ISERROR(SEARCH("NO APLICA",HR4)))</formula>
    </cfRule>
  </conditionalFormatting>
  <conditionalFormatting sqref="HR130:HR158">
    <cfRule type="expression" dxfId="197" priority="698">
      <formula>"O7&gt;=91"</formula>
    </cfRule>
  </conditionalFormatting>
  <conditionalFormatting sqref="HR180">
    <cfRule type="containsText" dxfId="196" priority="697" operator="containsText" text="VIGENTE">
      <formula>NOT(ISERROR(SEARCH("VIGENTE",HR180)))</formula>
    </cfRule>
    <cfRule type="containsText" dxfId="195" priority="696" operator="containsText" text="POR VENCER">
      <formula>NOT(ISERROR(SEARCH("POR VENCER",HR180)))</formula>
    </cfRule>
  </conditionalFormatting>
  <conditionalFormatting sqref="HV130:HV137">
    <cfRule type="containsText" dxfId="194" priority="695" operator="containsText" text="POR VENCER">
      <formula>NOT(ISERROR(SEARCH("POR VENCER",HV130)))</formula>
    </cfRule>
  </conditionalFormatting>
  <conditionalFormatting sqref="HV130:HV240">
    <cfRule type="containsText" dxfId="193" priority="694" operator="containsText" text="NO APLICA">
      <formula>NOT(ISERROR(SEARCH("NO APLICA",HV130)))</formula>
    </cfRule>
  </conditionalFormatting>
  <conditionalFormatting sqref="HW130:HW158">
    <cfRule type="expression" dxfId="192" priority="693">
      <formula>"O7&gt;=91"</formula>
    </cfRule>
  </conditionalFormatting>
  <conditionalFormatting sqref="HW180">
    <cfRule type="containsText" dxfId="191" priority="692" operator="containsText" text="VIGENTE">
      <formula>NOT(ISERROR(SEARCH("VIGENTE",HW180)))</formula>
    </cfRule>
    <cfRule type="containsText" dxfId="190" priority="691" operator="containsText" text="POR VENCER">
      <formula>NOT(ISERROR(SEARCH("POR VENCER",HW180)))</formula>
    </cfRule>
  </conditionalFormatting>
  <conditionalFormatting sqref="IA38">
    <cfRule type="containsText" dxfId="189" priority="690" operator="containsText" text="POR VENCER">
      <formula>NOT(ISERROR(SEARCH("POR VENCER",IA38)))</formula>
    </cfRule>
  </conditionalFormatting>
  <conditionalFormatting sqref="IA130:IA137">
    <cfRule type="containsText" dxfId="188" priority="689" operator="containsText" text="POR VENCER">
      <formula>NOT(ISERROR(SEARCH("POR VENCER",IA130)))</formula>
    </cfRule>
  </conditionalFormatting>
  <conditionalFormatting sqref="IA130:IA240">
    <cfRule type="containsText" dxfId="187" priority="688" operator="containsText" text="NO APLICA">
      <formula>NOT(ISERROR(SEARCH("NO APLICA",IA130)))</formula>
    </cfRule>
  </conditionalFormatting>
  <conditionalFormatting sqref="IB4:IB22">
    <cfRule type="containsText" dxfId="186" priority="686" operator="containsText" text="VIGENTE">
      <formula>NOT(ISERROR(SEARCH("VIGENTE",IB4)))</formula>
    </cfRule>
    <cfRule type="containsText" dxfId="185" priority="685" operator="containsText" text="NO APLICA">
      <formula>NOT(ISERROR(SEARCH("NO APLICA",IB4)))</formula>
    </cfRule>
    <cfRule type="containsText" dxfId="184" priority="684" operator="containsText" text="VENCIDA">
      <formula>NOT(ISERROR(SEARCH("VENCIDA",IB4)))</formula>
    </cfRule>
    <cfRule type="containsText" dxfId="183" priority="687" operator="containsText" text="POR VENCER">
      <formula>NOT(ISERROR(SEARCH("POR VENCER",IB4)))</formula>
    </cfRule>
  </conditionalFormatting>
  <conditionalFormatting sqref="IB130:IB158">
    <cfRule type="expression" dxfId="182" priority="683">
      <formula>"O7&gt;=91"</formula>
    </cfRule>
  </conditionalFormatting>
  <conditionalFormatting sqref="IB180">
    <cfRule type="containsText" dxfId="181" priority="682" operator="containsText" text="VIGENTE">
      <formula>NOT(ISERROR(SEARCH("VIGENTE",IB180)))</formula>
    </cfRule>
    <cfRule type="containsText" dxfId="180" priority="681" operator="containsText" text="POR VENCER">
      <formula>NOT(ISERROR(SEARCH("POR VENCER",IB180)))</formula>
    </cfRule>
  </conditionalFormatting>
  <conditionalFormatting sqref="IF4:IF38">
    <cfRule type="containsText" dxfId="179" priority="680" operator="containsText" text="POR VENCER">
      <formula>NOT(ISERROR(SEARCH("POR VENCER",IF4)))</formula>
    </cfRule>
  </conditionalFormatting>
  <conditionalFormatting sqref="IF130:IF137">
    <cfRule type="containsText" dxfId="178" priority="679" operator="containsText" text="POR VENCER">
      <formula>NOT(ISERROR(SEARCH("POR VENCER",IF130)))</formula>
    </cfRule>
  </conditionalFormatting>
  <conditionalFormatting sqref="IF130:IF240">
    <cfRule type="containsText" dxfId="177" priority="678" operator="containsText" text="NO APLICA">
      <formula>NOT(ISERROR(SEARCH("NO APLICA",IF130)))</formula>
    </cfRule>
  </conditionalFormatting>
  <conditionalFormatting sqref="IG132:IG133">
    <cfRule type="expression" dxfId="176" priority="677">
      <formula>"O7&gt;=91"</formula>
    </cfRule>
  </conditionalFormatting>
  <conditionalFormatting sqref="IP4:IQ27 LH4:LL59 MQ4:MS152 Z4:Z158 ML4:MN158 KD4:KF162 KN4:KP164 Y4:Y240 AD4:AD240 AN4:AN240 AS4:AS240 AX4:AX240 BM4:BM240 BR4:BR240 CL4:CL240 DP4:DP240 DU4:DU240 DZ4:DZ240 EE4:EE240 EJ4:EJ240 EO4:EO240 FI4:FI240 FN4:FN240 FX4:FX240 GC4:GC240 GH4:GH240 HB4:HB240 HL4:HL240 IF4:IF240 JE4:JE240 LC4:LC240 LW4:LW240 MB4:MB240 MV4:MV240 NF4:NF240 OE4:OE240 OJ4:OJ240 JY5:JZ5 JY7:JZ7 DA8:DB10 DK8:DL17 AI8:AJ27 BC8:BD27 BH8:BI27 BW8:BX27 CQ8:CR27 CV8:CW27 DF8:DG27 ET8:EU27 EY8:EZ27 FD8:FE27 GR8:GS27 GW8:GX27 MG8:MI158 CG8:CG240 FS8:FS240 KS8:KS240 DA11 HQ11:HQ240 DA12:DB27 HG15:HH27 DK18 JY19:JZ19 DK19:DL20 DK21 JY22:JZ22 DK22:DL27 JY26:JZ27 AI28:AI179 NN28:NN179 BC28:BC240 BH28:BH240 BW28:BW240 CQ28:CQ240 CV28:CV240 DA28:DA240 DF28:DF240 DK28:DK240 ET28:ET240 EY28:EY240 FD28:FD240 GR28:GR240 GW28:GW240 HG28:HG240 IP28:IP240 JY36:JZ36 CM39:CM44 DB39:DB44 EZ39:EZ44 DV39:DV45 EA39:EA45 FO39:FO45 CR39:CR48 BS39:BS50 GD39:GD50 AY39:AY63 BN39:BN63 DQ39:DQ66 AJ39:AJ85 AT39:AT85 GX39:GX96 AO39:AO129 BD39:BD129 BI39:BI129 BX39:BX129 GS39:GS129 HH39:HH129 HR39:HR129 IK39:IL129 IQ39:IQ129 LN39:LN129 MW39:MW129 NA39:NB129 NG39:NG129 JY40:JZ40 FJ43:FJ44 EK43:EK45 EP43:EP45 DG43:DG50 KT43:KT59 HV43:HW129 IA43:IB129 IU43:IV129 HP44:HP45 FT44:FT46 CM46:CM48 FJ46:FJ48 EZ46:EZ129 DL48:DL78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F163:KF166 KD163:KE240 KN165:KO240 JY172:JZ172 JY178:JZ179 KP179:KR187 JY181:JZ181 AI181:AI240 CB188:CB240 JY201:JZ201 JY205:JZ206 JY208:JZ209 JY217:JZ217 JY219:JZ219 JY221:JZ222 JY224:JZ224 JY227:JZ228 JY234:JZ235 JY237:JZ240 LI238:LJ238 JT238:JT240 LH238:LH240 KX4:KY240 CB4:CB183 HV4:HW27 IU4:IV27 IK4:IL35 LN4:LN37 NA4:NB37 IA4:IA42 DV8 EA8 FJ8 EK8:EK27 FO8:FO27 AY8:AY28 DQ8:DQ28 EP8:EP28 FY8:FY28 GD8:GD28 AT8:AT34 AO8:AO37 BN8:BN37 MW8:MW37 DV10 FJ10 EA10:EA27 DV12:DV28 FJ12:FJ34 MC15:MD37 HP20:HP27 CM21:CM26 BS21:BS28 GI24:GI28 IB24:IB37 BD28 AJ28:AJ31 FT28:FT33 DG28:DG34 NP28:NT34 DL28:DL36 BI28:BI37 CR28:CR37 CW28:CW37 DB28:DB37 GS28:GS37 GX28:GX37 HH28:HH37 HW28:HW37 IQ28:IQ37 IV28:IV37 NK28:NM37 NO28:NO37 HV28:HV42 EZ29:EZ34 BX29:BX37 EU29:EU37 FE29:FE37 MU29:MU77 HP30:HP33 CM30:CM34 DV30:DV34 EA30:EA34 EP30:EP34 FY30:FY34 AY30:AY37 BD30:BD37 DQ30:DQ37 EK30:EK37 FO30:FO37 GD30:GD37 DV36:DV37 EA36:EA37 EZ36:EZ37 FJ36:FJ37 CW39:CW78 MC46:MD89 DB46:DB90 CR50:CR93 EA52:EA82 FJ52:FJ82 FO52:FO82 FY52:FY129 OF55:OG129 CM61:CM81 BN65:BN90 AY65:AY129 DG65:DG129 EP65:EP129 NK68:NM76 NP68:NR158 NT68:NT158 KT73:KT127 HP74:HP76 FT74:FT82 EK75:EK129 GD75:GD129 DV77:DV81 MU79:MU95 DL80:DL81 CW80:CW129 DL83:DL129 CM84:CM89 FJ84:FJ90 DV84:DV93 EA84:EA93 FO84:FO93 AJ87:AJ96 AT87:AT129 FT91:FT93 MC91:MD93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P165:KP172 HW39:HW42 IB39:IB42 IV39:IV42 AE39:AE78 IU28:IU42 FE55:FE93 GM4:GM240 HM11:HN172 HR4:HR37 HV130:HV240 IA130:IA240 KI4:KK124 JJ4:JJ240 JO4:JO240 KA5:KA170 KI125:KJ240 MU24:MU26 NA130:NA240 NK15:NT27 NP36:NT55 NO39:NO57 NK39:NM66 EU39:EU42 EU44:EU53 EU55:EU64 EU66:EU112 EU115:EU129 FE39:FE53 DL38:DL46 BS65:BS82 BS84:BS89 BS92:BS93 BS95:BS98 BS100:BS103 BS105:BS106 BS108:BS111 BS113:BS114 BS117:BS119 BS121:BS129">
    <cfRule type="containsText" dxfId="175" priority="997" operator="containsText" text="VIGENTE">
      <formula>NOT(ISERROR(SEARCH("VIGENTE",Y4)))</formula>
    </cfRule>
  </conditionalFormatting>
  <conditionalFormatting sqref="IR73">
    <cfRule type="containsText" dxfId="174" priority="675" operator="containsText" text="POR VENCER">
      <formula>NOT(ISERROR(SEARCH("POR VENCER",IR73)))</formula>
    </cfRule>
    <cfRule type="containsText" dxfId="173" priority="673" operator="containsText" text="VENCIDA">
      <formula>NOT(ISERROR(SEARCH("VENCIDA",IR73)))</formula>
    </cfRule>
    <cfRule type="containsText" dxfId="172" priority="674" operator="containsText" text="NO APLICA">
      <formula>NOT(ISERROR(SEARCH("NO APLICA",IR73)))</formula>
    </cfRule>
    <cfRule type="containsText" dxfId="171" priority="676" operator="containsText" text="VIGENTE">
      <formula>NOT(ISERROR(SEARCH("VIGENTE",IR73)))</formula>
    </cfRule>
  </conditionalFormatting>
  <conditionalFormatting sqref="IU4:IU38 CM8 BS8:BS19 CM10:CM19 AT4:AT6 AY4:AY6 FT12:FT22">
    <cfRule type="containsText" dxfId="170" priority="888" operator="containsText" text="POR VENCER">
      <formula>NOT(ISERROR(SEARCH("POR VENCER",AT4)))</formula>
    </cfRule>
  </conditionalFormatting>
  <conditionalFormatting sqref="IU130:IU137">
    <cfRule type="containsText" dxfId="169" priority="671" operator="containsText" text="POR VENCER">
      <formula>NOT(ISERROR(SEARCH("POR VENCER",IU130)))</formula>
    </cfRule>
  </conditionalFormatting>
  <conditionalFormatting sqref="IU130:IU240">
    <cfRule type="containsText" dxfId="168" priority="670" operator="containsText" text="NO APLICA">
      <formula>NOT(ISERROR(SEARCH("NO APLICA",IU130)))</formula>
    </cfRule>
    <cfRule type="containsText" dxfId="167" priority="672" operator="containsText" text="VIGENTE">
      <formula>NOT(ISERROR(SEARCH("VIGENTE",IU130)))</formula>
    </cfRule>
  </conditionalFormatting>
  <conditionalFormatting sqref="IZ4:IZ240 KK125:KK170">
    <cfRule type="containsText" dxfId="166" priority="669" operator="containsText" text="VIGENTE">
      <formula>NOT(ISERROR(SEARCH("VIGENTE",IZ4)))</formula>
    </cfRule>
  </conditionalFormatting>
  <conditionalFormatting sqref="IZ133:IZ137 KK133:KK170">
    <cfRule type="containsText" dxfId="165" priority="668" operator="containsText" text="POR VENCER">
      <formula>NOT(ISERROR(SEARCH("POR VENCER",IZ133)))</formula>
    </cfRule>
  </conditionalFormatting>
  <conditionalFormatting sqref="JB4">
    <cfRule type="containsText" dxfId="164" priority="663" operator="containsText" text="VENCIDA">
      <formula>NOT(ISERROR(SEARCH("VENCIDA",JB4)))</formula>
    </cfRule>
    <cfRule type="containsText" dxfId="163" priority="664" operator="containsText" text="NO APLICA">
      <formula>NOT(ISERROR(SEARCH("NO APLICA",JB4)))</formula>
    </cfRule>
    <cfRule type="containsText" dxfId="162" priority="665" operator="containsText" text="POR VENCER">
      <formula>NOT(ISERROR(SEARCH("POR VENCER",JB4)))</formula>
    </cfRule>
    <cfRule type="containsText" dxfId="161" priority="666" operator="containsText" text="VIGENTE">
      <formula>NOT(ISERROR(SEARCH("VIGENTE",JB4)))</formula>
    </cfRule>
  </conditionalFormatting>
  <conditionalFormatting sqref="JF4:JG4 JJ4">
    <cfRule type="containsText" dxfId="160" priority="662" operator="containsText" text="POR VENCER">
      <formula>NOT(ISERROR(SEARCH("POR VENCER",JF4)))</formula>
    </cfRule>
  </conditionalFormatting>
  <conditionalFormatting sqref="JF4:JG4">
    <cfRule type="containsText" dxfId="159" priority="660" operator="containsText" text="NO APLICA">
      <formula>NOT(ISERROR(SEARCH("NO APLICA",JF4)))</formula>
    </cfRule>
    <cfRule type="containsText" dxfId="158" priority="661" operator="containsText" text="VIGENTE">
      <formula>NOT(ISERROR(SEARCH("VIGENTE",JF4)))</formula>
    </cfRule>
  </conditionalFormatting>
  <conditionalFormatting sqref="JH239:JH240 LL239:LL240 CK239:CK240 CP239:CP240 CU239:CU240 DJ239:DJ240 DO239:DO240 DT239:DT240 EX239:EX240 FC239:FC240 FH239:FH240 FM239:FM240 FR239:FR240 GB239:GB240 GQ239:GQ240 IO239:IO240 IT239:IT240 IX239:IX240 JB239:JB240 KF239:KF240 KK239:KK240 LB239:LB240 LG239:LG240 NO239:NO240 NT239:NT240 CF240">
    <cfRule type="containsText" dxfId="157" priority="79" operator="containsText" text="VIGENTE">
      <formula>NOT(ISERROR(SEARCH("VIGENTE",CF239)))</formula>
    </cfRule>
  </conditionalFormatting>
  <conditionalFormatting sqref="JH239:JI240 LN239:LN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Q239:KR240 LL239:LL240 LQ239:LQ240 LS239:LS240 LV239:LV240 LZ239:MA240 MC239:ME240 MI239:MJ240 MO239:MP240">
    <cfRule type="containsText" dxfId="156" priority="42" operator="containsText" text="VENCIDA">
      <formula>NOT(ISERROR(SEARCH("VENCIDA",Z239)))</formula>
    </cfRule>
  </conditionalFormatting>
  <conditionalFormatting sqref="JI239:JI240">
    <cfRule type="containsText" dxfId="155" priority="37" operator="containsText" text="VIGENTE">
      <formula>NOT(ISERROR(SEARCH("VIGENTE",JI239)))</formula>
    </cfRule>
  </conditionalFormatting>
  <conditionalFormatting sqref="JJ4:JJ240">
    <cfRule type="containsText" dxfId="154" priority="659" operator="containsText" text="NO APLICA">
      <formula>NOT(ISERROR(SEARCH("NO APLICA",JJ4)))</formula>
    </cfRule>
  </conditionalFormatting>
  <conditionalFormatting sqref="JJ4:JL4 JF4:JG4">
    <cfRule type="containsText" dxfId="153" priority="658" operator="containsText" text="VENCIDA">
      <formula>NOT(ISERROR(SEARCH("VENCIDA",JF4)))</formula>
    </cfRule>
  </conditionalFormatting>
  <conditionalFormatting sqref="JK4:JL4">
    <cfRule type="containsText" dxfId="152" priority="655" operator="containsText" text="POR VENCER">
      <formula>NOT(ISERROR(SEARCH("POR VENCER",JK4)))</formula>
    </cfRule>
    <cfRule type="containsText" dxfId="151" priority="656" operator="containsText" text="VIGENTE">
      <formula>NOT(ISERROR(SEARCH("VIGENTE",JK4)))</formula>
    </cfRule>
    <cfRule type="containsText" dxfId="150" priority="657" operator="containsText" text="NO APLICA">
      <formula>NOT(ISERROR(SEARCH("NO APLICA",JK4)))</formula>
    </cfRule>
  </conditionalFormatting>
  <conditionalFormatting sqref="JO4:JO240">
    <cfRule type="containsText" dxfId="149" priority="654" operator="containsText" text="NO APLICA">
      <formula>NOT(ISERROR(SEARCH("NO APLICA",JO4)))</formula>
    </cfRule>
  </conditionalFormatting>
  <conditionalFormatting sqref="JQ4">
    <cfRule type="containsText" dxfId="148" priority="652" operator="containsText" text="POR VENCER">
      <formula>NOT(ISERROR(SEARCH("POR VENCER",JQ4)))</formula>
    </cfRule>
    <cfRule type="containsText" dxfId="147" priority="650" operator="containsText" text="VENCIDA">
      <formula>NOT(ISERROR(SEARCH("VENCIDA",JQ4)))</formula>
    </cfRule>
    <cfRule type="containsText" dxfId="146" priority="651" operator="containsText" text="NO APLICA">
      <formula>NOT(ISERROR(SEARCH("NO APLICA",JQ4)))</formula>
    </cfRule>
    <cfRule type="containsText" dxfId="145" priority="653" operator="containsText" text="VIGENTE">
      <formula>NOT(ISERROR(SEARCH("VIGENTE",JQ4)))</formula>
    </cfRule>
  </conditionalFormatting>
  <conditionalFormatting sqref="KA5:KA170">
    <cfRule type="containsText" dxfId="144" priority="648" operator="containsText" text="NO APLICA">
      <formula>NOT(ISERROR(SEARCH("NO APLICA",KA5)))</formula>
    </cfRule>
  </conditionalFormatting>
  <conditionalFormatting sqref="KA81:KA170">
    <cfRule type="containsText" dxfId="143" priority="649" operator="containsText" text="POR VENCER">
      <formula>NOT(ISERROR(SEARCH("POR VENCER",KA81)))</formula>
    </cfRule>
  </conditionalFormatting>
  <conditionalFormatting sqref="KA180">
    <cfRule type="containsText" dxfId="142" priority="645" operator="containsText" text="POR VENCER">
      <formula>NOT(ISERROR(SEARCH("POR VENCER",KA180)))</formula>
    </cfRule>
    <cfRule type="containsText" dxfId="141" priority="646" operator="containsText" text="VIGENTE">
      <formula>NOT(ISERROR(SEARCH("VIGENTE",KA180)))</formula>
    </cfRule>
  </conditionalFormatting>
  <conditionalFormatting sqref="KA239:KA240 AO239:AO240 BD239:BD240 BI239:BI240 CC239:CC240 DV239:DW240 EB239:EB240">
    <cfRule type="containsText" dxfId="140" priority="48" operator="containsText" text="VENCIDA">
      <formula>NOT(ISERROR(SEARCH("VENCIDA",AO239)))</formula>
    </cfRule>
  </conditionalFormatting>
  <conditionalFormatting sqref="KA239:KA240">
    <cfRule type="containsText" dxfId="139" priority="31" operator="containsText" text="NO APLICA">
      <formula>NOT(ISERROR(SEARCH("NO APLICA",KA239)))</formula>
    </cfRule>
    <cfRule type="containsText" dxfId="138" priority="32" operator="containsText" text="POR VENCER">
      <formula>NOT(ISERROR(SEARCH("POR VENCER",KA239)))</formula>
    </cfRule>
  </conditionalFormatting>
  <conditionalFormatting sqref="KD4:KE7">
    <cfRule type="containsText" dxfId="137" priority="644" operator="containsText" text="VENCIDA">
      <formula>NOT(ISERROR(SEARCH("VENCIDA",KD4)))</formula>
    </cfRule>
  </conditionalFormatting>
  <conditionalFormatting sqref="KF180">
    <cfRule type="containsText" dxfId="136" priority="641" operator="containsText" text="POR VENCER">
      <formula>NOT(ISERROR(SEARCH("POR VENCER",KF180)))</formula>
    </cfRule>
    <cfRule type="containsText" dxfId="135" priority="642" operator="containsText" text="VIGENTE">
      <formula>NOT(ISERROR(SEARCH("VIGENTE",KF180)))</formula>
    </cfRule>
    <cfRule type="containsText" dxfId="134" priority="643" operator="containsText" text="NO APLICA">
      <formula>NOT(ISERROR(SEARCH("NO APLICA",KF180)))</formula>
    </cfRule>
  </conditionalFormatting>
  <conditionalFormatting sqref="KI4:KJ18">
    <cfRule type="containsText" dxfId="133" priority="640" operator="containsText" text="POR VENCER">
      <formula>NOT(ISERROR(SEARCH("POR VENCER",KI4)))</formula>
    </cfRule>
  </conditionalFormatting>
  <conditionalFormatting sqref="KI4:KJ240">
    <cfRule type="containsText" dxfId="132" priority="639" operator="containsText" text="NO APLICA">
      <formula>NOT(ISERROR(SEARCH("NO APLICA",KI4)))</formula>
    </cfRule>
  </conditionalFormatting>
  <conditionalFormatting sqref="KI68:KJ72">
    <cfRule type="containsText" dxfId="131" priority="638" operator="containsText" text="POR VENCER">
      <formula>NOT(ISERROR(SEARCH("POR VENCER",KI68)))</formula>
    </cfRule>
  </conditionalFormatting>
  <conditionalFormatting sqref="KK4:KK170 IZ4:IZ240">
    <cfRule type="containsText" dxfId="130" priority="667" operator="containsText" text="NO APLICA">
      <formula>NOT(ISERROR(SEARCH("NO APLICA",IZ4)))</formula>
    </cfRule>
  </conditionalFormatting>
  <conditionalFormatting sqref="KP130">
    <cfRule type="containsText" dxfId="129" priority="637" operator="containsText" text="NO APLICA">
      <formula>NOT(ISERROR(SEARCH("NO APLICA",KP130)))</formula>
    </cfRule>
  </conditionalFormatting>
  <conditionalFormatting sqref="KP140">
    <cfRule type="containsText" dxfId="128" priority="636" operator="containsText" text="NO APLICA">
      <formula>NOT(ISERROR(SEARCH("NO APLICA",KP140)))</formula>
    </cfRule>
  </conditionalFormatting>
  <conditionalFormatting sqref="KP145">
    <cfRule type="containsText" dxfId="127" priority="635" operator="containsText" text="NO APLICA">
      <formula>NOT(ISERROR(SEARCH("NO APLICA",KP145)))</formula>
    </cfRule>
  </conditionalFormatting>
  <conditionalFormatting sqref="KP151">
    <cfRule type="containsText" dxfId="126" priority="634" operator="containsText" text="NO APLICA">
      <formula>NOT(ISERROR(SEARCH("NO APLICA",KP151)))</formula>
    </cfRule>
  </conditionalFormatting>
  <conditionalFormatting sqref="KP154">
    <cfRule type="containsText" dxfId="125" priority="633" operator="containsText" text="NO APLICA">
      <formula>NOT(ISERROR(SEARCH("NO APLICA",KP154)))</formula>
    </cfRule>
  </conditionalFormatting>
  <conditionalFormatting sqref="KP161">
    <cfRule type="containsText" dxfId="124" priority="632" operator="containsText" text="NO APLICA">
      <formula>NOT(ISERROR(SEARCH("NO APLICA",KP161)))</formula>
    </cfRule>
  </conditionalFormatting>
  <conditionalFormatting sqref="KP165:KP172">
    <cfRule type="containsText" dxfId="123" priority="631" operator="containsText" text="NO APLICA">
      <formula>NOT(ISERROR(SEARCH("NO APLICA",KP165)))</formula>
    </cfRule>
  </conditionalFormatting>
  <conditionalFormatting sqref="KP175 KP177">
    <cfRule type="containsText" dxfId="122" priority="264" operator="containsText" text="NO APLICA">
      <formula>NOT(ISERROR(SEARCH("NO APLICA",KP175)))</formula>
    </cfRule>
    <cfRule type="containsText" dxfId="121" priority="267" operator="containsText" text="VENCIDA">
      <formula>NOT(ISERROR(SEARCH("VENCIDA",KP175)))</formula>
    </cfRule>
    <cfRule type="containsText" dxfId="120" priority="266" operator="containsText" text="POR VENCER">
      <formula>NOT(ISERROR(SEARCH("POR VENCER",KP175)))</formula>
    </cfRule>
    <cfRule type="containsText" dxfId="119" priority="265" operator="containsText" text="VIGENTE">
      <formula>NOT(ISERROR(SEARCH("VIGENTE",KP175)))</formula>
    </cfRule>
  </conditionalFormatting>
  <conditionalFormatting sqref="KQ209">
    <cfRule type="containsText" dxfId="118" priority="630" operator="containsText" text="VENCIDA">
      <formula>NOT(ISERROR(SEARCH("VENCIDA",KQ209)))</formula>
    </cfRule>
  </conditionalFormatting>
  <conditionalFormatting sqref="KQ213">
    <cfRule type="containsText" dxfId="117" priority="629" operator="containsText" text="VENCIDA">
      <formula>NOT(ISERROR(SEARCH("VENCIDA",KQ213)))</formula>
    </cfRule>
  </conditionalFormatting>
  <conditionalFormatting sqref="KQ220">
    <cfRule type="containsText" dxfId="116" priority="628" operator="containsText" text="VENCIDA">
      <formula>NOT(ISERROR(SEARCH("VENCIDA",KQ220)))</formula>
    </cfRule>
  </conditionalFormatting>
  <conditionalFormatting sqref="KQ237:KQ238">
    <cfRule type="containsText" dxfId="115" priority="627" operator="containsText" text="VENCIDA">
      <formula>NOT(ISERROR(SEARCH("VENCIDA",KQ237)))</formula>
    </cfRule>
  </conditionalFormatting>
  <conditionalFormatting sqref="KQ209:KR209">
    <cfRule type="containsText" dxfId="114" priority="624" operator="containsText" text="VIGENTE">
      <formula>NOT(ISERROR(SEARCH("VIGENTE",KQ209)))</formula>
    </cfRule>
    <cfRule type="containsText" dxfId="113" priority="625" operator="containsText" text="NO APLICA">
      <formula>NOT(ISERROR(SEARCH("NO APLICA",KQ209)))</formula>
    </cfRule>
    <cfRule type="containsText" dxfId="112" priority="626" operator="containsText" text="POR VENCER">
      <formula>NOT(ISERROR(SEARCH("POR VENCER",KQ209)))</formula>
    </cfRule>
  </conditionalFormatting>
  <conditionalFormatting sqref="KQ213:KR213">
    <cfRule type="containsText" dxfId="111" priority="622" operator="containsText" text="NO APLICA">
      <formula>NOT(ISERROR(SEARCH("NO APLICA",KQ213)))</formula>
    </cfRule>
    <cfRule type="containsText" dxfId="110" priority="623" operator="containsText" text="POR VENCER">
      <formula>NOT(ISERROR(SEARCH("POR VENCER",KQ213)))</formula>
    </cfRule>
    <cfRule type="containsText" dxfId="109" priority="621" operator="containsText" text="VIGENTE">
      <formula>NOT(ISERROR(SEARCH("VIGENTE",KQ213)))</formula>
    </cfRule>
  </conditionalFormatting>
  <conditionalFormatting sqref="KQ220:KR220">
    <cfRule type="containsText" dxfId="108" priority="620" operator="containsText" text="POR VENCER">
      <formula>NOT(ISERROR(SEARCH("POR VENCER",KQ220)))</formula>
    </cfRule>
    <cfRule type="containsText" dxfId="107" priority="619" operator="containsText" text="NO APLICA">
      <formula>NOT(ISERROR(SEARCH("NO APLICA",KQ220)))</formula>
    </cfRule>
    <cfRule type="containsText" dxfId="106" priority="618" operator="containsText" text="VIGENTE">
      <formula>NOT(ISERROR(SEARCH("VIGENTE",KQ220)))</formula>
    </cfRule>
  </conditionalFormatting>
  <conditionalFormatting sqref="KQ237:KR237">
    <cfRule type="containsText" dxfId="105" priority="615" operator="containsText" text="VIGENTE">
      <formula>NOT(ISERROR(SEARCH("VIGENTE",KQ237)))</formula>
    </cfRule>
    <cfRule type="containsText" dxfId="104" priority="617" operator="containsText" text="POR VENCER">
      <formula>NOT(ISERROR(SEARCH("POR VENCER",KQ237)))</formula>
    </cfRule>
    <cfRule type="containsText" dxfId="103" priority="616" operator="containsText" text="NO APLICA">
      <formula>NOT(ISERROR(SEARCH("NO APLICA",KQ237)))</formula>
    </cfRule>
  </conditionalFormatting>
  <conditionalFormatting sqref="KQ238:KR238">
    <cfRule type="containsText" dxfId="102" priority="394" operator="containsText" text="NO APLICA">
      <formula>NOT(ISERROR(SEARCH("NO APLICA",KQ238)))</formula>
    </cfRule>
    <cfRule type="containsText" dxfId="101" priority="395" operator="containsText" text="POR VENCER">
      <formula>NOT(ISERROR(SEARCH("POR VENCER",KQ238)))</formula>
    </cfRule>
  </conditionalFormatting>
  <conditionalFormatting sqref="KR209">
    <cfRule type="containsText" dxfId="100" priority="614" operator="containsText" text="VENCIDA">
      <formula>NOT(ISERROR(SEARCH("VENCIDA",KR209)))</formula>
    </cfRule>
  </conditionalFormatting>
  <conditionalFormatting sqref="KR213">
    <cfRule type="containsText" dxfId="99" priority="613" operator="containsText" text="VENCIDA">
      <formula>NOT(ISERROR(SEARCH("VENCIDA",KR213)))</formula>
    </cfRule>
  </conditionalFormatting>
  <conditionalFormatting sqref="KR220">
    <cfRule type="containsText" dxfId="98" priority="612" operator="containsText" text="VENCIDA">
      <formula>NOT(ISERROR(SEARCH("VENCIDA",KR220)))</formula>
    </cfRule>
  </conditionalFormatting>
  <conditionalFormatting sqref="KR237:KR238">
    <cfRule type="containsText" dxfId="97" priority="611" operator="containsText" text="VENCIDA">
      <formula>NOT(ISERROR(SEARCH("VENCIDA",KR237)))</formula>
    </cfRule>
  </conditionalFormatting>
  <conditionalFormatting sqref="KT4:KT34 GM4:GM38 KX4:KY38 Z8:Z19">
    <cfRule type="containsText" dxfId="96" priority="604" operator="containsText" text="POR VENCER">
      <formula>NOT(ISERROR(SEARCH("POR VENCER",Z4)))</formula>
    </cfRule>
  </conditionalFormatting>
  <conditionalFormatting sqref="KT36:KT37 KT39:KT41 KT61:KT71 KT129 KT4:KT34">
    <cfRule type="containsText" dxfId="95" priority="610" operator="containsText" text="NO APLICA">
      <formula>NOT(ISERROR(SEARCH("NO APLICA",KT4)))</formula>
    </cfRule>
  </conditionalFormatting>
  <conditionalFormatting sqref="KT36:KT37 KT129 KT39:KT41 KT61:KT71">
    <cfRule type="containsText" dxfId="94" priority="609" operator="containsText" text="POR VENCER">
      <formula>NOT(ISERROR(SEARCH("POR VENCER",KT36)))</formula>
    </cfRule>
  </conditionalFormatting>
  <conditionalFormatting sqref="KT36:KT37 KT129">
    <cfRule type="containsText" dxfId="93" priority="608" operator="containsText" text="VENCIDA">
      <formula>NOT(ISERROR(SEARCH("VENCIDA",KT36)))</formula>
    </cfRule>
  </conditionalFormatting>
  <conditionalFormatting sqref="KT130:KT158">
    <cfRule type="expression" dxfId="92" priority="607">
      <formula>"O7&gt;=91"</formula>
    </cfRule>
  </conditionalFormatting>
  <conditionalFormatting sqref="KT180">
    <cfRule type="containsText" dxfId="91" priority="606" operator="containsText" text="VIGENTE">
      <formula>NOT(ISERROR(SEARCH("VIGENTE",KT180)))</formula>
    </cfRule>
    <cfRule type="containsText" dxfId="90" priority="605" operator="containsText" text="POR VENCER">
      <formula>NOT(ISERROR(SEARCH("POR VENCER",KT180)))</formula>
    </cfRule>
  </conditionalFormatting>
  <conditionalFormatting sqref="KT239:KW240">
    <cfRule type="containsText" dxfId="89" priority="29" operator="containsText" text="VENCIDA">
      <formula>NOT(ISERROR(SEARCH("VENCIDA",KT239)))</formula>
    </cfRule>
  </conditionalFormatting>
  <conditionalFormatting sqref="KV239:KV240">
    <cfRule type="containsText" dxfId="88" priority="30" operator="containsText" text="VIGENTE">
      <formula>NOT(ISERROR(SEARCH("VIGENTE",KV239)))</formula>
    </cfRule>
    <cfRule type="containsText" dxfId="87" priority="28" operator="containsText" text="POR VENCER">
      <formula>NOT(ISERROR(SEARCH("POR VENCER",KV239)))</formula>
    </cfRule>
    <cfRule type="containsText" dxfId="86" priority="27" operator="containsText" text="NO APLICA">
      <formula>NOT(ISERROR(SEARCH("NO APLICA",KV239)))</formula>
    </cfRule>
  </conditionalFormatting>
  <conditionalFormatting sqref="KX4:KY240">
    <cfRule type="containsText" dxfId="85" priority="994" operator="containsText" text="NO APLICA">
      <formula>NOT(ISERROR(SEARCH("NO APLICA",KX4)))</formula>
    </cfRule>
  </conditionalFormatting>
  <conditionalFormatting sqref="LD175:LG175">
    <cfRule type="containsText" dxfId="84" priority="601" operator="containsText" text="NO APLICA">
      <formula>NOT(ISERROR(SEARCH("NO APLICA",LD175)))</formula>
    </cfRule>
    <cfRule type="containsText" dxfId="83" priority="603" operator="containsText" text="POR VENCER">
      <formula>NOT(ISERROR(SEARCH("POR VENCER",LD175)))</formula>
    </cfRule>
    <cfRule type="containsText" dxfId="82" priority="602" operator="containsText" text="VIGENTE">
      <formula>NOT(ISERROR(SEARCH("VIGENTE",LD175)))</formula>
    </cfRule>
    <cfRule type="containsText" dxfId="81" priority="600" operator="containsText" text="VENCIDA">
      <formula>NOT(ISERROR(SEARCH("VENCIDA",LD175)))</formula>
    </cfRule>
  </conditionalFormatting>
  <conditionalFormatting sqref="LM4:LM240">
    <cfRule type="containsText" dxfId="80" priority="598" operator="containsText" text="VENCIDA">
      <formula>NOT(ISERROR(SEARCH("VENCIDA",LM4)))</formula>
    </cfRule>
    <cfRule type="containsText" dxfId="79" priority="599" operator="containsText" text="VIGENTE">
      <formula>NOT(ISERROR(SEARCH("VIGENTE",LM4)))</formula>
    </cfRule>
    <cfRule type="containsText" dxfId="78" priority="597" operator="containsText" text="POR VENCER">
      <formula>NOT(ISERROR(SEARCH("POR VENCER",LM4)))</formula>
    </cfRule>
    <cfRule type="containsText" dxfId="77" priority="596" operator="containsText" text="NO APLICA">
      <formula>NOT(ISERROR(SEARCH("NO APLICA",LM4)))</formula>
    </cfRule>
  </conditionalFormatting>
  <conditionalFormatting sqref="LN130:LN158">
    <cfRule type="expression" dxfId="76" priority="595">
      <formula>"O7&gt;=91"</formula>
    </cfRule>
  </conditionalFormatting>
  <conditionalFormatting sqref="LN180">
    <cfRule type="containsText" dxfId="75" priority="594" operator="containsText" text="VIGENTE">
      <formula>NOT(ISERROR(SEARCH("VIGENTE",LN180)))</formula>
    </cfRule>
    <cfRule type="containsText" dxfId="74" priority="593" operator="containsText" text="POR VENCER">
      <formula>NOT(ISERROR(SEARCH("POR VENCER",LN180)))</formula>
    </cfRule>
  </conditionalFormatting>
  <conditionalFormatting sqref="LN239:LN240">
    <cfRule type="containsText" dxfId="73" priority="10" operator="containsText" text="NO APLICA">
      <formula>NOT(ISERROR(SEARCH("NO APLICA",LN239)))</formula>
    </cfRule>
    <cfRule type="containsText" dxfId="72" priority="9" operator="containsText" text="VIGENTE">
      <formula>NOT(ISERROR(SEARCH("VIGENTE",LN239)))</formula>
    </cfRule>
  </conditionalFormatting>
  <conditionalFormatting sqref="LR4:LR14">
    <cfRule type="containsText" dxfId="71" priority="592" operator="containsText" text="POR VENCER">
      <formula>NOT(ISERROR(SEARCH("POR VENCER",LR4)))</formula>
    </cfRule>
  </conditionalFormatting>
  <conditionalFormatting sqref="LR4:LR240">
    <cfRule type="containsText" dxfId="70" priority="591" operator="containsText" text="NO APLICA">
      <formula>NOT(ISERROR(SEARCH("NO APLICA",LR4)))</formula>
    </cfRule>
  </conditionalFormatting>
  <conditionalFormatting sqref="MC180:MD180 MH180:MI180">
    <cfRule type="containsText" dxfId="69" priority="590" operator="containsText" text="VIGENTE">
      <formula>NOT(ISERROR(SEARCH("VIGENTE",MC180)))</formula>
    </cfRule>
    <cfRule type="containsText" dxfId="68" priority="589" operator="containsText" text="POR VENCER">
      <formula>NOT(ISERROR(SEARCH("POR VENCER",MC180)))</formula>
    </cfRule>
  </conditionalFormatting>
  <conditionalFormatting sqref="MC4:MI7 MC9:MD14 MC39:MD44 MC94:MD117 MC119:MD124 MC125 MC126:MD158">
    <cfRule type="containsText" dxfId="67" priority="587" operator="containsText" text="VIGENTE">
      <formula>NOT(ISERROR(SEARCH("VIGENTE",MC4)))</formula>
    </cfRule>
  </conditionalFormatting>
  <conditionalFormatting sqref="MC4:MI7 MC9:MD37 MC39:MD44 MC91:MD117 MC119:MD124 MC125 MC126:MD158">
    <cfRule type="containsText" dxfId="66" priority="588" operator="containsText" text="NO APLICA">
      <formula>NOT(ISERROR(SEARCH("NO APLICA",MC4)))</formula>
    </cfRule>
  </conditionalFormatting>
  <conditionalFormatting sqref="MN180 MS180:MU180">
    <cfRule type="containsText" dxfId="65" priority="586" operator="containsText" text="VIGENTE">
      <formula>NOT(ISERROR(SEARCH("VIGENTE",MN180)))</formula>
    </cfRule>
  </conditionalFormatting>
  <conditionalFormatting sqref="MN180">
    <cfRule type="containsText" dxfId="64" priority="585" operator="containsText" text="POR VENCER">
      <formula>NOT(ISERROR(SEARCH("POR VENCER",MN180)))</formula>
    </cfRule>
  </conditionalFormatting>
  <conditionalFormatting sqref="MS180:MU180">
    <cfRule type="containsText" dxfId="63" priority="584" operator="containsText" text="POR VENCER">
      <formula>NOT(ISERROR(SEARCH("POR VENCER",MS180)))</formula>
    </cfRule>
  </conditionalFormatting>
  <conditionalFormatting sqref="MU15:MU18">
    <cfRule type="containsText" dxfId="62" priority="583" operator="containsText" text="POR VENCER">
      <formula>NOT(ISERROR(SEARCH("POR VENCER",MU15)))</formula>
    </cfRule>
    <cfRule type="containsText" dxfId="61" priority="582" operator="containsText" text="NO APLICA">
      <formula>NOT(ISERROR(SEARCH("NO APLICA",MU15)))</formula>
    </cfRule>
  </conditionalFormatting>
  <conditionalFormatting sqref="MU239:MU240 MW239:MW240 MY239:MZ240 NB239:ND240">
    <cfRule type="containsText" dxfId="60" priority="5" operator="containsText" text="VENCIDA">
      <formula>NOT(ISERROR(SEARCH("VENCIDA",MU239)))</formula>
    </cfRule>
    <cfRule type="containsText" dxfId="59" priority="7" operator="containsText" text="POR VENCER">
      <formula>NOT(ISERROR(SEARCH("POR VENCER",MU239)))</formula>
    </cfRule>
  </conditionalFormatting>
  <conditionalFormatting sqref="MU239:MU240 MW239:MW240 MY239:MZ240 NB239:NE240">
    <cfRule type="containsText" dxfId="58" priority="6" operator="containsText" text="NO APLICA">
      <formula>NOT(ISERROR(SEARCH("NO APLICA",MU239)))</formula>
    </cfRule>
  </conditionalFormatting>
  <conditionalFormatting sqref="MU239:MU240 MW239:MZ240 NB239:ND240">
    <cfRule type="containsText" dxfId="57" priority="8" operator="containsText" text="VIGENTE">
      <formula>NOT(ISERROR(SEARCH("VIGENTE",MU239)))</formula>
    </cfRule>
  </conditionalFormatting>
  <conditionalFormatting sqref="MU5:MV13 MU20:MU22 MU24:MU27 MU97:MU141 MU143:MU152 MQ153:MU158 MQ4:MS18">
    <cfRule type="containsText" dxfId="56" priority="580" operator="containsText" text="POR VENCER">
      <formula>NOT(ISERROR(SEARCH("POR VENCER",MQ4)))</formula>
    </cfRule>
  </conditionalFormatting>
  <conditionalFormatting sqref="MU5:MV13 MU20:MU22 MU24:MU27 MU97:MU141 MU143:MU152 MQ153:MU158">
    <cfRule type="containsText" dxfId="55" priority="578" operator="containsText" text="NO APLICA">
      <formula>NOT(ISERROR(SEARCH("NO APLICA",MQ5)))</formula>
    </cfRule>
  </conditionalFormatting>
  <conditionalFormatting sqref="MU5:MV13 MU20:MU22 MU27 MU97:MU141 MU143:MU152 MQ153:MU158 MU15:MU18">
    <cfRule type="containsText" dxfId="54" priority="581" operator="containsText" text="VENCIDA">
      <formula>NOT(ISERROR(SEARCH("VENCIDA",MQ5)))</formula>
    </cfRule>
    <cfRule type="containsText" dxfId="53" priority="579" operator="containsText" text="VIGENTE">
      <formula>NOT(ISERROR(SEARCH("VIGENTE",MQ5)))</formula>
    </cfRule>
  </conditionalFormatting>
  <conditionalFormatting sqref="MW4:MW7 AE180 AI180:AJ180 AO180 AT180 DB180 EU180 FJ180 FO180 GD180 CB184 CE184:CF184 CB186:CC187 CE186:CF187 LD187">
    <cfRule type="containsText" dxfId="52" priority="577" operator="containsText" text="VIGENTE">
      <formula>NOT(ISERROR(SEARCH("VIGENTE",AE4)))</formula>
    </cfRule>
  </conditionalFormatting>
  <conditionalFormatting sqref="MW130:MW158 NB130:NB158 NG130:NG158">
    <cfRule type="expression" dxfId="51" priority="576">
      <formula>"O7&gt;=91"</formula>
    </cfRule>
  </conditionalFormatting>
  <conditionalFormatting sqref="MW180 NB180 NG180">
    <cfRule type="containsText" dxfId="50" priority="574" operator="containsText" text="POR VENCER">
      <formula>NOT(ISERROR(SEARCH("POR VENCER",MW180)))</formula>
    </cfRule>
    <cfRule type="containsText" dxfId="49" priority="575" operator="containsText" text="VIGENTE">
      <formula>NOT(ISERROR(SEARCH("VIGENTE",MW180)))</formula>
    </cfRule>
  </conditionalFormatting>
  <conditionalFormatting sqref="NA130:NA240">
    <cfRule type="containsText" dxfId="48" priority="573" operator="containsText" text="NO APLICA">
      <formula>NOT(ISERROR(SEARCH("NO APLICA",NA130)))</formula>
    </cfRule>
  </conditionalFormatting>
  <conditionalFormatting sqref="NE239:NE240">
    <cfRule type="containsText" dxfId="47" priority="36" operator="containsText" text="VIGENTE">
      <formula>NOT(ISERROR(SEARCH("VIGENTE",NE239)))</formula>
    </cfRule>
    <cfRule type="containsText" dxfId="46" priority="34" operator="containsText" text="VENCIDA">
      <formula>NOT(ISERROR(SEARCH("VENCIDA",NE239)))</formula>
    </cfRule>
    <cfRule type="containsText" dxfId="45" priority="35" operator="containsText" text="POR VENCER">
      <formula>NOT(ISERROR(SEARCH("POR VENCER",NE239)))</formula>
    </cfRule>
  </conditionalFormatting>
  <conditionalFormatting sqref="NG4:NG37">
    <cfRule type="containsText" dxfId="44" priority="571" operator="containsText" text="VIGENTE">
      <formula>NOT(ISERROR(SEARCH("VIGENTE",NG4)))</formula>
    </cfRule>
    <cfRule type="containsText" dxfId="43" priority="572" operator="containsText" text="NO APLICA">
      <formula>NOT(ISERROR(SEARCH("NO APLICA",NG4)))</formula>
    </cfRule>
  </conditionalFormatting>
  <conditionalFormatting sqref="NJ239:NJ240 NY239:NY240 OD239:OD240 OI239:OI240 ON239:ON240 OS239:OS240 PB239:PB240 PF239:PF240">
    <cfRule type="containsText" dxfId="42" priority="47" operator="containsText" text="VIGENTE">
      <formula>NOT(ISERROR(SEARCH("VIGENTE",NJ239)))</formula>
    </cfRule>
    <cfRule type="containsText" dxfId="41" priority="46" operator="containsText" text="POR VENCER">
      <formula>NOT(ISERROR(SEARCH("POR VENCER",NJ239)))</formula>
    </cfRule>
    <cfRule type="containsText" dxfId="40" priority="45" operator="containsText" text="NO APLICA">
      <formula>NOT(ISERROR(SEARCH("NO APLICA",NJ239)))</formula>
    </cfRule>
    <cfRule type="containsText" dxfId="39" priority="44" operator="containsText" text="VENCIDA">
      <formula>NOT(ISERROR(SEARCH("VENCIDA",NJ239)))</formula>
    </cfRule>
  </conditionalFormatting>
  <conditionalFormatting sqref="NK67 NK77:NL77 NK4:NT5 NL6:NM6 NP6:NT6 NK6:NK7 NL7:NT7 NK8:NT9 NK10:NP10 NK11:NT27 NP35 NA38 NK38 NP56 NP57:NT57 NO58:NT60 NO61:NR63 NT61:NT64 NP64:NR64 NP65 NP66:NR66 NT66 NP67 NK78:NM87 NK88:NL88 NK89:NM89 NK90:NL90">
    <cfRule type="containsText" dxfId="38" priority="570" operator="containsText" text="POR VENCER">
      <formula>NOT(ISERROR(SEARCH("POR VENCER",NA4)))</formula>
    </cfRule>
  </conditionalFormatting>
  <conditionalFormatting sqref="NK67 NK77:NL77">
    <cfRule type="containsText" dxfId="37" priority="569" operator="containsText" text="VENCIDA">
      <formula>NOT(ISERROR(SEARCH("VENCIDA",NK67)))</formula>
    </cfRule>
    <cfRule type="containsText" dxfId="36" priority="568" operator="containsText" text="NO APLICA">
      <formula>NOT(ISERROR(SEARCH("NO APLICA",NK67)))</formula>
    </cfRule>
  </conditionalFormatting>
  <conditionalFormatting sqref="NK91:NM158">
    <cfRule type="containsText" dxfId="35" priority="567" operator="containsText" text="NO APLICA">
      <formula>NOT(ISERROR(SEARCH("NO APLICA",NK91)))</formula>
    </cfRule>
  </conditionalFormatting>
  <conditionalFormatting sqref="NK4:NT5 NL6:NM6 NP6:NT6 NK6:NK7 NL7:NT7 NK8:NT9 NK10:NP10 NK11:NT14 NP35 NA38 NK38 NP56 NP57:NT57 NO58:NT60 NO61:NR63 NT61:NT64 NP64:NR64 NP65 NP66:NR66 NT66 NP67 NK78:NM87 NK88:NL88 NK89:NM89 NK90:NL90 NK67 NK77:NL77 NK91:NM158">
    <cfRule type="containsText" dxfId="34" priority="566" operator="containsText" text="VIGENTE">
      <formula>NOT(ISERROR(SEARCH("VIGENTE",NA4)))</formula>
    </cfRule>
  </conditionalFormatting>
  <conditionalFormatting sqref="NK4:NT5 NL6:NM6 NP6:NT6 NK6:NK7 NL7:NT7 NK8:NT9 NK10:NP10 NK11:NT14 NP35 NP36:NT55 NA38 NK38 NO39:NO57 NK39:NM66 NP56 NP57:NT57 NO58:NT60 NO61:NR63 NT61:NT64 NP64:NR64 NP65 NP66:NR66 NT66 NP67 NK78:NM87 NK88:NL88 NK89:NM89 NK90:NL90">
    <cfRule type="containsText" dxfId="33" priority="564" operator="containsText" text="VENCIDA">
      <formula>NOT(ISERROR(SEARCH("VENCIDA",NA4)))</formula>
    </cfRule>
  </conditionalFormatting>
  <conditionalFormatting sqref="NK4:NT5 NL6:NM6 NP6:NT6 NK6:NK7 NL7:NT7 NK8:NT9 NK10:NP10 NK11:NT27 NP35 NP36:NT55 NA38 NK38 NO39:NO57 NK39:NM66 NP56 NP57:NT57 NO58:NT60 NO61:NR63 NT61:NT64 NP64:NR64 NP65 NP66:NR66 NT66 NP67 NK78:NM87 NK88:NL88 NK89:NM89 NK90:NL90">
    <cfRule type="containsText" dxfId="32" priority="565" operator="containsText" text="NO APLICA">
      <formula>NOT(ISERROR(SEARCH("NO APLICA",NA4)))</formula>
    </cfRule>
  </conditionalFormatting>
  <conditionalFormatting sqref="NL180:NO180 NQ180:NR180 NT180">
    <cfRule type="containsText" dxfId="31" priority="562" operator="containsText" text="POR VENCER">
      <formula>NOT(ISERROR(SEARCH("POR VENCER",NL180)))</formula>
    </cfRule>
    <cfRule type="containsText" dxfId="30" priority="563" operator="containsText" text="VIGENTE">
      <formula>NOT(ISERROR(SEARCH("VIGENTE",NL180)))</formula>
    </cfRule>
  </conditionalFormatting>
  <conditionalFormatting sqref="NN200">
    <cfRule type="containsText" dxfId="29" priority="558" operator="containsText" text="VIGENTE">
      <formula>NOT(ISERROR(SEARCH("VIGENTE",NN200)))</formula>
    </cfRule>
    <cfRule type="containsText" dxfId="28" priority="559" operator="containsText" text="NO APLICA">
      <formula>NOT(ISERROR(SEARCH("NO APLICA",NN200)))</formula>
    </cfRule>
    <cfRule type="containsText" dxfId="27" priority="560" operator="containsText" text="POR VENCER">
      <formula>NOT(ISERROR(SEARCH("POR VENCER",NN200)))</formula>
    </cfRule>
    <cfRule type="containsText" dxfId="26" priority="561" operator="containsText" text="VENCIDA">
      <formula>NOT(ISERROR(SEARCH("VENCIDA",NN200)))</formula>
    </cfRule>
  </conditionalFormatting>
  <conditionalFormatting sqref="NN213">
    <cfRule type="containsText" dxfId="25" priority="554" operator="containsText" text="VIGENTE">
      <formula>NOT(ISERROR(SEARCH("VIGENTE",NN213)))</formula>
    </cfRule>
    <cfRule type="containsText" dxfId="24" priority="555" operator="containsText" text="NO APLICA">
      <formula>NOT(ISERROR(SEARCH("NO APLICA",NN213)))</formula>
    </cfRule>
    <cfRule type="containsText" dxfId="23" priority="556" operator="containsText" text="POR VENCER">
      <formula>NOT(ISERROR(SEARCH("POR VENCER",NN213)))</formula>
    </cfRule>
    <cfRule type="containsText" dxfId="22" priority="557" operator="containsText" text="VENCIDA">
      <formula>NOT(ISERROR(SEARCH("VENCIDA",NN213)))</formula>
    </cfRule>
  </conditionalFormatting>
  <conditionalFormatting sqref="NU4:NU240 AA36">
    <cfRule type="containsText" dxfId="21" priority="553" operator="containsText" text="VIGENTE">
      <formula>NOT(ISERROR(SEARCH("VIGENTE",AA4)))</formula>
    </cfRule>
    <cfRule type="containsText" dxfId="20" priority="552" operator="containsText" text="POR VENCER">
      <formula>NOT(ISERROR(SEARCH("POR VENCER",AA4)))</formula>
    </cfRule>
    <cfRule type="containsText" dxfId="19" priority="551" operator="containsText" text="VENCIDA">
      <formula>NOT(ISERROR(SEARCH("VENCIDA",AA4)))</formula>
    </cfRule>
    <cfRule type="containsText" dxfId="18" priority="550" operator="containsText" text="NO APLICA">
      <formula>NOT(ISERROR(SEARCH("NO APLICA",AA4)))</formula>
    </cfRule>
  </conditionalFormatting>
  <conditionalFormatting sqref="NZ4:NZ240 OO4:OO240 OT4:OT240 OY4:OY240 PD4:PD240 PI4:PJ240 PS4:PT240 PX4:PX240">
    <cfRule type="containsText" dxfId="17" priority="987" operator="containsText" text="NO APLICA">
      <formula>NOT(ISERROR(SEARCH("NO APLICA",NZ4)))</formula>
    </cfRule>
    <cfRule type="containsText" dxfId="16" priority="989" operator="containsText" text="VIGENTE">
      <formula>NOT(ISERROR(SEARCH("VIGENTE",NZ4)))</formula>
    </cfRule>
    <cfRule type="containsText" dxfId="15" priority="988" operator="containsText" text="POR VENCER">
      <formula>NOT(ISERROR(SEARCH("POR VENCER",NZ4)))</formula>
    </cfRule>
    <cfRule type="containsText" dxfId="14" priority="986" operator="containsText" text="VENCIDA">
      <formula>NOT(ISERROR(SEARCH("VENCIDA",NZ4)))</formula>
    </cfRule>
  </conditionalFormatting>
  <conditionalFormatting sqref="OF54">
    <cfRule type="containsText" dxfId="13" priority="542" operator="containsText" text="VENCIDA">
      <formula>NOT(ISERROR(SEARCH("VENCIDA",OF54)))</formula>
    </cfRule>
    <cfRule type="containsText" dxfId="12" priority="545" operator="containsText" text="VIGENTE">
      <formula>NOT(ISERROR(SEARCH("VIGENTE",OF54)))</formula>
    </cfRule>
    <cfRule type="containsText" dxfId="11" priority="544" operator="containsText" text="POR VENCER">
      <formula>NOT(ISERROR(SEARCH("POR VENCER",OF54)))</formula>
    </cfRule>
    <cfRule type="containsText" dxfId="10" priority="543" operator="containsText" text="NO APLICA">
      <formula>NOT(ISERROR(SEARCH("NO APLICA",OF54)))</formula>
    </cfRule>
  </conditionalFormatting>
  <conditionalFormatting sqref="OF180:OG180">
    <cfRule type="containsText" dxfId="9" priority="541" operator="containsText" text="VENCIDA">
      <formula>NOT(ISERROR(SEARCH("VENCIDA",OF180)))</formula>
    </cfRule>
    <cfRule type="containsText" dxfId="8" priority="539" operator="containsText" text="VIGENTE">
      <formula>NOT(ISERROR(SEARCH("VIGENTE",OF180)))</formula>
    </cfRule>
    <cfRule type="containsText" dxfId="7" priority="538" operator="containsText" text="POR VENCER">
      <formula>NOT(ISERROR(SEARCH("POR VENCER",OF180)))</formula>
    </cfRule>
    <cfRule type="containsText" dxfId="6" priority="540" operator="containsText" text="NO APLICA">
      <formula>NOT(ISERROR(SEARCH("NO APLICA",OF180)))</formula>
    </cfRule>
  </conditionalFormatting>
  <conditionalFormatting sqref="OW239:OW240">
    <cfRule type="containsText" dxfId="5" priority="66" operator="containsText" text="POR VENCER">
      <formula>NOT(ISERROR(SEARCH("POR VENCER",OW239)))</formula>
    </cfRule>
    <cfRule type="containsText" dxfId="4" priority="67" operator="containsText" text="VIGENTE">
      <formula>NOT(ISERROR(SEARCH("VIGENTE",OW239)))</formula>
    </cfRule>
    <cfRule type="containsText" dxfId="3" priority="65" operator="containsText" text="VENCIDA">
      <formula>NOT(ISERROR(SEARCH("VENCIDA",OW239)))</formula>
    </cfRule>
  </conditionalFormatting>
  <conditionalFormatting sqref="PN4:PN240">
    <cfRule type="containsText" dxfId="2" priority="536" operator="containsText" text="POR VENCER">
      <formula>NOT(ISERROR(SEARCH("POR VENCER",PN4)))</formula>
    </cfRule>
    <cfRule type="containsText" dxfId="1" priority="537" operator="containsText" text="VIGENTE">
      <formula>NOT(ISERROR(SEARCH("VIGENTE",PN4)))</formula>
    </cfRule>
    <cfRule type="containsText" dxfId="0" priority="535" operator="containsText" text="VENCIDA">
      <formula>NOT(ISERROR(SEARCH("VENCIDA",PN4)))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2026-04-22T17:58:33Z</dcterms:modified>
</cp:coreProperties>
</file>